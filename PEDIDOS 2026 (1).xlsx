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" sheetId="1" r:id="rId4"/>
    <sheet state="visible" name="ELABORACION" sheetId="2" r:id="rId5"/>
    <sheet state="visible" name="EXPEDICION" sheetId="3" r:id="rId6"/>
    <sheet state="visible" name="INGRESOS" sheetId="4" r:id="rId7"/>
    <sheet state="visible" name="KPI" sheetId="5" r:id="rId8"/>
    <sheet state="visible" name="Dashboard" sheetId="6" r:id="rId9"/>
    <sheet state="visible" name="CALCULOS_CLIENTES" sheetId="7" r:id="rId10"/>
  </sheets>
  <definedNames>
    <definedName hidden="1" localSheetId="0" name="_xlnm._FilterDatabase">PEDIDOS!$A$1:$Z$405</definedName>
    <definedName hidden="1" localSheetId="1" name="_xlnm._FilterDatabase">ELABORACION!$A$1:$AA$425</definedName>
    <definedName hidden="1" localSheetId="2" name="_xlnm._FilterDatabase">EXPEDICION!$A$1:$O$1977</definedName>
    <definedName hidden="1" localSheetId="3" name="_xlnm._FilterDatabase">INGRESOS!$A$1:$M$121</definedName>
  </definedNames>
  <calcPr/>
  <extLst>
    <ext uri="GoogleSheetsCustomDataVersion2">
      <go:sheetsCustomData xmlns:go="http://customooxmlschemas.google.com/" r:id="rId11" roundtripDataChecksum="ngWYhCak8JPKYkVjY2LDzyLlkvQzkRTIJRYMdILjV2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8">
      <text>
        <t xml:space="preserve">======
ID#AAAB6ZkLvyU
Envasado Genus    (2026-02-27 19:10:47)
NO ALCANZARON LOS ENVASES</t>
      </text>
    </comment>
    <comment authorId="0" ref="J327">
      <text>
        <t xml:space="preserve">======
ID#AAAB8oDYMxg
Agustina Zunich    (2026-06-01 19:59:22)
RREMITO 1</t>
      </text>
    </comment>
    <comment authorId="0" ref="J135">
      <text>
        <t xml:space="preserve">======
ID#AAAB6ZkLvzQ
Agustina Zunich    (2026-04-07 12:18:12)
3418
------
ID#AAAB6ZkLvzU
Agustina Zunich    (2026-04-14 12:07:36)
3425</t>
      </text>
    </comment>
    <comment authorId="0" ref="G36">
      <text>
        <t xml:space="preserve">======
ID#AAAB6ZkLvyg
Envasado Genus    (2026-03-09 16:26:45)
NO ALCANZO EL GRANEL</t>
      </text>
    </comment>
    <comment authorId="0" ref="I38">
      <text>
        <t xml:space="preserve">======
ID#AAAB6ZkLvyk
Agustina Zunich    (2026-02-27 12:18:05)
10X36 R:3357</t>
      </text>
    </comment>
    <comment authorId="0" ref="J193">
      <text>
        <t xml:space="preserve">======
ID#AAAB88zY31w
Agustina Zunich    (2026-06-08 17:44:05)
15</t>
      </text>
    </comment>
    <comment authorId="0" ref="G125">
      <text>
        <t xml:space="preserve">======
ID#AAAB8ytWbEM
Envasado Genus    (2026-06-04 14:16:56)
no alcanzo el granel</t>
      </text>
    </comment>
    <comment authorId="0" ref="J32">
      <text>
        <t xml:space="preserve">======
ID#AAAB6ZkLvy0
Agustina Zunich    (2026-03-13 15:44:01)
3386
------
ID#AAAB6ZkLvy4
Envasado Genus    (2026-03-16 13:48:00)
se entregaron 21x15u (315u)</t>
      </text>
    </comment>
    <comment authorId="0" ref="G342">
      <text>
        <t xml:space="preserve">======
ID#AAAB9sfrPxM
Agustina Zunich    (2026-06-17 19:03:01)
2112 | 29 tapa distinta | 4 rechazados</t>
      </text>
    </comment>
    <comment authorId="0" ref="G181">
      <text>
        <t xml:space="preserve">======
ID#AAAB6buKmks
Envasado Genus    (2026-05-14 12:29:57)
4x176 1x122 S/E</t>
      </text>
    </comment>
    <comment authorId="0" ref="J245">
      <text>
        <t xml:space="preserve">======
ID#AAAB6buKm4E
Agustina Zunich Genus    (2026-05-14 16:37:34)
3474 8x18</t>
      </text>
    </comment>
    <comment authorId="0" ref="J53">
      <text>
        <t xml:space="preserve">======
ID#AAAB6ZkLvys
Agustina Zunich    (2026-02-24 16:36:34)
Deben ser 3x286 no?</t>
      </text>
    </comment>
    <comment authorId="0" ref="J212">
      <text>
        <t xml:space="preserve">======
ID#AAAB6ZkLvyc
Envasado Genus    (2026-04-28 18:33:03)
1 ENTREGA: 103X37U (3811U)</t>
      </text>
    </comment>
    <comment authorId="0" ref="J20">
      <text>
        <t xml:space="preserve">======
ID#AAAB6ZkLvzM
Envasado Genus    (2026-03-05 11:31:19)
Las 3 cajas que estan aparte les falta etiqueta</t>
      </text>
    </comment>
    <comment authorId="0" ref="F303">
      <text>
        <t xml:space="preserve">======
ID#AAAB8TNKj-M
Envasado Genus    (2026-05-29 17:10:51)
Faltaron etiquetas FRONTALES para terminar el pedido</t>
      </text>
    </comment>
    <comment authorId="0" ref="G202">
      <text>
        <t xml:space="preserve">======
ID#AAAB8TNKj_c
Envasado Genus    (2026-05-29 17:15:36)
479U S/E</t>
      </text>
    </comment>
    <comment authorId="0" ref="J235">
      <text>
        <t xml:space="preserve">======
ID#AAAB6ZkLvzE
Agustina Zunich    (2026-05-05 16:50:29)
3456</t>
      </text>
    </comment>
    <comment authorId="0" ref="J293">
      <text>
        <t xml:space="preserve">======
ID#AAAB9Fo5XJU
Agustina Zunich    (2026-06-10 19:37:05)
18 - 22</t>
      </text>
    </comment>
    <comment authorId="0" ref="G289">
      <text>
        <t xml:space="preserve">======
ID#AAAB7YZWV2Q
Envasado Genus    (2026-05-21 14:33:02)
3 UNIDADES S/E</t>
      </text>
    </comment>
    <comment authorId="0" ref="G60">
      <text>
        <t xml:space="preserve">======
ID#AAAB6ZkLvyQ
Envasado Genus    (2026-03-13 11:46:00)
no alcanzo el granel para completar el pedido</t>
      </text>
    </comment>
    <comment authorId="0" ref="J62">
      <text>
        <t xml:space="preserve">======
ID#AAAB6ZkLvzc
Agustina Zunich    (2026-03-13 15:44:06)
3386</t>
      </text>
    </comment>
    <comment authorId="0" ref="J29">
      <text>
        <t xml:space="preserve">======
ID#AAAB6ZkLvzY
Agustina Zunich    (2026-03-06 17:26:07)
3374</t>
      </text>
    </comment>
    <comment authorId="0" ref="G184">
      <text>
        <t xml:space="preserve">======
ID#AAAB6buKmqU
Envasado Genus    (2026-05-14 13:37:53)
3X176 1X18 S/E</t>
      </text>
    </comment>
    <comment authorId="0" ref="J155">
      <text>
        <t xml:space="preserve">======
ID#AAAB6ZkLvyo
Agustina Zunich    (2026-04-20 16:43:17)
Ambos 200426</t>
      </text>
    </comment>
    <comment authorId="0" ref="G23">
      <text>
        <t xml:space="preserve">======
ID#AAAB6ZkLvzA
Envasado Genus    (2026-02-27 19:13:28)
NO ALCANZARON LOS ENVASES</t>
      </text>
    </comment>
    <comment authorId="0" ref="G182">
      <text>
        <t xml:space="preserve">======
ID#AAAB6buKmko
Envasado Genus    (2026-05-14 12:26:57)
1x176 1x97 S/E del frente</t>
      </text>
    </comment>
    <comment authorId="0" ref="G52">
      <text>
        <t xml:space="preserve">======
ID#AAAB6ZkLvzI
Envasado Genus    (2026-02-20 14:29:38)
NO ALCANZO EL GRANEL</t>
      </text>
    </comment>
    <comment authorId="0" ref="J246">
      <text>
        <t xml:space="preserve">======
ID#AAAB6buKm4I
Agustina Zunich Genus    (2026-05-14 16:37:47)
3474 5x12</t>
      </text>
    </comment>
    <comment authorId="0" ref="G83">
      <text>
        <t xml:space="preserve">======
ID#AAAB6ZkLvyY
Envasado Genus    (2026-03-16 12:06:39)
SE PUEDEN AGREGAR 14U SI ENVIAN TAPAS</t>
      </text>
    </comment>
    <comment authorId="0" ref="J176">
      <text>
        <t xml:space="preserve">======
ID#AAAB6ZkLvyw
Agustina Zunich    (2026-04-17 15:14:22)
ambos 170426</t>
      </text>
    </comment>
    <comment authorId="0" ref="J300">
      <text>
        <t xml:space="preserve">======
ID#AAAB8Q6RqAM
Agustina Zunich    (2026-05-28 19:05:26)
3505</t>
      </text>
    </comment>
  </commentList>
  <extLst>
    <ext uri="GoogleSheetsCustomDataVersion2">
      <go:sheetsCustomData xmlns:go="http://customooxmlschemas.google.com/" r:id="rId1" roundtripDataSignature="AMtx7mg9DLjUH6XSIrAPOQhPfJhNg3rY+w=="/>
    </ext>
  </extLst>
</comments>
</file>

<file path=xl/sharedStrings.xml><?xml version="1.0" encoding="utf-8"?>
<sst xmlns="http://schemas.openxmlformats.org/spreadsheetml/2006/main" count="3036" uniqueCount="1148">
  <si>
    <t>OP</t>
  </si>
  <si>
    <t>Fecha</t>
  </si>
  <si>
    <t>N° OC</t>
  </si>
  <si>
    <t>CLIENTE</t>
  </si>
  <si>
    <t>PRODUCTO</t>
  </si>
  <si>
    <t>S</t>
  </si>
  <si>
    <t xml:space="preserve">Q </t>
  </si>
  <si>
    <t>Ml</t>
  </si>
  <si>
    <t>ESTADO</t>
  </si>
  <si>
    <t>N° LOTE</t>
  </si>
  <si>
    <t>THE MINIMAL CO</t>
  </si>
  <si>
    <t>MILKY TONER</t>
  </si>
  <si>
    <t>P</t>
  </si>
  <si>
    <t>JACTANS</t>
  </si>
  <si>
    <t>JS-941 AGUA MICELAR BIFASCIA</t>
  </si>
  <si>
    <t>THELMA Y LOUISE</t>
  </si>
  <si>
    <t>AGUA TERMAL</t>
  </si>
  <si>
    <t>LIORA</t>
  </si>
  <si>
    <t>CREMA PARA PEINAR RULOS</t>
  </si>
  <si>
    <t>P01203</t>
  </si>
  <si>
    <t>BIOESENCIA</t>
  </si>
  <si>
    <t>SERUM ORIGENES</t>
  </si>
  <si>
    <t>WSABI</t>
  </si>
  <si>
    <t>SERUM INTIMO</t>
  </si>
  <si>
    <t>MERMER</t>
  </si>
  <si>
    <t>ACEITE CORPORAL LAVANDA</t>
  </si>
  <si>
    <t>ACEITE CORPORAL ALMENDRA</t>
  </si>
  <si>
    <t>ACEITE CORPORAL ROSAS</t>
  </si>
  <si>
    <t>ACEITE CORPORAL SESAMO</t>
  </si>
  <si>
    <t>ACEITE CORPORAL INCIENSO</t>
  </si>
  <si>
    <t>ACEITE CORPORAL ARNICA</t>
  </si>
  <si>
    <t>LOCION CAPILAR</t>
  </si>
  <si>
    <t>SERUM CAPILAR</t>
  </si>
  <si>
    <t>LABORATORIO ONCE</t>
  </si>
  <si>
    <t>SERUM ACIDO HIALURONICO + NIACINAMIDA</t>
  </si>
  <si>
    <t>CREMA BIFASICA CHERRY</t>
  </si>
  <si>
    <t>M</t>
  </si>
  <si>
    <t>ALL BEAUTY</t>
  </si>
  <si>
    <t>SERUM ACIDO HIALURONICO</t>
  </si>
  <si>
    <t>DWUAM</t>
  </si>
  <si>
    <t>BASE DE MAQUILLAJE TONO 1</t>
  </si>
  <si>
    <t>HEBURN</t>
  </si>
  <si>
    <t>BRUMA FIJADORA de MAQUILLAJE x 125 cc</t>
  </si>
  <si>
    <t>CREMA FACIAL HIDRATANTE X 50gr (DIA)</t>
  </si>
  <si>
    <t>UNGÜENTO POMADA OLEO 30 + 1 X 10gr</t>
  </si>
  <si>
    <t>CREMA DE ORDEÑE X 300gr</t>
  </si>
  <si>
    <t>UNICA</t>
  </si>
  <si>
    <t>CREMA ENEBRO</t>
  </si>
  <si>
    <t>SERUM BIFASICO JOJOBA-POMELO</t>
  </si>
  <si>
    <t>SERUM BIFASICO PEPINO-HAMAMELIS</t>
  </si>
  <si>
    <t>SERUM BIFASICO LAVANDA-BLUEBERRY</t>
  </si>
  <si>
    <t>SERUM BIFASICO ROSA MOSQUETA-ROSAS</t>
  </si>
  <si>
    <t>CAV</t>
  </si>
  <si>
    <t>SHAMPOO BIO MOLECULAR X400ML VITAMIN SHOCK</t>
  </si>
  <si>
    <t>SERUM BIO MOLUECULAR X30ML VITAMIN SHOCK</t>
  </si>
  <si>
    <t>BALSAMO X400ML BIOMIC C/ ACIDO HIAL + CAPIMAX</t>
  </si>
  <si>
    <t>MASCARA BIO MOLECULAR VITAMIN SHOCK X300ML</t>
  </si>
  <si>
    <t>JACTANS - DISNEY</t>
  </si>
  <si>
    <t>DSH-41823-Shampoo infantil fco pvc x45ml</t>
  </si>
  <si>
    <t>DES-41823-Espuma de Baño infantil fco pvc x45ml</t>
  </si>
  <si>
    <t>BL COSMETICS</t>
  </si>
  <si>
    <t>ALISADO EXPERT</t>
  </si>
  <si>
    <t>ALISADO EXPERT X1KG</t>
  </si>
  <si>
    <t>ALISADO KERATIN</t>
  </si>
  <si>
    <t>P00147</t>
  </si>
  <si>
    <t>LURE</t>
  </si>
  <si>
    <t>GOLD MASK</t>
  </si>
  <si>
    <t>TCL 2025-02-28</t>
  </si>
  <si>
    <t>THE CHEMIST LOOK</t>
  </si>
  <si>
    <t>MANCHAS 5ML - PIGMENT PROTOCOL</t>
  </si>
  <si>
    <t>MANCHAS 30ML - PIGMENT PROTOCOL</t>
  </si>
  <si>
    <t>BOOSTER VIT C/GLUT</t>
  </si>
  <si>
    <t>BOOSTER NIACI/ZN</t>
  </si>
  <si>
    <t>BOOSTER HYALU-A/SI</t>
  </si>
  <si>
    <t>BOOSTER MUNAP-18</t>
  </si>
  <si>
    <t>TAN BOOSTER</t>
  </si>
  <si>
    <t>BOOSTER RETIN</t>
  </si>
  <si>
    <t>2ND SKIN</t>
  </si>
  <si>
    <t>JS-736 BRUMA FIJADORA FACIAL</t>
  </si>
  <si>
    <t>KALA</t>
  </si>
  <si>
    <t>AGUA DE ROSAS</t>
  </si>
  <si>
    <t>INTENCIONAL</t>
  </si>
  <si>
    <t>CREMA DE ORDEÑE</t>
  </si>
  <si>
    <t>P01256</t>
  </si>
  <si>
    <t>CREMA BABA DE CARACOL</t>
  </si>
  <si>
    <t>SHAMPOO BABY</t>
  </si>
  <si>
    <t>SERUM PROBIOTICOS</t>
  </si>
  <si>
    <t>OSSPRET</t>
  </si>
  <si>
    <t>UNGUENTO PROPOLEO</t>
  </si>
  <si>
    <t>P01257</t>
  </si>
  <si>
    <t>BAÑO BE KERATINA BE VEGAN</t>
  </si>
  <si>
    <t>P01258</t>
  </si>
  <si>
    <t>REPARADOR DE PUNTAS</t>
  </si>
  <si>
    <t>P01259</t>
  </si>
  <si>
    <t>BRUMA FACIAL ORIGENES</t>
  </si>
  <si>
    <t>P01260</t>
  </si>
  <si>
    <t>EMULSION CORPORAL PROBIOTICOS</t>
  </si>
  <si>
    <t>P01261</t>
  </si>
  <si>
    <t>CREMA DIA/NOCHE ULTRAHIDRATANTE VEGAN</t>
  </si>
  <si>
    <t>AGUEDA REY - ALMA HAIR</t>
  </si>
  <si>
    <t>ACONDICIONADOR CON EXTRACTO DE CEBOLLA</t>
  </si>
  <si>
    <t>CRISTAL LIQ (BRIGHT CRYSTAL) CAV EXPRESSION</t>
  </si>
  <si>
    <t>Protector C-Plex x150 Paso 3</t>
  </si>
  <si>
    <t>CONTORNO DE OJOS</t>
  </si>
  <si>
    <t>LECHE DE LIMPIEZA</t>
  </si>
  <si>
    <t>SERUM ANTIOXIDANTE VIT C</t>
  </si>
  <si>
    <t>TONICO CORPORAL EQUILIBRIO</t>
  </si>
  <si>
    <t>SERUM ANTIAGE</t>
  </si>
  <si>
    <t>SERUM DESCONGESTIVO</t>
  </si>
  <si>
    <t>Rebond C-Plex CAV x 500 ml (Paso 1)</t>
  </si>
  <si>
    <t>Finishing C-Plex CAV x 500 ml (Paso 2)</t>
  </si>
  <si>
    <t>ALBA SERUM X 30 ML DRA ROSSI</t>
  </si>
  <si>
    <t>CREMA CORPORAL HUMECTANTE KARITE</t>
  </si>
  <si>
    <t>OLANN</t>
  </si>
  <si>
    <t xml:space="preserve">Serum hialurónico 30 ml </t>
  </si>
  <si>
    <t>BRUMA FACIAL</t>
  </si>
  <si>
    <t>CREMA FACIAL DE DIA ULTRAHUMECTANTE</t>
  </si>
  <si>
    <t>CREMA FACIAL DE NOCHE TENSORA</t>
  </si>
  <si>
    <t>ECODERM - AGUAZU</t>
  </si>
  <si>
    <t>ESPUMA DE BAÑO ADULTO</t>
  </si>
  <si>
    <t>ESPUMA DE BAÑO BALLENA</t>
  </si>
  <si>
    <t>ESPUMA DE BAÑO BALLENA X500</t>
  </si>
  <si>
    <t>ESPUMA DE BAÑO ADULTO X500</t>
  </si>
  <si>
    <t>BALSAMO HERBAL</t>
  </si>
  <si>
    <t>ECODERM - DUGA</t>
  </si>
  <si>
    <t>ACONDICIONADOR INFANTIL</t>
  </si>
  <si>
    <t>ALCOHOL EN GEL SANDIA FARMACITY KIDS</t>
  </si>
  <si>
    <t>ALCOHOL EN GEL CHICLE FARMACITY KIDS</t>
  </si>
  <si>
    <t>ALCOHOL EN GEL CHICLE TYL</t>
  </si>
  <si>
    <t>ALCOHOL EN GEL FRUTOS ROJOS TYL</t>
  </si>
  <si>
    <t>ALCOHOL EN GEL DURAZNO TYL</t>
  </si>
  <si>
    <t>ALCOHOL EN GEL COCO TYL</t>
  </si>
  <si>
    <t>ALCOHOL EN GEL VAINILLA TYL</t>
  </si>
  <si>
    <t>DERMION / FRANCO</t>
  </si>
  <si>
    <t>SERUM NIACINAMIDA</t>
  </si>
  <si>
    <t>THE GLOW FACTOR</t>
  </si>
  <si>
    <t>CREMA CLARITÉ</t>
  </si>
  <si>
    <t>SHAMPOO MAXLISS X400ML</t>
  </si>
  <si>
    <t>CONDITIONER MAXLISS X400G</t>
  </si>
  <si>
    <t>VITAMIN SHOCK X150G</t>
  </si>
  <si>
    <t>NIZA</t>
  </si>
  <si>
    <t>CLEAR ACNE LOTION</t>
  </si>
  <si>
    <t>SIGNATURE AGE REVERSE</t>
  </si>
  <si>
    <t>THE CURIOUS SKIN</t>
  </si>
  <si>
    <t xml:space="preserve">SERUM  BOOSTER Telangyn </t>
  </si>
  <si>
    <t>CARROT OIL</t>
  </si>
  <si>
    <t>CREMA HIDTANATE LIGERA</t>
  </si>
  <si>
    <t>NE</t>
  </si>
  <si>
    <t>CREMA CORPORAL</t>
  </si>
  <si>
    <t>CREMA FACIAL NOCHE</t>
  </si>
  <si>
    <t>ICONO</t>
  </si>
  <si>
    <t>MASCARA DESINCRUSTANTE DE PAPAYA x 250GR.</t>
  </si>
  <si>
    <t>CREMA EFECTO TENSOR x 50GR.</t>
  </si>
  <si>
    <t>15170/15169</t>
  </si>
  <si>
    <t>ALCOHOL EN GEL CHICLE FRUTILLA</t>
  </si>
  <si>
    <t>ALCOHOL EN GEL CHERRY</t>
  </si>
  <si>
    <t>ALCOHOL EN GEL CAPUCHINO - esencia vany love</t>
  </si>
  <si>
    <t>ALCOHOL EN GL NEUTRO PERRO SALCHICHA</t>
  </si>
  <si>
    <t>PROFESSIONAL BEAUTY</t>
  </si>
  <si>
    <t>ADVANCE ACIDO HIALURONICO 1%</t>
  </si>
  <si>
    <t>ADVANCE SILICIO+ OLIGOELEMENTOS</t>
  </si>
  <si>
    <t>ADVANCE VIT C</t>
  </si>
  <si>
    <t>ADVANCE CONTROL CAIDA</t>
  </si>
  <si>
    <t>ADVANCE DMAE 7%</t>
  </si>
  <si>
    <t>Agua Micelar JS-693</t>
  </si>
  <si>
    <t>Bruma Fijadora Facial JS-736</t>
  </si>
  <si>
    <t>Agua Micelar Bifasica x 105ml JS-941</t>
  </si>
  <si>
    <t>Desmaquillante Bifasico JS-737</t>
  </si>
  <si>
    <t>SERUM CONCENTRADO AH</t>
  </si>
  <si>
    <t>GEL UNIESFERAS VITAMINA C</t>
  </si>
  <si>
    <t>AGUEDA REY - IHC CAPILARES</t>
  </si>
  <si>
    <t>Shampoo Fortalecedor Anticaida D: 250203-3</t>
  </si>
  <si>
    <t>Shampoo Anti Caspa D250204-3</t>
  </si>
  <si>
    <t>Shampoo Anti Sebo D250205-3</t>
  </si>
  <si>
    <t>Shampo Engrosador D250210-3</t>
  </si>
  <si>
    <t>Acondicionador Biotina D: 250207-3</t>
  </si>
  <si>
    <t>SERUM HOME PEEL SERUM PEPITAS DE UVA</t>
  </si>
  <si>
    <t xml:space="preserve">GEL ANTIFRIZZ </t>
  </si>
  <si>
    <t>SHAMPOO CONTROL LISS</t>
  </si>
  <si>
    <t>ACONDICIONADOR CONTROL LISS</t>
  </si>
  <si>
    <t>SERUM ARGAN (nuevo)</t>
  </si>
  <si>
    <t>AGUEDA REY - IKIGAI</t>
  </si>
  <si>
    <t>Serum VITAMINA C Cod 230345</t>
  </si>
  <si>
    <t>ORIGINAL BLACK</t>
  </si>
  <si>
    <t>AFTER SHAVE VIOLETA</t>
  </si>
  <si>
    <t>AFTER SHAVE AZUL</t>
  </si>
  <si>
    <t>AFTER SHAVE VERDE</t>
  </si>
  <si>
    <t>POMADA MATE X50G</t>
  </si>
  <si>
    <t>POMADA RED WAX X100G</t>
  </si>
  <si>
    <t>TCL 2026-01-02</t>
  </si>
  <si>
    <t>COLLAGENE</t>
  </si>
  <si>
    <t>EXFOLIANTE GA</t>
  </si>
  <si>
    <t>COSMECEUTICALS</t>
  </si>
  <si>
    <t>SERUM DEEP</t>
  </si>
  <si>
    <t>SERUM VITAMINA C</t>
  </si>
  <si>
    <t>CREMA EFECTO TENSOR x 250 GR.</t>
  </si>
  <si>
    <t>MASCARA EFECTO TENSOR x 95 GR.</t>
  </si>
  <si>
    <t>MASCARA EFECTO TENSOR x 250 GR.</t>
  </si>
  <si>
    <t>LUCENT</t>
  </si>
  <si>
    <t>BB LIPS natural Lips</t>
  </si>
  <si>
    <t>Serum Oil Reparador</t>
  </si>
  <si>
    <t>DJ-48235-Jabon liquido PERSONAJES 2D 250ML</t>
  </si>
  <si>
    <t>ALCOHOL EN GEL NEUTRO VAMOS ARGENTINA</t>
  </si>
  <si>
    <t>ALCOHOL EN GEL NEUTRO CORONADOS DE GLORIA</t>
  </si>
  <si>
    <t>ADVANCE COLAGENO 10%</t>
  </si>
  <si>
    <t>ADVANCE ACIDO HIALURONICO 2%</t>
  </si>
  <si>
    <t>AGUEDA REY - EPICA</t>
  </si>
  <si>
    <t>SHAMPOO NEUTRO</t>
  </si>
  <si>
    <t>BEKIM</t>
  </si>
  <si>
    <t>SHAMPOO SOLIDO ARGAN</t>
  </si>
  <si>
    <t>ACONDICIONADOR SOLIDO ARGAN</t>
  </si>
  <si>
    <t>AMPOLLA HAIR REPAIR</t>
  </si>
  <si>
    <t>AMPOLLA COLOR SHINE</t>
  </si>
  <si>
    <t>DEL ARCA BOTANICA</t>
  </si>
  <si>
    <t>CREMA HIDRATANTE LIVIANA</t>
  </si>
  <si>
    <t>PLANTAE</t>
  </si>
  <si>
    <t>SHAMPOO HENNA</t>
  </si>
  <si>
    <t>SHAMPOO KARITE</t>
  </si>
  <si>
    <t>CREMA PDND NAD+ (airless)</t>
  </si>
  <si>
    <t>CREMA RADIANCE ABSOLUTE (pote ambar)</t>
  </si>
  <si>
    <t>SHAMPOO BIONIC X400ML</t>
  </si>
  <si>
    <t>BALSAMO BIONIC X400ML</t>
  </si>
  <si>
    <t>MASCARA VITAMIN SHOCK</t>
  </si>
  <si>
    <t>PROTECTOR C-PLEX CAV (PASO 3)</t>
  </si>
  <si>
    <t>DISCIPLINADOR MAXLISS X125ML</t>
  </si>
  <si>
    <t>SANITIZANTE MUNDIAL CORONADOS DE GLORIA (neutro)</t>
  </si>
  <si>
    <t>SANITIZANTE MUNDIAL VAMOS ARGENTINA! (neutro)</t>
  </si>
  <si>
    <t>SANITIZANTE AZUL</t>
  </si>
  <si>
    <t>SANITIZANTE TODO MODA COCO</t>
  </si>
  <si>
    <t>SANITIZANTE TODO MODA FRAMBUESA</t>
  </si>
  <si>
    <t xml:space="preserve">SANITIZANTE BLANCO - AGUA DE COCO </t>
  </si>
  <si>
    <t>SANITIZANTE VIOLETA - UVA</t>
  </si>
  <si>
    <t>SANITIZANTE ROJO - CHERRY</t>
  </si>
  <si>
    <t>SANITIZANTE ROSA - FRUTILLA</t>
  </si>
  <si>
    <t>DP-50051-Perfume infantil fco mini goya x5ml 1980AN</t>
  </si>
  <si>
    <t>DP-50068-Perfume infantil fco mini goya x5ml 0297TS</t>
  </si>
  <si>
    <t>DP-50082-Perfume infantil fco mini goya x5ml 0280BD</t>
  </si>
  <si>
    <t>DP-50099-Perfume infantil fco mini goya x5ml 0296LS</t>
  </si>
  <si>
    <t>DP-50846-Perf inf fco Frutilla roja x50ml 0390FR</t>
  </si>
  <si>
    <t>DP-50853-Perfume infantil fco True star x50ml 0368CT</t>
  </si>
  <si>
    <t>DP-50624-Perf inf Fco manzanita roja x25ml 0364AL</t>
  </si>
  <si>
    <t>DP-50990-Perfume inf. fco Mariana x50ml 0369RD</t>
  </si>
  <si>
    <t>DP-1943-Perfume inf. Fco Candela x50ml 0301BG</t>
  </si>
  <si>
    <t>DP-50617-Perfume inf. fco silueta pvc x45ml 0368PB</t>
  </si>
  <si>
    <t>DP-50815-Perfume inf. fco silueta pvc x45ML 0367AG</t>
  </si>
  <si>
    <t>DP-50891-Perfume inf Fco penelope x50ml 0390FR</t>
  </si>
  <si>
    <t>BLE LIPS</t>
  </si>
  <si>
    <t>LIP INJECTION</t>
  </si>
  <si>
    <t>4,5</t>
  </si>
  <si>
    <t>AGUA MICELAR PROBIOTICS</t>
  </si>
  <si>
    <t>CREMA FACIAL PROBIOTICS</t>
  </si>
  <si>
    <t>CREMA EXFOLIANTE PROBIOTICS</t>
  </si>
  <si>
    <t>ADVANCE ARG</t>
  </si>
  <si>
    <t>ADVANCE PLACENTA 5%</t>
  </si>
  <si>
    <t>BB WHITE TONO 2</t>
  </si>
  <si>
    <t>BRUMA FACIAL DE ROSAS</t>
  </si>
  <si>
    <t>AGUA MICELAR BIFASICA</t>
  </si>
  <si>
    <t>BALSAMO LABIAL EXFOLIANTE COCO</t>
  </si>
  <si>
    <t>BALSAMO LABIAL EXFOLIANTE CORAL SANDIA (CHERRY)</t>
  </si>
  <si>
    <t>BALSAMO LABIAL ROSA CHICLE</t>
  </si>
  <si>
    <t>SERUM JOJOBA</t>
  </si>
  <si>
    <t>SPRAY REPAIR PLEX</t>
  </si>
  <si>
    <t>ALISADO KERATIN LISS X1KG</t>
  </si>
  <si>
    <t>ALISADO KERATIN LISS</t>
  </si>
  <si>
    <t>SERUM AH + NIACI</t>
  </si>
  <si>
    <t>AGUEDA REY - YOUTHFUL</t>
  </si>
  <si>
    <t>Crema facial Dia (Version D250215/2)</t>
  </si>
  <si>
    <t>Bruma facial Version D250211/2 (B)</t>
  </si>
  <si>
    <t>Serum hial 1%</t>
  </si>
  <si>
    <t>Serum hial 2%</t>
  </si>
  <si>
    <t>Serum colageno y elastina</t>
  </si>
  <si>
    <t>Serum argireline</t>
  </si>
  <si>
    <t>Serum dmae</t>
  </si>
  <si>
    <t>Serum shock vit</t>
  </si>
  <si>
    <t>Serum fosfatidilcolina</t>
  </si>
  <si>
    <t>Serum P+ (peptide)</t>
  </si>
  <si>
    <t>Serum adn</t>
  </si>
  <si>
    <t>melena de leon</t>
  </si>
  <si>
    <t>reishi</t>
  </si>
  <si>
    <t>Ashwaganda</t>
  </si>
  <si>
    <t>SERUM FACIAL PORCELANA</t>
  </si>
  <si>
    <t>SERUM FACIAL HIDRATANTE</t>
  </si>
  <si>
    <t>DESENRREDANTE BIFASICO</t>
  </si>
  <si>
    <t>SHAMPOO INFANTIL</t>
  </si>
  <si>
    <t>CREMA INFANTIL</t>
  </si>
  <si>
    <t xml:space="preserve">CREMA HANDS AND FEET </t>
  </si>
  <si>
    <t>SHAMPOO BIO MOLECULAR VITAMIN SHOCK</t>
  </si>
  <si>
    <t>SHAMPOO BIO MOLECULAR VITAMIN SHOCK X900ML</t>
  </si>
  <si>
    <t xml:space="preserve">CONDITIONER BIO MOLECULAR VITAMIN SHOCK </t>
  </si>
  <si>
    <t>CONDITIONER BIO MOLECULAR VITAMIN SHOCK  X900</t>
  </si>
  <si>
    <t>SERUM BIO MOLECULAR VITAMIN SHOCK</t>
  </si>
  <si>
    <t>SHAMPOO BIONIC X900ML</t>
  </si>
  <si>
    <t>BALSAMO BIONIC X900ML</t>
  </si>
  <si>
    <t>AQUA BOMB RICH</t>
  </si>
  <si>
    <t>BRIGHT AND WITHE EYES</t>
  </si>
  <si>
    <t>SIGNATURE BLEND PRO AGE</t>
  </si>
  <si>
    <t>SIGNATURE BLEND HYDRA PEEL</t>
  </si>
  <si>
    <t>BOTIK</t>
  </si>
  <si>
    <t>sHAMPOO SOLIDO ROMERO - TEA TREE x 100g</t>
  </si>
  <si>
    <t>Acondicionador Solido Rosa Rosa Mosqueta x 70g</t>
  </si>
  <si>
    <t>Acondicionador Solido Lavanda Lemongrass x 70g</t>
  </si>
  <si>
    <t>LECHE DE LIMPIEZA FACIAL 150 gr.</t>
  </si>
  <si>
    <t>GEL CONDUCTOR NEUTRO</t>
  </si>
  <si>
    <t>ADVANCE VIT C 5%</t>
  </si>
  <si>
    <t>ADVANCE ACIDO HIALURONICO 0,5%</t>
  </si>
  <si>
    <t>ADVANCE COMPLEJO MULTIVITAMINICO 1%</t>
  </si>
  <si>
    <t>SERUM ACIDO GLICOLICO + FERULICO</t>
  </si>
  <si>
    <t>SERUM RETINOL</t>
  </si>
  <si>
    <t>ECODERM - ROSEHIP</t>
  </si>
  <si>
    <t>SERUM CONTORNO DE OJOS</t>
  </si>
  <si>
    <t>CREMA FACIAL CON RETINOL</t>
  </si>
  <si>
    <t>GEL DE LIMPIEZA</t>
  </si>
  <si>
    <t>SERUM SEBORREGULADOR</t>
  </si>
  <si>
    <t>TIERRAS DEL VOLCAN</t>
  </si>
  <si>
    <t>Jalea Termal Reguladora</t>
  </si>
  <si>
    <t>ESENCIA EQUILIBRIO BIOME</t>
  </si>
  <si>
    <t>CREMA PARA MANOS JULIANA CHICLE</t>
  </si>
  <si>
    <t>NATCEUTICALS</t>
  </si>
  <si>
    <t>ECOS DE HUEMUL</t>
  </si>
  <si>
    <t>JABON LIQUIDO NEUTRO</t>
  </si>
  <si>
    <t>JABON LIQUIDO CON FRAGANCIA</t>
  </si>
  <si>
    <t>#P01338</t>
  </si>
  <si>
    <t>JABON LIQUIDO ANTIBACTERIAL</t>
  </si>
  <si>
    <t>SHAMPOO BABY 2 EN 1 VEGAN</t>
  </si>
  <si>
    <t>#P01289</t>
  </si>
  <si>
    <t>CREMA PARA PEINAR</t>
  </si>
  <si>
    <t>SERUM AH CONCENTRADO</t>
  </si>
  <si>
    <t>DP-50990-Perfume inf. fco Mariana x50ml/ Es. 0369RD</t>
  </si>
  <si>
    <t>DP-50983-Perf. infantil fco Grand Prix x55ml/Es.1192AG</t>
  </si>
  <si>
    <t>DP-48709-PERFUME INF fco Mariana x 50ml/Es. 0270WT</t>
  </si>
  <si>
    <t>DP-42103-Perfume inf.Fco cubic/memor. x50ml/Es. 0300IE</t>
  </si>
  <si>
    <t>DP-51263-Perf infantil fco Armani x50ml/Es. 0434TS</t>
  </si>
  <si>
    <t>DP-51270-Perf. infan. fco mariana x50ml/Es. 0269IN</t>
  </si>
  <si>
    <t>DP-51287-Perf infantil fco PVC x 65ml/Es. 0279BD</t>
  </si>
  <si>
    <t>DP-51294-Perfume infantil fco PVC x65ml/Es. 0429UX</t>
  </si>
  <si>
    <t>DP-51300-Perf infantil fco Armani x50ml/Es. 0301BG</t>
  </si>
  <si>
    <t>CONDITIONER BIONIC X400ML</t>
  </si>
  <si>
    <t>SANITIZANTE "KEEP IT CLEAN" FLORAL CRUSH - ROSA CLARO</t>
  </si>
  <si>
    <t>SANITIZANTE "KEEP IT CLEAN" FRUIT SMOOTHIE - CORAL</t>
  </si>
  <si>
    <t>ASHA</t>
  </si>
  <si>
    <t>SERUM TENSOR</t>
  </si>
  <si>
    <t>RADIANT EYES CONTORNO DE OJOS</t>
  </si>
  <si>
    <t>CREMA FACIAL CLARITÉ</t>
  </si>
  <si>
    <t>CREMA BASE</t>
  </si>
  <si>
    <t>Mascara BIO Molecular X 300 ml. Vitamin Shock</t>
  </si>
  <si>
    <t>MURDA</t>
  </si>
  <si>
    <t>SERUM HIDRATANTE PARA CEJAS Y PESTAÑAS X 5 ml</t>
  </si>
  <si>
    <t>SERUM HIDRATANTE PARA CEJAS Y PESTAÑAS X 30 ml</t>
  </si>
  <si>
    <t>AQUAPEEL PG2</t>
  </si>
  <si>
    <t>ACEITE CORPORAL COCO LIMA</t>
  </si>
  <si>
    <t>AGUA MICELAR</t>
  </si>
  <si>
    <t>ESPUMA MICELAR</t>
  </si>
  <si>
    <t>AGUEDA REY - KUNST</t>
  </si>
  <si>
    <t>Alisado Capilar D260021/2</t>
  </si>
  <si>
    <t>SKIN GLOW HIDROLIZADO DE COLAGENO</t>
  </si>
  <si>
    <t>CREMA EQUILIBRANTE NIACINAMIDA</t>
  </si>
  <si>
    <t>#P01362</t>
  </si>
  <si>
    <t>GEL DE LIMPIEZA VEGAN</t>
  </si>
  <si>
    <t>CREMA DIA ORIGENES</t>
  </si>
  <si>
    <t>CREMA MEN INTENSIVE CARE</t>
  </si>
  <si>
    <t>10A</t>
  </si>
  <si>
    <t>AQUA BOMB RICH X 250 ML</t>
  </si>
  <si>
    <t>MIXOLOGY DESVITALIZADA X300ML</t>
  </si>
  <si>
    <t>PROBIOTONIC BALANCE X500ML</t>
  </si>
  <si>
    <t>PROBIOTONIC HYDRA X500ML</t>
  </si>
  <si>
    <t>ALCOHOL EN GEL TYL CHERRY</t>
  </si>
  <si>
    <t>ALCOHOL EN GEL TYL FRUTILLA</t>
  </si>
  <si>
    <t>N° .0703240143</t>
  </si>
  <si>
    <t>BENNIE</t>
  </si>
  <si>
    <t>SERUM BOOBIE DROPS</t>
  </si>
  <si>
    <t>CRISLY</t>
  </si>
  <si>
    <t>LECHE EMOLIENTE AVENA</t>
  </si>
  <si>
    <t>10B</t>
  </si>
  <si>
    <t xml:space="preserve">ALISADO EXPERT </t>
  </si>
  <si>
    <t>BRUMA FIJADORA DE MAQUILLAJE</t>
  </si>
  <si>
    <t>DL-019-Laca infantil ROSA (+6)</t>
  </si>
  <si>
    <t>DL-021-Laca infantil CELESTE (+6)</t>
  </si>
  <si>
    <t>DL-020-Laca infantil CORAL (+6)</t>
  </si>
  <si>
    <t>DL-022-Laca infantil TURQUESA (+6)</t>
  </si>
  <si>
    <t>DP-46583-Perfume infantil fco pvc x65ml/Es. 0298RK</t>
  </si>
  <si>
    <t>DP-48617.1-Perf inf Fco Armani x50ml/Es. 0278LS</t>
  </si>
  <si>
    <t>DP-48624.1-Perfume inf. fco. Armani x50ml/Es. 0278LS</t>
  </si>
  <si>
    <t>DP-48631.1-Perf inf fco armani x50ml / ES 20-0264AN</t>
  </si>
  <si>
    <t>DP-48679-Perf. inf. fco Mariana x50ml/Es. 0269IN</t>
  </si>
  <si>
    <t>DP-48686-Perf. inf. Fco Mariana x50ml  0270WT</t>
  </si>
  <si>
    <t>DP-49737-Perf. inf. Fco Mariana x50ml  0269IN</t>
  </si>
  <si>
    <t>DP-50617-Perfume inf. fco silueta pvc x45ml  0368PB</t>
  </si>
  <si>
    <t>DP-50662-Perfume inf. fco Eugenia x50ML/Es. 0369RD</t>
  </si>
  <si>
    <t>DP-50815-Perfume inf. fco silueta pvc x45ML  0367AG</t>
  </si>
  <si>
    <t>DP-50877-Perf inf fco Mariana x50ml 0296LP</t>
  </si>
  <si>
    <t>DP-50907-Perfume inf. fco pvc x65ml/Es. 0436CH</t>
  </si>
  <si>
    <t>DP-95057-Perfume inf. Fco Imperial  x50ML  0298RK</t>
  </si>
  <si>
    <t>DP-97525-Perfume inf. fco. imperial x50ml 0297UT</t>
  </si>
  <si>
    <t>DP-0304-Perfume inf fco triangular x50ml/Es. 0299RB</t>
  </si>
  <si>
    <t>DP-0311-Perfume inf fco triangular pvc x50ml 0297UT</t>
  </si>
  <si>
    <t>DP-0328-Perf. inf. fco triang. pvc x50ml/Es. 0280BD</t>
  </si>
  <si>
    <t>DP-1134-Perfume inf fco pvc x120ml/Es. 0298RK</t>
  </si>
  <si>
    <t>DP-1349-Perfume inf. fco corazon pvc x30ml/Es. 0297UT</t>
  </si>
  <si>
    <t>DP-40543-Perfume inf. fco pvc x65ml 0300IE</t>
  </si>
  <si>
    <t>DP-44107-Perfume inf fco Mariana x50ml 0296LP</t>
  </si>
  <si>
    <t>DP-45784-Perfume inf. fco imperial x50ml/0270WT</t>
  </si>
  <si>
    <t>DP-46347-Perfume Inf. fco pvc x65ml/Es. 0278LS</t>
  </si>
  <si>
    <t>BAHIA EVANS</t>
  </si>
  <si>
    <t>TRATAMIENTO STRAIGHT</t>
  </si>
  <si>
    <t>CREMA VITAMIN SHOCK X150G</t>
  </si>
  <si>
    <t>SHAMPOO BIO MOLECULAR X900ML VITAMIN SHOCK</t>
  </si>
  <si>
    <t>CONDITIONER BIO MOLECULAR X400ML VITAMIN SHOCK</t>
  </si>
  <si>
    <t>CONDITIONER BIO MOLECULAR X900ML VITAMIN SHOCK</t>
  </si>
  <si>
    <t>PROTECTOR C-PLEX PASO 3X150ML</t>
  </si>
  <si>
    <t>MACA MODAS</t>
  </si>
  <si>
    <t>CREMA AH + NIACI</t>
  </si>
  <si>
    <t>MASCARA ANTIFRIZZ 300ML</t>
  </si>
  <si>
    <t>MASCARA ANTIFRIZZ 1000ML</t>
  </si>
  <si>
    <t>GEL DE LIMPIEZA FACIAL</t>
  </si>
  <si>
    <t>BALSAMO LABIAL SANDIA</t>
  </si>
  <si>
    <t>BALSAMO LABIAL MANGO</t>
  </si>
  <si>
    <t>MASCARA LINEA EQUILIBRANTE x 250GR.</t>
  </si>
  <si>
    <t>SERUM W+</t>
  </si>
  <si>
    <t>SERUM N+</t>
  </si>
  <si>
    <t>EXFOLIANTE ARROZ</t>
  </si>
  <si>
    <t>GEL DE LIMPIEZA ROSAS</t>
  </si>
  <si>
    <t>SANITIZANTE BLANCO AGUA DE COCO</t>
  </si>
  <si>
    <t>SANITIZANTE VIOLETA UVA</t>
  </si>
  <si>
    <t>SANITIZANTE ROJO CHERRY</t>
  </si>
  <si>
    <t>SANITIZANTE ROSA FRUTILLA</t>
  </si>
  <si>
    <t>JABON LIQUIDO KARITE</t>
  </si>
  <si>
    <t>SERUM CAPIXYL</t>
  </si>
  <si>
    <t>Advance Cafeina + Carnitina</t>
  </si>
  <si>
    <t>Advance Hialurónico 1%</t>
  </si>
  <si>
    <t>DL-024-Laca infantil ROJO (+6)</t>
  </si>
  <si>
    <t>DL-023-Laca infantil LILA (+6)</t>
  </si>
  <si>
    <t>ORGANIC WAX</t>
  </si>
  <si>
    <t>SUGAR SCRUB</t>
  </si>
  <si>
    <t>ACNE PROTOCOL</t>
  </si>
  <si>
    <t>AQUA BOMB LIGHT X 50 ML</t>
  </si>
  <si>
    <t>CLEAR ACNE MASK X 100 G</t>
  </si>
  <si>
    <t>KATALIA</t>
  </si>
  <si>
    <t>POMADA CREAM WAX FIJACION MEDIA</t>
  </si>
  <si>
    <t>POMADA CREAM WAX ULTRA STRONG</t>
  </si>
  <si>
    <t>POMADA BRILLANTE GOLDEN ULTRA STRONG</t>
  </si>
  <si>
    <t>KG</t>
  </si>
  <si>
    <t>Graneles</t>
  </si>
  <si>
    <t>RESPONSABLE</t>
  </si>
  <si>
    <t>FECHA</t>
  </si>
  <si>
    <t>N°LOTE</t>
  </si>
  <si>
    <t>OBSERVACIONES</t>
  </si>
  <si>
    <t>APROBADO</t>
  </si>
  <si>
    <t>NICOLAS</t>
  </si>
  <si>
    <t>Nicolas</t>
  </si>
  <si>
    <t>Cristian</t>
  </si>
  <si>
    <t xml:space="preserve">Falta fragancia </t>
  </si>
  <si>
    <t xml:space="preserve">Nicolás </t>
  </si>
  <si>
    <t>Santino</t>
  </si>
  <si>
    <t>CRISTIAN</t>
  </si>
  <si>
    <t>Valentin</t>
  </si>
  <si>
    <t xml:space="preserve">Cristián </t>
  </si>
  <si>
    <t xml:space="preserve">Cristian </t>
  </si>
  <si>
    <t>cristian</t>
  </si>
  <si>
    <t>-</t>
  </si>
  <si>
    <t>nicolas</t>
  </si>
  <si>
    <t xml:space="preserve">Nicolas </t>
  </si>
  <si>
    <t>Natalia</t>
  </si>
  <si>
    <t xml:space="preserve">Santino </t>
  </si>
  <si>
    <t>Nicolás</t>
  </si>
  <si>
    <t xml:space="preserve">NICOLÁS </t>
  </si>
  <si>
    <t>1x62</t>
  </si>
  <si>
    <t>EN PROCESO</t>
  </si>
  <si>
    <t>hicieron 100kg de mas</t>
  </si>
  <si>
    <t>LISTO P/CHEQ</t>
  </si>
  <si>
    <t>Nº</t>
  </si>
  <si>
    <t>Q PEDIDA</t>
  </si>
  <si>
    <t>Q envasada</t>
  </si>
  <si>
    <t>Nv Svcio</t>
  </si>
  <si>
    <t>CANTIDAD CAJAS</t>
  </si>
  <si>
    <t xml:space="preserve">FECHA </t>
  </si>
  <si>
    <t>N° DE LOTE</t>
  </si>
  <si>
    <t>N° REMITO</t>
  </si>
  <si>
    <t>OBSERVACIÓN</t>
  </si>
  <si>
    <t>25 x 35u + 1 x 24u</t>
  </si>
  <si>
    <t>F26021</t>
  </si>
  <si>
    <t>50X20 1X11</t>
  </si>
  <si>
    <t>F26031</t>
  </si>
  <si>
    <t>64x45 1x32</t>
  </si>
  <si>
    <t>F26041</t>
  </si>
  <si>
    <t>7X21U</t>
  </si>
  <si>
    <t>Y26039</t>
  </si>
  <si>
    <t>6 x 220u + 1 x 79 / 1 x 203u</t>
  </si>
  <si>
    <t>240226 /310326</t>
  </si>
  <si>
    <t>8X34 1X21</t>
  </si>
  <si>
    <t>F26049</t>
  </si>
  <si>
    <t>16 x 30u + 1 x 29u</t>
  </si>
  <si>
    <t>E26087</t>
  </si>
  <si>
    <t>17X18</t>
  </si>
  <si>
    <t>E26088</t>
  </si>
  <si>
    <t>16X18 1X15</t>
  </si>
  <si>
    <t>E26089</t>
  </si>
  <si>
    <t>17X18 1X6</t>
  </si>
  <si>
    <t>E26090</t>
  </si>
  <si>
    <t>E26091</t>
  </si>
  <si>
    <t>16X18 1X16</t>
  </si>
  <si>
    <t>E26092</t>
  </si>
  <si>
    <t>8 x 46 + 1 x 32</t>
  </si>
  <si>
    <t>M26042</t>
  </si>
  <si>
    <t>9 x 45 + 1 x 10</t>
  </si>
  <si>
    <t>M26030</t>
  </si>
  <si>
    <t>17X90U Y 1X19U</t>
  </si>
  <si>
    <t>F26048</t>
  </si>
  <si>
    <t>37X37 1X22</t>
  </si>
  <si>
    <t>13 x 70u + 1 x 15u</t>
  </si>
  <si>
    <t>E26083</t>
  </si>
  <si>
    <t>E26104</t>
  </si>
  <si>
    <t>8x42 1x28/ 3x42</t>
  </si>
  <si>
    <t>M26003</t>
  </si>
  <si>
    <t>36 x 24 + 1 x 15u + 1 x 60u + 1 x 42u</t>
  </si>
  <si>
    <t>F26040</t>
  </si>
  <si>
    <t>2 x 374u + 1 x 233u</t>
  </si>
  <si>
    <t>F26045</t>
  </si>
  <si>
    <t>74X20 1X3</t>
  </si>
  <si>
    <t>F26039</t>
  </si>
  <si>
    <t>9 x 50u + 1 x 55u</t>
  </si>
  <si>
    <t>30 x 100u + 1 x 15u</t>
  </si>
  <si>
    <t>M26024</t>
  </si>
  <si>
    <t>29 x 100u + 1 x 103u</t>
  </si>
  <si>
    <t>M26083</t>
  </si>
  <si>
    <t>30 x 100u + 1 x 16u</t>
  </si>
  <si>
    <t>M26022</t>
  </si>
  <si>
    <t>30 x 100u + 1 x 13u</t>
  </si>
  <si>
    <t>M26084</t>
  </si>
  <si>
    <t>10 x 12u + 1 x 7u</t>
  </si>
  <si>
    <t>E26064</t>
  </si>
  <si>
    <t>1 x 70 + 1 x 65u + 2 x 82u + 1 x 47u</t>
  </si>
  <si>
    <t>M26009</t>
  </si>
  <si>
    <t>15x15 1x13u/21X15</t>
  </si>
  <si>
    <t>M26045</t>
  </si>
  <si>
    <t>3386 / 3388</t>
  </si>
  <si>
    <t>26x110 1x29</t>
  </si>
  <si>
    <t>M26002</t>
  </si>
  <si>
    <t>26X110 1X25</t>
  </si>
  <si>
    <t>M26001</t>
  </si>
  <si>
    <t>18x27 1x14</t>
  </si>
  <si>
    <t>M26007</t>
  </si>
  <si>
    <t>46X10</t>
  </si>
  <si>
    <t>35X28 1X23</t>
  </si>
  <si>
    <t>M26008</t>
  </si>
  <si>
    <t>10X36/ 6X36 1X9</t>
  </si>
  <si>
    <t>F26025</t>
  </si>
  <si>
    <t>3357 / 3361</t>
  </si>
  <si>
    <t>1 x 250u + 1 x 87u + 1 x 20u</t>
  </si>
  <si>
    <t>M26015</t>
  </si>
  <si>
    <t>18 x 110u + 1 x 10u</t>
  </si>
  <si>
    <t>18 x 158u + 1 x 44u + 1 x 10</t>
  </si>
  <si>
    <t>F26059</t>
  </si>
  <si>
    <t>20 x 158u + 1 x 10u / 2 x 158u + 1 x 60u</t>
  </si>
  <si>
    <t>F26058</t>
  </si>
  <si>
    <t>15 x 158u + 1 x 37u + 1 x 10u</t>
  </si>
  <si>
    <t>F26060</t>
  </si>
  <si>
    <t>7 x 160 + 1 x 91</t>
  </si>
  <si>
    <t>Y26017</t>
  </si>
  <si>
    <t>4 x 160 + 1 x 136 + 10 / 2 x 160 + 1 x 80</t>
  </si>
  <si>
    <t>A26018</t>
  </si>
  <si>
    <t>25X60 1X28</t>
  </si>
  <si>
    <t>Y26022</t>
  </si>
  <si>
    <t>20 x 24u + 1 x 15u + 3 x 37u + 1 x 33u</t>
  </si>
  <si>
    <t>F26057</t>
  </si>
  <si>
    <t>111x18</t>
  </si>
  <si>
    <t>F26062</t>
  </si>
  <si>
    <t>5x170 1x165</t>
  </si>
  <si>
    <t>6X72 1X54</t>
  </si>
  <si>
    <t>F26023</t>
  </si>
  <si>
    <t xml:space="preserve">NO ALCANZO EL GRANEL PARA COMPLETAR PEDIDO </t>
  </si>
  <si>
    <t>3X286 1X143</t>
  </si>
  <si>
    <t>F26022</t>
  </si>
  <si>
    <t>15x20</t>
  </si>
  <si>
    <t>M26004 /M26013</t>
  </si>
  <si>
    <t>4 x 230u + 1 x 24u</t>
  </si>
  <si>
    <t>M26018</t>
  </si>
  <si>
    <t>14X60 1X43 / 1 x 60 + 1 x 58</t>
  </si>
  <si>
    <t>310326 /7426</t>
  </si>
  <si>
    <t>2 x 232 + 1 x 86/1 x 240 1 x 192</t>
  </si>
  <si>
    <t>12x77 1x80</t>
  </si>
  <si>
    <t>19x51 1x18</t>
  </si>
  <si>
    <t>M26059</t>
  </si>
  <si>
    <t>5X170 1X73</t>
  </si>
  <si>
    <t>72X14 1X12</t>
  </si>
  <si>
    <t>M26088</t>
  </si>
  <si>
    <t>Nestor</t>
  </si>
  <si>
    <t>1 x 82u + 1 x 18u / 1 x 82u + 1 x 67u</t>
  </si>
  <si>
    <t>M26040</t>
  </si>
  <si>
    <t>3386 / 3403</t>
  </si>
  <si>
    <t>7 x 36u + 1 x 20u</t>
  </si>
  <si>
    <t>M26041</t>
  </si>
  <si>
    <t>10 x 48u</t>
  </si>
  <si>
    <t>M26027</t>
  </si>
  <si>
    <t>24x20u y1x16u</t>
  </si>
  <si>
    <t>M26011</t>
  </si>
  <si>
    <t>8 x 34u + 1 x 36u</t>
  </si>
  <si>
    <t>M26026</t>
  </si>
  <si>
    <t>41x24 1x18</t>
  </si>
  <si>
    <t>M26012</t>
  </si>
  <si>
    <t>20 x 100u + 1 x 87u</t>
  </si>
  <si>
    <t>M26023</t>
  </si>
  <si>
    <t>M26021</t>
  </si>
  <si>
    <t>16 x 9 + 1 x 5u</t>
  </si>
  <si>
    <t>M26062</t>
  </si>
  <si>
    <t>38 x 9u + 1 x 2u</t>
  </si>
  <si>
    <t>M26061</t>
  </si>
  <si>
    <t>37x13 1X5</t>
  </si>
  <si>
    <t>2 x 110 + 1 x 33</t>
  </si>
  <si>
    <t>M26065</t>
  </si>
  <si>
    <t>6 x 45</t>
  </si>
  <si>
    <t>M26060</t>
  </si>
  <si>
    <t>3 x 60 + 1 x 55</t>
  </si>
  <si>
    <t>M26031</t>
  </si>
  <si>
    <t>3 x 60 + 1 x 57</t>
  </si>
  <si>
    <t>M26032</t>
  </si>
  <si>
    <t>2 x 100 + 1 x 60</t>
  </si>
  <si>
    <t>M26033</t>
  </si>
  <si>
    <t>6 x 30 + 1 x 20u</t>
  </si>
  <si>
    <t>M26034</t>
  </si>
  <si>
    <t>6 x 30u + 1 x 16</t>
  </si>
  <si>
    <t>9 x 11u</t>
  </si>
  <si>
    <t>3X80 1X42</t>
  </si>
  <si>
    <t>M26044</t>
  </si>
  <si>
    <t>6 x 42u + 1 x 28u</t>
  </si>
  <si>
    <t>M26078</t>
  </si>
  <si>
    <t>19X216 / 8x216 1x78</t>
  </si>
  <si>
    <t>3x234/21x234 1x182</t>
  </si>
  <si>
    <t>8X234 1X117</t>
  </si>
  <si>
    <t>8x216 1x201</t>
  </si>
  <si>
    <t>8x216 1x202</t>
  </si>
  <si>
    <t>10x216 1x109</t>
  </si>
  <si>
    <t>9x216 1x39</t>
  </si>
  <si>
    <t>4x112 1x57</t>
  </si>
  <si>
    <t>M26010</t>
  </si>
  <si>
    <t>1x26 / 63 x 16u + 1 x 12u</t>
  </si>
  <si>
    <t>M26025</t>
  </si>
  <si>
    <t>3380 / 3393</t>
  </si>
  <si>
    <t>16 x 12 + 1 x 9u</t>
  </si>
  <si>
    <t>M26038</t>
  </si>
  <si>
    <t>17 x 12u + 1 x 8</t>
  </si>
  <si>
    <t>M26039</t>
  </si>
  <si>
    <t>27 x 25u</t>
  </si>
  <si>
    <t>M26066</t>
  </si>
  <si>
    <t>12 x 24u + 1 x 12u</t>
  </si>
  <si>
    <t>M26085</t>
  </si>
  <si>
    <t>18 x 28u + 1 x 21</t>
  </si>
  <si>
    <t>M26086</t>
  </si>
  <si>
    <t>10 x  48 + 1 x 22</t>
  </si>
  <si>
    <t>Y26046</t>
  </si>
  <si>
    <t>20 x 24 + 1 x 22</t>
  </si>
  <si>
    <t>Y26047</t>
  </si>
  <si>
    <t>9 x 42u + 2 x 36u + 1 x 22u</t>
  </si>
  <si>
    <t>M26064</t>
  </si>
  <si>
    <t>18 x 24u + 1 x 15u</t>
  </si>
  <si>
    <t>M26035</t>
  </si>
  <si>
    <t>14 x 20u + 1 x 18u</t>
  </si>
  <si>
    <t>M26068</t>
  </si>
  <si>
    <t>20 x 24u + 1 x 16u</t>
  </si>
  <si>
    <t>M26036</t>
  </si>
  <si>
    <t>147X21 1X16</t>
  </si>
  <si>
    <t>M26079</t>
  </si>
  <si>
    <t>55 x 36u</t>
  </si>
  <si>
    <t>M26067</t>
  </si>
  <si>
    <t>17x216 1x62</t>
  </si>
  <si>
    <t>18X216U</t>
  </si>
  <si>
    <t>13x216 1x195</t>
  </si>
  <si>
    <t>14X216</t>
  </si>
  <si>
    <t>1 x 128u / 1 x 354u</t>
  </si>
  <si>
    <t>M26073</t>
  </si>
  <si>
    <t>1 x 496</t>
  </si>
  <si>
    <t>M26074</t>
  </si>
  <si>
    <t>1 x 500</t>
  </si>
  <si>
    <t>M26075</t>
  </si>
  <si>
    <t>M26076</t>
  </si>
  <si>
    <t>1 x 501</t>
  </si>
  <si>
    <t>M26077</t>
  </si>
  <si>
    <t xml:space="preserve">51X20 1X8 </t>
  </si>
  <si>
    <t>M26071</t>
  </si>
  <si>
    <t>38x64 1x45</t>
  </si>
  <si>
    <t>M26072</t>
  </si>
  <si>
    <t>50x20 1x18</t>
  </si>
  <si>
    <t>M26070</t>
  </si>
  <si>
    <t xml:space="preserve">74x20 </t>
  </si>
  <si>
    <t>M26069</t>
  </si>
  <si>
    <t>6 x 90u + 1 x 10u / 10 x 90u + 1 x 57u</t>
  </si>
  <si>
    <t>M26063</t>
  </si>
  <si>
    <t>3401/ 3420</t>
  </si>
  <si>
    <t>31 x 60u + 1 x 45u</t>
  </si>
  <si>
    <t>F26061</t>
  </si>
  <si>
    <t xml:space="preserve">41X24 1X13 </t>
  </si>
  <si>
    <t>A26025</t>
  </si>
  <si>
    <t>nestor</t>
  </si>
  <si>
    <t>42x24 1x12</t>
  </si>
  <si>
    <t>A26026</t>
  </si>
  <si>
    <t xml:space="preserve">41x24 1x8 </t>
  </si>
  <si>
    <t>A26024</t>
  </si>
  <si>
    <t xml:space="preserve">40X24 1X17 </t>
  </si>
  <si>
    <t>A26041</t>
  </si>
  <si>
    <t xml:space="preserve">41X24 1X10 </t>
  </si>
  <si>
    <t>A26040</t>
  </si>
  <si>
    <t>6 x 100 + 1 x 9</t>
  </si>
  <si>
    <t>A26010</t>
  </si>
  <si>
    <t>4 x 644 + 1 x 379</t>
  </si>
  <si>
    <t>A26043</t>
  </si>
  <si>
    <t>149X20 1X19</t>
  </si>
  <si>
    <t>M26098</t>
  </si>
  <si>
    <t>101X28 1X9</t>
  </si>
  <si>
    <t>M26099</t>
  </si>
  <si>
    <t>20 x 144 + 1 x 115</t>
  </si>
  <si>
    <t>A26042</t>
  </si>
  <si>
    <t>12X74U Y 1X64U</t>
  </si>
  <si>
    <t>A26091</t>
  </si>
  <si>
    <t>166x12 /146x12</t>
  </si>
  <si>
    <t>entregado</t>
  </si>
  <si>
    <t>121x12/ 165x12 / 147x12</t>
  </si>
  <si>
    <t>M26091</t>
  </si>
  <si>
    <t>3418 / 3414</t>
  </si>
  <si>
    <t>100x12 /25x12 / 80x12 / 106x12</t>
  </si>
  <si>
    <t>M26090</t>
  </si>
  <si>
    <t>37x65 1x46</t>
  </si>
  <si>
    <t>A26002</t>
  </si>
  <si>
    <t xml:space="preserve">45x52 1x35 </t>
  </si>
  <si>
    <t>A26003</t>
  </si>
  <si>
    <t>1X20 / 8 x 110 + 1 x 104</t>
  </si>
  <si>
    <t>A26028</t>
  </si>
  <si>
    <t>3435/ 3439</t>
  </si>
  <si>
    <t>1X20 / 8 x 112 + 1 x 93</t>
  </si>
  <si>
    <t>A26029</t>
  </si>
  <si>
    <t>11 x 170 + 1 x 31 + 1 x 10</t>
  </si>
  <si>
    <t>J26008</t>
  </si>
  <si>
    <t>8 x 110 + 1 x 82 + 1 x 10</t>
  </si>
  <si>
    <t>Y26064</t>
  </si>
  <si>
    <t>8 x 110  1 x 95 1x10</t>
  </si>
  <si>
    <t>M26092</t>
  </si>
  <si>
    <t>8 x 56 + 1 x 50</t>
  </si>
  <si>
    <t>M26093</t>
  </si>
  <si>
    <t>7 x 56 + 1 x 44</t>
  </si>
  <si>
    <t>M26094</t>
  </si>
  <si>
    <t>27x216 1x91</t>
  </si>
  <si>
    <t>22x216 1x98 / 5x234 1x165</t>
  </si>
  <si>
    <t>99X21U</t>
  </si>
  <si>
    <t>A26012</t>
  </si>
  <si>
    <t>42 x 49u</t>
  </si>
  <si>
    <t>A26011</t>
  </si>
  <si>
    <t>89x21 1x3</t>
  </si>
  <si>
    <t>4 x 100u + 1 x 92u</t>
  </si>
  <si>
    <t>M26095</t>
  </si>
  <si>
    <t>12 x 56 + 1 x 42</t>
  </si>
  <si>
    <t>A26090</t>
  </si>
  <si>
    <t>157x16</t>
  </si>
  <si>
    <t>A26007</t>
  </si>
  <si>
    <t>7X135 1X58 / 14X135 1x140</t>
  </si>
  <si>
    <t>7X135 1X58 / 13x135 1x150</t>
  </si>
  <si>
    <t>1 x 120 / 1 x 389</t>
  </si>
  <si>
    <t>A26021</t>
  </si>
  <si>
    <t>1 x 498</t>
  </si>
  <si>
    <t>A26048</t>
  </si>
  <si>
    <t>1 x 120 / 1 x 408</t>
  </si>
  <si>
    <t>A26009</t>
  </si>
  <si>
    <t>89X18 1X3</t>
  </si>
  <si>
    <t>A26004</t>
  </si>
  <si>
    <t>45 x 20u</t>
  </si>
  <si>
    <t>M26096</t>
  </si>
  <si>
    <t>52 x 20u + 1 x 12u</t>
  </si>
  <si>
    <t>M26097</t>
  </si>
  <si>
    <t>7 x 96u + 1 x 77</t>
  </si>
  <si>
    <t>A26016</t>
  </si>
  <si>
    <t>7 x 96 + 1 x 74</t>
  </si>
  <si>
    <t>A26017</t>
  </si>
  <si>
    <t>17 x 24 + 1 x 10 + 1 x 61</t>
  </si>
  <si>
    <t>Y26038</t>
  </si>
  <si>
    <t>3x34 / 13 x 34u + 1 x 29u</t>
  </si>
  <si>
    <t>M26029</t>
  </si>
  <si>
    <t>3405 /3409</t>
  </si>
  <si>
    <t>3x34 / 13 x 34 + 1 x 5</t>
  </si>
  <si>
    <t>M26043</t>
  </si>
  <si>
    <t>41 x 24 + 2 x 6 + 1 x 40</t>
  </si>
  <si>
    <t>A26019</t>
  </si>
  <si>
    <t>21 x 24 + 1 x 6</t>
  </si>
  <si>
    <t>A26020</t>
  </si>
  <si>
    <t xml:space="preserve">16 x 12 + 7 x 15 </t>
  </si>
  <si>
    <t>A26005</t>
  </si>
  <si>
    <t>20 x 12 + 1 x 8</t>
  </si>
  <si>
    <t>A26006</t>
  </si>
  <si>
    <t>11x32 1x27</t>
  </si>
  <si>
    <t>A26027</t>
  </si>
  <si>
    <t>3 x 36 + 1 x 30</t>
  </si>
  <si>
    <t>13 x 22 + 1 x 3</t>
  </si>
  <si>
    <t>A26078</t>
  </si>
  <si>
    <t>9 x 22 + 1 x 16</t>
  </si>
  <si>
    <t>A26079</t>
  </si>
  <si>
    <t>8 x 24 + 1 x 6</t>
  </si>
  <si>
    <t>A26083</t>
  </si>
  <si>
    <t>12X176 / 30X176 /54X176 1X108</t>
  </si>
  <si>
    <t>11X176 1X51 /30X176 / 45X176 / 4 x 176 + 1 x 54</t>
  </si>
  <si>
    <t>3X176/ 41X176 1X129</t>
  </si>
  <si>
    <t>50526/ 070526</t>
  </si>
  <si>
    <t>40x176</t>
  </si>
  <si>
    <t>39 x 176 + 1 x 116</t>
  </si>
  <si>
    <t>22x176 1x122</t>
  </si>
  <si>
    <t>9x176 1x122 1x197</t>
  </si>
  <si>
    <t xml:space="preserve">22X176 1X116 </t>
  </si>
  <si>
    <t>14X176 1X18</t>
  </si>
  <si>
    <t>22 x 56 / 12 x 56 + 41</t>
  </si>
  <si>
    <t>J26015</t>
  </si>
  <si>
    <t>53 / 64</t>
  </si>
  <si>
    <t>32x32 / 11 x 32</t>
  </si>
  <si>
    <t>J26041</t>
  </si>
  <si>
    <t>64 69</t>
  </si>
  <si>
    <t>5x100 / 9 x 100 + 1 x 45</t>
  </si>
  <si>
    <t>A26084</t>
  </si>
  <si>
    <t>3481 / 3486</t>
  </si>
  <si>
    <t>17 x 60 / 15 x 60 + 1 x 39</t>
  </si>
  <si>
    <t>A26080</t>
  </si>
  <si>
    <t>3441 / 3454</t>
  </si>
  <si>
    <t>12 x 40 / 25 x 40 + 1 x 34</t>
  </si>
  <si>
    <t>Y26067</t>
  </si>
  <si>
    <t>15 / 18</t>
  </si>
  <si>
    <t>22 x 70 + 1 x 14 + 1 x 12</t>
  </si>
  <si>
    <t>Y26007</t>
  </si>
  <si>
    <t>9 x 70 / 9 x 70 + 1 x 68</t>
  </si>
  <si>
    <t>Y26008</t>
  </si>
  <si>
    <t>3473 / 3481</t>
  </si>
  <si>
    <t>34 x 32 / 22 x 32</t>
  </si>
  <si>
    <t>Y26066</t>
  </si>
  <si>
    <t>7 x 60 + 9 x 36 /  29 x 36 / 6 x 36 + 1 x 30</t>
  </si>
  <si>
    <t>J26016</t>
  </si>
  <si>
    <t>3 x 160 + 1 x 120</t>
  </si>
  <si>
    <t>A26047</t>
  </si>
  <si>
    <t>A26088</t>
  </si>
  <si>
    <t>17x56 1x41</t>
  </si>
  <si>
    <t>A26032</t>
  </si>
  <si>
    <t>6x140 1x142</t>
  </si>
  <si>
    <t>A26044</t>
  </si>
  <si>
    <t xml:space="preserve">7X140 1X10 </t>
  </si>
  <si>
    <t>1 x 464</t>
  </si>
  <si>
    <t>A26068</t>
  </si>
  <si>
    <t>1 x 492</t>
  </si>
  <si>
    <t>A26067</t>
  </si>
  <si>
    <t>A26037</t>
  </si>
  <si>
    <t>A26034</t>
  </si>
  <si>
    <t>1 x 500 + 1 x 12</t>
  </si>
  <si>
    <t>A26022</t>
  </si>
  <si>
    <t>A26036</t>
  </si>
  <si>
    <t>40x120 1x102</t>
  </si>
  <si>
    <t>A26001</t>
  </si>
  <si>
    <t>131X37U Y 1X26U</t>
  </si>
  <si>
    <t>1x180 1x25</t>
  </si>
  <si>
    <t>A26058</t>
  </si>
  <si>
    <t>1x180 1x115</t>
  </si>
  <si>
    <t>A26069</t>
  </si>
  <si>
    <t>4x180 1x98</t>
  </si>
  <si>
    <t>A26031</t>
  </si>
  <si>
    <t>28X152U Y 1X52U</t>
  </si>
  <si>
    <t>A26089</t>
  </si>
  <si>
    <t>103x48 1x51</t>
  </si>
  <si>
    <t>A26081</t>
  </si>
  <si>
    <t>32X10 1X8</t>
  </si>
  <si>
    <t>Y26013</t>
  </si>
  <si>
    <t xml:space="preserve">31x10 1x3 </t>
  </si>
  <si>
    <t>Y26014</t>
  </si>
  <si>
    <t>47 x 10 + 1 x 6</t>
  </si>
  <si>
    <t>Y26010</t>
  </si>
  <si>
    <t>70 x 28 + 1 x 6</t>
  </si>
  <si>
    <t>23 x 10 + 47 x 6 + 1 x 4 /10x70 1x5</t>
  </si>
  <si>
    <t>Y26002</t>
  </si>
  <si>
    <t>6 x 120 + 1 x 43</t>
  </si>
  <si>
    <t>A26035</t>
  </si>
  <si>
    <t>2X360U Y 1X219U</t>
  </si>
  <si>
    <t>A26085</t>
  </si>
  <si>
    <t>2X360U Y 1X257U</t>
  </si>
  <si>
    <t>A26086</t>
  </si>
  <si>
    <t>2 x 390 + 1 x 208</t>
  </si>
  <si>
    <t>A26054</t>
  </si>
  <si>
    <t>2 x 390 + 1 x 249</t>
  </si>
  <si>
    <t>A26055</t>
  </si>
  <si>
    <t>1 x 390 + 1 x 100</t>
  </si>
  <si>
    <t>A26056</t>
  </si>
  <si>
    <t>1 x 390 + 1 x 104</t>
  </si>
  <si>
    <t>A26057</t>
  </si>
  <si>
    <t>1 x 390 + 1 x 96</t>
  </si>
  <si>
    <t>A26066</t>
  </si>
  <si>
    <t>1 x 390 + 1 x 119</t>
  </si>
  <si>
    <t>A26059</t>
  </si>
  <si>
    <t>1 x 390 + 1 x 110</t>
  </si>
  <si>
    <t>A26060</t>
  </si>
  <si>
    <t>1 x 375 + 1 x 129</t>
  </si>
  <si>
    <t>A26061</t>
  </si>
  <si>
    <t>1 x 390 + 1 x 127</t>
  </si>
  <si>
    <t>A26062</t>
  </si>
  <si>
    <t>2 x 390 + 1 x 190</t>
  </si>
  <si>
    <t>A26063</t>
  </si>
  <si>
    <t>3456 / 3469</t>
  </si>
  <si>
    <t>2 x 390 + 1 x 226</t>
  </si>
  <si>
    <t>A26064</t>
  </si>
  <si>
    <t>2 x 390 + 1 x 240</t>
  </si>
  <si>
    <t>A26065</t>
  </si>
  <si>
    <t>32 x 100 + 1 x 70</t>
  </si>
  <si>
    <t>A26071</t>
  </si>
  <si>
    <t>29 x 100 + 1 x 30</t>
  </si>
  <si>
    <t>A26070</t>
  </si>
  <si>
    <t xml:space="preserve">106X47 1X14 </t>
  </si>
  <si>
    <t>Y26026</t>
  </si>
  <si>
    <t>69X45 1X35</t>
  </si>
  <si>
    <t>Y26016</t>
  </si>
  <si>
    <t>9 x 30 + 1 x 13</t>
  </si>
  <si>
    <t>A26038</t>
  </si>
  <si>
    <t>9 x 30 + 1 x 17</t>
  </si>
  <si>
    <t>A26033</t>
  </si>
  <si>
    <t>3 x 16 / 24 x 18 + 1 x 13</t>
  </si>
  <si>
    <t>A26087</t>
  </si>
  <si>
    <t>22 x 18 + 1 x 6</t>
  </si>
  <si>
    <t>A26077</t>
  </si>
  <si>
    <t>3474 / 3482</t>
  </si>
  <si>
    <t>13 x 12</t>
  </si>
  <si>
    <t>10x18 1x5 12x18</t>
  </si>
  <si>
    <t>A26093</t>
  </si>
  <si>
    <t>8 x 12 + 1 x 9 / 11 x 12 + 1 x 8</t>
  </si>
  <si>
    <t>M26100 / A26093</t>
  </si>
  <si>
    <t>2 x 90 + 1 x 28</t>
  </si>
  <si>
    <t>J26040</t>
  </si>
  <si>
    <t>8 x 12 + 1 x 8</t>
  </si>
  <si>
    <t>4 x 18 + 2 x 12 + 1 x 16</t>
  </si>
  <si>
    <t>13 x 11 + 1 x 3</t>
  </si>
  <si>
    <t>26 x 11 + 1 x 6</t>
  </si>
  <si>
    <t>14 x 24 + 1 x 8</t>
  </si>
  <si>
    <t>A2094</t>
  </si>
  <si>
    <t>5 x 96 + 1 x 8</t>
  </si>
  <si>
    <t>A26095</t>
  </si>
  <si>
    <t>12 x 24 + 1 x 30</t>
  </si>
  <si>
    <t>A26096</t>
  </si>
  <si>
    <t>9 x 28 + 1 x 10</t>
  </si>
  <si>
    <t>A26097</t>
  </si>
  <si>
    <t>2 x 126 + 1 x 52</t>
  </si>
  <si>
    <t>Y26018</t>
  </si>
  <si>
    <t>6 x 80 + 1 x 40</t>
  </si>
  <si>
    <t>20 x 24 + 1 x 17</t>
  </si>
  <si>
    <t>A26030</t>
  </si>
  <si>
    <t>39x12 1x10</t>
  </si>
  <si>
    <t>A26092</t>
  </si>
  <si>
    <t>1 x 500 + 1 x 15</t>
  </si>
  <si>
    <t>Y26056</t>
  </si>
  <si>
    <t>1 x 500 + 1 x 27</t>
  </si>
  <si>
    <t>Y26057</t>
  </si>
  <si>
    <t>Y26058</t>
  </si>
  <si>
    <t xml:space="preserve">45x216 1x210 </t>
  </si>
  <si>
    <t>46x216</t>
  </si>
  <si>
    <t>14 x 82 + 1 x 52</t>
  </si>
  <si>
    <t>Y26001</t>
  </si>
  <si>
    <t>40 x 14  + 1 x 11 + 1 x 8</t>
  </si>
  <si>
    <t>4 x 56 + 1 x 10 / 17 x 56 + 1 x 5</t>
  </si>
  <si>
    <t>A26082</t>
  </si>
  <si>
    <t>3452 / 3484</t>
  </si>
  <si>
    <t>3 x 76 + 1 x 43</t>
  </si>
  <si>
    <t>Y26003</t>
  </si>
  <si>
    <t>4 x 72 + 1 x 7</t>
  </si>
  <si>
    <t xml:space="preserve">2 x 112 + 1 x 79 </t>
  </si>
  <si>
    <t>Y26005</t>
  </si>
  <si>
    <t>16 x 30 + 1 x 28</t>
  </si>
  <si>
    <t>Y26045</t>
  </si>
  <si>
    <t>13X216U Y 1X190U</t>
  </si>
  <si>
    <t>9X216 1X53</t>
  </si>
  <si>
    <t xml:space="preserve">9X216 1X56 </t>
  </si>
  <si>
    <t>9x216 1x164</t>
  </si>
  <si>
    <t xml:space="preserve">16 x 28 + 1 x 71 </t>
  </si>
  <si>
    <t>Y26023</t>
  </si>
  <si>
    <t>5x68</t>
  </si>
  <si>
    <t>7x68</t>
  </si>
  <si>
    <t>Y26021</t>
  </si>
  <si>
    <t>9X108 1X26</t>
  </si>
  <si>
    <t>17 x 90 + 1 x 48</t>
  </si>
  <si>
    <t>Y26019</t>
  </si>
  <si>
    <t>16 x 90 + 1 x 60</t>
  </si>
  <si>
    <t>Y26020</t>
  </si>
  <si>
    <t xml:space="preserve">13x40 / 16 x 40 / 15 x 40 / 28 x 40 </t>
  </si>
  <si>
    <t>J26011</t>
  </si>
  <si>
    <t>9 x 70 / 21 x 70 / 12 x 70 + 1 x 14</t>
  </si>
  <si>
    <t>J26012</t>
  </si>
  <si>
    <t>12 - 22 - 28</t>
  </si>
  <si>
    <t>49 x 40 + 1 x 36</t>
  </si>
  <si>
    <t>Y26031</t>
  </si>
  <si>
    <t>8X41 / 16 x 41 + 1 x 32</t>
  </si>
  <si>
    <t>Y26042-1</t>
  </si>
  <si>
    <t>3508 / 4</t>
  </si>
  <si>
    <t>8 x 40 / 11 x 40 + 6 x 72 + 1 x 10 / 3 x 40 + 1 x 20</t>
  </si>
  <si>
    <t>Y26041-1</t>
  </si>
  <si>
    <t>3498 / 3505 /3508</t>
  </si>
  <si>
    <t>15X81 1X85</t>
  </si>
  <si>
    <t>Y26041</t>
  </si>
  <si>
    <t>16X81 1X12</t>
  </si>
  <si>
    <t>Y26042</t>
  </si>
  <si>
    <t>19 x 41 / 4 x 41 + 1 x 40</t>
  </si>
  <si>
    <t>Y26042-2</t>
  </si>
  <si>
    <t>3505 / 8</t>
  </si>
  <si>
    <t>21 x 18 + 1 x 8</t>
  </si>
  <si>
    <t>19 x 18 + 1 x 17</t>
  </si>
  <si>
    <t>46X106 1X48</t>
  </si>
  <si>
    <t>20626-1</t>
  </si>
  <si>
    <t>47X106 1X10</t>
  </si>
  <si>
    <t>22 x 138 + 1 x 104</t>
  </si>
  <si>
    <t>Y26049</t>
  </si>
  <si>
    <t>9 x 16 + 1 x 14 / 26 x 16 / 80 x 16</t>
  </si>
  <si>
    <t>Y26050</t>
  </si>
  <si>
    <t>12 x 140 + 1 x 142</t>
  </si>
  <si>
    <t>14 x 140 + 1 x 125</t>
  </si>
  <si>
    <t>27x18 1x14/ 7x18 1x11</t>
  </si>
  <si>
    <t>Y26063</t>
  </si>
  <si>
    <t>15 / 68</t>
  </si>
  <si>
    <t>22x65 1x73 / 5x55 1x28</t>
  </si>
  <si>
    <t>Y26051</t>
  </si>
  <si>
    <t>26-50</t>
  </si>
  <si>
    <t>Y26053</t>
  </si>
  <si>
    <t>1 x 500 + 1 x 8</t>
  </si>
  <si>
    <t>1 x 500 + 1 x 40</t>
  </si>
  <si>
    <t>28 x 18 + 1 x 12</t>
  </si>
  <si>
    <t>Y26052</t>
  </si>
  <si>
    <t>1 x 500 + 1 x 10</t>
  </si>
  <si>
    <t>54x37u , 30x35u y 1x30u</t>
  </si>
  <si>
    <t>J26009</t>
  </si>
  <si>
    <t>10 x 48 + 1 x 10</t>
  </si>
  <si>
    <t>82 x 12 + 1 x 9</t>
  </si>
  <si>
    <t>Y26044</t>
  </si>
  <si>
    <t>36x28u y 1x12u</t>
  </si>
  <si>
    <t>Y26043</t>
  </si>
  <si>
    <t>13 x 22 +  1 x 13</t>
  </si>
  <si>
    <t>J26002</t>
  </si>
  <si>
    <t>83 x 6 + 1 x 2</t>
  </si>
  <si>
    <t>1 x 154 / 2 x 270 + 1 x 135</t>
  </si>
  <si>
    <t>Y26059</t>
  </si>
  <si>
    <t>1 -23</t>
  </si>
  <si>
    <t>54 x 36 + 1 x 16</t>
  </si>
  <si>
    <t>J26001</t>
  </si>
  <si>
    <t>142x21 1x12</t>
  </si>
  <si>
    <t>J26005</t>
  </si>
  <si>
    <t>10 x 56 / 7 x 56 + 1 x 30</t>
  </si>
  <si>
    <t>5 x 156 + 1 x 166</t>
  </si>
  <si>
    <t>6x140 1x147</t>
  </si>
  <si>
    <t>40X12 / 100X12</t>
  </si>
  <si>
    <t>92X12 / 83x12</t>
  </si>
  <si>
    <t>27 - 17</t>
  </si>
  <si>
    <t>200X12 / 17x12 /</t>
  </si>
  <si>
    <t>15X18U Y 1X16U</t>
  </si>
  <si>
    <t>J26049</t>
  </si>
  <si>
    <t>27X11U Y 1X5U</t>
  </si>
  <si>
    <t>J26047</t>
  </si>
  <si>
    <t>28X11U</t>
  </si>
  <si>
    <t>J26048</t>
  </si>
  <si>
    <t>23X216 1X169</t>
  </si>
  <si>
    <t>13x216 / 9X216 1X178</t>
  </si>
  <si>
    <t>300626 (66)</t>
  </si>
  <si>
    <t>38 x 55 + 1 x 33 + 1 x 7</t>
  </si>
  <si>
    <t>J26023</t>
  </si>
  <si>
    <t>46 x 12 + 1 x 11</t>
  </si>
  <si>
    <t>J26025</t>
  </si>
  <si>
    <t>200x12</t>
  </si>
  <si>
    <t>41-49-50</t>
  </si>
  <si>
    <t>333X12</t>
  </si>
  <si>
    <t>80 x 22 + 46 x 27</t>
  </si>
  <si>
    <t>J26037</t>
  </si>
  <si>
    <t>24 x 41 + 1 x 10</t>
  </si>
  <si>
    <t>J26030</t>
  </si>
  <si>
    <t>1x10</t>
  </si>
  <si>
    <t>J26017</t>
  </si>
  <si>
    <t>J26018</t>
  </si>
  <si>
    <t>1x20</t>
  </si>
  <si>
    <t>J26019</t>
  </si>
  <si>
    <t>J26020</t>
  </si>
  <si>
    <t>23x65 1x32</t>
  </si>
  <si>
    <t>J26043</t>
  </si>
  <si>
    <t>23x65 1x10</t>
  </si>
  <si>
    <t>J26044</t>
  </si>
  <si>
    <t>23X65 1X13</t>
  </si>
  <si>
    <t>J26045</t>
  </si>
  <si>
    <t xml:space="preserve">18X83 1X17 </t>
  </si>
  <si>
    <t>J26052</t>
  </si>
  <si>
    <t>9 x 30 + 1 x 21</t>
  </si>
  <si>
    <t>J26038</t>
  </si>
  <si>
    <t>27X18 1X10</t>
  </si>
  <si>
    <t>J26050</t>
  </si>
  <si>
    <t>16X12 1X9</t>
  </si>
  <si>
    <t>27x18 1x16</t>
  </si>
  <si>
    <t>J26051</t>
  </si>
  <si>
    <t>9 x 112 + 1 x 43</t>
  </si>
  <si>
    <t>J26028</t>
  </si>
  <si>
    <t>1X390 1X260 1X207</t>
  </si>
  <si>
    <t>J26024</t>
  </si>
  <si>
    <t>1 x 390 + 1 x 94</t>
  </si>
  <si>
    <t>J26031</t>
  </si>
  <si>
    <t>1 x 290 + 1 x 217</t>
  </si>
  <si>
    <t>J26032</t>
  </si>
  <si>
    <t xml:space="preserve">88X37 1X9 </t>
  </si>
  <si>
    <t>J26026</t>
  </si>
  <si>
    <t>ccc</t>
  </si>
  <si>
    <t>N°OC</t>
  </si>
  <si>
    <t>Q</t>
  </si>
  <si>
    <t>ME</t>
  </si>
  <si>
    <t>FECHA ME</t>
  </si>
  <si>
    <t>MP</t>
  </si>
  <si>
    <t>FECHA MP</t>
  </si>
  <si>
    <t xml:space="preserve">COMPLETO </t>
  </si>
  <si>
    <t>30/02/2026</t>
  </si>
  <si>
    <t>COMPLETO</t>
  </si>
  <si>
    <t>Sector</t>
  </si>
  <si>
    <t>LEAD TIME</t>
  </si>
  <si>
    <t>NIVEL DE SERVICIO</t>
  </si>
  <si>
    <t>Reclamo</t>
  </si>
  <si>
    <t>DASHBOARD OPERATIVO   ·   AÑO 2026</t>
  </si>
  <si>
    <t xml:space="preserve"> ANÁLISIS DE CLIENTES   ·   PERFORMANCE OPERATIVA</t>
  </si>
  <si>
    <t>PEDIDOS SIN RECLAMOS</t>
  </si>
  <si>
    <t>LEAD TIME PROMEDIO</t>
  </si>
  <si>
    <t>UNIDADES PRODUCIDAS / AÑO</t>
  </si>
  <si>
    <t xml:space="preserve"> TOP CLIENTES POR CANTIDAD DE PEDIDOS</t>
  </si>
  <si>
    <t xml:space="preserve"> CLIENTES CON MENOR LEAD TIME</t>
  </si>
  <si>
    <t>PEDIDOS  /  BARRA</t>
  </si>
  <si>
    <t>DÍAS PROM  /  BARRA</t>
  </si>
  <si>
    <t>▌   GESTIÓN DE PEDIDOS</t>
  </si>
  <si>
    <t>🔄  PEDIDOS ACTIVOS</t>
  </si>
  <si>
    <t>✅  ENTREGADOS</t>
  </si>
  <si>
    <t>🚚  EN DESPACHO</t>
  </si>
  <si>
    <t>🧴  PRODUCTOS / AÑO</t>
  </si>
  <si>
    <t>En proceso + ingresados</t>
  </si>
  <si>
    <t>Acumulado año 2026</t>
  </si>
  <si>
    <t>Listos para entregar</t>
  </si>
  <si>
    <t>Ítems distintos producidos</t>
  </si>
  <si>
    <t>▌   PRODUCCIÓN  ·  CONSUMO MASIVO vs. PREMIUM</t>
  </si>
  <si>
    <t>CONSUMO MASIVO  (Sector = M)</t>
  </si>
  <si>
    <t>PRODUCTOS PREMIUM  (Sector = P)</t>
  </si>
  <si>
    <t>Unidades pedidas|  % del total</t>
  </si>
  <si>
    <t>RESUMEN GERENCIAL</t>
  </si>
  <si>
    <t>Total clientes activos</t>
  </si>
  <si>
    <t>Lead time prom. global</t>
  </si>
  <si>
    <t>▌   SEMÁFORO DE INDICADORES  ·  ESTADO EN TIEMPO REAL</t>
  </si>
  <si>
    <t>INDICADOR</t>
  </si>
  <si>
    <t>RESULTADO ACTUAL</t>
  </si>
  <si>
    <t>OBJETIVO</t>
  </si>
  <si>
    <t>📊   Nivel de Servicio</t>
  </si>
  <si>
    <t>≥ 97%</t>
  </si>
  <si>
    <t>✔️   % Pedidos sin Reclamos</t>
  </si>
  <si>
    <t>&gt; 95%</t>
  </si>
  <si>
    <t>⏱   Lead Time Promedio</t>
  </si>
  <si>
    <t>≤ 25 días</t>
  </si>
  <si>
    <t>CANT_PEDIDOS</t>
  </si>
  <si>
    <t>LEAD_TIME_PROM</t>
  </si>
  <si>
    <t>TOP_CLIENTE_PEDIDOS</t>
  </si>
  <si>
    <t>CANT</t>
  </si>
  <si>
    <t>TOP_CLIENTE_LEADTIME</t>
  </si>
  <si>
    <t>LT_PROM</t>
  </si>
  <si>
    <t>LIORIA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</si>
</sst>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/m/yyyy"/>
    <numFmt numFmtId="165" formatCode="dd/mm"/>
    <numFmt numFmtId="166" formatCode="d/m"/>
    <numFmt numFmtId="167" formatCode="d\-m"/>
    <numFmt numFmtId="168" formatCode="d-m"/>
    <numFmt numFmtId="169" formatCode="d.m"/>
    <numFmt numFmtId="170" formatCode="dd/mm/yyyy"/>
    <numFmt numFmtId="171" formatCode="&quot;Actualizado: &quot;dd/mm/yyyy"/>
    <numFmt numFmtId="172" formatCode="0.0&quot; días&quot;"/>
    <numFmt numFmtId="173" formatCode="0.0"/>
    <numFmt numFmtId="174" formatCode="0.0%"/>
  </numFmts>
  <fonts count="75">
    <font>
      <sz val="11.0"/>
      <color theme="1"/>
      <name val="Calibri"/>
      <scheme val="minor"/>
    </font>
    <font>
      <b/>
      <sz val="14.0"/>
      <color rgb="FF000000"/>
      <name val="Calibri"/>
    </font>
    <font>
      <b/>
      <sz val="13.0"/>
      <color rgb="FF000000"/>
      <name val="Calibri"/>
    </font>
    <font/>
    <font>
      <sz val="11.0"/>
      <color theme="1"/>
      <name val="Calibri"/>
    </font>
    <font>
      <sz val="12.0"/>
      <color theme="1"/>
      <name val="Calibri"/>
    </font>
    <font>
      <sz val="11.0"/>
      <color rgb="FF6AA84F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b/>
      <sz val="16.0"/>
      <color theme="1"/>
      <name val="Calibri"/>
    </font>
    <font>
      <sz val="14.0"/>
      <color theme="1"/>
      <name val="Calibri"/>
    </font>
    <font>
      <sz val="16.0"/>
      <color theme="1"/>
      <name val="Calibri"/>
    </font>
    <font>
      <color theme="1"/>
      <name val="Calibri"/>
      <scheme val="minor"/>
    </font>
    <font>
      <b/>
      <sz val="14.0"/>
      <color rgb="FFFFFFFF"/>
      <name val="Calibri"/>
    </font>
    <font>
      <b/>
      <sz val="13.0"/>
      <color rgb="FFFFFFFF"/>
      <name val="Calibri"/>
    </font>
    <font>
      <b/>
      <sz val="11.0"/>
      <color theme="1"/>
      <name val="Calibri"/>
    </font>
    <font>
      <sz val="11.0"/>
      <color theme="1"/>
      <name val="Cambria"/>
    </font>
    <font>
      <b/>
      <sz val="10.0"/>
      <color rgb="FF5DADE2"/>
      <name val="Calibri"/>
    </font>
    <font>
      <b/>
      <sz val="20.0"/>
      <color rgb="FF000000"/>
      <name val="Calibri"/>
    </font>
    <font>
      <sz val="17.0"/>
      <color rgb="FF5DADE2"/>
      <name val="Calibri"/>
    </font>
    <font>
      <b/>
      <sz val="16.0"/>
      <color rgb="FF000000"/>
      <name val="Arial"/>
    </font>
    <font>
      <i/>
      <sz val="14.0"/>
      <color rgb="FF000000"/>
      <name val="Calibri"/>
    </font>
    <font>
      <b/>
      <sz val="15.0"/>
      <color rgb="FF000000"/>
      <name val="Calibri"/>
    </font>
    <font>
      <sz val="15.0"/>
      <color rgb="FF000000"/>
      <name val="Cambria"/>
    </font>
    <font>
      <sz val="15.0"/>
      <color rgb="FF000000"/>
      <name val="Calibri"/>
    </font>
    <font>
      <sz val="11.0"/>
      <color rgb="FF000000"/>
      <name val="Calibri"/>
    </font>
    <font>
      <b/>
      <sz val="13.0"/>
      <color rgb="FF1A2E44"/>
      <name val="Arial"/>
    </font>
    <font>
      <sz val="30.0"/>
      <color theme="1"/>
      <name val="Cambria"/>
    </font>
    <font>
      <b/>
      <sz val="30.0"/>
      <color rgb="FF000000"/>
      <name val="Calibri"/>
    </font>
    <font>
      <sz val="30.0"/>
      <color rgb="FF000000"/>
      <name val="Cambria"/>
    </font>
    <font>
      <sz val="30.0"/>
      <color rgb="FF000000"/>
      <name val="Calibri"/>
    </font>
    <font>
      <b/>
      <sz val="13.0"/>
      <color theme="1"/>
      <name val="Arial"/>
    </font>
    <font>
      <sz val="13.0"/>
      <color theme="1"/>
      <name val="Calibri"/>
    </font>
    <font>
      <sz val="30.0"/>
      <color theme="1"/>
      <name val="Calibri"/>
      <scheme val="minor"/>
    </font>
    <font>
      <sz val="12.0"/>
      <color rgb="FF000000"/>
      <name val="Calibri"/>
    </font>
    <font>
      <sz val="12.0"/>
      <color rgb="FF000000"/>
      <name val="Cambria"/>
    </font>
    <font>
      <b/>
      <sz val="10.0"/>
      <color rgb="FF1A2E44"/>
      <name val="Arial"/>
    </font>
    <font>
      <sz val="10.0"/>
      <color rgb="FF1A5276"/>
      <name val="Arial"/>
    </font>
    <font>
      <sz val="10.0"/>
      <color rgb="FF117A65"/>
      <name val="Arial"/>
    </font>
    <font>
      <sz val="11.0"/>
      <color rgb="FF000000"/>
      <name val="Cambria"/>
    </font>
    <font>
      <b/>
      <sz val="16.0"/>
      <color rgb="FF000000"/>
      <name val="Calibri"/>
    </font>
    <font>
      <i/>
      <sz val="15.0"/>
      <color rgb="FF000000"/>
      <name val="Calibri"/>
    </font>
    <font>
      <sz val="12.0"/>
      <color theme="1"/>
      <name val="Cambria"/>
    </font>
    <font>
      <b/>
      <sz val="16.0"/>
      <color rgb="FF1A2E44"/>
      <name val="Calibri"/>
    </font>
    <font>
      <sz val="12.0"/>
      <color theme="1"/>
      <name val="Calibri"/>
      <scheme val="minor"/>
    </font>
    <font>
      <sz val="17.0"/>
      <color theme="1"/>
      <name val="Cambria"/>
    </font>
    <font>
      <b/>
      <sz val="17.0"/>
      <color rgb="FF1A5276"/>
      <name val="Calibri"/>
    </font>
    <font>
      <b/>
      <sz val="17.0"/>
      <color rgb="FF7D3C98"/>
      <name val="Calibri"/>
    </font>
    <font>
      <sz val="17.0"/>
      <color theme="1"/>
      <name val="Calibri"/>
    </font>
    <font>
      <sz val="17.0"/>
      <color theme="1"/>
      <name val="Calibri"/>
      <scheme val="minor"/>
    </font>
    <font>
      <b/>
      <sz val="32.0"/>
      <color rgb="FF1A5276"/>
      <name val="Calibri"/>
    </font>
    <font>
      <b/>
      <sz val="26.0"/>
      <color rgb="FF1A5276"/>
      <name val="Calibri"/>
    </font>
    <font>
      <sz val="32.0"/>
      <color theme="1"/>
      <name val="Cambria"/>
    </font>
    <font>
      <b/>
      <sz val="32.0"/>
      <color rgb="FF7D3C98"/>
      <name val="Calibri"/>
    </font>
    <font>
      <b/>
      <sz val="26.0"/>
      <color rgb="FF7D3C98"/>
      <name val="Calibri"/>
    </font>
    <font>
      <sz val="15.0"/>
      <color theme="1"/>
      <name val="Cambria"/>
    </font>
    <font>
      <i/>
      <sz val="15.0"/>
      <color theme="1"/>
      <name val="Calibri"/>
    </font>
    <font>
      <sz val="15.0"/>
      <color theme="1"/>
      <name val="Calibri"/>
    </font>
    <font>
      <b/>
      <sz val="9.0"/>
      <color rgb="FF1A2E44"/>
      <name val="Arial"/>
    </font>
    <font>
      <sz val="9.0"/>
      <color rgb="FF117A65"/>
      <name val="Arial"/>
    </font>
    <font>
      <sz val="15.0"/>
      <color theme="1"/>
      <name val="Calibri"/>
      <scheme val="minor"/>
    </font>
    <font>
      <sz val="9.0"/>
      <color rgb="FF1A5276"/>
      <name val="Calibri"/>
    </font>
    <font>
      <sz val="9.0"/>
      <color rgb="FF7D3C98"/>
      <name val="Calibri"/>
    </font>
    <font>
      <b/>
      <sz val="12.0"/>
      <color rgb="FFFFFFFF"/>
      <name val="Arial"/>
    </font>
    <font>
      <sz val="13.0"/>
      <color theme="1"/>
      <name val="Arial"/>
    </font>
    <font>
      <sz val="15.0"/>
      <color rgb="FFBDC3C7"/>
      <name val="Arial"/>
    </font>
    <font>
      <b/>
      <sz val="15.0"/>
      <color rgb="FF5DADE2"/>
      <name val="Arial"/>
    </font>
    <font>
      <sz val="16.0"/>
      <color theme="1"/>
      <name val="Cambria"/>
    </font>
    <font>
      <sz val="16.0"/>
      <color theme="1"/>
      <name val="Calibri"/>
      <scheme val="minor"/>
    </font>
    <font>
      <b/>
      <sz val="16.0"/>
      <color rgb="FFFFFFFF"/>
      <name val="Calibri"/>
    </font>
    <font>
      <sz val="16.0"/>
      <color rgb="FF2C3E50"/>
      <name val="Calibri"/>
    </font>
    <font>
      <sz val="16.0"/>
      <color rgb="FF34495E"/>
      <name val="Calibri"/>
    </font>
    <font>
      <b/>
      <sz val="16.0"/>
      <color rgb="FF2C3E50"/>
      <name val="Calibri"/>
    </font>
    <font>
      <i/>
      <sz val="16.0"/>
      <color rgb="FFBDC3C7"/>
      <name val="Calibri"/>
    </font>
    <font>
      <sz val="7.0"/>
      <color rgb="FFBDC3C7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BB463C"/>
        <bgColor rgb="FFBB463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356854"/>
        <bgColor rgb="FF356854"/>
      </patternFill>
    </fill>
    <fill>
      <patternFill patternType="solid">
        <fgColor rgb="FF8BC34A"/>
        <bgColor rgb="FF8BC34A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5F7FA"/>
        <bgColor rgb="FFF5F7FA"/>
      </patternFill>
    </fill>
    <fill>
      <patternFill patternType="solid">
        <fgColor rgb="FF1A2E44"/>
        <bgColor rgb="FF1A2E44"/>
      </patternFill>
    </fill>
    <fill>
      <patternFill patternType="solid">
        <fgColor rgb="FF1A2940"/>
        <bgColor rgb="FF1A2940"/>
      </patternFill>
    </fill>
    <fill>
      <patternFill patternType="solid">
        <fgColor rgb="FFD5E8F0"/>
        <bgColor rgb="FFD5E8F0"/>
      </patternFill>
    </fill>
    <fill>
      <patternFill patternType="solid">
        <fgColor rgb="FF0D1B2A"/>
        <bgColor rgb="FF0D1B2A"/>
      </patternFill>
    </fill>
  </fills>
  <borders count="6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</border>
    <border>
      <right/>
    </border>
    <border>
      <left style="medium">
        <color rgb="FF2E86C1"/>
      </left>
      <top style="thin">
        <color rgb="FF2E86C1"/>
      </top>
      <bottom/>
    </border>
    <border>
      <top style="thin">
        <color rgb="FF2E86C1"/>
      </top>
      <bottom/>
    </border>
    <border>
      <right style="thin">
        <color rgb="FF2E86C1"/>
      </right>
      <top style="thin">
        <color rgb="FF2E86C1"/>
      </top>
      <bottom/>
    </border>
    <border>
      <left style="medium">
        <color rgb="FF1E8449"/>
      </left>
      <top style="thin">
        <color rgb="FF2E86C1"/>
      </top>
      <bottom/>
    </border>
    <border>
      <left style="medium">
        <color rgb="FFD68910"/>
      </left>
      <top style="thin">
        <color rgb="FF2E86C1"/>
      </top>
      <bottom/>
    </border>
    <border>
      <left style="medium">
        <color rgb="FF7D3C98"/>
      </left>
      <top style="thin">
        <color rgb="FF2E86C1"/>
      </top>
      <bottom/>
    </border>
    <border>
      <left style="medium">
        <color rgb="FF2E86C1"/>
      </left>
      <top/>
      <bottom/>
    </border>
    <border>
      <right style="thin">
        <color rgb="FF2E86C1"/>
      </right>
      <top/>
      <bottom/>
    </border>
    <border>
      <left style="medium">
        <color rgb="FF1E8449"/>
      </left>
      <top/>
      <bottom/>
    </border>
    <border>
      <left style="medium">
        <color rgb="FFD68910"/>
      </left>
      <top/>
      <bottom/>
    </border>
    <border>
      <left style="medium">
        <color rgb="FF7D3C98"/>
      </left>
      <top/>
      <bottom/>
    </border>
    <border>
      <left style="medium">
        <color rgb="FF2E86C1"/>
      </left>
      <top/>
      <bottom style="thin">
        <color rgb="FF2E86C1"/>
      </bottom>
    </border>
    <border>
      <top/>
      <bottom style="thin">
        <color rgb="FF2E86C1"/>
      </bottom>
    </border>
    <border>
      <right style="thin">
        <color rgb="FF2E86C1"/>
      </right>
      <top/>
      <bottom style="thin">
        <color rgb="FF2E86C1"/>
      </bottom>
    </border>
    <border>
      <left style="medium">
        <color rgb="FF1E8449"/>
      </left>
      <top/>
      <bottom style="thin">
        <color rgb="FF2E86C1"/>
      </bottom>
    </border>
    <border>
      <left style="medium">
        <color rgb="FFD68910"/>
      </left>
      <top/>
      <bottom style="thin">
        <color rgb="FF2E86C1"/>
      </bottom>
    </border>
    <border>
      <left style="medium">
        <color rgb="FF7D3C98"/>
      </left>
      <top/>
      <bottom style="thin">
        <color rgb="FF2E86C1"/>
      </bottom>
    </border>
    <border>
      <left/>
      <top/>
      <bottom style="medium">
        <color rgb="FF2E86C1"/>
      </bottom>
    </border>
    <border>
      <top/>
      <bottom style="medium">
        <color rgb="FF2E86C1"/>
      </bottom>
    </border>
    <border>
      <right/>
      <top/>
      <bottom style="medium">
        <color rgb="FF2E86C1"/>
      </bottom>
    </border>
    <border>
      <left/>
      <top style="thick">
        <color rgb="FFD68910"/>
      </top>
      <bottom/>
    </border>
    <border>
      <top style="thick">
        <color rgb="FFD68910"/>
      </top>
      <bottom/>
    </border>
    <border>
      <right style="thin">
        <color rgb="FFD5E8F0"/>
      </right>
      <top style="thick">
        <color rgb="FFD68910"/>
      </top>
      <bottom/>
    </border>
    <border>
      <left/>
      <top style="thick">
        <color rgb="FF1E8449"/>
      </top>
      <bottom/>
    </border>
    <border>
      <top style="thick">
        <color rgb="FF1E8449"/>
      </top>
      <bottom/>
    </border>
    <border>
      <right style="thin">
        <color rgb="FFD5E8F0"/>
      </right>
      <top style="thick">
        <color rgb="FF1E8449"/>
      </top>
      <bottom/>
    </border>
    <border>
      <left/>
      <top style="thick">
        <color rgb="FF5DADE2"/>
      </top>
      <bottom/>
    </border>
    <border>
      <top style="thick">
        <color rgb="FF5DADE2"/>
      </top>
      <bottom/>
    </border>
    <border>
      <right style="thin">
        <color rgb="FFD5E8F0"/>
      </right>
      <top style="thick">
        <color rgb="FF5DADE2"/>
      </top>
      <bottom/>
    </border>
    <border>
      <left/>
      <top style="thick">
        <color rgb="FF2E86C1"/>
      </top>
      <bottom/>
    </border>
    <border>
      <top style="thick">
        <color rgb="FF2E86C1"/>
      </top>
      <bottom/>
    </border>
    <border>
      <right style="thin">
        <color rgb="FFD5E8F0"/>
      </right>
      <top style="thick">
        <color rgb="FF2E86C1"/>
      </top>
      <bottom/>
    </border>
    <border>
      <left style="thin">
        <color rgb="FFD5E8F0"/>
      </left>
      <top/>
      <bottom/>
    </border>
    <border>
      <right style="thin">
        <color rgb="FFD5E8F0"/>
      </right>
      <top/>
      <bottom/>
    </border>
    <border>
      <left style="thin">
        <color rgb="FFD5E8F0"/>
      </left>
      <top/>
      <bottom style="thin">
        <color rgb="FFD5E8F0"/>
      </bottom>
    </border>
    <border>
      <top/>
      <bottom style="thin">
        <color rgb="FFD5E8F0"/>
      </bottom>
    </border>
    <border>
      <right style="thin">
        <color rgb="FFD5E8F0"/>
      </right>
      <top/>
      <bottom style="thin">
        <color rgb="FFD5E8F0"/>
      </bottom>
    </border>
    <border>
      <left/>
      <top style="thick">
        <color rgb="FF1A5276"/>
      </top>
      <bottom/>
    </border>
    <border>
      <top style="thick">
        <color rgb="FF1A5276"/>
      </top>
      <bottom/>
    </border>
    <border>
      <right/>
      <top style="thick">
        <color rgb="FF1A5276"/>
      </top>
      <bottom/>
    </border>
    <border>
      <left/>
      <top style="thick">
        <color rgb="FF7D3C98"/>
      </top>
      <bottom/>
    </border>
    <border>
      <top style="thick">
        <color rgb="FF7D3C98"/>
      </top>
      <bottom/>
    </border>
    <border>
      <right/>
      <top style="thick">
        <color rgb="FF7D3C98"/>
      </top>
      <bottom/>
    </border>
    <border>
      <left style="thin">
        <color rgb="FFBDC3C7"/>
      </left>
      <top/>
      <bottom style="thin">
        <color rgb="FFBDC3C7"/>
      </bottom>
    </border>
    <border>
      <top/>
      <bottom style="thin">
        <color rgb="FFBDC3C7"/>
      </bottom>
    </border>
    <border>
      <right/>
      <top/>
      <bottom style="thin">
        <color rgb="FFBDC3C7"/>
      </bottom>
    </border>
    <border>
      <left/>
      <top/>
      <bottom style="thin">
        <color rgb="FFBDC3C7"/>
      </bottom>
    </border>
    <border>
      <right style="thin">
        <color rgb="FFBDC3C7"/>
      </right>
      <top/>
      <bottom style="thin">
        <color rgb="FFBDC3C7"/>
      </bottom>
    </border>
  </borders>
  <cellStyleXfs count="1">
    <xf borderId="0" fillId="0" fontId="0" numFmtId="0" applyAlignment="1" applyFont="1"/>
  </cellStyleXfs>
  <cellXfs count="2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3" fontId="4" numFmtId="0" xfId="0" applyAlignment="1" applyBorder="1" applyFill="1" applyFont="1">
      <alignment shrinkToFit="0" vertical="center" wrapText="0"/>
    </xf>
    <xf borderId="5" fillId="3" fontId="4" numFmtId="164" xfId="0" applyAlignment="1" applyBorder="1" applyFont="1" applyNumberFormat="1">
      <alignment horizontal="center" shrinkToFit="0" vertical="bottom" wrapText="0"/>
    </xf>
    <xf borderId="5" fillId="3" fontId="4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5" fillId="4" fontId="4" numFmtId="0" xfId="0" applyAlignment="1" applyBorder="1" applyFill="1" applyFont="1">
      <alignment shrinkToFit="0" vertical="bottom" wrapText="0"/>
    </xf>
    <xf borderId="5" fillId="3" fontId="4" numFmtId="49" xfId="0" applyAlignment="1" applyBorder="1" applyFont="1" applyNumberFormat="1">
      <alignment horizontal="center" shrinkToFit="0" vertical="bottom" wrapText="0"/>
    </xf>
    <xf borderId="7" fillId="4" fontId="4" numFmtId="0" xfId="0" applyAlignment="1" applyBorder="1" applyFont="1">
      <alignment shrinkToFit="0" vertical="center" wrapText="0"/>
    </xf>
    <xf borderId="5" fillId="4" fontId="4" numFmtId="164" xfId="0" applyAlignment="1" applyBorder="1" applyFont="1" applyNumberFormat="1">
      <alignment horizontal="center" shrinkToFit="0" vertical="bottom" wrapText="0"/>
    </xf>
    <xf borderId="7" fillId="4" fontId="4" numFmtId="0" xfId="0" applyAlignment="1" applyBorder="1" applyFont="1">
      <alignment horizontal="center" shrinkToFit="0" vertical="center" wrapText="1"/>
    </xf>
    <xf borderId="7" fillId="4" fontId="5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7" fillId="4" fontId="4" numFmtId="0" xfId="0" applyAlignment="1" applyBorder="1" applyFont="1">
      <alignment shrinkToFit="0" vertical="bottom" wrapText="0"/>
    </xf>
    <xf borderId="7" fillId="5" fontId="4" numFmtId="49" xfId="0" applyAlignment="1" applyBorder="1" applyFill="1" applyFont="1" applyNumberFormat="1">
      <alignment horizontal="center" shrinkToFit="0" vertical="bottom" wrapText="0"/>
    </xf>
    <xf borderId="7" fillId="3" fontId="4" numFmtId="0" xfId="0" applyAlignment="1" applyBorder="1" applyFont="1">
      <alignment shrinkToFit="0" vertical="center" wrapText="0"/>
    </xf>
    <xf borderId="7" fillId="3" fontId="4" numFmtId="0" xfId="0" applyAlignment="1" applyBorder="1" applyFont="1">
      <alignment horizontal="center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8" fillId="3" fontId="5" numFmtId="0" xfId="0" applyAlignment="1" applyBorder="1" applyFont="1">
      <alignment horizontal="center" shrinkToFit="0" vertical="center" wrapText="1"/>
    </xf>
    <xf borderId="7" fillId="3" fontId="4" numFmtId="49" xfId="0" applyAlignment="1" applyBorder="1" applyFont="1" applyNumberFormat="1">
      <alignment horizontal="center" shrinkToFit="0" vertical="bottom" wrapText="0"/>
    </xf>
    <xf borderId="7" fillId="4" fontId="4" numFmtId="0" xfId="0" applyAlignment="1" applyBorder="1" applyFont="1">
      <alignment horizontal="center" readingOrder="0" shrinkToFit="0" vertical="center" wrapText="1"/>
    </xf>
    <xf borderId="7" fillId="4" fontId="5" numFmtId="0" xfId="0" applyAlignment="1" applyBorder="1" applyFont="1">
      <alignment horizontal="center" readingOrder="0" shrinkToFit="0" vertical="center" wrapText="1"/>
    </xf>
    <xf borderId="5" fillId="4" fontId="4" numFmtId="164" xfId="0" applyAlignment="1" applyBorder="1" applyFont="1" applyNumberFormat="1">
      <alignment horizontal="center" readingOrder="0" shrinkToFit="0" vertical="bottom" wrapText="0"/>
    </xf>
    <xf borderId="1" fillId="4" fontId="4" numFmtId="0" xfId="0" applyAlignment="1" applyBorder="1" applyFont="1">
      <alignment shrinkToFit="0" vertical="bottom" wrapText="0"/>
    </xf>
    <xf borderId="7" fillId="0" fontId="4" numFmtId="49" xfId="0" applyAlignment="1" applyBorder="1" applyFont="1" applyNumberFormat="1">
      <alignment horizontal="center" shrinkToFit="0" vertical="bottom" wrapText="0"/>
    </xf>
    <xf borderId="5" fillId="3" fontId="4" numFmtId="164" xfId="0" applyAlignment="1" applyBorder="1" applyFont="1" applyNumberFormat="1">
      <alignment horizontal="center" readingOrder="0" shrinkToFit="0" vertical="bottom" wrapText="0"/>
    </xf>
    <xf borderId="7" fillId="0" fontId="4" numFmtId="0" xfId="0" applyAlignment="1" applyBorder="1" applyFont="1">
      <alignment horizontal="center" shrinkToFit="0" vertical="center" wrapText="1"/>
    </xf>
    <xf borderId="7" fillId="3" fontId="5" numFmtId="0" xfId="0" applyAlignment="1" applyBorder="1" applyFont="1">
      <alignment horizontal="center" readingOrder="0" shrinkToFit="0" vertical="center" wrapText="1"/>
    </xf>
    <xf borderId="7" fillId="3" fontId="4" numFmtId="0" xfId="0" applyAlignment="1" applyBorder="1" applyFont="1">
      <alignment horizontal="center" readingOrder="0" shrinkToFit="0" vertical="center" wrapText="1"/>
    </xf>
    <xf borderId="8" fillId="3" fontId="5" numFmtId="0" xfId="0" applyAlignment="1" applyBorder="1" applyFont="1">
      <alignment horizontal="center" readingOrder="0" shrinkToFit="0" vertical="center" wrapText="1"/>
    </xf>
    <xf borderId="8" fillId="4" fontId="5" numFmtId="0" xfId="0" applyAlignment="1" applyBorder="1" applyFont="1">
      <alignment horizontal="center" readingOrder="0" shrinkToFit="0" vertical="center" wrapText="1"/>
    </xf>
    <xf borderId="7" fillId="3" fontId="6" numFmtId="0" xfId="0" applyAlignment="1" applyBorder="1" applyFont="1">
      <alignment horizontal="center" readingOrder="0" shrinkToFit="0" vertical="center" wrapText="1"/>
    </xf>
    <xf borderId="7" fillId="4" fontId="6" numFmtId="0" xfId="0" applyAlignment="1" applyBorder="1" applyFont="1">
      <alignment horizontal="center" readingOrder="0" shrinkToFit="0" vertical="center" wrapText="1"/>
    </xf>
    <xf borderId="7" fillId="3" fontId="4" numFmtId="0" xfId="0" applyAlignment="1" applyBorder="1" applyFont="1">
      <alignment readingOrder="0" shrinkToFit="0" vertical="center" wrapText="0"/>
    </xf>
    <xf borderId="7" fillId="4" fontId="4" numFmtId="0" xfId="0" applyAlignment="1" applyBorder="1" applyFont="1">
      <alignment readingOrder="0" shrinkToFit="0" vertical="center" wrapText="0"/>
    </xf>
    <xf borderId="1" fillId="3" fontId="4" numFmtId="0" xfId="0" applyAlignment="1" applyBorder="1" applyFont="1">
      <alignment readingOrder="0" shrinkToFit="0" vertical="center" wrapText="0"/>
    </xf>
    <xf borderId="7" fillId="0" fontId="4" numFmtId="0" xfId="0" applyAlignment="1" applyBorder="1" applyFont="1">
      <alignment horizontal="center" shrinkToFit="0" vertical="bottom" wrapText="0"/>
    </xf>
    <xf borderId="7" fillId="3" fontId="4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7" fillId="3" fontId="4" numFmtId="164" xfId="0" applyAlignment="1" applyBorder="1" applyFont="1" applyNumberFormat="1">
      <alignment shrinkToFit="0" vertical="center" wrapText="0"/>
    </xf>
    <xf borderId="1" fillId="3" fontId="4" numFmtId="164" xfId="0" applyAlignment="1" applyBorder="1" applyFont="1" applyNumberFormat="1">
      <alignment horizontal="center" shrinkToFit="0" vertical="center" wrapText="0"/>
    </xf>
    <xf borderId="1" fillId="3" fontId="4" numFmtId="0" xfId="0" applyAlignment="1" applyBorder="1" applyFont="1">
      <alignment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7" fillId="4" fontId="4" numFmtId="164" xfId="0" applyAlignment="1" applyBorder="1" applyFont="1" applyNumberFormat="1">
      <alignment shrinkToFit="0" vertical="center" wrapText="0"/>
    </xf>
    <xf borderId="1" fillId="4" fontId="4" numFmtId="164" xfId="0" applyAlignment="1" applyBorder="1" applyFont="1" applyNumberFormat="1">
      <alignment horizontal="center" shrinkToFit="0" vertical="center" wrapText="0"/>
    </xf>
    <xf borderId="1" fillId="4" fontId="4" numFmtId="0" xfId="0" applyAlignment="1" applyBorder="1" applyFont="1">
      <alignment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1" fillId="6" fontId="7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7" fillId="3" fontId="10" numFmtId="0" xfId="0" applyAlignment="1" applyBorder="1" applyFont="1">
      <alignment shrinkToFit="0" vertical="center" wrapText="0"/>
    </xf>
    <xf borderId="7" fillId="3" fontId="11" numFmtId="1" xfId="0" applyAlignment="1" applyBorder="1" applyFont="1" applyNumberFormat="1">
      <alignment horizontal="center" shrinkToFit="0" vertical="center" wrapText="0"/>
    </xf>
    <xf borderId="7" fillId="3" fontId="4" numFmtId="165" xfId="0" applyAlignment="1" applyBorder="1" applyFont="1" applyNumberFormat="1">
      <alignment shrinkToFit="0" vertical="center" wrapText="0"/>
    </xf>
    <xf borderId="7" fillId="3" fontId="4" numFmtId="49" xfId="0" applyAlignment="1" applyBorder="1" applyFont="1" applyNumberFormat="1">
      <alignment horizontal="center" shrinkToFit="0" vertical="center" wrapText="0"/>
    </xf>
    <xf borderId="7" fillId="7" fontId="4" numFmtId="164" xfId="0" applyAlignment="1" applyBorder="1" applyFill="1" applyFont="1" applyNumberFormat="1">
      <alignment shrinkToFit="0" vertical="center" wrapText="0"/>
    </xf>
    <xf borderId="7" fillId="7" fontId="4" numFmtId="0" xfId="0" applyAlignment="1" applyBorder="1" applyFont="1">
      <alignment shrinkToFit="0" vertical="center" wrapText="0"/>
    </xf>
    <xf borderId="7" fillId="7" fontId="10" numFmtId="0" xfId="0" applyAlignment="1" applyBorder="1" applyFont="1">
      <alignment shrinkToFit="0" vertical="center" wrapText="0"/>
    </xf>
    <xf borderId="7" fillId="7" fontId="11" numFmtId="1" xfId="0" applyAlignment="1" applyBorder="1" applyFont="1" applyNumberFormat="1">
      <alignment horizontal="center" shrinkToFit="0" vertical="center" wrapText="0"/>
    </xf>
    <xf borderId="7" fillId="7" fontId="4" numFmtId="166" xfId="0" applyAlignment="1" applyBorder="1" applyFont="1" applyNumberFormat="1">
      <alignment shrinkToFit="0" vertical="center" wrapText="0"/>
    </xf>
    <xf borderId="7" fillId="7" fontId="4" numFmtId="49" xfId="0" applyAlignment="1" applyBorder="1" applyFont="1" applyNumberFormat="1">
      <alignment horizontal="center" shrinkToFit="0" vertical="center" wrapText="0"/>
    </xf>
    <xf borderId="7" fillId="3" fontId="4" numFmtId="166" xfId="0" applyAlignment="1" applyBorder="1" applyFont="1" applyNumberFormat="1">
      <alignment shrinkToFit="0" vertical="center" wrapText="0"/>
    </xf>
    <xf borderId="7" fillId="7" fontId="4" numFmtId="0" xfId="0" applyAlignment="1" applyBorder="1" applyFont="1">
      <alignment readingOrder="0" shrinkToFit="0" vertical="center" wrapText="0"/>
    </xf>
    <xf borderId="7" fillId="7" fontId="4" numFmtId="165" xfId="0" applyAlignment="1" applyBorder="1" applyFont="1" applyNumberFormat="1">
      <alignment shrinkToFit="0" vertical="center" wrapText="0"/>
    </xf>
    <xf borderId="7" fillId="7" fontId="4" numFmtId="167" xfId="0" applyAlignment="1" applyBorder="1" applyFont="1" applyNumberFormat="1">
      <alignment shrinkToFit="0" vertical="center" wrapText="0"/>
    </xf>
    <xf borderId="7" fillId="3" fontId="4" numFmtId="167" xfId="0" applyAlignment="1" applyBorder="1" applyFont="1" applyNumberFormat="1">
      <alignment shrinkToFit="0" vertical="center" wrapText="0"/>
    </xf>
    <xf borderId="7" fillId="3" fontId="4" numFmtId="168" xfId="0" applyAlignment="1" applyBorder="1" applyFont="1" applyNumberFormat="1">
      <alignment shrinkToFit="0" vertical="center" wrapText="0"/>
    </xf>
    <xf borderId="7" fillId="7" fontId="4" numFmtId="168" xfId="0" applyAlignment="1" applyBorder="1" applyFont="1" applyNumberFormat="1">
      <alignment shrinkToFit="0" vertical="center" wrapText="0"/>
    </xf>
    <xf borderId="7" fillId="8" fontId="10" numFmtId="0" xfId="0" applyAlignment="1" applyBorder="1" applyFill="1" applyFont="1">
      <alignment shrinkToFit="0" vertical="center" wrapText="0"/>
    </xf>
    <xf borderId="7" fillId="7" fontId="4" numFmtId="169" xfId="0" applyAlignment="1" applyBorder="1" applyFont="1" applyNumberFormat="1">
      <alignment shrinkToFit="0" vertical="center" wrapText="0"/>
    </xf>
    <xf borderId="7" fillId="3" fontId="4" numFmtId="0" xfId="0" applyAlignment="1" applyBorder="1" applyFont="1">
      <alignment horizontal="center" shrinkToFit="0" vertical="center" wrapText="0"/>
    </xf>
    <xf borderId="7" fillId="7" fontId="4" numFmtId="0" xfId="0" applyAlignment="1" applyBorder="1" applyFont="1">
      <alignment horizontal="center" shrinkToFit="0" vertical="center" wrapText="0"/>
    </xf>
    <xf borderId="1" fillId="3" fontId="4" numFmtId="164" xfId="0" applyAlignment="1" applyBorder="1" applyFont="1" applyNumberFormat="1">
      <alignment shrinkToFit="0" vertical="center" wrapText="0"/>
    </xf>
    <xf borderId="1" fillId="3" fontId="10" numFmtId="0" xfId="0" applyAlignment="1" applyBorder="1" applyFont="1">
      <alignment shrinkToFit="0" vertical="center" wrapText="0"/>
    </xf>
    <xf borderId="1" fillId="3" fontId="11" numFmtId="1" xfId="0" applyAlignment="1" applyBorder="1" applyFont="1" applyNumberFormat="1">
      <alignment horizontal="center" shrinkToFit="0" vertical="center" wrapText="0"/>
    </xf>
    <xf borderId="1" fillId="7" fontId="4" numFmtId="164" xfId="0" applyAlignment="1" applyBorder="1" applyFont="1" applyNumberFormat="1">
      <alignment shrinkToFit="0" vertical="center" wrapText="0"/>
    </xf>
    <xf borderId="1" fillId="7" fontId="4" numFmtId="0" xfId="0" applyAlignment="1" applyBorder="1" applyFont="1">
      <alignment shrinkToFit="0" vertical="center" wrapText="0"/>
    </xf>
    <xf borderId="1" fillId="7" fontId="10" numFmtId="0" xfId="0" applyAlignment="1" applyBorder="1" applyFont="1">
      <alignment shrinkToFit="0" vertical="center" wrapText="0"/>
    </xf>
    <xf borderId="1" fillId="7" fontId="11" numFmtId="1" xfId="0" applyAlignment="1" applyBorder="1" applyFont="1" applyNumberFormat="1">
      <alignment horizontal="center" shrinkToFit="0" vertical="center" wrapText="0"/>
    </xf>
    <xf borderId="1" fillId="7" fontId="4" numFmtId="0" xfId="0" applyAlignment="1" applyBorder="1" applyFont="1">
      <alignment horizontal="center" shrinkToFit="0" vertical="center" wrapText="0"/>
    </xf>
    <xf borderId="0" fillId="0" fontId="12" numFmtId="0" xfId="0" applyFont="1"/>
    <xf borderId="1" fillId="9" fontId="13" numFmtId="0" xfId="0" applyAlignment="1" applyBorder="1" applyFill="1" applyFont="1">
      <alignment horizontal="center" shrinkToFit="0" vertical="center" wrapText="1"/>
    </xf>
    <xf borderId="1" fillId="9" fontId="13" numFmtId="164" xfId="0" applyAlignment="1" applyBorder="1" applyFont="1" applyNumberFormat="1">
      <alignment horizontal="center" shrinkToFit="0" vertical="center" wrapText="1"/>
    </xf>
    <xf borderId="1" fillId="9" fontId="13" numFmtId="49" xfId="0" applyAlignment="1" applyBorder="1" applyFont="1" applyNumberFormat="1">
      <alignment horizontal="center" shrinkToFit="0" vertical="center" wrapText="1"/>
    </xf>
    <xf borderId="1" fillId="9" fontId="13" numFmtId="0" xfId="0" applyAlignment="1" applyBorder="1" applyFont="1">
      <alignment horizontal="center" readingOrder="0" shrinkToFit="0" vertical="center" wrapText="1"/>
    </xf>
    <xf borderId="1" fillId="9" fontId="13" numFmtId="3" xfId="0" applyAlignment="1" applyBorder="1" applyFont="1" applyNumberFormat="1">
      <alignment horizontal="center" shrinkToFit="0" vertical="center" wrapText="1"/>
    </xf>
    <xf borderId="7" fillId="9" fontId="14" numFmtId="0" xfId="0" applyAlignment="1" applyBorder="1" applyFont="1">
      <alignment horizontal="center" shrinkToFit="0" vertical="center" wrapText="1"/>
    </xf>
    <xf borderId="7" fillId="9" fontId="13" numFmtId="0" xfId="0" applyAlignment="1" applyBorder="1" applyFont="1">
      <alignment horizontal="center" shrinkToFit="0" vertical="center" wrapText="1"/>
    </xf>
    <xf borderId="1" fillId="3" fontId="4" numFmtId="49" xfId="0" applyAlignment="1" applyBorder="1" applyFont="1" applyNumberFormat="1">
      <alignment shrinkToFit="0" vertical="center" wrapText="0"/>
    </xf>
    <xf borderId="1" fillId="3" fontId="4" numFmtId="3" xfId="0" applyAlignment="1" applyBorder="1" applyFont="1" applyNumberFormat="1">
      <alignment shrinkToFit="0" vertical="center" wrapText="0"/>
    </xf>
    <xf borderId="1" fillId="0" fontId="4" numFmtId="9" xfId="0" applyAlignment="1" applyBorder="1" applyFont="1" applyNumberFormat="1">
      <alignment shrinkToFit="0" vertical="center" wrapText="0"/>
    </xf>
    <xf borderId="1" fillId="3" fontId="4" numFmtId="165" xfId="0" applyAlignment="1" applyBorder="1" applyFont="1" applyNumberFormat="1">
      <alignment shrinkToFit="0" vertical="center" wrapText="0"/>
    </xf>
    <xf borderId="1" fillId="8" fontId="4" numFmtId="0" xfId="0" applyAlignment="1" applyBorder="1" applyFont="1">
      <alignment shrinkToFit="0" vertical="center" wrapText="0"/>
    </xf>
    <xf borderId="1" fillId="8" fontId="4" numFmtId="164" xfId="0" applyAlignment="1" applyBorder="1" applyFont="1" applyNumberFormat="1">
      <alignment shrinkToFit="0" vertical="center" wrapText="0"/>
    </xf>
    <xf borderId="1" fillId="8" fontId="4" numFmtId="49" xfId="0" applyAlignment="1" applyBorder="1" applyFont="1" applyNumberFormat="1">
      <alignment shrinkToFit="0" vertical="center" wrapText="0"/>
    </xf>
    <xf borderId="1" fillId="8" fontId="4" numFmtId="3" xfId="0" applyAlignment="1" applyBorder="1" applyFont="1" applyNumberFormat="1">
      <alignment shrinkToFit="0" vertical="center" wrapText="0"/>
    </xf>
    <xf borderId="1" fillId="8" fontId="4" numFmtId="166" xfId="0" applyAlignment="1" applyBorder="1" applyFont="1" applyNumberFormat="1">
      <alignment shrinkToFit="0" vertical="center" wrapText="0"/>
    </xf>
    <xf borderId="1" fillId="3" fontId="4" numFmtId="166" xfId="0" applyAlignment="1" applyBorder="1" applyFont="1" applyNumberFormat="1">
      <alignment shrinkToFit="0" vertical="center" wrapText="0"/>
    </xf>
    <xf borderId="1" fillId="8" fontId="4" numFmtId="3" xfId="0" applyAlignment="1" applyBorder="1" applyFont="1" applyNumberFormat="1">
      <alignment readingOrder="0" shrinkToFit="0" vertical="center" wrapText="0"/>
    </xf>
    <xf borderId="1" fillId="8" fontId="4" numFmtId="0" xfId="0" applyAlignment="1" applyBorder="1" applyFont="1">
      <alignment readingOrder="0" shrinkToFit="0" vertical="center" wrapText="0"/>
    </xf>
    <xf borderId="1" fillId="8" fontId="4" numFmtId="165" xfId="0" applyAlignment="1" applyBorder="1" applyFont="1" applyNumberFormat="1">
      <alignment readingOrder="0" shrinkToFit="0" vertical="center" wrapText="0"/>
    </xf>
    <xf borderId="1" fillId="8" fontId="4" numFmtId="167" xfId="0" applyAlignment="1" applyBorder="1" applyFont="1" applyNumberFormat="1">
      <alignment shrinkToFit="0" vertical="center" wrapText="0"/>
    </xf>
    <xf borderId="1" fillId="3" fontId="4" numFmtId="167" xfId="0" applyAlignment="1" applyBorder="1" applyFont="1" applyNumberFormat="1">
      <alignment shrinkToFit="0" vertical="center" wrapText="0"/>
    </xf>
    <xf borderId="1" fillId="8" fontId="4" numFmtId="165" xfId="0" applyAlignment="1" applyBorder="1" applyFont="1" applyNumberFormat="1">
      <alignment shrinkToFit="0" vertical="center" wrapText="0"/>
    </xf>
    <xf borderId="1" fillId="3" fontId="4" numFmtId="165" xfId="0" applyAlignment="1" applyBorder="1" applyFont="1" applyNumberFormat="1">
      <alignment readingOrder="0" shrinkToFit="0" vertical="center" wrapText="0"/>
    </xf>
    <xf borderId="1" fillId="3" fontId="4" numFmtId="3" xfId="0" applyAlignment="1" applyBorder="1" applyFont="1" applyNumberFormat="1">
      <alignment readingOrder="0" shrinkToFit="0" vertical="center" wrapText="0"/>
    </xf>
    <xf borderId="1" fillId="3" fontId="4" numFmtId="166" xfId="0" applyAlignment="1" applyBorder="1" applyFont="1" applyNumberFormat="1">
      <alignment readingOrder="0" shrinkToFit="0" vertical="center" wrapText="0"/>
    </xf>
    <xf borderId="0" fillId="0" fontId="4" numFmtId="0" xfId="0" applyAlignment="1" applyFont="1">
      <alignment shrinkToFit="0" vertical="bottom" wrapText="0"/>
    </xf>
    <xf borderId="1" fillId="8" fontId="4" numFmtId="166" xfId="0" applyAlignment="1" applyBorder="1" applyFont="1" applyNumberFormat="1">
      <alignment readingOrder="0" shrinkToFit="0" vertical="center" wrapText="0"/>
    </xf>
    <xf borderId="1" fillId="3" fontId="4" numFmtId="168" xfId="0" applyAlignment="1" applyBorder="1" applyFont="1" applyNumberFormat="1">
      <alignment readingOrder="0" shrinkToFit="0" vertical="center" wrapText="0"/>
    </xf>
    <xf borderId="1" fillId="8" fontId="4" numFmtId="0" xfId="0" applyAlignment="1" applyBorder="1" applyFont="1">
      <alignment readingOrder="0" shrinkToFit="0" vertical="center" wrapText="1"/>
    </xf>
    <xf borderId="1" fillId="8" fontId="4" numFmtId="168" xfId="0" applyAlignment="1" applyBorder="1" applyFont="1" applyNumberFormat="1">
      <alignment readingOrder="0" shrinkToFit="0" vertical="center" wrapText="0"/>
    </xf>
    <xf borderId="1" fillId="3" fontId="4" numFmtId="165" xfId="0" applyAlignment="1" applyBorder="1" applyFont="1" applyNumberFormat="1">
      <alignment readingOrder="0" shrinkToFit="0" vertical="center" wrapText="1"/>
    </xf>
    <xf borderId="1" fillId="8" fontId="4" numFmtId="0" xfId="0" applyAlignment="1" applyBorder="1" applyFont="1">
      <alignment horizontal="right" readingOrder="0" shrinkToFit="0" vertical="center" wrapText="0"/>
    </xf>
    <xf borderId="1" fillId="3" fontId="4" numFmtId="0" xfId="0" applyAlignment="1" applyBorder="1" applyFont="1">
      <alignment horizontal="right" readingOrder="0" shrinkToFit="0" vertical="center" wrapText="0"/>
    </xf>
    <xf borderId="1" fillId="8" fontId="4" numFmtId="169" xfId="0" applyAlignment="1" applyBorder="1" applyFont="1" applyNumberFormat="1">
      <alignment readingOrder="0" shrinkToFit="0" vertical="center" wrapText="0"/>
    </xf>
    <xf borderId="7" fillId="10" fontId="8" numFmtId="0" xfId="0" applyAlignment="1" applyBorder="1" applyFill="1" applyFont="1">
      <alignment horizontal="center" shrinkToFit="0" vertical="center" wrapText="1"/>
    </xf>
    <xf borderId="7" fillId="10" fontId="8" numFmtId="4" xfId="0" applyAlignment="1" applyBorder="1" applyFont="1" applyNumberFormat="1">
      <alignment horizontal="center" shrinkToFit="0" vertical="center" wrapText="1"/>
    </xf>
    <xf borderId="1" fillId="10" fontId="4" numFmtId="0" xfId="0" applyAlignment="1" applyBorder="1" applyFont="1">
      <alignment shrinkToFit="0" vertical="bottom" wrapText="0"/>
    </xf>
    <xf borderId="8" fillId="10" fontId="8" numFmtId="0" xfId="0" applyAlignment="1" applyBorder="1" applyFont="1">
      <alignment horizontal="center" shrinkToFit="0" vertical="center" wrapText="1"/>
    </xf>
    <xf borderId="9" fillId="10" fontId="8" numFmtId="0" xfId="0" applyAlignment="1" applyBorder="1" applyFont="1">
      <alignment horizontal="center" shrinkToFit="0" vertical="center" wrapText="1"/>
    </xf>
    <xf borderId="1" fillId="10" fontId="8" numFmtId="0" xfId="0" applyAlignment="1" applyBorder="1" applyFont="1">
      <alignment horizontal="center" shrinkToFit="0" vertical="center" wrapText="1"/>
    </xf>
    <xf borderId="7" fillId="3" fontId="5" numFmtId="164" xfId="0" applyAlignment="1" applyBorder="1" applyFont="1" applyNumberFormat="1">
      <alignment horizontal="center" shrinkToFit="0" vertical="bottom" wrapText="1"/>
    </xf>
    <xf borderId="7" fillId="3" fontId="5" numFmtId="4" xfId="0" applyAlignment="1" applyBorder="1" applyFont="1" applyNumberFormat="1">
      <alignment horizontal="center" shrinkToFit="0" vertical="bottom" wrapText="1"/>
    </xf>
    <xf borderId="7" fillId="3" fontId="4" numFmtId="170" xfId="0" applyAlignment="1" applyBorder="1" applyFont="1" applyNumberFormat="1">
      <alignment shrinkToFit="0" vertical="bottom" wrapText="0"/>
    </xf>
    <xf borderId="7" fillId="11" fontId="5" numFmtId="164" xfId="0" applyAlignment="1" applyBorder="1" applyFill="1" applyFont="1" applyNumberFormat="1">
      <alignment horizontal="center" shrinkToFit="0" vertical="bottom" wrapText="1"/>
    </xf>
    <xf borderId="7" fillId="11" fontId="5" numFmtId="4" xfId="0" applyAlignment="1" applyBorder="1" applyFont="1" applyNumberFormat="1">
      <alignment horizontal="center" shrinkToFit="0" vertical="bottom" wrapText="1"/>
    </xf>
    <xf borderId="1" fillId="11" fontId="4" numFmtId="0" xfId="0" applyAlignment="1" applyBorder="1" applyFont="1">
      <alignment shrinkToFit="0" vertical="bottom" wrapText="0"/>
    </xf>
    <xf borderId="7" fillId="11" fontId="4" numFmtId="0" xfId="0" applyAlignment="1" applyBorder="1" applyFont="1">
      <alignment shrinkToFit="0" vertical="bottom" wrapText="0"/>
    </xf>
    <xf borderId="7" fillId="11" fontId="4" numFmtId="164" xfId="0" applyAlignment="1" applyBorder="1" applyFont="1" applyNumberFormat="1">
      <alignment shrinkToFit="0" vertical="bottom" wrapText="0"/>
    </xf>
    <xf borderId="7" fillId="3" fontId="4" numFmtId="164" xfId="0" applyAlignment="1" applyBorder="1" applyFont="1" applyNumberFormat="1">
      <alignment shrinkToFit="0" vertical="bottom" wrapText="0"/>
    </xf>
    <xf borderId="7" fillId="11" fontId="4" numFmtId="0" xfId="0" applyAlignment="1" applyBorder="1" applyFont="1">
      <alignment horizontal="right" shrinkToFit="0" vertical="bottom" wrapText="0"/>
    </xf>
    <xf borderId="7" fillId="11" fontId="4" numFmtId="170" xfId="0" applyAlignment="1" applyBorder="1" applyFont="1" applyNumberFormat="1">
      <alignment shrinkToFit="0" vertical="bottom" wrapText="0"/>
    </xf>
    <xf borderId="7" fillId="12" fontId="5" numFmtId="164" xfId="0" applyAlignment="1" applyBorder="1" applyFill="1" applyFont="1" applyNumberFormat="1">
      <alignment horizontal="center" shrinkToFit="0" vertical="bottom" wrapText="1"/>
    </xf>
    <xf borderId="1" fillId="3" fontId="5" numFmtId="164" xfId="0" applyAlignment="1" applyBorder="1" applyFont="1" applyNumberFormat="1">
      <alignment horizontal="center" shrinkToFit="0" vertical="bottom" wrapText="1"/>
    </xf>
    <xf borderId="1" fillId="3" fontId="5" numFmtId="4" xfId="0" applyAlignment="1" applyBorder="1" applyFont="1" applyNumberFormat="1">
      <alignment horizontal="center" shrinkToFit="0" vertical="bottom" wrapText="1"/>
    </xf>
    <xf borderId="1" fillId="11" fontId="5" numFmtId="164" xfId="0" applyAlignment="1" applyBorder="1" applyFont="1" applyNumberFormat="1">
      <alignment horizontal="center" shrinkToFit="0" vertical="bottom" wrapText="1"/>
    </xf>
    <xf borderId="1" fillId="11" fontId="5" numFmtId="4" xfId="0" applyAlignment="1" applyBorder="1" applyFont="1" applyNumberFormat="1">
      <alignment horizontal="center" shrinkToFit="0" vertical="bottom" wrapText="1"/>
    </xf>
    <xf borderId="1" fillId="12" fontId="7" numFmtId="0" xfId="0" applyAlignment="1" applyBorder="1" applyFont="1">
      <alignment horizontal="center" shrinkToFit="0" vertical="center" wrapText="1"/>
    </xf>
    <xf borderId="1" fillId="12" fontId="7" numFmtId="49" xfId="0" applyAlignment="1" applyBorder="1" applyFont="1" applyNumberFormat="1">
      <alignment horizontal="center" shrinkToFit="0" vertical="center" wrapText="1"/>
    </xf>
    <xf borderId="1" fillId="12" fontId="7" numFmtId="4" xfId="0" applyAlignment="1" applyBorder="1" applyFont="1" applyNumberFormat="1">
      <alignment horizontal="center" shrinkToFit="0" vertical="center" wrapText="1"/>
    </xf>
    <xf borderId="1" fillId="12" fontId="15" numFmtId="9" xfId="0" applyAlignment="1" applyBorder="1" applyFont="1" applyNumberFormat="1">
      <alignment horizontal="center" shrinkToFit="0" vertical="center" wrapText="1"/>
    </xf>
    <xf borderId="1" fillId="12" fontId="15" numFmtId="0" xfId="0" applyAlignment="1" applyBorder="1" applyFon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49" xfId="0" applyAlignment="1" applyFont="1" applyNumberFormat="1">
      <alignment horizontal="center" shrinkToFit="0" vertical="center" wrapText="1"/>
    </xf>
    <xf borderId="0" fillId="0" fontId="7" numFmtId="4" xfId="0" applyAlignment="1" applyFont="1" applyNumberFormat="1">
      <alignment horizontal="center" shrinkToFit="0" vertical="center" wrapText="1"/>
    </xf>
    <xf borderId="0" fillId="0" fontId="15" numFmtId="9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4" numFmtId="4" xfId="0" applyAlignment="1" applyFont="1" applyNumberFormat="1">
      <alignment shrinkToFit="0" vertical="bottom" wrapText="0"/>
    </xf>
    <xf borderId="0" fillId="0" fontId="4" numFmtId="9" xfId="0" applyAlignment="1" applyFont="1" applyNumberFormat="1">
      <alignment shrinkToFit="0" vertical="bottom" wrapText="0"/>
    </xf>
    <xf borderId="1" fillId="13" fontId="16" numFmtId="0" xfId="0" applyAlignment="1" applyBorder="1" applyFill="1" applyFont="1">
      <alignment shrinkToFit="0" vertical="bottom" wrapText="0"/>
    </xf>
    <xf borderId="1" fillId="0" fontId="16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2" fillId="12" fontId="17" numFmtId="0" xfId="0" applyAlignment="1" applyBorder="1" applyFont="1">
      <alignment horizontal="left" shrinkToFit="0" vertical="center" wrapText="0"/>
    </xf>
    <xf borderId="10" fillId="12" fontId="18" numFmtId="0" xfId="0" applyAlignment="1" applyBorder="1" applyFont="1">
      <alignment horizontal="center" shrinkToFit="0" vertical="center" wrapText="0"/>
    </xf>
    <xf borderId="11" fillId="0" fontId="3" numFmtId="0" xfId="0" applyBorder="1" applyFont="1"/>
    <xf borderId="12" fillId="0" fontId="3" numFmtId="0" xfId="0" applyBorder="1" applyFont="1"/>
    <xf borderId="2" fillId="14" fontId="19" numFmtId="171" xfId="0" applyAlignment="1" applyBorder="1" applyFill="1" applyFont="1" applyNumberFormat="1">
      <alignment horizontal="right" shrinkToFit="0" vertical="center" wrapText="0"/>
    </xf>
    <xf borderId="10" fillId="12" fontId="20" numFmtId="0" xfId="0" applyAlignment="1" applyBorder="1" applyFont="1">
      <alignment horizontal="center" readingOrder="0" vertical="center"/>
    </xf>
    <xf borderId="2" fillId="12" fontId="21" numFmtId="0" xfId="0" applyAlignment="1" applyBorder="1" applyFont="1">
      <alignment horizontal="center" shrinkToFit="0" vertical="center" wrapText="0"/>
    </xf>
    <xf borderId="3" fillId="12" fontId="21" numFmtId="0" xfId="0" applyAlignment="1" applyBorder="1" applyFont="1">
      <alignment horizontal="center" shrinkToFit="0" vertical="center" wrapText="0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4" fillId="12" fontId="21" numFmtId="0" xfId="0" applyAlignment="1" applyBorder="1" applyFont="1">
      <alignment horizontal="center" shrinkToFit="0" vertical="center" wrapText="0"/>
    </xf>
    <xf borderId="16" fillId="0" fontId="3" numFmtId="0" xfId="0" applyBorder="1" applyFont="1"/>
    <xf borderId="17" fillId="0" fontId="3" numFmtId="0" xfId="0" applyBorder="1" applyFont="1"/>
    <xf borderId="1" fillId="12" fontId="16" numFmtId="0" xfId="0" applyAlignment="1" applyBorder="1" applyFont="1">
      <alignment shrinkToFit="0" vertical="bottom" wrapText="0"/>
    </xf>
    <xf borderId="1" fillId="12" fontId="16" numFmtId="3" xfId="0" applyAlignment="1" applyBorder="1" applyFont="1" applyNumberFormat="1">
      <alignment shrinkToFit="0" vertical="bottom" wrapText="0"/>
    </xf>
    <xf borderId="1" fillId="12" fontId="4" numFmtId="0" xfId="0" applyAlignment="1" applyBorder="1" applyFont="1">
      <alignment shrinkToFit="0" vertical="bottom" wrapText="0"/>
    </xf>
    <xf borderId="18" fillId="3" fontId="22" numFmtId="0" xfId="0" applyAlignment="1" applyBorder="1" applyFont="1">
      <alignment horizontal="center" shrinkToFit="0" vertical="bottom" wrapText="0"/>
    </xf>
    <xf borderId="19" fillId="0" fontId="3" numFmtId="0" xfId="0" applyBorder="1" applyFont="1"/>
    <xf borderId="20" fillId="0" fontId="3" numFmtId="0" xfId="0" applyBorder="1" applyFont="1"/>
    <xf borderId="1" fillId="13" fontId="23" numFmtId="9" xfId="0" applyAlignment="1" applyBorder="1" applyFont="1" applyNumberFormat="1">
      <alignment shrinkToFit="0" vertical="bottom" wrapText="0"/>
    </xf>
    <xf borderId="21" fillId="3" fontId="22" numFmtId="0" xfId="0" applyAlignment="1" applyBorder="1" applyFont="1">
      <alignment horizontal="center" shrinkToFit="0" vertical="bottom" wrapText="0"/>
    </xf>
    <xf borderId="1" fillId="13" fontId="23" numFmtId="0" xfId="0" applyAlignment="1" applyBorder="1" applyFont="1">
      <alignment shrinkToFit="0" vertical="bottom" wrapText="0"/>
    </xf>
    <xf borderId="22" fillId="3" fontId="22" numFmtId="0" xfId="0" applyAlignment="1" applyBorder="1" applyFont="1">
      <alignment horizontal="center" shrinkToFit="0" vertical="bottom" wrapText="0"/>
    </xf>
    <xf borderId="1" fillId="13" fontId="24" numFmtId="0" xfId="0" applyAlignment="1" applyBorder="1" applyFont="1">
      <alignment shrinkToFit="0" vertical="bottom" wrapText="0"/>
    </xf>
    <xf borderId="23" fillId="3" fontId="22" numFmtId="0" xfId="0" applyAlignment="1" applyBorder="1" applyFont="1">
      <alignment horizontal="center" shrinkToFit="0" vertical="bottom" wrapText="0"/>
    </xf>
    <xf borderId="1" fillId="13" fontId="25" numFmtId="0" xfId="0" applyAlignment="1" applyBorder="1" applyFont="1">
      <alignment shrinkToFit="0" vertical="bottom" wrapText="0"/>
    </xf>
    <xf borderId="2" fillId="13" fontId="26" numFmtId="0" xfId="0" applyAlignment="1" applyBorder="1" applyFont="1">
      <alignment horizontal="center" readingOrder="0"/>
    </xf>
    <xf borderId="1" fillId="15" fontId="4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  <xf borderId="1" fillId="13" fontId="27" numFmtId="0" xfId="0" applyAlignment="1" applyBorder="1" applyFont="1">
      <alignment shrinkToFit="0" vertical="bottom" wrapText="0"/>
    </xf>
    <xf borderId="24" fillId="3" fontId="28" numFmtId="10" xfId="0" applyAlignment="1" applyBorder="1" applyFont="1" applyNumberFormat="1">
      <alignment horizontal="center" shrinkToFit="0" vertical="center" wrapText="0"/>
    </xf>
    <xf borderId="25" fillId="0" fontId="3" numFmtId="0" xfId="0" applyBorder="1" applyFont="1"/>
    <xf borderId="1" fillId="13" fontId="29" numFmtId="9" xfId="0" applyAlignment="1" applyBorder="1" applyFont="1" applyNumberFormat="1">
      <alignment shrinkToFit="0" vertical="bottom" wrapText="0"/>
    </xf>
    <xf borderId="26" fillId="3" fontId="28" numFmtId="10" xfId="0" applyAlignment="1" applyBorder="1" applyFont="1" applyNumberFormat="1">
      <alignment horizontal="center" shrinkToFit="0" vertical="center" wrapText="0"/>
    </xf>
    <xf borderId="1" fillId="13" fontId="29" numFmtId="0" xfId="0" applyAlignment="1" applyBorder="1" applyFont="1">
      <alignment shrinkToFit="0" vertical="bottom" wrapText="0"/>
    </xf>
    <xf borderId="27" fillId="3" fontId="28" numFmtId="172" xfId="0" applyAlignment="1" applyBorder="1" applyFont="1" applyNumberFormat="1">
      <alignment horizontal="center" shrinkToFit="0" vertical="center" wrapText="0"/>
    </xf>
    <xf borderId="1" fillId="13" fontId="30" numFmtId="0" xfId="0" applyAlignment="1" applyBorder="1" applyFont="1">
      <alignment shrinkToFit="0" vertical="bottom" wrapText="0"/>
    </xf>
    <xf borderId="28" fillId="3" fontId="28" numFmtId="3" xfId="0" applyAlignment="1" applyBorder="1" applyFont="1" applyNumberFormat="1">
      <alignment horizontal="center" shrinkToFit="0" vertical="center" wrapText="0"/>
    </xf>
    <xf borderId="1" fillId="16" fontId="31" numFmtId="0" xfId="0" applyAlignment="1" applyBorder="1" applyFill="1" applyFont="1">
      <alignment horizontal="center" vertical="center"/>
    </xf>
    <xf borderId="1" fillId="15" fontId="32" numFmtId="0" xfId="0" applyAlignment="1" applyBorder="1" applyFont="1">
      <alignment vertical="center"/>
    </xf>
    <xf borderId="0" fillId="0" fontId="33" numFmtId="0" xfId="0" applyFont="1"/>
    <xf borderId="29" fillId="3" fontId="34" numFmtId="0" xfId="0" applyAlignment="1" applyBorder="1" applyFont="1">
      <alignment horizontal="center" shrinkToFit="0" vertical="top" wrapText="0"/>
    </xf>
    <xf borderId="30" fillId="0" fontId="3" numFmtId="0" xfId="0" applyBorder="1" applyFont="1"/>
    <xf borderId="31" fillId="0" fontId="3" numFmtId="0" xfId="0" applyBorder="1" applyFont="1"/>
    <xf borderId="1" fillId="13" fontId="35" numFmtId="0" xfId="0" applyAlignment="1" applyBorder="1" applyFont="1">
      <alignment shrinkToFit="0" vertical="bottom" wrapText="0"/>
    </xf>
    <xf borderId="32" fillId="3" fontId="34" numFmtId="0" xfId="0" applyAlignment="1" applyBorder="1" applyFont="1">
      <alignment horizontal="center" shrinkToFit="0" vertical="top" wrapText="0"/>
    </xf>
    <xf borderId="33" fillId="3" fontId="34" numFmtId="0" xfId="0" applyAlignment="1" applyBorder="1" applyFont="1">
      <alignment horizontal="center" shrinkToFit="0" vertical="top" wrapText="0"/>
    </xf>
    <xf borderId="1" fillId="13" fontId="34" numFmtId="0" xfId="0" applyAlignment="1" applyBorder="1" applyFont="1">
      <alignment shrinkToFit="0" vertical="bottom" wrapText="0"/>
    </xf>
    <xf borderId="34" fillId="3" fontId="34" numFmtId="0" xfId="0" applyAlignment="1" applyBorder="1" applyFont="1">
      <alignment horizontal="center" shrinkToFit="0" vertical="top" wrapText="0"/>
    </xf>
    <xf borderId="1" fillId="3" fontId="36" numFmtId="0" xfId="0" applyBorder="1" applyFont="1"/>
    <xf borderId="1" fillId="3" fontId="37" numFmtId="49" xfId="0" applyBorder="1" applyFont="1" applyNumberFormat="1"/>
    <xf borderId="1" fillId="3" fontId="38" numFmtId="0" xfId="0" applyBorder="1" applyFont="1"/>
    <xf borderId="1" fillId="13" fontId="39" numFmtId="0" xfId="0" applyAlignment="1" applyBorder="1" applyFont="1">
      <alignment shrinkToFit="0" vertical="bottom" wrapText="0"/>
    </xf>
    <xf borderId="35" fillId="13" fontId="40" numFmtId="0" xfId="0" applyAlignment="1" applyBorder="1" applyFont="1">
      <alignment horizontal="left" shrinkToFit="0" vertical="center" wrapText="0"/>
    </xf>
    <xf borderId="36" fillId="0" fontId="3" numFmtId="0" xfId="0" applyBorder="1" applyFont="1"/>
    <xf borderId="37" fillId="0" fontId="3" numFmtId="0" xfId="0" applyBorder="1" applyFont="1"/>
    <xf borderId="38" fillId="3" fontId="22" numFmtId="0" xfId="0" applyAlignment="1" applyBorder="1" applyFont="1">
      <alignment horizontal="center" shrinkToFit="0" vertical="center" wrapText="0"/>
    </xf>
    <xf borderId="39" fillId="0" fontId="3" numFmtId="0" xfId="0" applyBorder="1" applyFont="1"/>
    <xf borderId="40" fillId="0" fontId="3" numFmtId="0" xfId="0" applyBorder="1" applyFont="1"/>
    <xf borderId="41" fillId="3" fontId="22" numFmtId="0" xfId="0" applyAlignment="1" applyBorder="1" applyFont="1">
      <alignment horizontal="center" shrinkToFit="0" vertical="center" wrapText="0"/>
    </xf>
    <xf borderId="42" fillId="0" fontId="3" numFmtId="0" xfId="0" applyBorder="1" applyFont="1"/>
    <xf borderId="43" fillId="0" fontId="3" numFmtId="0" xfId="0" applyBorder="1" applyFont="1"/>
    <xf borderId="44" fillId="3" fontId="22" numFmtId="0" xfId="0" applyAlignment="1" applyBorder="1" applyFont="1">
      <alignment horizontal="center" shrinkToFit="0" vertical="center" wrapText="0"/>
    </xf>
    <xf borderId="45" fillId="0" fontId="3" numFmtId="0" xfId="0" applyBorder="1" applyFont="1"/>
    <xf borderId="46" fillId="0" fontId="3" numFmtId="0" xfId="0" applyBorder="1" applyFont="1"/>
    <xf borderId="47" fillId="3" fontId="22" numFmtId="0" xfId="0" applyAlignment="1" applyBorder="1" applyFont="1">
      <alignment horizontal="center" shrinkToFit="0" vertical="center" wrapText="0"/>
    </xf>
    <xf borderId="48" fillId="0" fontId="3" numFmtId="0" xfId="0" applyBorder="1" applyFont="1"/>
    <xf borderId="49" fillId="0" fontId="3" numFmtId="0" xfId="0" applyBorder="1" applyFont="1"/>
    <xf borderId="50" fillId="3" fontId="28" numFmtId="1" xfId="0" applyAlignment="1" applyBorder="1" applyFont="1" applyNumberFormat="1">
      <alignment horizontal="center" shrinkToFit="0" vertical="center" wrapText="0"/>
    </xf>
    <xf borderId="51" fillId="0" fontId="3" numFmtId="0" xfId="0" applyBorder="1" applyFont="1"/>
    <xf borderId="50" fillId="3" fontId="28" numFmtId="3" xfId="0" applyAlignment="1" applyBorder="1" applyFont="1" applyNumberFormat="1">
      <alignment horizontal="center" shrinkToFit="0" vertical="center" wrapText="0"/>
    </xf>
    <xf borderId="52" fillId="3" fontId="41" numFmtId="0" xfId="0" applyAlignment="1" applyBorder="1" applyFont="1">
      <alignment horizontal="center" shrinkToFit="0" vertical="center" wrapText="0"/>
    </xf>
    <xf borderId="53" fillId="0" fontId="3" numFmtId="0" xfId="0" applyBorder="1" applyFont="1"/>
    <xf borderId="54" fillId="0" fontId="3" numFmtId="0" xfId="0" applyBorder="1" applyFont="1"/>
    <xf borderId="1" fillId="13" fontId="16" numFmtId="173" xfId="0" applyAlignment="1" applyBorder="1" applyFont="1" applyNumberFormat="1">
      <alignment shrinkToFit="0" vertical="bottom" wrapText="0"/>
    </xf>
    <xf borderId="1" fillId="13" fontId="4" numFmtId="0" xfId="0" applyAlignment="1" applyBorder="1" applyFont="1">
      <alignment shrinkToFit="0" vertical="bottom" wrapText="0"/>
    </xf>
    <xf borderId="1" fillId="13" fontId="42" numFmtId="0" xfId="0" applyAlignment="1" applyBorder="1" applyFont="1">
      <alignment shrinkToFit="0" vertical="bottom" wrapText="0"/>
    </xf>
    <xf borderId="35" fillId="13" fontId="43" numFmtId="0" xfId="0" applyAlignment="1" applyBorder="1" applyFont="1">
      <alignment horizontal="left" shrinkToFit="0" vertical="center" wrapText="0"/>
    </xf>
    <xf borderId="1" fillId="13" fontId="5" numFmtId="0" xfId="0" applyAlignment="1" applyBorder="1" applyFont="1">
      <alignment shrinkToFit="0" vertical="bottom" wrapText="0"/>
    </xf>
    <xf borderId="0" fillId="0" fontId="44" numFmtId="0" xfId="0" applyFont="1"/>
    <xf borderId="1" fillId="13" fontId="45" numFmtId="0" xfId="0" applyAlignment="1" applyBorder="1" applyFont="1">
      <alignment shrinkToFit="0" vertical="bottom" wrapText="0"/>
    </xf>
    <xf borderId="55" fillId="3" fontId="46" numFmtId="0" xfId="0" applyAlignment="1" applyBorder="1" applyFont="1">
      <alignment horizontal="center" shrinkToFit="0" vertical="center" wrapText="0"/>
    </xf>
    <xf borderId="56" fillId="0" fontId="3" numFmtId="0" xfId="0" applyBorder="1" applyFont="1"/>
    <xf borderId="57" fillId="0" fontId="3" numFmtId="0" xfId="0" applyBorder="1" applyFont="1"/>
    <xf borderId="58" fillId="3" fontId="47" numFmtId="0" xfId="0" applyAlignment="1" applyBorder="1" applyFont="1">
      <alignment horizontal="center" shrinkToFit="0" vertical="center" wrapText="0"/>
    </xf>
    <xf borderId="59" fillId="0" fontId="3" numFmtId="0" xfId="0" applyBorder="1" applyFont="1"/>
    <xf borderId="60" fillId="0" fontId="3" numFmtId="0" xfId="0" applyBorder="1" applyFont="1"/>
    <xf borderId="1" fillId="13" fontId="48" numFmtId="0" xfId="0" applyAlignment="1" applyBorder="1" applyFont="1">
      <alignment shrinkToFit="0" vertical="bottom" wrapText="0"/>
    </xf>
    <xf borderId="0" fillId="0" fontId="49" numFmtId="0" xfId="0" applyFont="1"/>
    <xf borderId="50" fillId="3" fontId="50" numFmtId="3" xfId="0" applyAlignment="1" applyBorder="1" applyFont="1" applyNumberFormat="1">
      <alignment horizontal="center" shrinkToFit="0" vertical="center" wrapText="0"/>
    </xf>
    <xf borderId="2" fillId="3" fontId="51" numFmtId="174" xfId="0" applyAlignment="1" applyBorder="1" applyFont="1" applyNumberFormat="1">
      <alignment horizontal="center" shrinkToFit="0" vertical="center" wrapText="0"/>
    </xf>
    <xf borderId="1" fillId="13" fontId="52" numFmtId="0" xfId="0" applyAlignment="1" applyBorder="1" applyFont="1">
      <alignment shrinkToFit="0" vertical="bottom" wrapText="0"/>
    </xf>
    <xf borderId="50" fillId="3" fontId="53" numFmtId="3" xfId="0" applyAlignment="1" applyBorder="1" applyFont="1" applyNumberFormat="1">
      <alignment horizontal="center" shrinkToFit="0" vertical="center" wrapText="0"/>
    </xf>
    <xf borderId="2" fillId="3" fontId="54" numFmtId="174" xfId="0" applyAlignment="1" applyBorder="1" applyFont="1" applyNumberFormat="1">
      <alignment horizontal="center" shrinkToFit="0" vertical="center" wrapText="0"/>
    </xf>
    <xf borderId="1" fillId="3" fontId="36" numFmtId="0" xfId="0" applyAlignment="1" applyBorder="1" applyFont="1">
      <alignment vertical="center"/>
    </xf>
    <xf borderId="1" fillId="3" fontId="37" numFmtId="49" xfId="0" applyAlignment="1" applyBorder="1" applyFont="1" applyNumberFormat="1">
      <alignment vertical="center"/>
    </xf>
    <xf borderId="1" fillId="3" fontId="38" numFmtId="0" xfId="0" applyAlignment="1" applyBorder="1" applyFont="1">
      <alignment vertical="center"/>
    </xf>
    <xf borderId="1" fillId="13" fontId="55" numFmtId="0" xfId="0" applyAlignment="1" applyBorder="1" applyFont="1">
      <alignment shrinkToFit="0" vertical="bottom" wrapText="0"/>
    </xf>
    <xf borderId="50" fillId="3" fontId="56" numFmtId="0" xfId="0" applyAlignment="1" applyBorder="1" applyFont="1">
      <alignment horizontal="center" readingOrder="0" shrinkToFit="0" vertical="center" wrapText="0"/>
    </xf>
    <xf borderId="1" fillId="13" fontId="57" numFmtId="0" xfId="0" applyAlignment="1" applyBorder="1" applyFont="1">
      <alignment shrinkToFit="0" vertical="bottom" wrapText="0"/>
    </xf>
    <xf borderId="1" fillId="3" fontId="58" numFmtId="0" xfId="0" applyBorder="1" applyFont="1"/>
    <xf borderId="1" fillId="13" fontId="4" numFmtId="49" xfId="0" applyAlignment="1" applyBorder="1" applyFont="1" applyNumberFormat="1">
      <alignment vertical="bottom"/>
    </xf>
    <xf borderId="1" fillId="3" fontId="59" numFmtId="0" xfId="0" applyBorder="1" applyFont="1"/>
    <xf borderId="0" fillId="0" fontId="60" numFmtId="0" xfId="0" applyFont="1"/>
    <xf borderId="52" fillId="3" fontId="61" numFmtId="0" xfId="0" applyAlignment="1" applyBorder="1" applyFont="1">
      <alignment horizontal="left" shrinkToFit="0" vertical="center" wrapText="0"/>
    </xf>
    <xf borderId="52" fillId="3" fontId="62" numFmtId="0" xfId="0" applyAlignment="1" applyBorder="1" applyFont="1">
      <alignment horizontal="left" shrinkToFit="0" vertical="center" wrapText="0"/>
    </xf>
    <xf borderId="2" fillId="14" fontId="63" numFmtId="0" xfId="0" applyAlignment="1" applyBorder="1" applyFont="1">
      <alignment readingOrder="0"/>
    </xf>
    <xf borderId="1" fillId="15" fontId="5" numFmtId="0" xfId="0" applyAlignment="1" applyBorder="1" applyFont="1">
      <alignment vertical="bottom"/>
    </xf>
    <xf borderId="1" fillId="13" fontId="64" numFmtId="0" xfId="0" applyBorder="1" applyFont="1"/>
    <xf borderId="1" fillId="13" fontId="31" numFmtId="0" xfId="0" applyAlignment="1" applyBorder="1" applyFont="1">
      <alignment horizontal="center"/>
    </xf>
    <xf borderId="1" fillId="17" fontId="65" numFmtId="0" xfId="0" applyBorder="1" applyFill="1" applyFont="1"/>
    <xf borderId="1" fillId="17" fontId="66" numFmtId="172" xfId="0" applyAlignment="1" applyBorder="1" applyFont="1" applyNumberFormat="1">
      <alignment horizontal="center"/>
    </xf>
    <xf borderId="1" fillId="13" fontId="67" numFmtId="0" xfId="0" applyAlignment="1" applyBorder="1" applyFont="1">
      <alignment shrinkToFit="0" vertical="bottom" wrapText="0"/>
    </xf>
    <xf borderId="1" fillId="13" fontId="11" numFmtId="0" xfId="0" applyAlignment="1" applyBorder="1" applyFont="1">
      <alignment shrinkToFit="0" vertical="bottom" wrapText="0"/>
    </xf>
    <xf borderId="1" fillId="13" fontId="4" numFmtId="0" xfId="0" applyAlignment="1" applyBorder="1" applyFont="1">
      <alignment vertical="bottom"/>
    </xf>
    <xf borderId="1" fillId="17" fontId="4" numFmtId="0" xfId="0" applyAlignment="1" applyBorder="1" applyFont="1">
      <alignment vertical="bottom"/>
    </xf>
    <xf borderId="0" fillId="0" fontId="68" numFmtId="0" xfId="0" applyFont="1"/>
    <xf borderId="2" fillId="14" fontId="69" numFmtId="0" xfId="0" applyAlignment="1" applyBorder="1" applyFont="1">
      <alignment horizontal="center" shrinkToFit="0" vertical="center" wrapText="0"/>
    </xf>
    <xf borderId="61" fillId="13" fontId="70" numFmtId="0" xfId="0" applyAlignment="1" applyBorder="1" applyFont="1">
      <alignment horizontal="left" shrinkToFit="0" vertical="center" wrapText="0"/>
    </xf>
    <xf borderId="62" fillId="0" fontId="3" numFmtId="0" xfId="0" applyBorder="1" applyFont="1"/>
    <xf borderId="63" fillId="0" fontId="3" numFmtId="0" xfId="0" applyBorder="1" applyFont="1"/>
    <xf borderId="64" fillId="13" fontId="43" numFmtId="10" xfId="0" applyAlignment="1" applyBorder="1" applyFont="1" applyNumberFormat="1">
      <alignment horizontal="center" shrinkToFit="0" vertical="center" wrapText="0"/>
    </xf>
    <xf borderId="64" fillId="13" fontId="71" numFmtId="0" xfId="0" applyAlignment="1" applyBorder="1" applyFont="1">
      <alignment horizontal="center" shrinkToFit="0" vertical="center" wrapText="0"/>
    </xf>
    <xf borderId="64" fillId="13" fontId="72" numFmtId="0" xfId="0" applyAlignment="1" applyBorder="1" applyFont="1">
      <alignment horizontal="center" shrinkToFit="0" vertical="center" wrapText="0"/>
    </xf>
    <xf borderId="65" fillId="0" fontId="3" numFmtId="0" xfId="0" applyBorder="1" applyFont="1"/>
    <xf borderId="61" fillId="3" fontId="70" numFmtId="0" xfId="0" applyAlignment="1" applyBorder="1" applyFont="1">
      <alignment horizontal="left" shrinkToFit="0" vertical="center" wrapText="0"/>
    </xf>
    <xf borderId="64" fillId="3" fontId="43" numFmtId="10" xfId="0" applyAlignment="1" applyBorder="1" applyFont="1" applyNumberFormat="1">
      <alignment horizontal="center" shrinkToFit="0" vertical="center" wrapText="0"/>
    </xf>
    <xf borderId="64" fillId="3" fontId="71" numFmtId="0" xfId="0" applyAlignment="1" applyBorder="1" applyFont="1">
      <alignment horizontal="center" shrinkToFit="0" vertical="center" wrapText="0"/>
    </xf>
    <xf borderId="64" fillId="13" fontId="43" numFmtId="172" xfId="0" applyAlignment="1" applyBorder="1" applyFont="1" applyNumberFormat="1">
      <alignment horizontal="center" shrinkToFit="0" vertical="center" wrapText="0"/>
    </xf>
    <xf borderId="2" fillId="13" fontId="73" numFmtId="0" xfId="0" applyAlignment="1" applyBorder="1" applyFont="1">
      <alignment horizontal="center" shrinkToFit="0" vertical="center" wrapText="0"/>
    </xf>
    <xf borderId="2" fillId="13" fontId="74" numFmtId="0" xfId="0" applyAlignment="1" applyBorder="1" applyFont="1">
      <alignment horizontal="center"/>
    </xf>
    <xf borderId="0" fillId="0" fontId="4" numFmtId="0" xfId="0" applyAlignment="1" applyFont="1">
      <alignment horizontal="right" vertical="bottom"/>
    </xf>
    <xf borderId="0" fillId="0" fontId="4" numFmtId="173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14">
    <dxf>
      <font>
        <b/>
        <color rgb="FF000000"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FFE599"/>
          <bgColor rgb="FFFFE599"/>
        </patternFill>
      </fill>
      <border/>
    </dxf>
    <dxf>
      <font>
        <b/>
      </font>
      <fill>
        <patternFill patternType="solid">
          <fgColor rgb="FF9FC5E8"/>
          <bgColor rgb="FF9FC5E8"/>
        </patternFill>
      </fill>
      <border/>
    </dxf>
    <dxf>
      <font>
        <color rgb="FF356854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>
        <b/>
        <color rgb="FFFFFFFF"/>
      </font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85D262"/>
          <bgColor rgb="FF85D262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D9EAD3"/>
      </font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0</xdr:row>
      <xdr:rowOff>0</xdr:rowOff>
    </xdr:from>
    <xdr:ext cx="2124075" cy="1104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4.14"/>
    <col customWidth="1" min="3" max="3" width="12.29"/>
    <col customWidth="1" min="4" max="4" width="26.71"/>
    <col customWidth="1" min="5" max="5" width="53.14"/>
    <col customWidth="1" min="6" max="6" width="6.71"/>
    <col customWidth="1" min="7" max="7" width="13.86"/>
    <col customWidth="1" min="8" max="8" width="10.0"/>
    <col customWidth="1" min="9" max="11" width="10.71"/>
    <col customWidth="1" min="12" max="12" width="11.86"/>
    <col customWidth="1" min="13" max="13" width="17.71"/>
  </cols>
  <sheetData>
    <row r="1" ht="36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6" t="s">
        <v>8</v>
      </c>
      <c r="J1" s="7"/>
      <c r="K1" s="7"/>
      <c r="L1" s="8"/>
      <c r="M1" s="3" t="s">
        <v>9</v>
      </c>
    </row>
    <row r="2" ht="15.75" customHeight="1">
      <c r="A2" s="9">
        <v>25293.0</v>
      </c>
      <c r="B2" s="10">
        <v>46035.0</v>
      </c>
      <c r="C2" s="9">
        <v>163.0</v>
      </c>
      <c r="D2" s="11" t="s">
        <v>10</v>
      </c>
      <c r="E2" s="11" t="s">
        <v>11</v>
      </c>
      <c r="F2" s="12" t="s">
        <v>12</v>
      </c>
      <c r="G2" s="12">
        <v>900.0</v>
      </c>
      <c r="H2" s="13">
        <v>100.0</v>
      </c>
      <c r="I2" s="14" t="str">
        <f t="shared" ref="I2:I421" si="1">IF(OR(L2="entregado",K2="despacho",J2="en proceso"),"","ingreso")</f>
        <v/>
      </c>
      <c r="J2" s="14" t="str">
        <f>IF(OR(L2="entregado",K2="despacho"),"", IF(AND(ELABORACION!F2&lt;&gt;"-",ELABORACION!F2&lt;&gt;"PENDIENTE ELAB"),"en proceso",""))</f>
        <v/>
      </c>
      <c r="K2" s="14" t="str">
        <f>IF(L2="entregado","",IF(EXPEDICION!L2="listo para entregar","despacho",""))</f>
        <v/>
      </c>
      <c r="L2" s="14" t="str">
        <f>IF(EXPEDICION!L2="entregado", "entregado", "")</f>
        <v>entregado</v>
      </c>
      <c r="M2" s="15" t="str">
        <f>EXPEDICION!M2</f>
        <v>F26021</v>
      </c>
    </row>
    <row r="3" ht="15.75" customHeight="1">
      <c r="A3" s="16">
        <v>25294.0</v>
      </c>
      <c r="B3" s="17">
        <v>46035.0</v>
      </c>
      <c r="C3" s="16">
        <v>14297.0</v>
      </c>
      <c r="D3" s="18" t="s">
        <v>13</v>
      </c>
      <c r="E3" s="18" t="s">
        <v>14</v>
      </c>
      <c r="F3" s="19" t="s">
        <v>12</v>
      </c>
      <c r="G3" s="19">
        <v>1000.0</v>
      </c>
      <c r="H3" s="20">
        <v>105.0</v>
      </c>
      <c r="I3" s="21" t="str">
        <f t="shared" si="1"/>
        <v/>
      </c>
      <c r="J3" s="21" t="str">
        <f>IF(OR(L3="entregado",K3="despacho"),"", IF(AND(ELABORACION!F3&lt;&gt;"-",ELABORACION!F3&lt;&gt;"PENDIENTE ELAB"),"en proceso",""))</f>
        <v/>
      </c>
      <c r="K3" s="21" t="str">
        <f>IF(L3="entregado","",IF(EXPEDICION!L3="listo para entregar","despacho",""))</f>
        <v/>
      </c>
      <c r="L3" s="21" t="str">
        <f>IF(EXPEDICION!L3="entregado", "entregado", "")</f>
        <v>entregado</v>
      </c>
      <c r="M3" s="22" t="str">
        <f>EXPEDICION!M3</f>
        <v>F26031</v>
      </c>
    </row>
    <row r="4" ht="15.75" customHeight="1">
      <c r="A4" s="23">
        <v>25295.0</v>
      </c>
      <c r="B4" s="10">
        <v>46035.0</v>
      </c>
      <c r="C4" s="23">
        <v>15074.0</v>
      </c>
      <c r="D4" s="24" t="s">
        <v>15</v>
      </c>
      <c r="E4" s="24" t="s">
        <v>16</v>
      </c>
      <c r="F4" s="25" t="s">
        <v>12</v>
      </c>
      <c r="G4" s="25">
        <v>2940.0</v>
      </c>
      <c r="H4" s="26">
        <v>100.0</v>
      </c>
      <c r="I4" s="21" t="str">
        <f t="shared" si="1"/>
        <v/>
      </c>
      <c r="J4" s="21" t="str">
        <f>IF(OR(L4="entregado",K4="despacho"),"", IF(AND(ELABORACION!F4&lt;&gt;"-",ELABORACION!F4&lt;&gt;"PENDIENTE ELAB"),"en proceso",""))</f>
        <v/>
      </c>
      <c r="K4" s="21" t="str">
        <f>IF(L4="entregado","",IF(EXPEDICION!L4="listo para entregar","despacho",""))</f>
        <v/>
      </c>
      <c r="L4" s="21" t="str">
        <f>IF(EXPEDICION!L4="entregado", "entregado", "")</f>
        <v>entregado</v>
      </c>
      <c r="M4" s="27" t="str">
        <f>EXPEDICION!M4</f>
        <v>F26041</v>
      </c>
    </row>
    <row r="5" ht="15.75" customHeight="1">
      <c r="A5" s="16">
        <v>25296.0</v>
      </c>
      <c r="B5" s="17">
        <v>46035.0</v>
      </c>
      <c r="C5" s="16"/>
      <c r="D5" s="28" t="s">
        <v>17</v>
      </c>
      <c r="E5" s="18" t="s">
        <v>18</v>
      </c>
      <c r="F5" s="19" t="s">
        <v>12</v>
      </c>
      <c r="G5" s="29">
        <v>170.0</v>
      </c>
      <c r="H5" s="20">
        <v>300.0</v>
      </c>
      <c r="I5" s="21" t="str">
        <f t="shared" si="1"/>
        <v/>
      </c>
      <c r="J5" s="21" t="str">
        <f>IF(OR(L5="entregado",K5="despacho"),"", IF(AND(ELABORACION!F5&lt;&gt;"-",ELABORACION!F5&lt;&gt;"PENDIENTE ELAB"),"en proceso",""))</f>
        <v/>
      </c>
      <c r="K5" s="21" t="str">
        <f>IF(L5="entregado","",IF(EXPEDICION!L5="listo para entregar","despacho",""))</f>
        <v/>
      </c>
      <c r="L5" s="21" t="str">
        <f>IF(EXPEDICION!L5="entregado", "entregado", "")</f>
        <v>entregado</v>
      </c>
      <c r="M5" s="22" t="str">
        <f>EXPEDICION!M5</f>
        <v>Y26039</v>
      </c>
    </row>
    <row r="6" ht="15.75" customHeight="1">
      <c r="A6" s="23">
        <v>25298.0</v>
      </c>
      <c r="B6" s="10">
        <v>46042.0</v>
      </c>
      <c r="C6" s="23" t="s">
        <v>19</v>
      </c>
      <c r="D6" s="24" t="s">
        <v>20</v>
      </c>
      <c r="E6" s="24" t="s">
        <v>21</v>
      </c>
      <c r="F6" s="25" t="s">
        <v>12</v>
      </c>
      <c r="G6" s="25">
        <v>1600.0</v>
      </c>
      <c r="H6" s="26">
        <v>30.0</v>
      </c>
      <c r="I6" s="21" t="str">
        <f t="shared" si="1"/>
        <v/>
      </c>
      <c r="J6" s="21" t="str">
        <f>IF(OR(L6="entregado",K6="despacho"),"", IF(AND(ELABORACION!F6&lt;&gt;"-",ELABORACION!F6&lt;&gt;"PENDIENTE ELAB"),"en proceso",""))</f>
        <v/>
      </c>
      <c r="K6" s="21" t="str">
        <f>IF(L6="entregado","",IF(EXPEDICION!L6="listo para entregar","despacho",""))</f>
        <v/>
      </c>
      <c r="L6" s="21" t="str">
        <f>IF(EXPEDICION!L6="entregado", "entregado", "")</f>
        <v>entregado</v>
      </c>
      <c r="M6" s="27">
        <f>EXPEDICION!M6</f>
        <v>240201</v>
      </c>
    </row>
    <row r="7" ht="15.75" customHeight="1">
      <c r="A7" s="16">
        <v>25299.0</v>
      </c>
      <c r="B7" s="17">
        <v>46042.0</v>
      </c>
      <c r="C7" s="16"/>
      <c r="D7" s="18" t="s">
        <v>22</v>
      </c>
      <c r="E7" s="18" t="s">
        <v>23</v>
      </c>
      <c r="F7" s="19" t="s">
        <v>12</v>
      </c>
      <c r="G7" s="19">
        <v>300.0</v>
      </c>
      <c r="H7" s="20">
        <v>30.0</v>
      </c>
      <c r="I7" s="21" t="str">
        <f t="shared" si="1"/>
        <v/>
      </c>
      <c r="J7" s="21" t="str">
        <f>IF(OR(L7="entregado",K7="despacho"),"", IF(AND(ELABORACION!F7&lt;&gt;"-",ELABORACION!F7&lt;&gt;"PENDIENTE ELAB"),"en proceso",""))</f>
        <v/>
      </c>
      <c r="K7" s="21" t="str">
        <f>IF(L7="entregado","",IF(EXPEDICION!L7="listo para entregar","despacho",""))</f>
        <v/>
      </c>
      <c r="L7" s="21" t="str">
        <f>IF(EXPEDICION!L7="entregado", "entregado", "")</f>
        <v>entregado</v>
      </c>
      <c r="M7" s="22" t="str">
        <f>EXPEDICION!M7</f>
        <v>F26049</v>
      </c>
    </row>
    <row r="8" ht="15.75" customHeight="1">
      <c r="A8" s="23">
        <v>25300.0</v>
      </c>
      <c r="B8" s="10">
        <v>46042.0</v>
      </c>
      <c r="C8" s="23"/>
      <c r="D8" s="24" t="s">
        <v>24</v>
      </c>
      <c r="E8" s="24" t="s">
        <v>25</v>
      </c>
      <c r="F8" s="25" t="s">
        <v>12</v>
      </c>
      <c r="G8" s="25">
        <v>300.0</v>
      </c>
      <c r="H8" s="26">
        <v>200.0</v>
      </c>
      <c r="I8" s="21" t="str">
        <f t="shared" si="1"/>
        <v/>
      </c>
      <c r="J8" s="21" t="str">
        <f>IF(OR(L8="entregado",K8="despacho"),"", IF(AND(ELABORACION!F8&lt;&gt;"-",ELABORACION!F8&lt;&gt;"PENDIENTE ELAB"),"en proceso",""))</f>
        <v/>
      </c>
      <c r="K8" s="21" t="str">
        <f>IF(L8="entregado","",IF(EXPEDICION!L8="listo para entregar","despacho",""))</f>
        <v/>
      </c>
      <c r="L8" s="21" t="str">
        <f>IF(EXPEDICION!L8="entregado", "entregado", "")</f>
        <v>entregado</v>
      </c>
      <c r="M8" s="27" t="str">
        <f>EXPEDICION!M8</f>
        <v>E26087</v>
      </c>
    </row>
    <row r="9" ht="15.75" customHeight="1">
      <c r="A9" s="16">
        <v>25300.0</v>
      </c>
      <c r="B9" s="17">
        <v>46042.0</v>
      </c>
      <c r="C9" s="16"/>
      <c r="D9" s="18" t="s">
        <v>24</v>
      </c>
      <c r="E9" s="18" t="s">
        <v>26</v>
      </c>
      <c r="F9" s="19" t="s">
        <v>12</v>
      </c>
      <c r="G9" s="19">
        <v>300.0</v>
      </c>
      <c r="H9" s="20">
        <v>200.0</v>
      </c>
      <c r="I9" s="21" t="str">
        <f t="shared" si="1"/>
        <v/>
      </c>
      <c r="J9" s="21" t="str">
        <f>IF(OR(L9="entregado",K9="despacho"),"", IF(AND(ELABORACION!F9&lt;&gt;"-",ELABORACION!F9&lt;&gt;"PENDIENTE ELAB"),"en proceso",""))</f>
        <v/>
      </c>
      <c r="K9" s="21" t="str">
        <f>IF(L9="entregado","",IF(EXPEDICION!L9="listo para entregar","despacho",""))</f>
        <v/>
      </c>
      <c r="L9" s="21" t="str">
        <f>IF(EXPEDICION!L9="entregado", "entregado", "")</f>
        <v>entregado</v>
      </c>
      <c r="M9" s="22" t="str">
        <f>EXPEDICION!M9</f>
        <v>E26088</v>
      </c>
    </row>
    <row r="10" ht="15.75" customHeight="1">
      <c r="A10" s="23">
        <v>25300.0</v>
      </c>
      <c r="B10" s="10">
        <v>46042.0</v>
      </c>
      <c r="C10" s="23"/>
      <c r="D10" s="24" t="s">
        <v>24</v>
      </c>
      <c r="E10" s="24" t="s">
        <v>27</v>
      </c>
      <c r="F10" s="25" t="s">
        <v>12</v>
      </c>
      <c r="G10" s="25">
        <v>300.0</v>
      </c>
      <c r="H10" s="26">
        <v>200.0</v>
      </c>
      <c r="I10" s="21" t="str">
        <f t="shared" si="1"/>
        <v/>
      </c>
      <c r="J10" s="21" t="str">
        <f>IF(OR(L10="entregado",K10="despacho"),"", IF(AND(ELABORACION!F10&lt;&gt;"-",ELABORACION!F10&lt;&gt;"PENDIENTE ELAB"),"en proceso",""))</f>
        <v/>
      </c>
      <c r="K10" s="21" t="str">
        <f>IF(L10="entregado","",IF(EXPEDICION!L10="listo para entregar","despacho",""))</f>
        <v/>
      </c>
      <c r="L10" s="21" t="str">
        <f>IF(EXPEDICION!L10="entregado", "entregado", "")</f>
        <v>entregado</v>
      </c>
      <c r="M10" s="27" t="str">
        <f>EXPEDICION!M10</f>
        <v>E26089</v>
      </c>
    </row>
    <row r="11" ht="15.75" customHeight="1">
      <c r="A11" s="16">
        <v>25300.0</v>
      </c>
      <c r="B11" s="17">
        <v>46042.0</v>
      </c>
      <c r="C11" s="16"/>
      <c r="D11" s="18" t="s">
        <v>24</v>
      </c>
      <c r="E11" s="18" t="s">
        <v>28</v>
      </c>
      <c r="F11" s="19" t="s">
        <v>12</v>
      </c>
      <c r="G11" s="19">
        <v>300.0</v>
      </c>
      <c r="H11" s="20">
        <v>200.0</v>
      </c>
      <c r="I11" s="21" t="str">
        <f t="shared" si="1"/>
        <v/>
      </c>
      <c r="J11" s="21" t="str">
        <f>IF(OR(L11="entregado",K11="despacho"),"", IF(AND(ELABORACION!F11&lt;&gt;"-",ELABORACION!F11&lt;&gt;"PENDIENTE ELAB"),"en proceso",""))</f>
        <v/>
      </c>
      <c r="K11" s="21" t="str">
        <f>IF(L11="entregado","",IF(EXPEDICION!L11="listo para entregar","despacho",""))</f>
        <v/>
      </c>
      <c r="L11" s="21" t="str">
        <f>IF(EXPEDICION!L11="entregado", "entregado", "")</f>
        <v>entregado</v>
      </c>
      <c r="M11" s="22" t="str">
        <f>EXPEDICION!M11</f>
        <v>E26090</v>
      </c>
    </row>
    <row r="12" ht="15.75" customHeight="1">
      <c r="A12" s="23">
        <v>25300.0</v>
      </c>
      <c r="B12" s="10">
        <v>46042.0</v>
      </c>
      <c r="C12" s="23"/>
      <c r="D12" s="24" t="s">
        <v>24</v>
      </c>
      <c r="E12" s="24" t="s">
        <v>29</v>
      </c>
      <c r="F12" s="25" t="s">
        <v>12</v>
      </c>
      <c r="G12" s="25">
        <v>300.0</v>
      </c>
      <c r="H12" s="26">
        <v>200.0</v>
      </c>
      <c r="I12" s="21" t="str">
        <f t="shared" si="1"/>
        <v/>
      </c>
      <c r="J12" s="21" t="str">
        <f>IF(OR(L12="entregado",K12="despacho"),"", IF(AND(ELABORACION!F12&lt;&gt;"-",ELABORACION!F12&lt;&gt;"PENDIENTE ELAB"),"en proceso",""))</f>
        <v/>
      </c>
      <c r="K12" s="21" t="str">
        <f>IF(L12="entregado","",IF(EXPEDICION!L12="listo para entregar","despacho",""))</f>
        <v/>
      </c>
      <c r="L12" s="21" t="str">
        <f>IF(EXPEDICION!L12="entregado", "entregado", "")</f>
        <v>entregado</v>
      </c>
      <c r="M12" s="27" t="str">
        <f>EXPEDICION!M12</f>
        <v>E26091</v>
      </c>
    </row>
    <row r="13" ht="15.75" customHeight="1">
      <c r="A13" s="16">
        <v>25300.0</v>
      </c>
      <c r="B13" s="17">
        <v>46042.0</v>
      </c>
      <c r="C13" s="16"/>
      <c r="D13" s="18" t="s">
        <v>24</v>
      </c>
      <c r="E13" s="18" t="s">
        <v>30</v>
      </c>
      <c r="F13" s="19" t="s">
        <v>12</v>
      </c>
      <c r="G13" s="19">
        <v>300.0</v>
      </c>
      <c r="H13" s="20">
        <v>200.0</v>
      </c>
      <c r="I13" s="21" t="str">
        <f t="shared" si="1"/>
        <v/>
      </c>
      <c r="J13" s="21" t="str">
        <f>IF(OR(L13="entregado",K13="despacho"),"", IF(AND(ELABORACION!F13&lt;&gt;"-",ELABORACION!F13&lt;&gt;"PENDIENTE ELAB"),"en proceso",""))</f>
        <v/>
      </c>
      <c r="K13" s="21" t="str">
        <f>IF(L13="entregado","",IF(EXPEDICION!L13="listo para entregar","despacho",""))</f>
        <v/>
      </c>
      <c r="L13" s="21" t="str">
        <f>IF(EXPEDICION!L13="entregado", "entregado", "")</f>
        <v>entregado</v>
      </c>
      <c r="M13" s="22" t="str">
        <f>EXPEDICION!M13</f>
        <v>E26092</v>
      </c>
    </row>
    <row r="14" ht="15.75" customHeight="1">
      <c r="A14" s="23">
        <v>25300.0</v>
      </c>
      <c r="B14" s="10">
        <v>46042.0</v>
      </c>
      <c r="C14" s="23"/>
      <c r="D14" s="24" t="s">
        <v>24</v>
      </c>
      <c r="E14" s="24" t="s">
        <v>31</v>
      </c>
      <c r="F14" s="25" t="s">
        <v>12</v>
      </c>
      <c r="G14" s="25">
        <v>400.0</v>
      </c>
      <c r="H14" s="26">
        <v>100.0</v>
      </c>
      <c r="I14" s="21" t="str">
        <f t="shared" si="1"/>
        <v/>
      </c>
      <c r="J14" s="21" t="str">
        <f>IF(OR(L14="entregado",K14="despacho"),"", IF(AND(ELABORACION!F14&lt;&gt;"-",ELABORACION!F14&lt;&gt;"PENDIENTE ELAB"),"en proceso",""))</f>
        <v/>
      </c>
      <c r="K14" s="21" t="str">
        <f>IF(L14="entregado","",IF(EXPEDICION!L14="listo para entregar","despacho",""))</f>
        <v/>
      </c>
      <c r="L14" s="21" t="str">
        <f>IF(EXPEDICION!L14="entregado", "entregado", "")</f>
        <v>entregado</v>
      </c>
      <c r="M14" s="27" t="str">
        <f>EXPEDICION!M14</f>
        <v>M26042</v>
      </c>
    </row>
    <row r="15" ht="15.75" customHeight="1">
      <c r="A15" s="16">
        <v>25300.0</v>
      </c>
      <c r="B15" s="17">
        <v>46042.0</v>
      </c>
      <c r="C15" s="16"/>
      <c r="D15" s="18" t="s">
        <v>24</v>
      </c>
      <c r="E15" s="18" t="s">
        <v>32</v>
      </c>
      <c r="F15" s="19" t="s">
        <v>12</v>
      </c>
      <c r="G15" s="19">
        <v>400.0</v>
      </c>
      <c r="H15" s="20">
        <v>100.0</v>
      </c>
      <c r="I15" s="21" t="str">
        <f t="shared" si="1"/>
        <v/>
      </c>
      <c r="J15" s="21" t="str">
        <f>IF(OR(L15="entregado",K15="despacho"),"", IF(AND(ELABORACION!F15&lt;&gt;"-",ELABORACION!F15&lt;&gt;"PENDIENTE ELAB"),"en proceso",""))</f>
        <v/>
      </c>
      <c r="K15" s="21" t="str">
        <f>IF(L15="entregado","",IF(EXPEDICION!L15="listo para entregar","despacho",""))</f>
        <v/>
      </c>
      <c r="L15" s="21" t="str">
        <f>IF(EXPEDICION!L15="entregado", "entregado", "")</f>
        <v>entregado</v>
      </c>
      <c r="M15" s="22" t="str">
        <f>EXPEDICION!M15</f>
        <v>M26030</v>
      </c>
    </row>
    <row r="16" ht="15.75" customHeight="1">
      <c r="A16" s="23">
        <v>25301.0</v>
      </c>
      <c r="B16" s="10">
        <v>46049.0</v>
      </c>
      <c r="C16" s="23">
        <v>1708.0</v>
      </c>
      <c r="D16" s="24" t="s">
        <v>33</v>
      </c>
      <c r="E16" s="24" t="s">
        <v>34</v>
      </c>
      <c r="F16" s="25" t="s">
        <v>12</v>
      </c>
      <c r="G16" s="25">
        <v>1653.0</v>
      </c>
      <c r="H16" s="26">
        <v>30.0</v>
      </c>
      <c r="I16" s="21" t="str">
        <f t="shared" si="1"/>
        <v/>
      </c>
      <c r="J16" s="21" t="str">
        <f>IF(OR(L16="entregado",K16="despacho"),"", IF(AND(ELABORACION!F16&lt;&gt;"-",ELABORACION!F16&lt;&gt;"PENDIENTE ELAB"),"en proceso",""))</f>
        <v/>
      </c>
      <c r="K16" s="21" t="str">
        <f>IF(L16="entregado","",IF(EXPEDICION!L16="listo para entregar","despacho",""))</f>
        <v/>
      </c>
      <c r="L16" s="21" t="str">
        <f>IF(EXPEDICION!L16="entregado", "entregado", "")</f>
        <v>entregado</v>
      </c>
      <c r="M16" s="27" t="str">
        <f>EXPEDICION!M16</f>
        <v>F26048</v>
      </c>
    </row>
    <row r="17" ht="15.75" customHeight="1">
      <c r="A17" s="16">
        <v>25302.0</v>
      </c>
      <c r="B17" s="17">
        <v>46050.0</v>
      </c>
      <c r="C17" s="16">
        <v>15098.0</v>
      </c>
      <c r="D17" s="18" t="s">
        <v>15</v>
      </c>
      <c r="E17" s="18" t="s">
        <v>35</v>
      </c>
      <c r="F17" s="19" t="s">
        <v>36</v>
      </c>
      <c r="G17" s="19">
        <v>1640.0</v>
      </c>
      <c r="H17" s="20">
        <v>160.0</v>
      </c>
      <c r="I17" s="21" t="str">
        <f t="shared" si="1"/>
        <v/>
      </c>
      <c r="J17" s="21" t="str">
        <f>IF(OR(L17="entregado",K17="despacho"),"", IF(AND(ELABORACION!F17&lt;&gt;"-",ELABORACION!F17&lt;&gt;"PENDIENTE ELAB"),"en proceso",""))</f>
        <v/>
      </c>
      <c r="K17" s="21" t="str">
        <f>IF(L17="entregado","",IF(EXPEDICION!L17="listo para entregar","despacho",""))</f>
        <v/>
      </c>
      <c r="L17" s="21" t="str">
        <f>IF(EXPEDICION!L17="entregado", "entregado", "")</f>
        <v>entregado</v>
      </c>
      <c r="M17" s="22" t="str">
        <f>EXPEDICION!M17</f>
        <v/>
      </c>
    </row>
    <row r="18" ht="15.75" customHeight="1">
      <c r="A18" s="23">
        <v>25303.0</v>
      </c>
      <c r="B18" s="10">
        <v>46052.0</v>
      </c>
      <c r="C18" s="23"/>
      <c r="D18" s="24" t="s">
        <v>37</v>
      </c>
      <c r="E18" s="24" t="s">
        <v>38</v>
      </c>
      <c r="F18" s="25" t="s">
        <v>12</v>
      </c>
      <c r="G18" s="25">
        <v>1000.0</v>
      </c>
      <c r="H18" s="26">
        <v>30.0</v>
      </c>
      <c r="I18" s="21" t="str">
        <f t="shared" si="1"/>
        <v/>
      </c>
      <c r="J18" s="21" t="str">
        <f>IF(OR(L18="entregado",K18="despacho"),"", IF(AND(ELABORACION!F18&lt;&gt;"-",ELABORACION!F18&lt;&gt;"PENDIENTE ELAB"),"en proceso",""))</f>
        <v/>
      </c>
      <c r="K18" s="21" t="str">
        <f>IF(L18="entregado","",IF(EXPEDICION!L18="listo para entregar","despacho",""))</f>
        <v/>
      </c>
      <c r="L18" s="21" t="str">
        <f>IF(EXPEDICION!L18="entregado", "entregado", "")</f>
        <v>entregado</v>
      </c>
      <c r="M18" s="27" t="str">
        <f>EXPEDICION!M18</f>
        <v>E26083</v>
      </c>
    </row>
    <row r="19" ht="15.75" customHeight="1">
      <c r="A19" s="16">
        <v>25304.0</v>
      </c>
      <c r="B19" s="30">
        <v>46044.0</v>
      </c>
      <c r="C19" s="16"/>
      <c r="D19" s="18" t="s">
        <v>39</v>
      </c>
      <c r="E19" s="18" t="s">
        <v>40</v>
      </c>
      <c r="F19" s="19" t="s">
        <v>12</v>
      </c>
      <c r="G19" s="19">
        <v>500.0</v>
      </c>
      <c r="H19" s="20">
        <v>35.0</v>
      </c>
      <c r="I19" s="21" t="str">
        <f t="shared" si="1"/>
        <v/>
      </c>
      <c r="J19" s="21" t="str">
        <f>IF(OR(L19="entregado",K19="despacho"),"", IF(AND(ELABORACION!F19&lt;&gt;"-",ELABORACION!F19&lt;&gt;"PENDIENTE ELAB"),"en proceso",""))</f>
        <v/>
      </c>
      <c r="K19" s="21" t="str">
        <f>IF(L19="entregado","",IF(EXPEDICION!L19="listo para entregar","despacho",""))</f>
        <v/>
      </c>
      <c r="L19" s="21" t="str">
        <f>IF(EXPEDICION!L19="entregado", "entregado", "")</f>
        <v>entregado</v>
      </c>
      <c r="M19" s="22" t="str">
        <f>EXPEDICION!M19</f>
        <v>E26104</v>
      </c>
    </row>
    <row r="20" ht="15.75" customHeight="1">
      <c r="A20" s="23">
        <v>26001.0</v>
      </c>
      <c r="B20" s="10">
        <v>46071.0</v>
      </c>
      <c r="C20" s="23">
        <v>6433.0</v>
      </c>
      <c r="D20" s="24" t="s">
        <v>41</v>
      </c>
      <c r="E20" s="24" t="s">
        <v>42</v>
      </c>
      <c r="F20" s="25" t="s">
        <v>12</v>
      </c>
      <c r="G20" s="25">
        <v>600.0</v>
      </c>
      <c r="H20" s="26">
        <v>125.0</v>
      </c>
      <c r="I20" s="21" t="str">
        <f t="shared" si="1"/>
        <v/>
      </c>
      <c r="J20" s="21" t="str">
        <f>IF(OR(L20="entregado",K20="despacho"),"", IF(AND(ELABORACION!F20&lt;&gt;"-",ELABORACION!F20&lt;&gt;"PENDIENTE ELAB"),"en proceso",""))</f>
        <v/>
      </c>
      <c r="K20" s="21" t="str">
        <f>IF(L20="entregado","",IF(EXPEDICION!L20="listo para entregar","despacho",""))</f>
        <v/>
      </c>
      <c r="L20" s="21" t="str">
        <f>IF(EXPEDICION!L20="entregado", "entregado", "")</f>
        <v>entregado</v>
      </c>
      <c r="M20" s="27" t="str">
        <f>EXPEDICION!M20</f>
        <v>M26003</v>
      </c>
    </row>
    <row r="21" ht="15.75" customHeight="1">
      <c r="A21" s="16">
        <v>26002.0</v>
      </c>
      <c r="B21" s="17">
        <v>46052.0</v>
      </c>
      <c r="C21" s="16"/>
      <c r="D21" s="18" t="s">
        <v>37</v>
      </c>
      <c r="E21" s="18" t="s">
        <v>43</v>
      </c>
      <c r="F21" s="19" t="s">
        <v>12</v>
      </c>
      <c r="G21" s="19">
        <v>1000.0</v>
      </c>
      <c r="H21" s="20">
        <v>50.0</v>
      </c>
      <c r="I21" s="21" t="str">
        <f t="shared" si="1"/>
        <v/>
      </c>
      <c r="J21" s="21" t="str">
        <f>IF(OR(L21="entregado",K21="despacho"),"", IF(AND(ELABORACION!F21&lt;&gt;"-",ELABORACION!F21&lt;&gt;"PENDIENTE ELAB"),"en proceso",""))</f>
        <v/>
      </c>
      <c r="K21" s="21" t="str">
        <f>IF(L21="entregado","",IF(EXPEDICION!L21="listo para entregar","despacho",""))</f>
        <v/>
      </c>
      <c r="L21" s="21" t="str">
        <f>IF(EXPEDICION!L21="entregado", "entregado", "")</f>
        <v>entregado</v>
      </c>
      <c r="M21" s="22" t="str">
        <f>EXPEDICION!M21</f>
        <v>F26040</v>
      </c>
    </row>
    <row r="22" ht="15.75" customHeight="1">
      <c r="A22" s="23">
        <v>26002.0</v>
      </c>
      <c r="B22" s="10">
        <v>46052.0</v>
      </c>
      <c r="C22" s="23"/>
      <c r="D22" s="24" t="s">
        <v>37</v>
      </c>
      <c r="E22" s="24" t="s">
        <v>44</v>
      </c>
      <c r="F22" s="25" t="s">
        <v>12</v>
      </c>
      <c r="G22" s="25">
        <v>1000.0</v>
      </c>
      <c r="H22" s="26">
        <v>10.0</v>
      </c>
      <c r="I22" s="21" t="str">
        <f t="shared" si="1"/>
        <v/>
      </c>
      <c r="J22" s="21" t="str">
        <f>IF(OR(L22="entregado",K22="despacho"),"", IF(AND(ELABORACION!F22&lt;&gt;"-",ELABORACION!F22&lt;&gt;"PENDIENTE ELAB"),"en proceso",""))</f>
        <v/>
      </c>
      <c r="K22" s="21" t="str">
        <f>IF(L22="entregado","",IF(EXPEDICION!L22="listo para entregar","despacho",""))</f>
        <v/>
      </c>
      <c r="L22" s="21" t="str">
        <f>IF(EXPEDICION!L22="entregado", "entregado", "")</f>
        <v>entregado</v>
      </c>
      <c r="M22" s="27" t="str">
        <f>EXPEDICION!M22</f>
        <v>F26045</v>
      </c>
    </row>
    <row r="23" ht="15.75" customHeight="1">
      <c r="A23" s="16">
        <v>26002.0</v>
      </c>
      <c r="B23" s="17">
        <v>46052.0</v>
      </c>
      <c r="C23" s="16"/>
      <c r="D23" s="18" t="s">
        <v>37</v>
      </c>
      <c r="E23" s="18" t="s">
        <v>45</v>
      </c>
      <c r="F23" s="19" t="s">
        <v>36</v>
      </c>
      <c r="G23" s="19">
        <v>1500.0</v>
      </c>
      <c r="H23" s="20">
        <v>300.0</v>
      </c>
      <c r="I23" s="21" t="str">
        <f t="shared" si="1"/>
        <v/>
      </c>
      <c r="J23" s="21" t="str">
        <f>IF(OR(L23="entregado",K23="despacho"),"", IF(AND(ELABORACION!F23&lt;&gt;"-",ELABORACION!F23&lt;&gt;"PENDIENTE ELAB"),"en proceso",""))</f>
        <v/>
      </c>
      <c r="K23" s="21" t="str">
        <f>IF(L23="entregado","",IF(EXPEDICION!L23="listo para entregar","despacho",""))</f>
        <v/>
      </c>
      <c r="L23" s="21" t="str">
        <f>IF(EXPEDICION!L23="entregado", "entregado", "")</f>
        <v>entregado</v>
      </c>
      <c r="M23" s="22" t="str">
        <f>EXPEDICION!M23</f>
        <v>F26039</v>
      </c>
    </row>
    <row r="24" ht="15.75" customHeight="1">
      <c r="A24" s="23">
        <v>26003.0</v>
      </c>
      <c r="B24" s="10">
        <v>46043.0</v>
      </c>
      <c r="C24" s="23">
        <v>103.0</v>
      </c>
      <c r="D24" s="24" t="s">
        <v>46</v>
      </c>
      <c r="E24" s="24" t="s">
        <v>47</v>
      </c>
      <c r="F24" s="25" t="s">
        <v>36</v>
      </c>
      <c r="G24" s="25">
        <v>500.0</v>
      </c>
      <c r="H24" s="26">
        <v>90.0</v>
      </c>
      <c r="I24" s="21" t="str">
        <f t="shared" si="1"/>
        <v/>
      </c>
      <c r="J24" s="21" t="str">
        <f>IF(OR(L24="entregado",K24="despacho"),"", IF(AND(ELABORACION!F24&lt;&gt;"-",ELABORACION!F24&lt;&gt;"PENDIENTE ELAB"),"en proceso",""))</f>
        <v/>
      </c>
      <c r="K24" s="21" t="str">
        <f>IF(L24="entregado","",IF(EXPEDICION!L24="listo para entregar","despacho",""))</f>
        <v/>
      </c>
      <c r="L24" s="21" t="str">
        <f>IF(EXPEDICION!L24="entregado", "entregado", "")</f>
        <v>entregado</v>
      </c>
      <c r="M24" s="27">
        <f>EXPEDICION!M24</f>
        <v>200301</v>
      </c>
    </row>
    <row r="25" ht="15.75" customHeight="1">
      <c r="A25" s="16">
        <v>26004.0</v>
      </c>
      <c r="B25" s="17">
        <v>46066.0</v>
      </c>
      <c r="C25" s="16">
        <v>15114.0</v>
      </c>
      <c r="D25" s="18" t="s">
        <v>15</v>
      </c>
      <c r="E25" s="18" t="s">
        <v>48</v>
      </c>
      <c r="F25" s="19" t="s">
        <v>36</v>
      </c>
      <c r="G25" s="19">
        <v>3024.0</v>
      </c>
      <c r="H25" s="20">
        <v>30.0</v>
      </c>
      <c r="I25" s="21" t="str">
        <f t="shared" si="1"/>
        <v/>
      </c>
      <c r="J25" s="21" t="str">
        <f>IF(OR(L25="entregado",K25="despacho"),"", IF(AND(ELABORACION!F25&lt;&gt;"-",ELABORACION!F25&lt;&gt;"PENDIENTE ELAB"),"en proceso",""))</f>
        <v/>
      </c>
      <c r="K25" s="21" t="str">
        <f>IF(L25="entregado","",IF(EXPEDICION!L25="listo para entregar","despacho",""))</f>
        <v/>
      </c>
      <c r="L25" s="21" t="str">
        <f>IF(EXPEDICION!L25="entregado", "entregado", "")</f>
        <v>entregado</v>
      </c>
      <c r="M25" s="22" t="str">
        <f>EXPEDICION!M25</f>
        <v>M26024</v>
      </c>
    </row>
    <row r="26" ht="15.75" customHeight="1">
      <c r="A26" s="23">
        <v>26004.0</v>
      </c>
      <c r="B26" s="10">
        <v>46066.0</v>
      </c>
      <c r="C26" s="23">
        <v>15114.0</v>
      </c>
      <c r="D26" s="24" t="s">
        <v>15</v>
      </c>
      <c r="E26" s="24" t="s">
        <v>49</v>
      </c>
      <c r="F26" s="25" t="s">
        <v>36</v>
      </c>
      <c r="G26" s="25">
        <v>3024.0</v>
      </c>
      <c r="H26" s="26">
        <v>30.0</v>
      </c>
      <c r="I26" s="21" t="str">
        <f t="shared" si="1"/>
        <v/>
      </c>
      <c r="J26" s="21" t="str">
        <f>IF(OR(L26="entregado",K26="despacho"),"", IF(AND(ELABORACION!F26&lt;&gt;"-",ELABORACION!F26&lt;&gt;"PENDIENTE ELAB"),"en proceso",""))</f>
        <v/>
      </c>
      <c r="K26" s="21" t="str">
        <f>IF(L26="entregado","",IF(EXPEDICION!L26="listo para entregar","despacho",""))</f>
        <v/>
      </c>
      <c r="L26" s="21" t="str">
        <f>IF(EXPEDICION!L26="entregado", "entregado", "")</f>
        <v>entregado</v>
      </c>
      <c r="M26" s="27" t="str">
        <f>EXPEDICION!M26</f>
        <v>M26083</v>
      </c>
    </row>
    <row r="27" ht="15.75" customHeight="1">
      <c r="A27" s="16">
        <v>26004.0</v>
      </c>
      <c r="B27" s="17">
        <v>46066.0</v>
      </c>
      <c r="C27" s="16">
        <v>15114.0</v>
      </c>
      <c r="D27" s="18" t="s">
        <v>15</v>
      </c>
      <c r="E27" s="18" t="s">
        <v>50</v>
      </c>
      <c r="F27" s="19" t="s">
        <v>36</v>
      </c>
      <c r="G27" s="19">
        <v>3024.0</v>
      </c>
      <c r="H27" s="20">
        <v>30.0</v>
      </c>
      <c r="I27" s="21" t="str">
        <f t="shared" si="1"/>
        <v/>
      </c>
      <c r="J27" s="21" t="str">
        <f>IF(OR(L27="entregado",K27="despacho"),"", IF(AND(ELABORACION!F27&lt;&gt;"-",ELABORACION!F27&lt;&gt;"PENDIENTE ELAB"),"en proceso",""))</f>
        <v/>
      </c>
      <c r="K27" s="21" t="str">
        <f>IF(L27="entregado","",IF(EXPEDICION!L27="listo para entregar","despacho",""))</f>
        <v/>
      </c>
      <c r="L27" s="21" t="str">
        <f>IF(EXPEDICION!L27="entregado", "entregado", "")</f>
        <v>entregado</v>
      </c>
      <c r="M27" s="22" t="str">
        <f>EXPEDICION!M27</f>
        <v>M26022</v>
      </c>
    </row>
    <row r="28" ht="15.75" customHeight="1">
      <c r="A28" s="23">
        <v>26004.0</v>
      </c>
      <c r="B28" s="10">
        <v>46066.0</v>
      </c>
      <c r="C28" s="23">
        <v>15114.0</v>
      </c>
      <c r="D28" s="24" t="s">
        <v>15</v>
      </c>
      <c r="E28" s="24" t="s">
        <v>51</v>
      </c>
      <c r="F28" s="25" t="s">
        <v>36</v>
      </c>
      <c r="G28" s="25">
        <v>3024.0</v>
      </c>
      <c r="H28" s="26">
        <v>30.0</v>
      </c>
      <c r="I28" s="21" t="str">
        <f t="shared" si="1"/>
        <v/>
      </c>
      <c r="J28" s="21" t="str">
        <f>IF(OR(L28="entregado",K28="despacho"),"", IF(AND(ELABORACION!F28&lt;&gt;"-",ELABORACION!F28&lt;&gt;"PENDIENTE ELAB"),"en proceso",""))</f>
        <v/>
      </c>
      <c r="K28" s="21" t="str">
        <f>IF(L28="entregado","",IF(EXPEDICION!L28="listo para entregar","despacho",""))</f>
        <v/>
      </c>
      <c r="L28" s="21" t="str">
        <f>IF(EXPEDICION!L28="entregado", "entregado", "")</f>
        <v>entregado</v>
      </c>
      <c r="M28" s="27" t="str">
        <f>EXPEDICION!M28</f>
        <v>M26084</v>
      </c>
    </row>
    <row r="29" ht="15.75" customHeight="1">
      <c r="A29" s="16">
        <v>26005.0</v>
      </c>
      <c r="B29" s="17">
        <v>46071.0</v>
      </c>
      <c r="C29" s="16">
        <v>772.0</v>
      </c>
      <c r="D29" s="18" t="s">
        <v>52</v>
      </c>
      <c r="E29" s="18" t="s">
        <v>53</v>
      </c>
      <c r="F29" s="19" t="s">
        <v>36</v>
      </c>
      <c r="G29" s="19">
        <v>700.0</v>
      </c>
      <c r="H29" s="20">
        <v>400.0</v>
      </c>
      <c r="I29" s="21" t="str">
        <f t="shared" si="1"/>
        <v/>
      </c>
      <c r="J29" s="21" t="str">
        <f>IF(OR(L29="entregado",K29="despacho"),"", IF(AND(ELABORACION!F29&lt;&gt;"-",ELABORACION!F29&lt;&gt;"PENDIENTE ELAB"),"en proceso",""))</f>
        <v/>
      </c>
      <c r="K29" s="21" t="str">
        <f>IF(L29="entregado","",IF(EXPEDICION!L29="listo para entregar","despacho",""))</f>
        <v/>
      </c>
      <c r="L29" s="21" t="str">
        <f>IF(EXPEDICION!L29="entregado", "entregado", "")</f>
        <v>entregado</v>
      </c>
      <c r="M29" s="22" t="str">
        <f>EXPEDICION!M29</f>
        <v>E26064</v>
      </c>
    </row>
    <row r="30" ht="15.75" customHeight="1">
      <c r="A30" s="23">
        <v>26005.0</v>
      </c>
      <c r="B30" s="10">
        <v>46071.0</v>
      </c>
      <c r="C30" s="23">
        <v>772.0</v>
      </c>
      <c r="D30" s="24" t="s">
        <v>52</v>
      </c>
      <c r="E30" s="24" t="s">
        <v>54</v>
      </c>
      <c r="F30" s="25" t="s">
        <v>12</v>
      </c>
      <c r="G30" s="25">
        <v>300.0</v>
      </c>
      <c r="H30" s="26">
        <v>30.0</v>
      </c>
      <c r="I30" s="21" t="str">
        <f t="shared" si="1"/>
        <v/>
      </c>
      <c r="J30" s="21" t="str">
        <f>IF(OR(L30="entregado",K30="despacho"),"", IF(AND(ELABORACION!F30&lt;&gt;"-",ELABORACION!F30&lt;&gt;"PENDIENTE ELAB"),"en proceso",""))</f>
        <v/>
      </c>
      <c r="K30" s="21" t="str">
        <f>IF(L30="entregado","",IF(EXPEDICION!L30="listo para entregar","despacho",""))</f>
        <v/>
      </c>
      <c r="L30" s="21" t="str">
        <f>IF(EXPEDICION!L30="entregado", "entregado", "")</f>
        <v>entregado</v>
      </c>
      <c r="M30" s="27" t="str">
        <f>EXPEDICION!M30</f>
        <v>M26009</v>
      </c>
    </row>
    <row r="31" ht="15.75" customHeight="1">
      <c r="A31" s="16">
        <v>26005.0</v>
      </c>
      <c r="B31" s="17">
        <v>46071.0</v>
      </c>
      <c r="C31" s="16">
        <v>772.0</v>
      </c>
      <c r="D31" s="18" t="s">
        <v>52</v>
      </c>
      <c r="E31" s="18" t="s">
        <v>55</v>
      </c>
      <c r="F31" s="19" t="s">
        <v>36</v>
      </c>
      <c r="G31" s="19">
        <v>400.0</v>
      </c>
      <c r="H31" s="20">
        <v>400.0</v>
      </c>
      <c r="I31" s="21" t="str">
        <f t="shared" si="1"/>
        <v/>
      </c>
      <c r="J31" s="21" t="str">
        <f>IF(OR(L31="entregado",K31="despacho"),"", IF(AND(ELABORACION!F31&lt;&gt;"-",ELABORACION!F31&lt;&gt;"PENDIENTE ELAB"),"en proceso",""))</f>
        <v>en proceso</v>
      </c>
      <c r="K31" s="21" t="str">
        <f>IF(L31="entregado","",IF(EXPEDICION!L31="listo para entregar","despacho",""))</f>
        <v/>
      </c>
      <c r="L31" s="21" t="str">
        <f>IF(EXPEDICION!L31="entregado", "entregado", "")</f>
        <v/>
      </c>
      <c r="M31" s="22" t="str">
        <f>EXPEDICION!M31</f>
        <v/>
      </c>
    </row>
    <row r="32" ht="15.75" customHeight="1">
      <c r="A32" s="23">
        <v>26005.0</v>
      </c>
      <c r="B32" s="10">
        <v>46071.0</v>
      </c>
      <c r="C32" s="23">
        <v>772.0</v>
      </c>
      <c r="D32" s="24" t="s">
        <v>52</v>
      </c>
      <c r="E32" s="24" t="s">
        <v>56</v>
      </c>
      <c r="F32" s="25" t="s">
        <v>36</v>
      </c>
      <c r="G32" s="25">
        <v>700.0</v>
      </c>
      <c r="H32" s="26">
        <v>300.0</v>
      </c>
      <c r="I32" s="21" t="str">
        <f t="shared" si="1"/>
        <v/>
      </c>
      <c r="J32" s="21" t="str">
        <f>IF(OR(L32="entregado",K32="despacho"),"", IF(AND(ELABORACION!F32&lt;&gt;"-",ELABORACION!F32&lt;&gt;"PENDIENTE ELAB"),"en proceso",""))</f>
        <v/>
      </c>
      <c r="K32" s="21" t="str">
        <f>IF(L32="entregado","",IF(EXPEDICION!L32="listo para entregar","despacho",""))</f>
        <v/>
      </c>
      <c r="L32" s="21" t="str">
        <f>IF(EXPEDICION!L32="entregado", "entregado", "")</f>
        <v>entregado</v>
      </c>
      <c r="M32" s="27" t="str">
        <f>EXPEDICION!M32</f>
        <v>M26045</v>
      </c>
    </row>
    <row r="33" ht="15.75" customHeight="1">
      <c r="A33" s="16">
        <v>26006.0</v>
      </c>
      <c r="B33" s="17">
        <v>46071.0</v>
      </c>
      <c r="C33" s="16">
        <v>14329.0</v>
      </c>
      <c r="D33" s="18" t="s">
        <v>57</v>
      </c>
      <c r="E33" s="18" t="s">
        <v>58</v>
      </c>
      <c r="F33" s="19" t="s">
        <v>36</v>
      </c>
      <c r="G33" s="19">
        <v>3000.0</v>
      </c>
      <c r="H33" s="20">
        <v>45.0</v>
      </c>
      <c r="I33" s="21" t="str">
        <f t="shared" si="1"/>
        <v/>
      </c>
      <c r="J33" s="21" t="str">
        <f>IF(OR(L33="entregado",K33="despacho"),"", IF(AND(ELABORACION!F33&lt;&gt;"-",ELABORACION!F33&lt;&gt;"PENDIENTE ELAB"),"en proceso",""))</f>
        <v/>
      </c>
      <c r="K33" s="21" t="str">
        <f>IF(L33="entregado","",IF(EXPEDICION!L33="listo para entregar","despacho",""))</f>
        <v/>
      </c>
      <c r="L33" s="21" t="str">
        <f>IF(EXPEDICION!L33="entregado", "entregado", "")</f>
        <v>entregado</v>
      </c>
      <c r="M33" s="22" t="str">
        <f>EXPEDICION!M33</f>
        <v>M26002</v>
      </c>
    </row>
    <row r="34" ht="15.75" customHeight="1">
      <c r="A34" s="23">
        <v>26006.0</v>
      </c>
      <c r="B34" s="10">
        <v>46071.0</v>
      </c>
      <c r="C34" s="23">
        <v>14329.0</v>
      </c>
      <c r="D34" s="24" t="s">
        <v>57</v>
      </c>
      <c r="E34" s="24" t="s">
        <v>59</v>
      </c>
      <c r="F34" s="25" t="s">
        <v>36</v>
      </c>
      <c r="G34" s="25">
        <v>3000.0</v>
      </c>
      <c r="H34" s="26">
        <v>45.0</v>
      </c>
      <c r="I34" s="21" t="str">
        <f t="shared" si="1"/>
        <v/>
      </c>
      <c r="J34" s="21" t="str">
        <f>IF(OR(L34="entregado",K34="despacho"),"", IF(AND(ELABORACION!F34&lt;&gt;"-",ELABORACION!F34&lt;&gt;"PENDIENTE ELAB"),"en proceso",""))</f>
        <v/>
      </c>
      <c r="K34" s="21" t="str">
        <f>IF(L34="entregado","",IF(EXPEDICION!L34="listo para entregar","despacho",""))</f>
        <v/>
      </c>
      <c r="L34" s="21" t="str">
        <f>IF(EXPEDICION!L34="entregado", "entregado", "")</f>
        <v>entregado</v>
      </c>
      <c r="M34" s="27" t="str">
        <f>EXPEDICION!M34</f>
        <v>M26001</v>
      </c>
    </row>
    <row r="35" ht="15.75" customHeight="1">
      <c r="A35" s="16">
        <v>26007.0</v>
      </c>
      <c r="B35" s="17">
        <v>46071.0</v>
      </c>
      <c r="C35" s="16"/>
      <c r="D35" s="18" t="s">
        <v>60</v>
      </c>
      <c r="E35" s="18" t="s">
        <v>61</v>
      </c>
      <c r="F35" s="19" t="s">
        <v>36</v>
      </c>
      <c r="G35" s="19">
        <v>500.0</v>
      </c>
      <c r="H35" s="20">
        <v>300.0</v>
      </c>
      <c r="I35" s="21" t="str">
        <f t="shared" si="1"/>
        <v/>
      </c>
      <c r="J35" s="21" t="str">
        <f>IF(OR(L35="entregado",K35="despacho"),"", IF(AND(ELABORACION!F35&lt;&gt;"-",ELABORACION!F35&lt;&gt;"PENDIENTE ELAB"),"en proceso",""))</f>
        <v/>
      </c>
      <c r="K35" s="21" t="str">
        <f>IF(L35="entregado","",IF(EXPEDICION!L35="listo para entregar","despacho",""))</f>
        <v/>
      </c>
      <c r="L35" s="21" t="str">
        <f>IF(EXPEDICION!L35="entregado", "entregado", "")</f>
        <v>entregado</v>
      </c>
      <c r="M35" s="22" t="str">
        <f>EXPEDICION!M35</f>
        <v>M26007</v>
      </c>
    </row>
    <row r="36" ht="15.75" customHeight="1">
      <c r="A36" s="23">
        <v>26007.0</v>
      </c>
      <c r="B36" s="10">
        <v>46071.0</v>
      </c>
      <c r="C36" s="23"/>
      <c r="D36" s="24" t="s">
        <v>60</v>
      </c>
      <c r="E36" s="24" t="s">
        <v>62</v>
      </c>
      <c r="F36" s="25" t="s">
        <v>36</v>
      </c>
      <c r="G36" s="25">
        <v>500.0</v>
      </c>
      <c r="H36" s="26">
        <v>1000.0</v>
      </c>
      <c r="I36" s="21" t="str">
        <f t="shared" si="1"/>
        <v/>
      </c>
      <c r="J36" s="21" t="str">
        <f>IF(OR(L36="entregado",K36="despacho"),"", IF(AND(ELABORACION!F36&lt;&gt;"-",ELABORACION!F36&lt;&gt;"PENDIENTE ELAB"),"en proceso",""))</f>
        <v/>
      </c>
      <c r="K36" s="21" t="str">
        <f>IF(L36="entregado","",IF(EXPEDICION!L36="listo para entregar","despacho",""))</f>
        <v/>
      </c>
      <c r="L36" s="21" t="str">
        <f>IF(EXPEDICION!L36="entregado", "entregado", "")</f>
        <v>entregado</v>
      </c>
      <c r="M36" s="27" t="str">
        <f>EXPEDICION!M36</f>
        <v>M26007</v>
      </c>
    </row>
    <row r="37" ht="15.75" customHeight="1">
      <c r="A37" s="16">
        <v>26007.0</v>
      </c>
      <c r="B37" s="17">
        <v>46071.0</v>
      </c>
      <c r="C37" s="16"/>
      <c r="D37" s="18" t="s">
        <v>60</v>
      </c>
      <c r="E37" s="18" t="s">
        <v>63</v>
      </c>
      <c r="F37" s="19" t="s">
        <v>36</v>
      </c>
      <c r="G37" s="19">
        <v>1000.0</v>
      </c>
      <c r="H37" s="20">
        <v>300.0</v>
      </c>
      <c r="I37" s="21" t="str">
        <f t="shared" si="1"/>
        <v/>
      </c>
      <c r="J37" s="21" t="str">
        <f>IF(OR(L37="entregado",K37="despacho"),"", IF(AND(ELABORACION!F37&lt;&gt;"-",ELABORACION!F37&lt;&gt;"PENDIENTE ELAB"),"en proceso",""))</f>
        <v/>
      </c>
      <c r="K37" s="21" t="str">
        <f>IF(L37="entregado","",IF(EXPEDICION!L37="listo para entregar","despacho",""))</f>
        <v/>
      </c>
      <c r="L37" s="21" t="str">
        <f>IF(EXPEDICION!L37="entregado", "entregado", "")</f>
        <v>entregado</v>
      </c>
      <c r="M37" s="22" t="str">
        <f>EXPEDICION!M37</f>
        <v>M26008</v>
      </c>
    </row>
    <row r="38" ht="15.75" customHeight="1">
      <c r="A38" s="23">
        <v>26008.0</v>
      </c>
      <c r="B38" s="10">
        <v>46071.0</v>
      </c>
      <c r="C38" s="23" t="s">
        <v>64</v>
      </c>
      <c r="D38" s="24" t="s">
        <v>65</v>
      </c>
      <c r="E38" s="24" t="s">
        <v>66</v>
      </c>
      <c r="F38" s="25" t="s">
        <v>36</v>
      </c>
      <c r="G38" s="25">
        <v>600.0</v>
      </c>
      <c r="H38" s="26">
        <v>100.0</v>
      </c>
      <c r="I38" s="21" t="str">
        <f t="shared" si="1"/>
        <v/>
      </c>
      <c r="J38" s="21" t="str">
        <f>IF(OR(L38="entregado",K38="despacho"),"", IF(AND(ELABORACION!F38&lt;&gt;"-",ELABORACION!F38&lt;&gt;"PENDIENTE ELAB"),"en proceso",""))</f>
        <v/>
      </c>
      <c r="K38" s="21" t="str">
        <f>IF(L38="entregado","",IF(EXPEDICION!L38="listo para entregar","despacho",""))</f>
        <v/>
      </c>
      <c r="L38" s="21" t="str">
        <f>IF(EXPEDICION!L38="entregado", "entregado", "")</f>
        <v>entregado</v>
      </c>
      <c r="M38" s="27" t="str">
        <f>EXPEDICION!M38</f>
        <v>F26025</v>
      </c>
    </row>
    <row r="39" ht="15.75" customHeight="1">
      <c r="A39" s="16">
        <v>26009.0</v>
      </c>
      <c r="B39" s="17">
        <v>46071.0</v>
      </c>
      <c r="C39" s="16" t="s">
        <v>67</v>
      </c>
      <c r="D39" s="18" t="s">
        <v>68</v>
      </c>
      <c r="E39" s="18" t="s">
        <v>69</v>
      </c>
      <c r="F39" s="19" t="s">
        <v>12</v>
      </c>
      <c r="G39" s="19">
        <v>1000.0</v>
      </c>
      <c r="H39" s="20">
        <v>5.0</v>
      </c>
      <c r="I39" s="21" t="str">
        <f t="shared" si="1"/>
        <v/>
      </c>
      <c r="J39" s="21" t="str">
        <f>IF(OR(L39="entregado",K39="despacho"),"", IF(AND(ELABORACION!F39&lt;&gt;"-",ELABORACION!F39&lt;&gt;"PENDIENTE ELAB"),"en proceso",""))</f>
        <v/>
      </c>
      <c r="K39" s="21" t="str">
        <f>IF(L39="entregado","",IF(EXPEDICION!L39="listo para entregar","despacho",""))</f>
        <v/>
      </c>
      <c r="L39" s="21" t="str">
        <f>IF(EXPEDICION!L39="entregado", "entregado", "")</f>
        <v>entregado</v>
      </c>
      <c r="M39" s="22" t="str">
        <f>EXPEDICION!M39</f>
        <v>M26015</v>
      </c>
    </row>
    <row r="40" ht="15.75" customHeight="1">
      <c r="A40" s="23">
        <v>26009.0</v>
      </c>
      <c r="B40" s="10">
        <v>46071.0</v>
      </c>
      <c r="C40" s="23" t="s">
        <v>67</v>
      </c>
      <c r="D40" s="24" t="s">
        <v>68</v>
      </c>
      <c r="E40" s="24" t="s">
        <v>70</v>
      </c>
      <c r="F40" s="25" t="s">
        <v>12</v>
      </c>
      <c r="G40" s="25">
        <v>2000.0</v>
      </c>
      <c r="H40" s="26">
        <v>30.0</v>
      </c>
      <c r="I40" s="21" t="str">
        <f t="shared" si="1"/>
        <v/>
      </c>
      <c r="J40" s="21" t="str">
        <f>IF(OR(L40="entregado",K40="despacho"),"", IF(AND(ELABORACION!F40&lt;&gt;"-",ELABORACION!F40&lt;&gt;"PENDIENTE ELAB"),"en proceso",""))</f>
        <v/>
      </c>
      <c r="K40" s="21" t="str">
        <f>IF(L40="entregado","",IF(EXPEDICION!L40="listo para entregar","despacho",""))</f>
        <v/>
      </c>
      <c r="L40" s="21" t="str">
        <f>IF(EXPEDICION!L40="entregado", "entregado", "")</f>
        <v>entregado</v>
      </c>
      <c r="M40" s="27" t="str">
        <f>EXPEDICION!M40</f>
        <v>M26015</v>
      </c>
    </row>
    <row r="41" ht="15.75" customHeight="1">
      <c r="A41" s="16">
        <v>26009.0</v>
      </c>
      <c r="B41" s="17">
        <v>46071.0</v>
      </c>
      <c r="C41" s="16" t="s">
        <v>67</v>
      </c>
      <c r="D41" s="18" t="s">
        <v>68</v>
      </c>
      <c r="E41" s="18" t="s">
        <v>71</v>
      </c>
      <c r="F41" s="19" t="s">
        <v>12</v>
      </c>
      <c r="G41" s="19">
        <v>3000.0</v>
      </c>
      <c r="H41" s="20">
        <v>15.0</v>
      </c>
      <c r="I41" s="21" t="str">
        <f t="shared" si="1"/>
        <v/>
      </c>
      <c r="J41" s="21" t="str">
        <f>IF(OR(L41="entregado",K41="despacho"),"", IF(AND(ELABORACION!F41&lt;&gt;"-",ELABORACION!F41&lt;&gt;"PENDIENTE ELAB"),"en proceso",""))</f>
        <v/>
      </c>
      <c r="K41" s="21" t="str">
        <f>IF(L41="entregado","",IF(EXPEDICION!L41="listo para entregar","despacho",""))</f>
        <v/>
      </c>
      <c r="L41" s="21" t="str">
        <f>IF(EXPEDICION!L41="entregado", "entregado", "")</f>
        <v>entregado</v>
      </c>
      <c r="M41" s="22" t="str">
        <f>EXPEDICION!M41</f>
        <v>F26059</v>
      </c>
    </row>
    <row r="42" ht="15.75" customHeight="1">
      <c r="A42" s="23">
        <v>26009.0</v>
      </c>
      <c r="B42" s="10">
        <v>46071.0</v>
      </c>
      <c r="C42" s="23" t="s">
        <v>67</v>
      </c>
      <c r="D42" s="24" t="s">
        <v>68</v>
      </c>
      <c r="E42" s="24" t="s">
        <v>72</v>
      </c>
      <c r="F42" s="25" t="s">
        <v>12</v>
      </c>
      <c r="G42" s="25">
        <v>3500.0</v>
      </c>
      <c r="H42" s="26">
        <v>15.0</v>
      </c>
      <c r="I42" s="21" t="str">
        <f t="shared" si="1"/>
        <v/>
      </c>
      <c r="J42" s="21" t="str">
        <f>IF(OR(L42="entregado",K42="despacho"),"", IF(AND(ELABORACION!F42&lt;&gt;"-",ELABORACION!F42&lt;&gt;"PENDIENTE ELAB"),"en proceso",""))</f>
        <v/>
      </c>
      <c r="K42" s="21" t="str">
        <f>IF(L42="entregado","",IF(EXPEDICION!L42="listo para entregar","despacho",""))</f>
        <v/>
      </c>
      <c r="L42" s="21" t="str">
        <f>IF(EXPEDICION!L42="entregado", "entregado", "")</f>
        <v>entregado</v>
      </c>
      <c r="M42" s="27" t="str">
        <f>EXPEDICION!M42</f>
        <v>F26058</v>
      </c>
    </row>
    <row r="43" ht="15.75" customHeight="1">
      <c r="A43" s="16">
        <v>26009.0</v>
      </c>
      <c r="B43" s="17">
        <v>46071.0</v>
      </c>
      <c r="C43" s="16" t="s">
        <v>67</v>
      </c>
      <c r="D43" s="18" t="s">
        <v>68</v>
      </c>
      <c r="E43" s="18" t="s">
        <v>73</v>
      </c>
      <c r="F43" s="19" t="s">
        <v>12</v>
      </c>
      <c r="G43" s="19">
        <v>2400.0</v>
      </c>
      <c r="H43" s="20">
        <v>15.0</v>
      </c>
      <c r="I43" s="21" t="str">
        <f t="shared" si="1"/>
        <v/>
      </c>
      <c r="J43" s="21" t="str">
        <f>IF(OR(L43="entregado",K43="despacho"),"", IF(AND(ELABORACION!F43&lt;&gt;"-",ELABORACION!F43&lt;&gt;"PENDIENTE ELAB"),"en proceso",""))</f>
        <v/>
      </c>
      <c r="K43" s="21" t="str">
        <f>IF(L43="entregado","",IF(EXPEDICION!L43="listo para entregar","despacho",""))</f>
        <v/>
      </c>
      <c r="L43" s="21" t="str">
        <f>IF(EXPEDICION!L43="entregado", "entregado", "")</f>
        <v>entregado</v>
      </c>
      <c r="M43" s="22" t="str">
        <f>EXPEDICION!M43</f>
        <v>F26060</v>
      </c>
    </row>
    <row r="44" ht="15.75" customHeight="1">
      <c r="A44" s="23">
        <v>26009.0</v>
      </c>
      <c r="B44" s="10">
        <v>46071.0</v>
      </c>
      <c r="C44" s="23" t="s">
        <v>67</v>
      </c>
      <c r="D44" s="24" t="s">
        <v>68</v>
      </c>
      <c r="E44" s="24" t="s">
        <v>74</v>
      </c>
      <c r="F44" s="25" t="s">
        <v>12</v>
      </c>
      <c r="G44" s="25">
        <v>3000.0</v>
      </c>
      <c r="H44" s="26">
        <v>15.0</v>
      </c>
      <c r="I44" s="21" t="str">
        <f t="shared" si="1"/>
        <v/>
      </c>
      <c r="J44" s="21" t="str">
        <f>IF(OR(L44="entregado",K44="despacho"),"", IF(AND(ELABORACION!F44&lt;&gt;"-",ELABORACION!F44&lt;&gt;"PENDIENTE ELAB"),"en proceso",""))</f>
        <v/>
      </c>
      <c r="K44" s="21" t="str">
        <f>IF(L44="entregado","",IF(EXPEDICION!L44="listo para entregar","despacho",""))</f>
        <v/>
      </c>
      <c r="L44" s="21" t="str">
        <f>IF(EXPEDICION!L44="entregado", "entregado", "")</f>
        <v>entregado</v>
      </c>
      <c r="M44" s="27" t="str">
        <f>EXPEDICION!M44</f>
        <v>Y26017</v>
      </c>
    </row>
    <row r="45" ht="15.75" customHeight="1">
      <c r="A45" s="16">
        <v>26009.0</v>
      </c>
      <c r="B45" s="17">
        <v>46071.0</v>
      </c>
      <c r="C45" s="16" t="s">
        <v>67</v>
      </c>
      <c r="D45" s="18" t="s">
        <v>68</v>
      </c>
      <c r="E45" s="18" t="s">
        <v>75</v>
      </c>
      <c r="F45" s="19" t="s">
        <v>12</v>
      </c>
      <c r="G45" s="19">
        <v>500.0</v>
      </c>
      <c r="H45" s="20">
        <v>30.0</v>
      </c>
      <c r="I45" s="21" t="str">
        <f t="shared" si="1"/>
        <v>ingreso</v>
      </c>
      <c r="J45" s="21" t="str">
        <f>IF(OR(L45="entregado",K45="despacho"),"", IF(AND(ELABORACION!F45&lt;&gt;"-",ELABORACION!F45&lt;&gt;"PENDIENTE ELAB"),"en proceso",""))</f>
        <v/>
      </c>
      <c r="K45" s="21" t="str">
        <f>IF(L45="entregado","",IF(EXPEDICION!L45="listo para entregar","despacho",""))</f>
        <v/>
      </c>
      <c r="L45" s="21" t="str">
        <f>IF(EXPEDICION!L45="entregado", "entregado", "")</f>
        <v/>
      </c>
      <c r="M45" s="22" t="str">
        <f>EXPEDICION!M45</f>
        <v/>
      </c>
    </row>
    <row r="46" ht="15.75" customHeight="1">
      <c r="A46" s="23">
        <v>26009.0</v>
      </c>
      <c r="B46" s="10">
        <v>46071.0</v>
      </c>
      <c r="C46" s="23" t="s">
        <v>67</v>
      </c>
      <c r="D46" s="24" t="s">
        <v>68</v>
      </c>
      <c r="E46" s="24" t="s">
        <v>76</v>
      </c>
      <c r="F46" s="25" t="s">
        <v>12</v>
      </c>
      <c r="G46" s="25">
        <v>2000.0</v>
      </c>
      <c r="H46" s="26">
        <v>15.0</v>
      </c>
      <c r="I46" s="21" t="str">
        <f t="shared" si="1"/>
        <v/>
      </c>
      <c r="J46" s="21" t="str">
        <f>IF(OR(L46="entregado",K46="despacho"),"", IF(AND(ELABORACION!F46&lt;&gt;"-",ELABORACION!F46&lt;&gt;"PENDIENTE ELAB"),"en proceso",""))</f>
        <v/>
      </c>
      <c r="K46" s="21" t="str">
        <f>IF(L46="entregado","",IF(EXPEDICION!L46="listo para entregar","despacho",""))</f>
        <v/>
      </c>
      <c r="L46" s="21" t="str">
        <f>IF(EXPEDICION!L46="entregado", "entregado", "")</f>
        <v>entregado</v>
      </c>
      <c r="M46" s="27" t="str">
        <f>EXPEDICION!M46</f>
        <v>A26018</v>
      </c>
    </row>
    <row r="47" ht="15.75" customHeight="1">
      <c r="A47" s="16">
        <v>26009.0</v>
      </c>
      <c r="B47" s="17">
        <v>46071.0</v>
      </c>
      <c r="C47" s="16" t="s">
        <v>67</v>
      </c>
      <c r="D47" s="18" t="s">
        <v>68</v>
      </c>
      <c r="E47" s="18" t="s">
        <v>77</v>
      </c>
      <c r="F47" s="19" t="s">
        <v>12</v>
      </c>
      <c r="G47" s="19">
        <v>1000.0</v>
      </c>
      <c r="H47" s="20">
        <v>50.0</v>
      </c>
      <c r="I47" s="21" t="str">
        <f t="shared" si="1"/>
        <v>ingreso</v>
      </c>
      <c r="J47" s="21" t="str">
        <f>IF(OR(L47="entregado",K47="despacho"),"", IF(AND(ELABORACION!F47&lt;&gt;"-",ELABORACION!F47&lt;&gt;"PENDIENTE ELAB"),"en proceso",""))</f>
        <v/>
      </c>
      <c r="K47" s="21" t="str">
        <f>IF(L47="entregado","",IF(EXPEDICION!L47="listo para entregar","despacho",""))</f>
        <v/>
      </c>
      <c r="L47" s="21" t="str">
        <f>IF(EXPEDICION!L47="entregado", "entregado", "")</f>
        <v/>
      </c>
      <c r="M47" s="22" t="str">
        <f>EXPEDICION!M47</f>
        <v/>
      </c>
    </row>
    <row r="48" ht="15.75" customHeight="1">
      <c r="A48" s="23">
        <v>26010.0</v>
      </c>
      <c r="B48" s="10">
        <v>46071.0</v>
      </c>
      <c r="C48" s="23">
        <v>14331.0</v>
      </c>
      <c r="D48" s="24" t="s">
        <v>13</v>
      </c>
      <c r="E48" s="24" t="s">
        <v>78</v>
      </c>
      <c r="F48" s="25" t="s">
        <v>36</v>
      </c>
      <c r="G48" s="25">
        <v>2000.0</v>
      </c>
      <c r="H48" s="26">
        <v>30.0</v>
      </c>
      <c r="I48" s="21" t="str">
        <f t="shared" si="1"/>
        <v/>
      </c>
      <c r="J48" s="21" t="str">
        <f>IF(OR(L48="entregado",K48="despacho"),"", IF(AND(ELABORACION!F48&lt;&gt;"-",ELABORACION!F48&lt;&gt;"PENDIENTE ELAB"),"en proceso",""))</f>
        <v/>
      </c>
      <c r="K48" s="21" t="str">
        <f>IF(L48="entregado","",IF(EXPEDICION!L48="listo para entregar","despacho",""))</f>
        <v/>
      </c>
      <c r="L48" s="21" t="str">
        <f>IF(EXPEDICION!L48="entregado", "entregado", "")</f>
        <v>entregado</v>
      </c>
      <c r="M48" s="27" t="str">
        <f>EXPEDICION!M48</f>
        <v>Y26022</v>
      </c>
    </row>
    <row r="49" ht="15.75" customHeight="1">
      <c r="A49" s="16">
        <v>26011.0</v>
      </c>
      <c r="B49" s="17">
        <v>46072.0</v>
      </c>
      <c r="C49" s="16"/>
      <c r="D49" s="18" t="s">
        <v>79</v>
      </c>
      <c r="E49" s="18" t="s">
        <v>80</v>
      </c>
      <c r="F49" s="19" t="s">
        <v>36</v>
      </c>
      <c r="G49" s="19">
        <v>650.0</v>
      </c>
      <c r="H49" s="20">
        <v>90.0</v>
      </c>
      <c r="I49" s="21" t="str">
        <f t="shared" si="1"/>
        <v/>
      </c>
      <c r="J49" s="21" t="str">
        <f>IF(OR(L49="entregado",K49="despacho"),"", IF(AND(ELABORACION!F49&lt;&gt;"-",ELABORACION!F49&lt;&gt;"PENDIENTE ELAB"),"en proceso",""))</f>
        <v/>
      </c>
      <c r="K49" s="21" t="str">
        <f>IF(L49="entregado","",IF(EXPEDICION!L49="listo para entregar","despacho",""))</f>
        <v/>
      </c>
      <c r="L49" s="21" t="str">
        <f>IF(EXPEDICION!L49="entregado", "entregado", "")</f>
        <v>entregado</v>
      </c>
      <c r="M49" s="22" t="str">
        <f>EXPEDICION!M49</f>
        <v>F26057</v>
      </c>
    </row>
    <row r="50" ht="15.75" customHeight="1">
      <c r="A50" s="23">
        <v>26012.0</v>
      </c>
      <c r="B50" s="10">
        <v>46073.0</v>
      </c>
      <c r="C50" s="23"/>
      <c r="D50" s="24" t="s">
        <v>81</v>
      </c>
      <c r="E50" s="24" t="s">
        <v>82</v>
      </c>
      <c r="F50" s="25" t="s">
        <v>36</v>
      </c>
      <c r="G50" s="25">
        <v>2000.0</v>
      </c>
      <c r="H50" s="26">
        <v>250.0</v>
      </c>
      <c r="I50" s="21" t="str">
        <f t="shared" si="1"/>
        <v/>
      </c>
      <c r="J50" s="21" t="str">
        <f>IF(OR(L50="entregado",K50="despacho"),"", IF(AND(ELABORACION!F50&lt;&gt;"-",ELABORACION!F50&lt;&gt;"PENDIENTE ELAB"),"en proceso",""))</f>
        <v/>
      </c>
      <c r="K50" s="21" t="str">
        <f>IF(L50="entregado","",IF(EXPEDICION!L50="listo para entregar","despacho",""))</f>
        <v/>
      </c>
      <c r="L50" s="21" t="str">
        <f>IF(EXPEDICION!L50="entregado", "entregado", "")</f>
        <v>entregado</v>
      </c>
      <c r="M50" s="27" t="str">
        <f>EXPEDICION!M50</f>
        <v>F26062</v>
      </c>
    </row>
    <row r="51" ht="15.75" customHeight="1">
      <c r="A51" s="16">
        <v>26014.0</v>
      </c>
      <c r="B51" s="17">
        <v>46073.0</v>
      </c>
      <c r="C51" s="31" t="s">
        <v>83</v>
      </c>
      <c r="D51" s="18" t="s">
        <v>20</v>
      </c>
      <c r="E51" s="18" t="s">
        <v>84</v>
      </c>
      <c r="F51" s="19" t="s">
        <v>36</v>
      </c>
      <c r="G51" s="19">
        <v>1000.0</v>
      </c>
      <c r="H51" s="20">
        <v>50.0</v>
      </c>
      <c r="I51" s="21" t="str">
        <f t="shared" si="1"/>
        <v/>
      </c>
      <c r="J51" s="21" t="str">
        <f>IF(OR(L51="entregado",K51="despacho"),"", IF(AND(ELABORACION!F51&lt;&gt;"-",ELABORACION!F51&lt;&gt;"PENDIENTE ELAB"),"en proceso",""))</f>
        <v/>
      </c>
      <c r="K51" s="21" t="str">
        <f>IF(L51="entregado","",IF(EXPEDICION!L51="listo para entregar","despacho",""))</f>
        <v/>
      </c>
      <c r="L51" s="21" t="str">
        <f>IF(EXPEDICION!L51="entregado", "entregado", "")</f>
        <v>entregado</v>
      </c>
      <c r="M51" s="22">
        <f>EXPEDICION!M51</f>
        <v>270201</v>
      </c>
    </row>
    <row r="52" ht="15.75" customHeight="1">
      <c r="A52" s="23">
        <v>25298.0</v>
      </c>
      <c r="B52" s="10">
        <v>46042.0</v>
      </c>
      <c r="C52" s="23" t="s">
        <v>19</v>
      </c>
      <c r="D52" s="24" t="s">
        <v>20</v>
      </c>
      <c r="E52" s="24" t="s">
        <v>85</v>
      </c>
      <c r="F52" s="25" t="s">
        <v>36</v>
      </c>
      <c r="G52" s="25">
        <v>500.0</v>
      </c>
      <c r="H52" s="26">
        <v>250.0</v>
      </c>
      <c r="I52" s="21" t="str">
        <f t="shared" si="1"/>
        <v/>
      </c>
      <c r="J52" s="21" t="str">
        <f>IF(OR(L52="entregado",K52="despacho"),"", IF(AND(ELABORACION!F52&lt;&gt;"-",ELABORACION!F52&lt;&gt;"PENDIENTE ELAB"),"en proceso",""))</f>
        <v/>
      </c>
      <c r="K52" s="21" t="str">
        <f>IF(L52="entregado","",IF(EXPEDICION!L52="listo para entregar","despacho",""))</f>
        <v/>
      </c>
      <c r="L52" s="21" t="str">
        <f>IF(EXPEDICION!L52="entregado", "entregado", "")</f>
        <v>entregado</v>
      </c>
      <c r="M52" s="27" t="str">
        <f>EXPEDICION!M52</f>
        <v>F26023</v>
      </c>
    </row>
    <row r="53" ht="15.75" customHeight="1">
      <c r="A53" s="16">
        <v>25298.0</v>
      </c>
      <c r="B53" s="17">
        <v>46042.0</v>
      </c>
      <c r="C53" s="16" t="s">
        <v>19</v>
      </c>
      <c r="D53" s="18" t="s">
        <v>20</v>
      </c>
      <c r="E53" s="18" t="s">
        <v>86</v>
      </c>
      <c r="F53" s="19" t="s">
        <v>36</v>
      </c>
      <c r="G53" s="19">
        <v>1000.0</v>
      </c>
      <c r="H53" s="20">
        <v>30.0</v>
      </c>
      <c r="I53" s="21" t="str">
        <f t="shared" si="1"/>
        <v/>
      </c>
      <c r="J53" s="21" t="str">
        <f>IF(OR(L53="entregado",K53="despacho"),"", IF(AND(ELABORACION!F53&lt;&gt;"-",ELABORACION!F53&lt;&gt;"PENDIENTE ELAB"),"en proceso",""))</f>
        <v/>
      </c>
      <c r="K53" s="21" t="str">
        <f>IF(L53="entregado","",IF(EXPEDICION!L53="listo para entregar","despacho",""))</f>
        <v/>
      </c>
      <c r="L53" s="21" t="str">
        <f>IF(EXPEDICION!L53="entregado", "entregado", "")</f>
        <v>entregado</v>
      </c>
      <c r="M53" s="22" t="str">
        <f>EXPEDICION!M53</f>
        <v>F26022</v>
      </c>
    </row>
    <row r="54" ht="15.75" customHeight="1">
      <c r="A54" s="23">
        <v>26013.0</v>
      </c>
      <c r="B54" s="10">
        <v>46073.0</v>
      </c>
      <c r="C54" s="23"/>
      <c r="D54" s="24" t="s">
        <v>87</v>
      </c>
      <c r="E54" s="24" t="s">
        <v>82</v>
      </c>
      <c r="F54" s="25" t="s">
        <v>36</v>
      </c>
      <c r="G54" s="25">
        <v>300.0</v>
      </c>
      <c r="H54" s="26">
        <v>1000.0</v>
      </c>
      <c r="I54" s="21" t="str">
        <f t="shared" si="1"/>
        <v/>
      </c>
      <c r="J54" s="21" t="str">
        <f>IF(OR(L54="entregado",K54="despacho"),"", IF(AND(ELABORACION!F54&lt;&gt;"-",ELABORACION!F54&lt;&gt;"PENDIENTE ELAB"),"en proceso",""))</f>
        <v/>
      </c>
      <c r="K54" s="21" t="str">
        <f>IF(L54="entregado","",IF(EXPEDICION!L54="listo para entregar","despacho",""))</f>
        <v/>
      </c>
      <c r="L54" s="21" t="str">
        <f>IF(EXPEDICION!L54="entregado", "entregado", "")</f>
        <v>entregado</v>
      </c>
      <c r="M54" s="27" t="str">
        <f>EXPEDICION!M54</f>
        <v>M26004 /M26013</v>
      </c>
    </row>
    <row r="55" ht="15.75" customHeight="1">
      <c r="A55" s="16">
        <v>26014.0</v>
      </c>
      <c r="B55" s="17">
        <v>46073.0</v>
      </c>
      <c r="C55" s="16" t="s">
        <v>83</v>
      </c>
      <c r="D55" s="18" t="s">
        <v>20</v>
      </c>
      <c r="E55" s="18" t="s">
        <v>88</v>
      </c>
      <c r="F55" s="19" t="s">
        <v>36</v>
      </c>
      <c r="G55" s="19">
        <v>1000.0</v>
      </c>
      <c r="H55" s="20">
        <v>70.0</v>
      </c>
      <c r="I55" s="21" t="str">
        <f t="shared" si="1"/>
        <v/>
      </c>
      <c r="J55" s="21" t="str">
        <f>IF(OR(L55="entregado",K55="despacho"),"", IF(AND(ELABORACION!F55&lt;&gt;"-",ELABORACION!F55&lt;&gt;"PENDIENTE ELAB"),"en proceso",""))</f>
        <v/>
      </c>
      <c r="K55" s="21" t="str">
        <f>IF(L55="entregado","",IF(EXPEDICION!L55="listo para entregar","despacho",""))</f>
        <v/>
      </c>
      <c r="L55" s="21" t="str">
        <f>IF(EXPEDICION!L55="entregado", "entregado", "")</f>
        <v>entregado</v>
      </c>
      <c r="M55" s="22" t="str">
        <f>EXPEDICION!M55</f>
        <v>M26018</v>
      </c>
    </row>
    <row r="56" ht="15.75" customHeight="1">
      <c r="A56" s="23">
        <v>26014.0</v>
      </c>
      <c r="B56" s="10">
        <v>46073.0</v>
      </c>
      <c r="C56" s="23" t="s">
        <v>89</v>
      </c>
      <c r="D56" s="24" t="s">
        <v>20</v>
      </c>
      <c r="E56" s="24" t="s">
        <v>90</v>
      </c>
      <c r="F56" s="25" t="s">
        <v>36</v>
      </c>
      <c r="G56" s="25">
        <v>1000.0</v>
      </c>
      <c r="H56" s="26">
        <v>250.0</v>
      </c>
      <c r="I56" s="21" t="str">
        <f t="shared" si="1"/>
        <v/>
      </c>
      <c r="J56" s="21" t="str">
        <f>IF(OR(L56="entregado",K56="despacho"),"", IF(AND(ELABORACION!F56&lt;&gt;"-",ELABORACION!F56&lt;&gt;"PENDIENTE ELAB"),"en proceso",""))</f>
        <v/>
      </c>
      <c r="K56" s="21" t="str">
        <f>IF(L56="entregado","",IF(EXPEDICION!L56="listo para entregar","despacho",""))</f>
        <v/>
      </c>
      <c r="L56" s="21" t="str">
        <f>IF(EXPEDICION!L56="entregado", "entregado", "")</f>
        <v>entregado</v>
      </c>
      <c r="M56" s="27">
        <f>EXPEDICION!M56</f>
        <v>180302</v>
      </c>
    </row>
    <row r="57" ht="15.75" customHeight="1">
      <c r="A57" s="16">
        <v>26014.0</v>
      </c>
      <c r="B57" s="17">
        <v>46073.0</v>
      </c>
      <c r="C57" s="16" t="s">
        <v>91</v>
      </c>
      <c r="D57" s="18" t="s">
        <v>20</v>
      </c>
      <c r="E57" s="18" t="s">
        <v>92</v>
      </c>
      <c r="F57" s="19" t="s">
        <v>12</v>
      </c>
      <c r="G57" s="19">
        <v>1000.0</v>
      </c>
      <c r="H57" s="20">
        <v>30.0</v>
      </c>
      <c r="I57" s="21" t="str">
        <f t="shared" si="1"/>
        <v/>
      </c>
      <c r="J57" s="21" t="str">
        <f>IF(OR(L57="entregado",K57="despacho"),"", IF(AND(ELABORACION!F57&lt;&gt;"-",ELABORACION!F57&lt;&gt;"PENDIENTE ELAB"),"en proceso",""))</f>
        <v/>
      </c>
      <c r="K57" s="21" t="str">
        <f>IF(L57="entregado","",IF(EXPEDICION!L57="listo para entregar","despacho",""))</f>
        <v/>
      </c>
      <c r="L57" s="21" t="str">
        <f>IF(EXPEDICION!L57="entregado", "entregado", "")</f>
        <v>entregado</v>
      </c>
      <c r="M57" s="22">
        <f>EXPEDICION!M57</f>
        <v>100601</v>
      </c>
    </row>
    <row r="58" ht="15.75" customHeight="1">
      <c r="A58" s="23">
        <v>26014.0</v>
      </c>
      <c r="B58" s="10">
        <v>46073.0</v>
      </c>
      <c r="C58" s="23" t="s">
        <v>93</v>
      </c>
      <c r="D58" s="24" t="s">
        <v>20</v>
      </c>
      <c r="E58" s="24" t="s">
        <v>94</v>
      </c>
      <c r="F58" s="25" t="s">
        <v>12</v>
      </c>
      <c r="G58" s="25">
        <v>1000.0</v>
      </c>
      <c r="H58" s="26">
        <v>125.0</v>
      </c>
      <c r="I58" s="21" t="str">
        <f t="shared" si="1"/>
        <v/>
      </c>
      <c r="J58" s="21" t="str">
        <f>IF(OR(L58="entregado",K58="despacho"),"", IF(AND(ELABORACION!F58&lt;&gt;"-",ELABORACION!F58&lt;&gt;"PENDIENTE ELAB"),"en proceso",""))</f>
        <v/>
      </c>
      <c r="K58" s="21" t="str">
        <f>IF(L58="entregado","",IF(EXPEDICION!L58="listo para entregar","despacho",""))</f>
        <v/>
      </c>
      <c r="L58" s="21" t="str">
        <f>IF(EXPEDICION!L58="entregado", "entregado", "")</f>
        <v>entregado</v>
      </c>
      <c r="M58" s="27">
        <f>EXPEDICION!M58</f>
        <v>130302</v>
      </c>
    </row>
    <row r="59" ht="15.75" customHeight="1">
      <c r="A59" s="16">
        <v>26014.0</v>
      </c>
      <c r="B59" s="17">
        <v>46073.0</v>
      </c>
      <c r="C59" s="16" t="s">
        <v>95</v>
      </c>
      <c r="D59" s="18" t="s">
        <v>20</v>
      </c>
      <c r="E59" s="18" t="s">
        <v>96</v>
      </c>
      <c r="F59" s="19" t="s">
        <v>36</v>
      </c>
      <c r="G59" s="19">
        <v>1000.0</v>
      </c>
      <c r="H59" s="20">
        <v>200.0</v>
      </c>
      <c r="I59" s="21" t="str">
        <f t="shared" si="1"/>
        <v/>
      </c>
      <c r="J59" s="21" t="str">
        <f>IF(OR(L59="entregado",K59="despacho"),"", IF(AND(ELABORACION!F59&lt;&gt;"-",ELABORACION!F59&lt;&gt;"PENDIENTE ELAB"),"en proceso",""))</f>
        <v/>
      </c>
      <c r="K59" s="21" t="str">
        <f>IF(L59="entregado","",IF(EXPEDICION!L59="listo para entregar","despacho",""))</f>
        <v/>
      </c>
      <c r="L59" s="21" t="str">
        <f>IF(EXPEDICION!L59="entregado", "entregado", "")</f>
        <v>entregado</v>
      </c>
      <c r="M59" s="22" t="str">
        <f>EXPEDICION!M59</f>
        <v>M26059</v>
      </c>
    </row>
    <row r="60" ht="15.75" customHeight="1">
      <c r="A60" s="23">
        <v>26014.0</v>
      </c>
      <c r="B60" s="10">
        <v>46073.0</v>
      </c>
      <c r="C60" s="23" t="s">
        <v>97</v>
      </c>
      <c r="D60" s="24" t="s">
        <v>20</v>
      </c>
      <c r="E60" s="24" t="s">
        <v>98</v>
      </c>
      <c r="F60" s="25" t="s">
        <v>36</v>
      </c>
      <c r="G60" s="25">
        <v>1000.0</v>
      </c>
      <c r="H60" s="26">
        <v>50.0</v>
      </c>
      <c r="I60" s="21" t="str">
        <f t="shared" si="1"/>
        <v/>
      </c>
      <c r="J60" s="21" t="str">
        <f>IF(OR(L60="entregado",K60="despacho"),"", IF(AND(ELABORACION!F60&lt;&gt;"-",ELABORACION!F60&lt;&gt;"PENDIENTE ELAB"),"en proceso",""))</f>
        <v/>
      </c>
      <c r="K60" s="21" t="str">
        <f>IF(L60="entregado","",IF(EXPEDICION!L60="listo para entregar","despacho",""))</f>
        <v/>
      </c>
      <c r="L60" s="21" t="str">
        <f>IF(EXPEDICION!L60="entregado", "entregado", "")</f>
        <v>entregado</v>
      </c>
      <c r="M60" s="32">
        <f>EXPEDICION!M60</f>
        <v>120301</v>
      </c>
    </row>
    <row r="61" ht="15.75" customHeight="1">
      <c r="A61" s="16">
        <v>26015.0</v>
      </c>
      <c r="B61" s="17">
        <v>46076.0</v>
      </c>
      <c r="C61" s="16"/>
      <c r="D61" s="18" t="s">
        <v>99</v>
      </c>
      <c r="E61" s="18" t="s">
        <v>100</v>
      </c>
      <c r="F61" s="19" t="s">
        <v>36</v>
      </c>
      <c r="G61" s="19">
        <v>1050.0</v>
      </c>
      <c r="H61" s="20">
        <v>350.0</v>
      </c>
      <c r="I61" s="21" t="str">
        <f t="shared" si="1"/>
        <v/>
      </c>
      <c r="J61" s="21" t="str">
        <f>IF(OR(L61="entregado",K61="despacho"),"", IF(AND(ELABORACION!F61&lt;&gt;"-",ELABORACION!F61&lt;&gt;"PENDIENTE ELAB"),"en proceso",""))</f>
        <v/>
      </c>
      <c r="K61" s="21" t="str">
        <f>IF(L61="entregado","",IF(EXPEDICION!L61="listo para entregar","despacho",""))</f>
        <v/>
      </c>
      <c r="L61" s="21" t="str">
        <f>IF(EXPEDICION!L61="entregado", "entregado", "")</f>
        <v>entregado</v>
      </c>
      <c r="M61" s="32" t="str">
        <f>EXPEDICION!M61</f>
        <v>M26088</v>
      </c>
    </row>
    <row r="62" ht="15.75" customHeight="1">
      <c r="A62" s="23">
        <v>26016.0</v>
      </c>
      <c r="B62" s="10">
        <v>46076.0</v>
      </c>
      <c r="C62" s="23">
        <v>774.0</v>
      </c>
      <c r="D62" s="24" t="s">
        <v>52</v>
      </c>
      <c r="E62" s="24" t="s">
        <v>101</v>
      </c>
      <c r="F62" s="25" t="s">
        <v>12</v>
      </c>
      <c r="G62" s="25">
        <v>250.0</v>
      </c>
      <c r="H62" s="26">
        <v>30.0</v>
      </c>
      <c r="I62" s="21" t="str">
        <f t="shared" si="1"/>
        <v/>
      </c>
      <c r="J62" s="21" t="str">
        <f>IF(OR(L62="entregado",K62="despacho"),"", IF(AND(ELABORACION!F62&lt;&gt;"-",ELABORACION!F62&lt;&gt;"PENDIENTE ELAB"),"en proceso",""))</f>
        <v/>
      </c>
      <c r="K62" s="21" t="str">
        <f>IF(L62="entregado","",IF(EXPEDICION!L62="listo para entregar","despacho",""))</f>
        <v/>
      </c>
      <c r="L62" s="21" t="str">
        <f>IF(EXPEDICION!L62="entregado", "entregado", "")</f>
        <v>entregado</v>
      </c>
      <c r="M62" s="32" t="str">
        <f>EXPEDICION!M62</f>
        <v>M26040</v>
      </c>
    </row>
    <row r="63" ht="15.75" customHeight="1">
      <c r="A63" s="16">
        <v>26016.0</v>
      </c>
      <c r="B63" s="17">
        <v>46076.0</v>
      </c>
      <c r="C63" s="16">
        <v>774.0</v>
      </c>
      <c r="D63" s="18" t="s">
        <v>52</v>
      </c>
      <c r="E63" s="18" t="s">
        <v>102</v>
      </c>
      <c r="F63" s="19" t="s">
        <v>12</v>
      </c>
      <c r="G63" s="19">
        <v>300.0</v>
      </c>
      <c r="H63" s="20">
        <v>150.0</v>
      </c>
      <c r="I63" s="21" t="str">
        <f t="shared" si="1"/>
        <v/>
      </c>
      <c r="J63" s="21" t="str">
        <f>IF(OR(L63="entregado",K63="despacho"),"", IF(AND(ELABORACION!F63&lt;&gt;"-",ELABORACION!F63&lt;&gt;"PENDIENTE ELAB"),"en proceso",""))</f>
        <v/>
      </c>
      <c r="K63" s="21" t="str">
        <f>IF(L63="entregado","",IF(EXPEDICION!L63="listo para entregar","despacho",""))</f>
        <v/>
      </c>
      <c r="L63" s="21" t="str">
        <f>IF(EXPEDICION!L63="entregado", "entregado", "")</f>
        <v>entregado</v>
      </c>
      <c r="M63" s="32" t="str">
        <f>EXPEDICION!M63</f>
        <v>M26041</v>
      </c>
    </row>
    <row r="64" ht="15.75" customHeight="1">
      <c r="A64" s="23">
        <v>26017.0</v>
      </c>
      <c r="B64" s="10">
        <v>46076.0</v>
      </c>
      <c r="C64" s="23"/>
      <c r="D64" s="24" t="s">
        <v>22</v>
      </c>
      <c r="E64" s="24" t="s">
        <v>103</v>
      </c>
      <c r="F64" s="25" t="s">
        <v>12</v>
      </c>
      <c r="G64" s="25">
        <v>480.0</v>
      </c>
      <c r="H64" s="26">
        <v>15.0</v>
      </c>
      <c r="I64" s="21" t="str">
        <f t="shared" si="1"/>
        <v/>
      </c>
      <c r="J64" s="21" t="str">
        <f>IF(OR(L64="entregado",K64="despacho"),"", IF(AND(ELABORACION!F64&lt;&gt;"-",ELABORACION!F64&lt;&gt;"PENDIENTE ELAB"),"en proceso",""))</f>
        <v/>
      </c>
      <c r="K64" s="21" t="str">
        <f>IF(L64="entregado","",IF(EXPEDICION!L64="listo para entregar","despacho",""))</f>
        <v/>
      </c>
      <c r="L64" s="21" t="str">
        <f>IF(EXPEDICION!L64="entregado", "entregado", "")</f>
        <v>entregado</v>
      </c>
      <c r="M64" s="32" t="str">
        <f>EXPEDICION!M64</f>
        <v>M26027</v>
      </c>
    </row>
    <row r="65" ht="15.75" customHeight="1">
      <c r="A65" s="16">
        <v>26017.0</v>
      </c>
      <c r="B65" s="17">
        <v>46076.0</v>
      </c>
      <c r="C65" s="16"/>
      <c r="D65" s="18" t="s">
        <v>22</v>
      </c>
      <c r="E65" s="18" t="s">
        <v>104</v>
      </c>
      <c r="F65" s="19" t="s">
        <v>12</v>
      </c>
      <c r="G65" s="19">
        <v>500.0</v>
      </c>
      <c r="H65" s="20">
        <v>200.0</v>
      </c>
      <c r="I65" s="21" t="str">
        <f t="shared" si="1"/>
        <v/>
      </c>
      <c r="J65" s="21" t="str">
        <f>IF(OR(L65="entregado",K65="despacho"),"", IF(AND(ELABORACION!F65&lt;&gt;"-",ELABORACION!F65&lt;&gt;"PENDIENTE ELAB"),"en proceso",""))</f>
        <v/>
      </c>
      <c r="K65" s="21" t="str">
        <f>IF(L65="entregado","",IF(EXPEDICION!L65="listo para entregar","despacho",""))</f>
        <v/>
      </c>
      <c r="L65" s="21" t="str">
        <f>IF(EXPEDICION!L65="entregado", "entregado", "")</f>
        <v>entregado</v>
      </c>
      <c r="M65" s="32" t="str">
        <f>EXPEDICION!M65</f>
        <v>M26011</v>
      </c>
    </row>
    <row r="66" ht="15.75" customHeight="1">
      <c r="A66" s="23">
        <v>26017.0</v>
      </c>
      <c r="B66" s="10">
        <v>46076.0</v>
      </c>
      <c r="C66" s="23"/>
      <c r="D66" s="24" t="s">
        <v>22</v>
      </c>
      <c r="E66" s="24" t="s">
        <v>105</v>
      </c>
      <c r="F66" s="25" t="s">
        <v>12</v>
      </c>
      <c r="G66" s="25">
        <v>300.0</v>
      </c>
      <c r="H66" s="26">
        <v>30.0</v>
      </c>
      <c r="I66" s="21" t="str">
        <f t="shared" si="1"/>
        <v/>
      </c>
      <c r="J66" s="21" t="str">
        <f>IF(OR(L66="entregado",K66="despacho"),"", IF(AND(ELABORACION!F66&lt;&gt;"-",ELABORACION!F66&lt;&gt;"PENDIENTE ELAB"),"en proceso",""))</f>
        <v/>
      </c>
      <c r="K66" s="21" t="str">
        <f>IF(L66="entregado","",IF(EXPEDICION!L66="listo para entregar","despacho",""))</f>
        <v/>
      </c>
      <c r="L66" s="21" t="str">
        <f>IF(EXPEDICION!L66="entregado", "entregado", "")</f>
        <v>entregado</v>
      </c>
      <c r="M66" s="32" t="str">
        <f>EXPEDICION!M66</f>
        <v>M26026</v>
      </c>
    </row>
    <row r="67" ht="15.75" customHeight="1">
      <c r="A67" s="16">
        <v>26017.0</v>
      </c>
      <c r="B67" s="17">
        <v>46076.0</v>
      </c>
      <c r="C67" s="16"/>
      <c r="D67" s="18" t="s">
        <v>22</v>
      </c>
      <c r="E67" s="18" t="s">
        <v>106</v>
      </c>
      <c r="F67" s="19" t="s">
        <v>12</v>
      </c>
      <c r="G67" s="19">
        <v>1000.0</v>
      </c>
      <c r="H67" s="20">
        <v>200.0</v>
      </c>
      <c r="I67" s="21" t="str">
        <f t="shared" si="1"/>
        <v/>
      </c>
      <c r="J67" s="21" t="str">
        <f>IF(OR(L67="entregado",K67="despacho"),"", IF(AND(ELABORACION!F67&lt;&gt;"-",ELABORACION!F67&lt;&gt;"PENDIENTE ELAB"),"en proceso",""))</f>
        <v/>
      </c>
      <c r="K67" s="21" t="str">
        <f>IF(L67="entregado","",IF(EXPEDICION!L67="listo para entregar","despacho",""))</f>
        <v/>
      </c>
      <c r="L67" s="21" t="str">
        <f>IF(EXPEDICION!L67="entregado", "entregado", "")</f>
        <v>entregado</v>
      </c>
      <c r="M67" s="32" t="str">
        <f>EXPEDICION!M67</f>
        <v>M26012</v>
      </c>
    </row>
    <row r="68" ht="15.75" customHeight="1">
      <c r="A68" s="23">
        <v>26018.0</v>
      </c>
      <c r="B68" s="10">
        <v>46063.0</v>
      </c>
      <c r="C68" s="23">
        <v>15125.0</v>
      </c>
      <c r="D68" s="24" t="s">
        <v>15</v>
      </c>
      <c r="E68" s="24" t="s">
        <v>107</v>
      </c>
      <c r="F68" s="25" t="s">
        <v>36</v>
      </c>
      <c r="G68" s="25">
        <v>2100.0</v>
      </c>
      <c r="H68" s="26">
        <v>30.0</v>
      </c>
      <c r="I68" s="21" t="str">
        <f t="shared" si="1"/>
        <v/>
      </c>
      <c r="J68" s="21" t="str">
        <f>IF(OR(L68="entregado",K68="despacho"),"", IF(AND(ELABORACION!F68&lt;&gt;"-",ELABORACION!F68&lt;&gt;"PENDIENTE ELAB"),"en proceso",""))</f>
        <v/>
      </c>
      <c r="K68" s="21" t="str">
        <f>IF(L68="entregado","",IF(EXPEDICION!L68="listo para entregar","despacho",""))</f>
        <v/>
      </c>
      <c r="L68" s="21" t="str">
        <f>IF(EXPEDICION!L68="entregado", "entregado", "")</f>
        <v>entregado</v>
      </c>
      <c r="M68" s="32" t="str">
        <f>EXPEDICION!M68</f>
        <v>M26023</v>
      </c>
    </row>
    <row r="69" ht="15.75" customHeight="1">
      <c r="A69" s="16">
        <v>26018.0</v>
      </c>
      <c r="B69" s="17">
        <v>46063.0</v>
      </c>
      <c r="C69" s="16">
        <v>15125.0</v>
      </c>
      <c r="D69" s="18" t="s">
        <v>15</v>
      </c>
      <c r="E69" s="18" t="s">
        <v>108</v>
      </c>
      <c r="F69" s="19" t="s">
        <v>36</v>
      </c>
      <c r="G69" s="19">
        <v>2100.0</v>
      </c>
      <c r="H69" s="20">
        <v>30.0</v>
      </c>
      <c r="I69" s="21" t="str">
        <f t="shared" si="1"/>
        <v/>
      </c>
      <c r="J69" s="21" t="str">
        <f>IF(OR(L69="entregado",K69="despacho"),"", IF(AND(ELABORACION!F69&lt;&gt;"-",ELABORACION!F69&lt;&gt;"PENDIENTE ELAB"),"en proceso",""))</f>
        <v/>
      </c>
      <c r="K69" s="21" t="str">
        <f>IF(L69="entregado","",IF(EXPEDICION!L69="listo para entregar","despacho",""))</f>
        <v/>
      </c>
      <c r="L69" s="21" t="str">
        <f>IF(EXPEDICION!L69="entregado", "entregado", "")</f>
        <v>entregado</v>
      </c>
      <c r="M69" s="32" t="str">
        <f>EXPEDICION!M69</f>
        <v>M26021</v>
      </c>
    </row>
    <row r="70" ht="15.75" customHeight="1">
      <c r="A70" s="23">
        <v>26019.0</v>
      </c>
      <c r="B70" s="10">
        <v>46076.0</v>
      </c>
      <c r="C70" s="23">
        <v>775.0</v>
      </c>
      <c r="D70" s="24" t="s">
        <v>52</v>
      </c>
      <c r="E70" s="24" t="s">
        <v>109</v>
      </c>
      <c r="F70" s="25" t="s">
        <v>36</v>
      </c>
      <c r="G70" s="25">
        <v>200.0</v>
      </c>
      <c r="H70" s="26">
        <v>500.0</v>
      </c>
      <c r="I70" s="21" t="str">
        <f t="shared" si="1"/>
        <v/>
      </c>
      <c r="J70" s="21" t="str">
        <f>IF(OR(L70="entregado",K70="despacho"),"", IF(AND(ELABORACION!F70&lt;&gt;"-",ELABORACION!F70&lt;&gt;"PENDIENTE ELAB"),"en proceso",""))</f>
        <v/>
      </c>
      <c r="K70" s="21" t="str">
        <f>IF(L70="entregado","",IF(EXPEDICION!L70="listo para entregar","despacho",""))</f>
        <v/>
      </c>
      <c r="L70" s="21" t="str">
        <f>IF(EXPEDICION!L70="entregado", "entregado", "")</f>
        <v>entregado</v>
      </c>
      <c r="M70" s="32" t="str">
        <f>EXPEDICION!M70</f>
        <v>M26062</v>
      </c>
    </row>
    <row r="71" ht="15.75" customHeight="1">
      <c r="A71" s="16">
        <v>26019.0</v>
      </c>
      <c r="B71" s="17">
        <v>46076.0</v>
      </c>
      <c r="C71" s="16">
        <v>775.0</v>
      </c>
      <c r="D71" s="18" t="s">
        <v>52</v>
      </c>
      <c r="E71" s="18" t="s">
        <v>110</v>
      </c>
      <c r="F71" s="19" t="s">
        <v>36</v>
      </c>
      <c r="G71" s="19">
        <v>400.0</v>
      </c>
      <c r="H71" s="20">
        <v>500.0</v>
      </c>
      <c r="I71" s="21" t="str">
        <f t="shared" si="1"/>
        <v/>
      </c>
      <c r="J71" s="21" t="str">
        <f>IF(OR(L71="entregado",K71="despacho"),"", IF(AND(ELABORACION!F71&lt;&gt;"-",ELABORACION!F71&lt;&gt;"PENDIENTE ELAB"),"en proceso",""))</f>
        <v/>
      </c>
      <c r="K71" s="21" t="str">
        <f>IF(L71="entregado","",IF(EXPEDICION!L71="listo para entregar","despacho",""))</f>
        <v/>
      </c>
      <c r="L71" s="21" t="str">
        <f>IF(EXPEDICION!L71="entregado", "entregado", "")</f>
        <v>entregado</v>
      </c>
      <c r="M71" s="32" t="str">
        <f>EXPEDICION!M71</f>
        <v>M26061</v>
      </c>
    </row>
    <row r="72" ht="15.75" customHeight="1">
      <c r="A72" s="23">
        <v>26020.0</v>
      </c>
      <c r="B72" s="10">
        <v>46077.0</v>
      </c>
      <c r="C72" s="23">
        <v>1704.0</v>
      </c>
      <c r="D72" s="24" t="s">
        <v>33</v>
      </c>
      <c r="E72" s="24" t="s">
        <v>111</v>
      </c>
      <c r="F72" s="25" t="s">
        <v>12</v>
      </c>
      <c r="G72" s="25">
        <v>300.0</v>
      </c>
      <c r="H72" s="26">
        <v>30.0</v>
      </c>
      <c r="I72" s="21" t="str">
        <f t="shared" si="1"/>
        <v/>
      </c>
      <c r="J72" s="21" t="str">
        <f>IF(OR(L72="entregado",K72="despacho"),"", IF(AND(ELABORACION!F72&lt;&gt;"-",ELABORACION!F72&lt;&gt;"PENDIENTE ELAB"),"en proceso",""))</f>
        <v>en proceso</v>
      </c>
      <c r="K72" s="21" t="str">
        <f>IF(L72="entregado","",IF(EXPEDICION!L72="listo para entregar","despacho",""))</f>
        <v/>
      </c>
      <c r="L72" s="21" t="str">
        <f>IF(EXPEDICION!L72="entregado", "entregado", "")</f>
        <v/>
      </c>
      <c r="M72" s="32" t="str">
        <f>EXPEDICION!M72</f>
        <v/>
      </c>
    </row>
    <row r="73" ht="15.75" customHeight="1">
      <c r="A73" s="16">
        <v>26021.0</v>
      </c>
      <c r="B73" s="17">
        <v>46078.0</v>
      </c>
      <c r="C73" s="16"/>
      <c r="D73" s="18" t="s">
        <v>46</v>
      </c>
      <c r="E73" s="18" t="s">
        <v>112</v>
      </c>
      <c r="F73" s="19" t="s">
        <v>36</v>
      </c>
      <c r="G73" s="19">
        <v>500.0</v>
      </c>
      <c r="H73" s="20">
        <v>280.0</v>
      </c>
      <c r="I73" s="21" t="str">
        <f t="shared" si="1"/>
        <v/>
      </c>
      <c r="J73" s="21" t="str">
        <f>IF(OR(L73="entregado",K73="despacho"),"", IF(AND(ELABORACION!F73&lt;&gt;"-",ELABORACION!F73&lt;&gt;"PENDIENTE ELAB"),"en proceso",""))</f>
        <v/>
      </c>
      <c r="K73" s="21" t="str">
        <f>IF(L73="entregado","",IF(EXPEDICION!L73="listo para entregar","despacho",""))</f>
        <v/>
      </c>
      <c r="L73" s="21" t="str">
        <f>IF(EXPEDICION!L73="entregado", "entregado", "")</f>
        <v>entregado</v>
      </c>
      <c r="M73" s="32">
        <f>EXPEDICION!M73</f>
        <v>110301</v>
      </c>
    </row>
    <row r="74" ht="15.75" customHeight="1">
      <c r="A74" s="23">
        <v>26022.0</v>
      </c>
      <c r="B74" s="10">
        <v>46078.0</v>
      </c>
      <c r="C74" s="23"/>
      <c r="D74" s="24" t="s">
        <v>113</v>
      </c>
      <c r="E74" s="24" t="s">
        <v>114</v>
      </c>
      <c r="F74" s="25" t="s">
        <v>12</v>
      </c>
      <c r="G74" s="25">
        <v>250.0</v>
      </c>
      <c r="H74" s="26">
        <v>30.0</v>
      </c>
      <c r="I74" s="21" t="str">
        <f t="shared" si="1"/>
        <v/>
      </c>
      <c r="J74" s="21" t="str">
        <f>IF(OR(L74="entregado",K74="despacho"),"", IF(AND(ELABORACION!F74&lt;&gt;"-",ELABORACION!F74&lt;&gt;"PENDIENTE ELAB"),"en proceso",""))</f>
        <v/>
      </c>
      <c r="K74" s="21" t="str">
        <f>IF(L74="entregado","",IF(EXPEDICION!L74="listo para entregar","despacho",""))</f>
        <v/>
      </c>
      <c r="L74" s="21" t="str">
        <f>IF(EXPEDICION!L74="entregado", "entregado", "")</f>
        <v>entregado</v>
      </c>
      <c r="M74" s="32" t="str">
        <f>EXPEDICION!M74</f>
        <v>M26065</v>
      </c>
    </row>
    <row r="75" ht="15.75" customHeight="1">
      <c r="A75" s="16">
        <v>26022.0</v>
      </c>
      <c r="B75" s="17">
        <v>46078.0</v>
      </c>
      <c r="C75" s="16"/>
      <c r="D75" s="18" t="s">
        <v>113</v>
      </c>
      <c r="E75" s="18" t="s">
        <v>115</v>
      </c>
      <c r="F75" s="19" t="s">
        <v>12</v>
      </c>
      <c r="G75" s="19">
        <v>250.0</v>
      </c>
      <c r="H75" s="20">
        <v>100.0</v>
      </c>
      <c r="I75" s="21" t="str">
        <f t="shared" si="1"/>
        <v/>
      </c>
      <c r="J75" s="21" t="str">
        <f>IF(OR(L75="entregado",K75="despacho"),"", IF(AND(ELABORACION!F75&lt;&gt;"-",ELABORACION!F75&lt;&gt;"PENDIENTE ELAB"),"en proceso",""))</f>
        <v/>
      </c>
      <c r="K75" s="21" t="str">
        <f>IF(L75="entregado","",IF(EXPEDICION!L75="listo para entregar","despacho",""))</f>
        <v/>
      </c>
      <c r="L75" s="21" t="str">
        <f>IF(EXPEDICION!L75="entregado", "entregado", "")</f>
        <v>entregado</v>
      </c>
      <c r="M75" s="32" t="str">
        <f>EXPEDICION!M75</f>
        <v>M26060</v>
      </c>
    </row>
    <row r="76" ht="15.75" customHeight="1">
      <c r="A76" s="23">
        <v>26022.0</v>
      </c>
      <c r="B76" s="10">
        <v>46078.0</v>
      </c>
      <c r="C76" s="23"/>
      <c r="D76" s="24" t="s">
        <v>113</v>
      </c>
      <c r="E76" s="24" t="s">
        <v>116</v>
      </c>
      <c r="F76" s="25" t="s">
        <v>12</v>
      </c>
      <c r="G76" s="25">
        <v>250.0</v>
      </c>
      <c r="H76" s="26">
        <v>30.0</v>
      </c>
      <c r="I76" s="21" t="str">
        <f t="shared" si="1"/>
        <v/>
      </c>
      <c r="J76" s="21" t="str">
        <f>IF(OR(L76="entregado",K76="despacho"),"", IF(AND(ELABORACION!F76&lt;&gt;"-",ELABORACION!F76&lt;&gt;"PENDIENTE ELAB"),"en proceso",""))</f>
        <v/>
      </c>
      <c r="K76" s="21" t="str">
        <f>IF(L76="entregado","",IF(EXPEDICION!L76="listo para entregar","despacho",""))</f>
        <v/>
      </c>
      <c r="L76" s="21" t="str">
        <f>IF(EXPEDICION!L76="entregado", "entregado", "")</f>
        <v>entregado</v>
      </c>
      <c r="M76" s="32" t="str">
        <f>EXPEDICION!M76</f>
        <v>M26031</v>
      </c>
    </row>
    <row r="77" ht="15.75" customHeight="1">
      <c r="A77" s="16">
        <v>26022.0</v>
      </c>
      <c r="B77" s="17">
        <v>46078.0</v>
      </c>
      <c r="C77" s="16"/>
      <c r="D77" s="18" t="s">
        <v>113</v>
      </c>
      <c r="E77" s="18" t="s">
        <v>117</v>
      </c>
      <c r="F77" s="19" t="s">
        <v>12</v>
      </c>
      <c r="G77" s="19">
        <v>250.0</v>
      </c>
      <c r="H77" s="20">
        <v>30.0</v>
      </c>
      <c r="I77" s="21" t="str">
        <f t="shared" si="1"/>
        <v/>
      </c>
      <c r="J77" s="21" t="str">
        <f>IF(OR(L77="entregado",K77="despacho"),"", IF(AND(ELABORACION!F77&lt;&gt;"-",ELABORACION!F77&lt;&gt;"PENDIENTE ELAB"),"en proceso",""))</f>
        <v/>
      </c>
      <c r="K77" s="21" t="str">
        <f>IF(L77="entregado","",IF(EXPEDICION!L77="listo para entregar","despacho",""))</f>
        <v/>
      </c>
      <c r="L77" s="21" t="str">
        <f>IF(EXPEDICION!L77="entregado", "entregado", "")</f>
        <v>entregado</v>
      </c>
      <c r="M77" s="32" t="str">
        <f>EXPEDICION!M77</f>
        <v>M26032</v>
      </c>
    </row>
    <row r="78" ht="15.75" customHeight="1">
      <c r="A78" s="23">
        <v>26022.0</v>
      </c>
      <c r="B78" s="10">
        <v>46078.0</v>
      </c>
      <c r="C78" s="23"/>
      <c r="D78" s="24" t="s">
        <v>113</v>
      </c>
      <c r="E78" s="24" t="s">
        <v>103</v>
      </c>
      <c r="F78" s="25" t="s">
        <v>12</v>
      </c>
      <c r="G78" s="25">
        <v>250.0</v>
      </c>
      <c r="H78" s="26">
        <v>30.0</v>
      </c>
      <c r="I78" s="21" t="str">
        <f t="shared" si="1"/>
        <v/>
      </c>
      <c r="J78" s="21" t="str">
        <f>IF(OR(L78="entregado",K78="despacho"),"", IF(AND(ELABORACION!F78&lt;&gt;"-",ELABORACION!F78&lt;&gt;"PENDIENTE ELAB"),"en proceso",""))</f>
        <v/>
      </c>
      <c r="K78" s="21" t="str">
        <f>IF(L78="entregado","",IF(EXPEDICION!L78="listo para entregar","despacho",""))</f>
        <v/>
      </c>
      <c r="L78" s="21" t="str">
        <f>IF(EXPEDICION!L78="entregado", "entregado", "")</f>
        <v>entregado</v>
      </c>
      <c r="M78" s="32" t="str">
        <f>EXPEDICION!M78</f>
        <v>M26033</v>
      </c>
    </row>
    <row r="79" ht="15.75" customHeight="1">
      <c r="A79" s="16">
        <v>26023.0</v>
      </c>
      <c r="B79" s="17">
        <v>46083.0</v>
      </c>
      <c r="C79" s="16"/>
      <c r="D79" s="18" t="s">
        <v>118</v>
      </c>
      <c r="E79" s="18" t="s">
        <v>119</v>
      </c>
      <c r="F79" s="19" t="s">
        <v>36</v>
      </c>
      <c r="G79" s="19">
        <v>200.0</v>
      </c>
      <c r="H79" s="20">
        <v>200.0</v>
      </c>
      <c r="I79" s="21" t="str">
        <f t="shared" si="1"/>
        <v/>
      </c>
      <c r="J79" s="21" t="str">
        <f>IF(OR(L79="entregado",K79="despacho"),"", IF(AND(ELABORACION!F79&lt;&gt;"-",ELABORACION!F79&lt;&gt;"PENDIENTE ELAB"),"en proceso",""))</f>
        <v/>
      </c>
      <c r="K79" s="21" t="str">
        <f>IF(L79="entregado","",IF(EXPEDICION!L79="listo para entregar","despacho",""))</f>
        <v/>
      </c>
      <c r="L79" s="21" t="str">
        <f>IF(EXPEDICION!L79="entregado", "entregado", "")</f>
        <v>entregado</v>
      </c>
      <c r="M79" s="32" t="str">
        <f>EXPEDICION!M79</f>
        <v>M26034</v>
      </c>
    </row>
    <row r="80" ht="15.75" customHeight="1">
      <c r="A80" s="23">
        <v>26023.0</v>
      </c>
      <c r="B80" s="10">
        <v>46083.0</v>
      </c>
      <c r="C80" s="23"/>
      <c r="D80" s="24" t="s">
        <v>118</v>
      </c>
      <c r="E80" s="24" t="s">
        <v>120</v>
      </c>
      <c r="F80" s="25" t="s">
        <v>36</v>
      </c>
      <c r="G80" s="25">
        <v>200.0</v>
      </c>
      <c r="H80" s="26">
        <v>200.0</v>
      </c>
      <c r="I80" s="21" t="str">
        <f t="shared" si="1"/>
        <v/>
      </c>
      <c r="J80" s="21" t="str">
        <f>IF(OR(L80="entregado",K80="despacho"),"", IF(AND(ELABORACION!F80&lt;&gt;"-",ELABORACION!F80&lt;&gt;"PENDIENTE ELAB"),"en proceso",""))</f>
        <v/>
      </c>
      <c r="K80" s="21" t="str">
        <f>IF(L80="entregado","",IF(EXPEDICION!L80="listo para entregar","despacho",""))</f>
        <v/>
      </c>
      <c r="L80" s="21" t="str">
        <f>IF(EXPEDICION!L80="entregado", "entregado", "")</f>
        <v>entregado</v>
      </c>
      <c r="M80" s="32" t="str">
        <f>EXPEDICION!M80</f>
        <v>M26034</v>
      </c>
    </row>
    <row r="81" ht="15.75" customHeight="1">
      <c r="A81" s="16">
        <v>26023.0</v>
      </c>
      <c r="B81" s="17">
        <v>46083.0</v>
      </c>
      <c r="C81" s="16"/>
      <c r="D81" s="18" t="s">
        <v>118</v>
      </c>
      <c r="E81" s="18" t="s">
        <v>121</v>
      </c>
      <c r="F81" s="19" t="s">
        <v>36</v>
      </c>
      <c r="G81" s="19">
        <v>100.0</v>
      </c>
      <c r="H81" s="20">
        <v>500.0</v>
      </c>
      <c r="I81" s="21" t="str">
        <f t="shared" si="1"/>
        <v/>
      </c>
      <c r="J81" s="21" t="str">
        <f>IF(OR(L81="entregado",K81="despacho"),"", IF(AND(ELABORACION!F81&lt;&gt;"-",ELABORACION!F81&lt;&gt;"PENDIENTE ELAB"),"en proceso",""))</f>
        <v/>
      </c>
      <c r="K81" s="21" t="str">
        <f>IF(L81="entregado","",IF(EXPEDICION!L81="listo para entregar","despacho",""))</f>
        <v/>
      </c>
      <c r="L81" s="21" t="str">
        <f>IF(EXPEDICION!L81="entregado", "entregado", "")</f>
        <v>entregado</v>
      </c>
      <c r="M81" s="32" t="str">
        <f>EXPEDICION!M81</f>
        <v>M26034</v>
      </c>
    </row>
    <row r="82" ht="15.75" customHeight="1">
      <c r="A82" s="23">
        <v>26023.0</v>
      </c>
      <c r="B82" s="10">
        <v>46083.0</v>
      </c>
      <c r="C82" s="23"/>
      <c r="D82" s="24" t="s">
        <v>118</v>
      </c>
      <c r="E82" s="24" t="s">
        <v>122</v>
      </c>
      <c r="F82" s="25" t="s">
        <v>36</v>
      </c>
      <c r="G82" s="25">
        <v>100.0</v>
      </c>
      <c r="H82" s="26">
        <v>500.0</v>
      </c>
      <c r="I82" s="21" t="str">
        <f t="shared" si="1"/>
        <v/>
      </c>
      <c r="J82" s="21" t="str">
        <f>IF(OR(L82="entregado",K82="despacho"),"", IF(AND(ELABORACION!F82&lt;&gt;"-",ELABORACION!F82&lt;&gt;"PENDIENTE ELAB"),"en proceso",""))</f>
        <v/>
      </c>
      <c r="K82" s="21" t="str">
        <f>IF(L82="entregado","",IF(EXPEDICION!L82="listo para entregar","despacho",""))</f>
        <v/>
      </c>
      <c r="L82" s="21" t="str">
        <f>IF(EXPEDICION!L82="entregado", "entregado", "")</f>
        <v>entregado</v>
      </c>
      <c r="M82" s="32" t="str">
        <f>EXPEDICION!M82</f>
        <v>M26034</v>
      </c>
    </row>
    <row r="83" ht="15.75" customHeight="1">
      <c r="A83" s="16">
        <v>26023.0</v>
      </c>
      <c r="B83" s="17">
        <v>46083.0</v>
      </c>
      <c r="C83" s="16"/>
      <c r="D83" s="18" t="s">
        <v>118</v>
      </c>
      <c r="E83" s="18" t="s">
        <v>123</v>
      </c>
      <c r="F83" s="19" t="s">
        <v>36</v>
      </c>
      <c r="G83" s="19">
        <v>300.0</v>
      </c>
      <c r="H83" s="20">
        <v>30.0</v>
      </c>
      <c r="I83" s="21" t="str">
        <f t="shared" si="1"/>
        <v/>
      </c>
      <c r="J83" s="21" t="str">
        <f>IF(OR(L83="entregado",K83="despacho"),"", IF(AND(ELABORACION!F83&lt;&gt;"-",ELABORACION!F83&lt;&gt;"PENDIENTE ELAB"),"en proceso",""))</f>
        <v/>
      </c>
      <c r="K83" s="21" t="str">
        <f>IF(L83="entregado","",IF(EXPEDICION!L83="listo para entregar","despacho",""))</f>
        <v/>
      </c>
      <c r="L83" s="21" t="str">
        <f>IF(EXPEDICION!L83="entregado", "entregado", "")</f>
        <v>entregado</v>
      </c>
      <c r="M83" s="32" t="str">
        <f>EXPEDICION!M83</f>
        <v>M26044</v>
      </c>
    </row>
    <row r="84" ht="15.75" customHeight="1">
      <c r="A84" s="23">
        <v>26023.0</v>
      </c>
      <c r="B84" s="10">
        <v>46083.0</v>
      </c>
      <c r="C84" s="23"/>
      <c r="D84" s="24" t="s">
        <v>124</v>
      </c>
      <c r="E84" s="24" t="s">
        <v>125</v>
      </c>
      <c r="F84" s="25" t="s">
        <v>12</v>
      </c>
      <c r="G84" s="25">
        <v>300.0</v>
      </c>
      <c r="H84" s="26">
        <v>125.0</v>
      </c>
      <c r="I84" s="21" t="str">
        <f t="shared" si="1"/>
        <v/>
      </c>
      <c r="J84" s="21" t="str">
        <f>IF(OR(L84="entregado",K84="despacho"),"", IF(AND(ELABORACION!F84&lt;&gt;"-",ELABORACION!F84&lt;&gt;"PENDIENTE ELAB"),"en proceso",""))</f>
        <v/>
      </c>
      <c r="K84" s="21" t="str">
        <f>IF(L84="entregado","",IF(EXPEDICION!L84="listo para entregar","despacho",""))</f>
        <v/>
      </c>
      <c r="L84" s="21" t="str">
        <f>IF(EXPEDICION!L84="entregado", "entregado", "")</f>
        <v>entregado</v>
      </c>
      <c r="M84" s="32" t="str">
        <f>EXPEDICION!M84</f>
        <v>M26078</v>
      </c>
    </row>
    <row r="85" ht="15.75" customHeight="1">
      <c r="A85" s="16">
        <v>26024.0</v>
      </c>
      <c r="B85" s="17">
        <v>46083.0</v>
      </c>
      <c r="C85" s="16">
        <v>15134.0</v>
      </c>
      <c r="D85" s="18" t="s">
        <v>15</v>
      </c>
      <c r="E85" s="18" t="s">
        <v>126</v>
      </c>
      <c r="F85" s="19" t="s">
        <v>36</v>
      </c>
      <c r="G85" s="19">
        <v>6000.0</v>
      </c>
      <c r="H85" s="20">
        <v>25.0</v>
      </c>
      <c r="I85" s="21" t="str">
        <f t="shared" si="1"/>
        <v/>
      </c>
      <c r="J85" s="21" t="str">
        <f>IF(OR(L85="entregado",K85="despacho"),"", IF(AND(ELABORACION!F85&lt;&gt;"-",ELABORACION!F85&lt;&gt;"PENDIENTE ELAB"),"en proceso",""))</f>
        <v/>
      </c>
      <c r="K85" s="21" t="str">
        <f>IF(L85="entregado","",IF(EXPEDICION!L85="listo para entregar","despacho",""))</f>
        <v/>
      </c>
      <c r="L85" s="21" t="str">
        <f>IF(EXPEDICION!L85="entregado", "entregado", "")</f>
        <v>entregado</v>
      </c>
      <c r="M85" s="32" t="str">
        <f>EXPEDICION!M85</f>
        <v/>
      </c>
    </row>
    <row r="86" ht="15.75" customHeight="1">
      <c r="A86" s="23">
        <v>26024.0</v>
      </c>
      <c r="B86" s="10">
        <v>46083.0</v>
      </c>
      <c r="C86" s="23">
        <v>15134.0</v>
      </c>
      <c r="D86" s="24" t="s">
        <v>15</v>
      </c>
      <c r="E86" s="24" t="s">
        <v>127</v>
      </c>
      <c r="F86" s="25" t="s">
        <v>36</v>
      </c>
      <c r="G86" s="25">
        <v>6000.0</v>
      </c>
      <c r="H86" s="26">
        <v>25.0</v>
      </c>
      <c r="I86" s="21" t="str">
        <f t="shared" si="1"/>
        <v/>
      </c>
      <c r="J86" s="21" t="str">
        <f>IF(OR(L86="entregado",K86="despacho"),"", IF(AND(ELABORACION!F86&lt;&gt;"-",ELABORACION!F86&lt;&gt;"PENDIENTE ELAB"),"en proceso",""))</f>
        <v/>
      </c>
      <c r="K86" s="21" t="str">
        <f>IF(L86="entregado","",IF(EXPEDICION!L86="listo para entregar","despacho",""))</f>
        <v/>
      </c>
      <c r="L86" s="21" t="str">
        <f>IF(EXPEDICION!L86="entregado", "entregado", "")</f>
        <v>entregado</v>
      </c>
      <c r="M86" s="32">
        <f>EXPEDICION!M86</f>
        <v>120302</v>
      </c>
    </row>
    <row r="87" ht="15.75" customHeight="1">
      <c r="A87" s="16">
        <v>26025.0</v>
      </c>
      <c r="B87" s="17">
        <v>46083.0</v>
      </c>
      <c r="C87" s="16">
        <v>15133.0</v>
      </c>
      <c r="D87" s="18" t="s">
        <v>15</v>
      </c>
      <c r="E87" s="18" t="s">
        <v>128</v>
      </c>
      <c r="F87" s="19" t="s">
        <v>36</v>
      </c>
      <c r="G87" s="19">
        <v>2000.0</v>
      </c>
      <c r="H87" s="20">
        <v>25.0</v>
      </c>
      <c r="I87" s="21" t="str">
        <f t="shared" si="1"/>
        <v/>
      </c>
      <c r="J87" s="21" t="str">
        <f>IF(OR(L87="entregado",K87="despacho"),"", IF(AND(ELABORACION!F87&lt;&gt;"-",ELABORACION!F87&lt;&gt;"PENDIENTE ELAB"),"en proceso",""))</f>
        <v/>
      </c>
      <c r="K87" s="21" t="str">
        <f>IF(L87="entregado","",IF(EXPEDICION!L87="listo para entregar","despacho",""))</f>
        <v/>
      </c>
      <c r="L87" s="21" t="str">
        <f>IF(EXPEDICION!L87="entregado", "entregado", "")</f>
        <v>entregado</v>
      </c>
      <c r="M87" s="32">
        <f>EXPEDICION!M87</f>
        <v>160303</v>
      </c>
    </row>
    <row r="88" ht="15.75" customHeight="1">
      <c r="A88" s="23">
        <v>26025.0</v>
      </c>
      <c r="B88" s="10">
        <v>46083.0</v>
      </c>
      <c r="C88" s="23">
        <v>15133.0</v>
      </c>
      <c r="D88" s="24" t="s">
        <v>15</v>
      </c>
      <c r="E88" s="24" t="s">
        <v>129</v>
      </c>
      <c r="F88" s="25" t="s">
        <v>36</v>
      </c>
      <c r="G88" s="25">
        <v>2000.0</v>
      </c>
      <c r="H88" s="26">
        <v>25.0</v>
      </c>
      <c r="I88" s="21" t="str">
        <f t="shared" si="1"/>
        <v/>
      </c>
      <c r="J88" s="21" t="str">
        <f>IF(OR(L88="entregado",K88="despacho"),"", IF(AND(ELABORACION!F88&lt;&gt;"-",ELABORACION!F88&lt;&gt;"PENDIENTE ELAB"),"en proceso",""))</f>
        <v/>
      </c>
      <c r="K88" s="21" t="str">
        <f>IF(L88="entregado","",IF(EXPEDICION!L88="listo para entregar","despacho",""))</f>
        <v/>
      </c>
      <c r="L88" s="21" t="str">
        <f>IF(EXPEDICION!L88="entregado", "entregado", "")</f>
        <v>entregado</v>
      </c>
      <c r="M88" s="32" t="str">
        <f>EXPEDICION!M88</f>
        <v/>
      </c>
    </row>
    <row r="89" ht="15.75" customHeight="1">
      <c r="A89" s="16">
        <v>26025.0</v>
      </c>
      <c r="B89" s="17">
        <v>46083.0</v>
      </c>
      <c r="C89" s="16">
        <v>15133.0</v>
      </c>
      <c r="D89" s="18" t="s">
        <v>15</v>
      </c>
      <c r="E89" s="18" t="s">
        <v>130</v>
      </c>
      <c r="F89" s="19" t="s">
        <v>36</v>
      </c>
      <c r="G89" s="19">
        <v>2000.0</v>
      </c>
      <c r="H89" s="20">
        <v>25.0</v>
      </c>
      <c r="I89" s="21" t="str">
        <f t="shared" si="1"/>
        <v/>
      </c>
      <c r="J89" s="21" t="str">
        <f>IF(OR(L89="entregado",K89="despacho"),"", IF(AND(ELABORACION!F89&lt;&gt;"-",ELABORACION!F89&lt;&gt;"PENDIENTE ELAB"),"en proceso",""))</f>
        <v/>
      </c>
      <c r="K89" s="21" t="str">
        <f>IF(L89="entregado","",IF(EXPEDICION!L89="listo para entregar","despacho",""))</f>
        <v/>
      </c>
      <c r="L89" s="21" t="str">
        <f>IF(EXPEDICION!L89="entregado", "entregado", "")</f>
        <v>entregado</v>
      </c>
      <c r="M89" s="32" t="str">
        <f>EXPEDICION!M89</f>
        <v/>
      </c>
    </row>
    <row r="90" ht="15.75" customHeight="1">
      <c r="A90" s="23">
        <v>26025.0</v>
      </c>
      <c r="B90" s="10">
        <v>46083.0</v>
      </c>
      <c r="C90" s="23">
        <v>15133.0</v>
      </c>
      <c r="D90" s="24" t="s">
        <v>15</v>
      </c>
      <c r="E90" s="24" t="s">
        <v>131</v>
      </c>
      <c r="F90" s="25" t="s">
        <v>36</v>
      </c>
      <c r="G90" s="25">
        <v>2000.0</v>
      </c>
      <c r="H90" s="26">
        <v>25.0</v>
      </c>
      <c r="I90" s="21" t="str">
        <f t="shared" si="1"/>
        <v/>
      </c>
      <c r="J90" s="21" t="str">
        <f>IF(OR(L90="entregado",K90="despacho"),"", IF(AND(ELABORACION!F90&lt;&gt;"-",ELABORACION!F90&lt;&gt;"PENDIENTE ELAB"),"en proceso",""))</f>
        <v/>
      </c>
      <c r="K90" s="21" t="str">
        <f>IF(L90="entregado","",IF(EXPEDICION!L90="listo para entregar","despacho",""))</f>
        <v/>
      </c>
      <c r="L90" s="21" t="str">
        <f>IF(EXPEDICION!L90="entregado", "entregado", "")</f>
        <v>entregado</v>
      </c>
      <c r="M90" s="32" t="str">
        <f>EXPEDICION!M90</f>
        <v/>
      </c>
    </row>
    <row r="91" ht="15.75" customHeight="1">
      <c r="A91" s="16">
        <v>26025.0</v>
      </c>
      <c r="B91" s="17">
        <v>46083.0</v>
      </c>
      <c r="C91" s="16">
        <v>15133.0</v>
      </c>
      <c r="D91" s="18" t="s">
        <v>15</v>
      </c>
      <c r="E91" s="18" t="s">
        <v>132</v>
      </c>
      <c r="F91" s="19" t="s">
        <v>36</v>
      </c>
      <c r="G91" s="19">
        <v>2000.0</v>
      </c>
      <c r="H91" s="20">
        <v>25.0</v>
      </c>
      <c r="I91" s="21" t="str">
        <f t="shared" si="1"/>
        <v/>
      </c>
      <c r="J91" s="21" t="str">
        <f>IF(OR(L91="entregado",K91="despacho"),"", IF(AND(ELABORACION!F91&lt;&gt;"-",ELABORACION!F91&lt;&gt;"PENDIENTE ELAB"),"en proceso",""))</f>
        <v/>
      </c>
      <c r="K91" s="21" t="str">
        <f>IF(L91="entregado","",IF(EXPEDICION!L91="listo para entregar","despacho",""))</f>
        <v/>
      </c>
      <c r="L91" s="21" t="str">
        <f>IF(EXPEDICION!L91="entregado", "entregado", "")</f>
        <v>entregado</v>
      </c>
      <c r="M91" s="32" t="str">
        <f>EXPEDICION!M91</f>
        <v/>
      </c>
    </row>
    <row r="92" ht="15.75" customHeight="1">
      <c r="A92" s="23">
        <v>26026.0</v>
      </c>
      <c r="B92" s="10">
        <v>46083.0</v>
      </c>
      <c r="C92" s="23"/>
      <c r="D92" s="24" t="s">
        <v>133</v>
      </c>
      <c r="E92" s="24" t="s">
        <v>134</v>
      </c>
      <c r="F92" s="25" t="s">
        <v>12</v>
      </c>
      <c r="G92" s="25">
        <v>500.0</v>
      </c>
      <c r="H92" s="26">
        <v>30.0</v>
      </c>
      <c r="I92" s="21" t="str">
        <f t="shared" si="1"/>
        <v/>
      </c>
      <c r="J92" s="21" t="str">
        <f>IF(OR(L92="entregado",K92="despacho"),"", IF(AND(ELABORACION!F92&lt;&gt;"-",ELABORACION!F92&lt;&gt;"PENDIENTE ELAB"),"en proceso",""))</f>
        <v/>
      </c>
      <c r="K92" s="21" t="str">
        <f>IF(L92="entregado","",IF(EXPEDICION!L92="listo para entregar","despacho",""))</f>
        <v/>
      </c>
      <c r="L92" s="21" t="str">
        <f>IF(EXPEDICION!L92="entregado", "entregado", "")</f>
        <v>entregado</v>
      </c>
      <c r="M92" s="32" t="str">
        <f>EXPEDICION!M92</f>
        <v>M26010</v>
      </c>
    </row>
    <row r="93" ht="15.75" customHeight="1">
      <c r="A93" s="16">
        <v>26027.0</v>
      </c>
      <c r="B93" s="17">
        <v>46083.0</v>
      </c>
      <c r="C93" s="16"/>
      <c r="D93" s="18" t="s">
        <v>135</v>
      </c>
      <c r="E93" s="18" t="s">
        <v>136</v>
      </c>
      <c r="F93" s="19" t="s">
        <v>12</v>
      </c>
      <c r="G93" s="19">
        <v>1000.0</v>
      </c>
      <c r="H93" s="20">
        <v>30.0</v>
      </c>
      <c r="I93" s="21" t="str">
        <f t="shared" si="1"/>
        <v/>
      </c>
      <c r="J93" s="21" t="str">
        <f>IF(OR(L93="entregado",K93="despacho"),"", IF(AND(ELABORACION!F93&lt;&gt;"-",ELABORACION!F93&lt;&gt;"PENDIENTE ELAB"),"en proceso",""))</f>
        <v/>
      </c>
      <c r="K93" s="21" t="str">
        <f>IF(L93="entregado","",IF(EXPEDICION!L93="listo para entregar","despacho",""))</f>
        <v/>
      </c>
      <c r="L93" s="21" t="str">
        <f>IF(EXPEDICION!L93="entregado", "entregado", "")</f>
        <v>entregado</v>
      </c>
      <c r="M93" s="32" t="str">
        <f>EXPEDICION!M93</f>
        <v>M26025</v>
      </c>
    </row>
    <row r="94" ht="15.75" customHeight="1">
      <c r="A94" s="23">
        <v>26028.0</v>
      </c>
      <c r="B94" s="10">
        <v>46086.0</v>
      </c>
      <c r="C94" s="23">
        <v>777.0</v>
      </c>
      <c r="D94" s="24" t="s">
        <v>52</v>
      </c>
      <c r="E94" s="24" t="s">
        <v>137</v>
      </c>
      <c r="F94" s="25" t="s">
        <v>36</v>
      </c>
      <c r="G94" s="25">
        <v>200.0</v>
      </c>
      <c r="H94" s="26">
        <v>400.0</v>
      </c>
      <c r="I94" s="21" t="str">
        <f t="shared" si="1"/>
        <v/>
      </c>
      <c r="J94" s="21" t="str">
        <f>IF(OR(L94="entregado",K94="despacho"),"", IF(AND(ELABORACION!F94&lt;&gt;"-",ELABORACION!F94&lt;&gt;"PENDIENTE ELAB"),"en proceso",""))</f>
        <v/>
      </c>
      <c r="K94" s="21" t="str">
        <f>IF(L94="entregado","",IF(EXPEDICION!L94="listo para entregar","despacho",""))</f>
        <v/>
      </c>
      <c r="L94" s="21" t="str">
        <f>IF(EXPEDICION!L94="entregado", "entregado", "")</f>
        <v>entregado</v>
      </c>
      <c r="M94" s="32" t="str">
        <f>EXPEDICION!M94</f>
        <v>M26038</v>
      </c>
    </row>
    <row r="95" ht="15.75" customHeight="1">
      <c r="A95" s="16">
        <v>26028.0</v>
      </c>
      <c r="B95" s="17">
        <v>46086.0</v>
      </c>
      <c r="C95" s="16">
        <v>777.0</v>
      </c>
      <c r="D95" s="18" t="s">
        <v>52</v>
      </c>
      <c r="E95" s="18" t="s">
        <v>138</v>
      </c>
      <c r="F95" s="19" t="s">
        <v>36</v>
      </c>
      <c r="G95" s="19">
        <v>200.0</v>
      </c>
      <c r="H95" s="20">
        <v>400.0</v>
      </c>
      <c r="I95" s="21" t="str">
        <f t="shared" si="1"/>
        <v/>
      </c>
      <c r="J95" s="21" t="str">
        <f>IF(OR(L95="entregado",K95="despacho"),"", IF(AND(ELABORACION!F95&lt;&gt;"-",ELABORACION!F95&lt;&gt;"PENDIENTE ELAB"),"en proceso",""))</f>
        <v/>
      </c>
      <c r="K95" s="21" t="str">
        <f>IF(L95="entregado","",IF(EXPEDICION!L95="listo para entregar","despacho",""))</f>
        <v/>
      </c>
      <c r="L95" s="21" t="str">
        <f>IF(EXPEDICION!L95="entregado", "entregado", "")</f>
        <v>entregado</v>
      </c>
      <c r="M95" s="32" t="str">
        <f>EXPEDICION!M95</f>
        <v>M26039</v>
      </c>
    </row>
    <row r="96" ht="15.75" customHeight="1">
      <c r="A96" s="23">
        <v>26028.0</v>
      </c>
      <c r="B96" s="10">
        <v>46086.0</v>
      </c>
      <c r="C96" s="23">
        <v>777.0</v>
      </c>
      <c r="D96" s="24" t="s">
        <v>52</v>
      </c>
      <c r="E96" s="24" t="s">
        <v>139</v>
      </c>
      <c r="F96" s="25" t="s">
        <v>12</v>
      </c>
      <c r="G96" s="25">
        <v>700.0</v>
      </c>
      <c r="H96" s="26">
        <v>150.0</v>
      </c>
      <c r="I96" s="21" t="str">
        <f t="shared" si="1"/>
        <v/>
      </c>
      <c r="J96" s="21" t="str">
        <f>IF(OR(L96="entregado",K96="despacho"),"", IF(AND(ELABORACION!F96&lt;&gt;"-",ELABORACION!F96&lt;&gt;"PENDIENTE ELAB"),"en proceso",""))</f>
        <v/>
      </c>
      <c r="K96" s="21" t="str">
        <f>IF(L96="entregado","",IF(EXPEDICION!L96="listo para entregar","despacho",""))</f>
        <v/>
      </c>
      <c r="L96" s="21" t="str">
        <f>IF(EXPEDICION!L96="entregado", "entregado", "")</f>
        <v>entregado</v>
      </c>
      <c r="M96" s="32" t="str">
        <f>EXPEDICION!M96</f>
        <v>M26066</v>
      </c>
    </row>
    <row r="97" ht="15.75" customHeight="1">
      <c r="A97" s="16">
        <v>26029.0</v>
      </c>
      <c r="B97" s="17">
        <v>46086.0</v>
      </c>
      <c r="C97" s="16">
        <v>1080.0</v>
      </c>
      <c r="D97" s="18" t="s">
        <v>140</v>
      </c>
      <c r="E97" s="18" t="s">
        <v>141</v>
      </c>
      <c r="F97" s="19" t="s">
        <v>12</v>
      </c>
      <c r="G97" s="19">
        <v>300.0</v>
      </c>
      <c r="H97" s="20">
        <v>50.0</v>
      </c>
      <c r="I97" s="21" t="str">
        <f t="shared" si="1"/>
        <v/>
      </c>
      <c r="J97" s="21" t="str">
        <f>IF(OR(L97="entregado",K97="despacho"),"", IF(AND(ELABORACION!F97&lt;&gt;"-",ELABORACION!F97&lt;&gt;"PENDIENTE ELAB"),"en proceso",""))</f>
        <v/>
      </c>
      <c r="K97" s="21" t="str">
        <f>IF(L97="entregado","",IF(EXPEDICION!L97="listo para entregar","despacho",""))</f>
        <v/>
      </c>
      <c r="L97" s="21" t="str">
        <f>IF(EXPEDICION!L97="entregado", "entregado", "")</f>
        <v>entregado</v>
      </c>
      <c r="M97" s="32" t="str">
        <f>EXPEDICION!M97</f>
        <v>M26085</v>
      </c>
    </row>
    <row r="98" ht="15.75" customHeight="1">
      <c r="A98" s="23">
        <v>26029.0</v>
      </c>
      <c r="B98" s="10">
        <v>46086.0</v>
      </c>
      <c r="C98" s="23">
        <v>1080.0</v>
      </c>
      <c r="D98" s="24" t="s">
        <v>140</v>
      </c>
      <c r="E98" s="24" t="s">
        <v>142</v>
      </c>
      <c r="F98" s="25" t="s">
        <v>12</v>
      </c>
      <c r="G98" s="25">
        <v>500.0</v>
      </c>
      <c r="H98" s="26">
        <v>30.0</v>
      </c>
      <c r="I98" s="21" t="str">
        <f t="shared" si="1"/>
        <v/>
      </c>
      <c r="J98" s="21" t="str">
        <f>IF(OR(L98="entregado",K98="despacho"),"", IF(AND(ELABORACION!F98&lt;&gt;"-",ELABORACION!F98&lt;&gt;"PENDIENTE ELAB"),"en proceso",""))</f>
        <v/>
      </c>
      <c r="K98" s="21" t="str">
        <f>IF(L98="entregado","",IF(EXPEDICION!L98="listo para entregar","despacho",""))</f>
        <v/>
      </c>
      <c r="L98" s="21" t="str">
        <f>IF(EXPEDICION!L98="entregado", "entregado", "")</f>
        <v>entregado</v>
      </c>
      <c r="M98" s="32" t="str">
        <f>EXPEDICION!M98</f>
        <v>M26086</v>
      </c>
    </row>
    <row r="99" ht="15.75" customHeight="1">
      <c r="A99" s="16">
        <v>26030.0</v>
      </c>
      <c r="B99" s="17">
        <v>46086.0</v>
      </c>
      <c r="C99" s="16"/>
      <c r="D99" s="18" t="s">
        <v>143</v>
      </c>
      <c r="E99" s="18" t="s">
        <v>144</v>
      </c>
      <c r="F99" s="19" t="s">
        <v>12</v>
      </c>
      <c r="G99" s="19">
        <v>500.0</v>
      </c>
      <c r="H99" s="20">
        <v>15.0</v>
      </c>
      <c r="I99" s="21" t="str">
        <f t="shared" si="1"/>
        <v/>
      </c>
      <c r="J99" s="21" t="str">
        <f>IF(OR(L99="entregado",K99="despacho"),"", IF(AND(ELABORACION!F99&lt;&gt;"-",ELABORACION!F99&lt;&gt;"PENDIENTE ELAB"),"en proceso",""))</f>
        <v/>
      </c>
      <c r="K99" s="21" t="str">
        <f>IF(L99="entregado","",IF(EXPEDICION!L99="listo para entregar","despacho",""))</f>
        <v/>
      </c>
      <c r="L99" s="21" t="str">
        <f>IF(EXPEDICION!L99="entregado", "entregado", "")</f>
        <v>entregado</v>
      </c>
      <c r="M99" s="32" t="str">
        <f>EXPEDICION!M99</f>
        <v>Y26046</v>
      </c>
    </row>
    <row r="100" ht="15.75" customHeight="1">
      <c r="A100" s="23">
        <v>26030.0</v>
      </c>
      <c r="B100" s="10">
        <v>46086.0</v>
      </c>
      <c r="C100" s="23"/>
      <c r="D100" s="24" t="s">
        <v>143</v>
      </c>
      <c r="E100" s="24" t="s">
        <v>145</v>
      </c>
      <c r="F100" s="25" t="s">
        <v>12</v>
      </c>
      <c r="G100" s="25">
        <v>500.0</v>
      </c>
      <c r="H100" s="26">
        <v>50.0</v>
      </c>
      <c r="I100" s="21" t="str">
        <f t="shared" si="1"/>
        <v/>
      </c>
      <c r="J100" s="21" t="str">
        <f>IF(OR(L100="entregado",K100="despacho"),"", IF(AND(ELABORACION!F100&lt;&gt;"-",ELABORACION!F100&lt;&gt;"PENDIENTE ELAB"),"en proceso",""))</f>
        <v/>
      </c>
      <c r="K100" s="21" t="str">
        <f>IF(L100="entregado","",IF(EXPEDICION!L100="listo para entregar","despacho",""))</f>
        <v/>
      </c>
      <c r="L100" s="21" t="str">
        <f>IF(EXPEDICION!L100="entregado", "entregado", "")</f>
        <v>entregado</v>
      </c>
      <c r="M100" s="32" t="str">
        <f>EXPEDICION!M100</f>
        <v>Y26047</v>
      </c>
    </row>
    <row r="101" ht="15.75" customHeight="1">
      <c r="A101" s="16">
        <v>26031.0</v>
      </c>
      <c r="B101" s="17">
        <v>46087.0</v>
      </c>
      <c r="C101" s="16"/>
      <c r="D101" s="18" t="s">
        <v>22</v>
      </c>
      <c r="E101" s="18" t="s">
        <v>146</v>
      </c>
      <c r="F101" s="19" t="s">
        <v>12</v>
      </c>
      <c r="G101" s="19">
        <v>500.0</v>
      </c>
      <c r="H101" s="20">
        <v>50.0</v>
      </c>
      <c r="I101" s="21" t="str">
        <f t="shared" si="1"/>
        <v/>
      </c>
      <c r="J101" s="21" t="str">
        <f>IF(OR(L101="entregado",K101="despacho"),"", IF(AND(ELABORACION!F101&lt;&gt;"-",ELABORACION!F101&lt;&gt;"PENDIENTE ELAB"),"en proceso",""))</f>
        <v/>
      </c>
      <c r="K101" s="21" t="str">
        <f>IF(L101="entregado","",IF(EXPEDICION!L101="listo para entregar","despacho",""))</f>
        <v/>
      </c>
      <c r="L101" s="21" t="str">
        <f>IF(EXPEDICION!L101="entregado", "entregado", "")</f>
        <v>entregado</v>
      </c>
      <c r="M101" s="32" t="str">
        <f>EXPEDICION!M101</f>
        <v>M26064</v>
      </c>
    </row>
    <row r="102" ht="15.75" customHeight="1">
      <c r="A102" s="23">
        <v>26032.0</v>
      </c>
      <c r="B102" s="10">
        <v>46087.0</v>
      </c>
      <c r="C102" s="23">
        <v>1594.0</v>
      </c>
      <c r="D102" s="24" t="s">
        <v>147</v>
      </c>
      <c r="E102" s="24" t="s">
        <v>115</v>
      </c>
      <c r="F102" s="25" t="s">
        <v>12</v>
      </c>
      <c r="G102" s="25">
        <v>500.0</v>
      </c>
      <c r="H102" s="26">
        <v>150.0</v>
      </c>
      <c r="I102" s="21" t="str">
        <f t="shared" si="1"/>
        <v/>
      </c>
      <c r="J102" s="21" t="str">
        <f>IF(OR(L102="entregado",K102="despacho"),"", IF(AND(ELABORACION!F102&lt;&gt;"-",ELABORACION!F102&lt;&gt;"PENDIENTE ELAB"),"en proceso",""))</f>
        <v/>
      </c>
      <c r="K102" s="21" t="str">
        <f>IF(L102="entregado","",IF(EXPEDICION!L102="listo para entregar","despacho",""))</f>
        <v/>
      </c>
      <c r="L102" s="21" t="str">
        <f>IF(EXPEDICION!L102="entregado", "entregado", "")</f>
        <v>entregado</v>
      </c>
      <c r="M102" s="32" t="str">
        <f>EXPEDICION!M102</f>
        <v>M26035</v>
      </c>
    </row>
    <row r="103" ht="15.75" customHeight="1">
      <c r="A103" s="16">
        <v>26032.0</v>
      </c>
      <c r="B103" s="17">
        <v>46087.0</v>
      </c>
      <c r="C103" s="16">
        <v>1594.0</v>
      </c>
      <c r="D103" s="18" t="s">
        <v>147</v>
      </c>
      <c r="E103" s="18" t="s">
        <v>148</v>
      </c>
      <c r="F103" s="19" t="s">
        <v>12</v>
      </c>
      <c r="G103" s="19">
        <v>500.0</v>
      </c>
      <c r="H103" s="20">
        <v>150.0</v>
      </c>
      <c r="I103" s="21" t="str">
        <f t="shared" si="1"/>
        <v/>
      </c>
      <c r="J103" s="21" t="str">
        <f>IF(OR(L103="entregado",K103="despacho"),"", IF(AND(ELABORACION!F103&lt;&gt;"-",ELABORACION!F103&lt;&gt;"PENDIENTE ELAB"),"en proceso",""))</f>
        <v/>
      </c>
      <c r="K103" s="21" t="str">
        <f>IF(L103="entregado","",IF(EXPEDICION!L103="listo para entregar","despacho",""))</f>
        <v/>
      </c>
      <c r="L103" s="21" t="str">
        <f>IF(EXPEDICION!L103="entregado", "entregado", "")</f>
        <v>entregado</v>
      </c>
      <c r="M103" s="32" t="str">
        <f>EXPEDICION!M103</f>
        <v>M26068</v>
      </c>
    </row>
    <row r="104" ht="15.75" customHeight="1">
      <c r="A104" s="23">
        <v>26033.0</v>
      </c>
      <c r="B104" s="10">
        <v>46087.0</v>
      </c>
      <c r="C104" s="23">
        <v>1597.0</v>
      </c>
      <c r="D104" s="24" t="s">
        <v>147</v>
      </c>
      <c r="E104" s="24" t="s">
        <v>149</v>
      </c>
      <c r="F104" s="25" t="s">
        <v>12</v>
      </c>
      <c r="G104" s="25">
        <v>500.0</v>
      </c>
      <c r="H104" s="26">
        <v>55.0</v>
      </c>
      <c r="I104" s="21" t="str">
        <f t="shared" si="1"/>
        <v/>
      </c>
      <c r="J104" s="21" t="str">
        <f>IF(OR(L104="entregado",K104="despacho"),"", IF(AND(ELABORACION!F104&lt;&gt;"-",ELABORACION!F104&lt;&gt;"PENDIENTE ELAB"),"en proceso",""))</f>
        <v/>
      </c>
      <c r="K104" s="21" t="str">
        <f>IF(L104="entregado","",IF(EXPEDICION!L104="listo para entregar","despacho",""))</f>
        <v/>
      </c>
      <c r="L104" s="21" t="str">
        <f>IF(EXPEDICION!L104="entregado", "entregado", "")</f>
        <v>entregado</v>
      </c>
      <c r="M104" s="32" t="str">
        <f>EXPEDICION!M104</f>
        <v>M26036</v>
      </c>
    </row>
    <row r="105" ht="15.75" customHeight="1">
      <c r="A105" s="16">
        <v>26034.0</v>
      </c>
      <c r="B105" s="17">
        <v>46087.0</v>
      </c>
      <c r="C105" s="16">
        <v>140.0</v>
      </c>
      <c r="D105" s="18" t="s">
        <v>150</v>
      </c>
      <c r="E105" s="18" t="s">
        <v>151</v>
      </c>
      <c r="F105" s="19" t="s">
        <v>36</v>
      </c>
      <c r="G105" s="19">
        <v>3000.0</v>
      </c>
      <c r="H105" s="20">
        <v>250.0</v>
      </c>
      <c r="I105" s="21" t="str">
        <f t="shared" si="1"/>
        <v/>
      </c>
      <c r="J105" s="21" t="str">
        <f>IF(OR(L105="entregado",K105="despacho"),"", IF(AND(ELABORACION!F105&lt;&gt;"-",ELABORACION!F105&lt;&gt;"PENDIENTE ELAB"),"en proceso",""))</f>
        <v/>
      </c>
      <c r="K105" s="21" t="str">
        <f>IF(L105="entregado","",IF(EXPEDICION!L105="listo para entregar","despacho",""))</f>
        <v/>
      </c>
      <c r="L105" s="21" t="str">
        <f>IF(EXPEDICION!L105="entregado", "entregado", "")</f>
        <v>entregado</v>
      </c>
      <c r="M105" s="32" t="str">
        <f>EXPEDICION!M105</f>
        <v>M26079</v>
      </c>
    </row>
    <row r="106" ht="15.75" customHeight="1">
      <c r="A106" s="23">
        <v>26035.0</v>
      </c>
      <c r="B106" s="10">
        <v>46087.0</v>
      </c>
      <c r="C106" s="23">
        <v>140.0</v>
      </c>
      <c r="D106" s="24" t="s">
        <v>150</v>
      </c>
      <c r="E106" s="24" t="s">
        <v>152</v>
      </c>
      <c r="F106" s="25" t="s">
        <v>12</v>
      </c>
      <c r="G106" s="25">
        <v>2000.0</v>
      </c>
      <c r="H106" s="26">
        <v>50.0</v>
      </c>
      <c r="I106" s="21" t="str">
        <f t="shared" si="1"/>
        <v/>
      </c>
      <c r="J106" s="21" t="str">
        <f>IF(OR(L106="entregado",K106="despacho"),"", IF(AND(ELABORACION!F106&lt;&gt;"-",ELABORACION!F106&lt;&gt;"PENDIENTE ELAB"),"en proceso",""))</f>
        <v/>
      </c>
      <c r="K106" s="21" t="str">
        <f>IF(L106="entregado","",IF(EXPEDICION!L106="listo para entregar","despacho",""))</f>
        <v/>
      </c>
      <c r="L106" s="21" t="str">
        <f>IF(EXPEDICION!L106="entregado", "entregado", "")</f>
        <v>entregado</v>
      </c>
      <c r="M106" s="32" t="str">
        <f>EXPEDICION!M106</f>
        <v>M26067</v>
      </c>
    </row>
    <row r="107" ht="15.75" customHeight="1">
      <c r="A107" s="16">
        <v>26036.0</v>
      </c>
      <c r="B107" s="17">
        <v>46090.0</v>
      </c>
      <c r="C107" s="16" t="s">
        <v>153</v>
      </c>
      <c r="D107" s="18" t="s">
        <v>15</v>
      </c>
      <c r="E107" s="18" t="s">
        <v>154</v>
      </c>
      <c r="F107" s="19" t="s">
        <v>36</v>
      </c>
      <c r="G107" s="19">
        <f>3400+600</f>
        <v>4000</v>
      </c>
      <c r="H107" s="20">
        <v>25.0</v>
      </c>
      <c r="I107" s="21" t="str">
        <f t="shared" si="1"/>
        <v/>
      </c>
      <c r="J107" s="21" t="str">
        <f>IF(OR(L107="entregado",K107="despacho"),"", IF(AND(ELABORACION!F107&lt;&gt;"-",ELABORACION!F107&lt;&gt;"PENDIENTE ELAB"),"en proceso",""))</f>
        <v/>
      </c>
      <c r="K107" s="21" t="str">
        <f>IF(L107="entregado","",IF(EXPEDICION!L107="listo para entregar","despacho",""))</f>
        <v/>
      </c>
      <c r="L107" s="21" t="str">
        <f>IF(EXPEDICION!L107="entregado", "entregado", "")</f>
        <v>entregado</v>
      </c>
      <c r="M107" s="32" t="str">
        <f>EXPEDICION!M107</f>
        <v/>
      </c>
    </row>
    <row r="108" ht="15.75" customHeight="1">
      <c r="A108" s="23">
        <v>26036.0</v>
      </c>
      <c r="B108" s="10">
        <v>46090.0</v>
      </c>
      <c r="C108" s="23" t="s">
        <v>153</v>
      </c>
      <c r="D108" s="24" t="s">
        <v>15</v>
      </c>
      <c r="E108" s="24" t="s">
        <v>155</v>
      </c>
      <c r="F108" s="25" t="s">
        <v>36</v>
      </c>
      <c r="G108" s="25">
        <f>3400+1600</f>
        <v>5000</v>
      </c>
      <c r="H108" s="26">
        <v>25.0</v>
      </c>
      <c r="I108" s="21" t="str">
        <f t="shared" si="1"/>
        <v/>
      </c>
      <c r="J108" s="21" t="str">
        <f>IF(OR(L108="entregado",K108="despacho"),"", IF(AND(ELABORACION!F108&lt;&gt;"-",ELABORACION!F108&lt;&gt;"PENDIENTE ELAB"),"en proceso",""))</f>
        <v/>
      </c>
      <c r="K108" s="21" t="str">
        <f>IF(L108="entregado","",IF(EXPEDICION!L108="listo para entregar","despacho",""))</f>
        <v/>
      </c>
      <c r="L108" s="21" t="str">
        <f>IF(EXPEDICION!L108="entregado", "entregado", "")</f>
        <v>entregado</v>
      </c>
      <c r="M108" s="32" t="str">
        <f>EXPEDICION!M108</f>
        <v/>
      </c>
    </row>
    <row r="109" ht="15.75" customHeight="1">
      <c r="A109" s="16">
        <v>26036.0</v>
      </c>
      <c r="B109" s="17">
        <v>46090.0</v>
      </c>
      <c r="C109" s="16">
        <v>15170.0</v>
      </c>
      <c r="D109" s="18" t="s">
        <v>15</v>
      </c>
      <c r="E109" s="18" t="s">
        <v>156</v>
      </c>
      <c r="F109" s="19" t="s">
        <v>36</v>
      </c>
      <c r="G109" s="19">
        <v>3000.0</v>
      </c>
      <c r="H109" s="20">
        <v>25.0</v>
      </c>
      <c r="I109" s="21" t="str">
        <f t="shared" si="1"/>
        <v/>
      </c>
      <c r="J109" s="21" t="str">
        <f>IF(OR(L109="entregado",K109="despacho"),"", IF(AND(ELABORACION!F109&lt;&gt;"-",ELABORACION!F109&lt;&gt;"PENDIENTE ELAB"),"en proceso",""))</f>
        <v/>
      </c>
      <c r="K109" s="21" t="str">
        <f>IF(L109="entregado","",IF(EXPEDICION!L109="listo para entregar","despacho",""))</f>
        <v/>
      </c>
      <c r="L109" s="21" t="str">
        <f>IF(EXPEDICION!L109="entregado", "entregado", "")</f>
        <v>entregado</v>
      </c>
      <c r="M109" s="32" t="str">
        <f>EXPEDICION!M109</f>
        <v/>
      </c>
    </row>
    <row r="110" ht="15.75" customHeight="1">
      <c r="A110" s="23">
        <v>26036.0</v>
      </c>
      <c r="B110" s="10">
        <v>46090.0</v>
      </c>
      <c r="C110" s="23">
        <v>15170.0</v>
      </c>
      <c r="D110" s="24" t="s">
        <v>15</v>
      </c>
      <c r="E110" s="24" t="s">
        <v>157</v>
      </c>
      <c r="F110" s="25" t="s">
        <v>36</v>
      </c>
      <c r="G110" s="25">
        <v>3000.0</v>
      </c>
      <c r="H110" s="26">
        <v>25.0</v>
      </c>
      <c r="I110" s="21" t="str">
        <f t="shared" si="1"/>
        <v/>
      </c>
      <c r="J110" s="21" t="str">
        <f>IF(OR(L110="entregado",K110="despacho"),"", IF(AND(ELABORACION!F110&lt;&gt;"-",ELABORACION!F110&lt;&gt;"PENDIENTE ELAB"),"en proceso",""))</f>
        <v/>
      </c>
      <c r="K110" s="21" t="str">
        <f>IF(L110="entregado","",IF(EXPEDICION!L110="listo para entregar","despacho",""))</f>
        <v/>
      </c>
      <c r="L110" s="21" t="str">
        <f>IF(EXPEDICION!L110="entregado", "entregado", "")</f>
        <v>entregado</v>
      </c>
      <c r="M110" s="32" t="str">
        <f>EXPEDICION!M110</f>
        <v/>
      </c>
    </row>
    <row r="111" ht="15.75" customHeight="1">
      <c r="A111" s="16">
        <v>26037.0</v>
      </c>
      <c r="B111" s="17">
        <v>46090.0</v>
      </c>
      <c r="C111" s="16"/>
      <c r="D111" s="18" t="s">
        <v>158</v>
      </c>
      <c r="E111" s="18" t="s">
        <v>159</v>
      </c>
      <c r="F111" s="19" t="s">
        <v>12</v>
      </c>
      <c r="G111" s="19">
        <v>500.0</v>
      </c>
      <c r="H111" s="20">
        <v>10.0</v>
      </c>
      <c r="I111" s="21" t="str">
        <f t="shared" si="1"/>
        <v/>
      </c>
      <c r="J111" s="21" t="str">
        <f>IF(OR(L111="entregado",K111="despacho"),"", IF(AND(ELABORACION!F111&lt;&gt;"-",ELABORACION!F111&lt;&gt;"PENDIENTE ELAB"),"en proceso",""))</f>
        <v/>
      </c>
      <c r="K111" s="21" t="str">
        <f>IF(L111="entregado","",IF(EXPEDICION!L111="listo para entregar","despacho",""))</f>
        <v/>
      </c>
      <c r="L111" s="21" t="str">
        <f>IF(EXPEDICION!L111="entregado", "entregado", "")</f>
        <v>entregado</v>
      </c>
      <c r="M111" s="32" t="str">
        <f>EXPEDICION!M111</f>
        <v>M26073</v>
      </c>
    </row>
    <row r="112" ht="15.75" customHeight="1">
      <c r="A112" s="23">
        <v>26037.0</v>
      </c>
      <c r="B112" s="10">
        <v>46090.0</v>
      </c>
      <c r="C112" s="23"/>
      <c r="D112" s="24" t="s">
        <v>158</v>
      </c>
      <c r="E112" s="24" t="s">
        <v>160</v>
      </c>
      <c r="F112" s="25" t="s">
        <v>12</v>
      </c>
      <c r="G112" s="25">
        <v>500.0</v>
      </c>
      <c r="H112" s="26">
        <v>10.0</v>
      </c>
      <c r="I112" s="21" t="str">
        <f t="shared" si="1"/>
        <v/>
      </c>
      <c r="J112" s="21" t="str">
        <f>IF(OR(L112="entregado",K112="despacho"),"", IF(AND(ELABORACION!F112&lt;&gt;"-",ELABORACION!F112&lt;&gt;"PENDIENTE ELAB"),"en proceso",""))</f>
        <v/>
      </c>
      <c r="K112" s="21" t="str">
        <f>IF(L112="entregado","",IF(EXPEDICION!L112="listo para entregar","despacho",""))</f>
        <v/>
      </c>
      <c r="L112" s="21" t="str">
        <f>IF(EXPEDICION!L112="entregado", "entregado", "")</f>
        <v>entregado</v>
      </c>
      <c r="M112" s="32" t="str">
        <f>EXPEDICION!M112</f>
        <v>M26074</v>
      </c>
    </row>
    <row r="113" ht="15.75" customHeight="1">
      <c r="A113" s="16">
        <v>26037.0</v>
      </c>
      <c r="B113" s="17">
        <v>46090.0</v>
      </c>
      <c r="C113" s="16"/>
      <c r="D113" s="18" t="s">
        <v>158</v>
      </c>
      <c r="E113" s="18" t="s">
        <v>161</v>
      </c>
      <c r="F113" s="19" t="s">
        <v>12</v>
      </c>
      <c r="G113" s="19">
        <v>500.0</v>
      </c>
      <c r="H113" s="20">
        <v>10.0</v>
      </c>
      <c r="I113" s="21" t="str">
        <f t="shared" si="1"/>
        <v/>
      </c>
      <c r="J113" s="21" t="str">
        <f>IF(OR(L113="entregado",K113="despacho"),"", IF(AND(ELABORACION!F113&lt;&gt;"-",ELABORACION!F113&lt;&gt;"PENDIENTE ELAB"),"en proceso",""))</f>
        <v/>
      </c>
      <c r="K113" s="21" t="str">
        <f>IF(L113="entregado","",IF(EXPEDICION!L113="listo para entregar","despacho",""))</f>
        <v/>
      </c>
      <c r="L113" s="21" t="str">
        <f>IF(EXPEDICION!L113="entregado", "entregado", "")</f>
        <v>entregado</v>
      </c>
      <c r="M113" s="32" t="str">
        <f>EXPEDICION!M113</f>
        <v>M26075</v>
      </c>
    </row>
    <row r="114" ht="15.75" customHeight="1">
      <c r="A114" s="23">
        <v>26037.0</v>
      </c>
      <c r="B114" s="10">
        <v>46090.0</v>
      </c>
      <c r="C114" s="23"/>
      <c r="D114" s="24" t="s">
        <v>158</v>
      </c>
      <c r="E114" s="24" t="s">
        <v>162</v>
      </c>
      <c r="F114" s="25" t="s">
        <v>12</v>
      </c>
      <c r="G114" s="25">
        <v>500.0</v>
      </c>
      <c r="H114" s="26">
        <v>10.0</v>
      </c>
      <c r="I114" s="21" t="str">
        <f t="shared" si="1"/>
        <v/>
      </c>
      <c r="J114" s="21" t="str">
        <f>IF(OR(L114="entregado",K114="despacho"),"", IF(AND(ELABORACION!F114&lt;&gt;"-",ELABORACION!F114&lt;&gt;"PENDIENTE ELAB"),"en proceso",""))</f>
        <v/>
      </c>
      <c r="K114" s="21" t="str">
        <f>IF(L114="entregado","",IF(EXPEDICION!L114="listo para entregar","despacho",""))</f>
        <v/>
      </c>
      <c r="L114" s="21" t="str">
        <f>IF(EXPEDICION!L114="entregado", "entregado", "")</f>
        <v>entregado</v>
      </c>
      <c r="M114" s="32" t="str">
        <f>EXPEDICION!M114</f>
        <v>M26076</v>
      </c>
    </row>
    <row r="115" ht="15.75" customHeight="1">
      <c r="A115" s="16">
        <v>26037.0</v>
      </c>
      <c r="B115" s="17">
        <v>46090.0</v>
      </c>
      <c r="C115" s="16"/>
      <c r="D115" s="18" t="s">
        <v>158</v>
      </c>
      <c r="E115" s="18" t="s">
        <v>163</v>
      </c>
      <c r="F115" s="19" t="s">
        <v>12</v>
      </c>
      <c r="G115" s="19">
        <v>500.0</v>
      </c>
      <c r="H115" s="20">
        <v>10.0</v>
      </c>
      <c r="I115" s="21" t="str">
        <f t="shared" si="1"/>
        <v/>
      </c>
      <c r="J115" s="21" t="str">
        <f>IF(OR(L115="entregado",K115="despacho"),"", IF(AND(ELABORACION!F115&lt;&gt;"-",ELABORACION!F115&lt;&gt;"PENDIENTE ELAB"),"en proceso",""))</f>
        <v/>
      </c>
      <c r="K115" s="21" t="str">
        <f>IF(L115="entregado","",IF(EXPEDICION!L115="listo para entregar","despacho",""))</f>
        <v/>
      </c>
      <c r="L115" s="21" t="str">
        <f>IF(EXPEDICION!L115="entregado", "entregado", "")</f>
        <v>entregado</v>
      </c>
      <c r="M115" s="32" t="str">
        <f>EXPEDICION!M115</f>
        <v>M26077</v>
      </c>
    </row>
    <row r="116" ht="15.75" customHeight="1">
      <c r="A116" s="23">
        <v>26038.0</v>
      </c>
      <c r="B116" s="10">
        <v>46090.0</v>
      </c>
      <c r="C116" s="23">
        <v>14348.0</v>
      </c>
      <c r="D116" s="24" t="s">
        <v>13</v>
      </c>
      <c r="E116" s="24" t="s">
        <v>164</v>
      </c>
      <c r="F116" s="25" t="s">
        <v>36</v>
      </c>
      <c r="G116" s="25">
        <v>1000.0</v>
      </c>
      <c r="H116" s="26">
        <v>105.0</v>
      </c>
      <c r="I116" s="21" t="str">
        <f t="shared" si="1"/>
        <v/>
      </c>
      <c r="J116" s="21" t="str">
        <f>IF(OR(L116="entregado",K116="despacho"),"", IF(AND(ELABORACION!F116&lt;&gt;"-",ELABORACION!F116&lt;&gt;"PENDIENTE ELAB"),"en proceso",""))</f>
        <v/>
      </c>
      <c r="K116" s="21" t="str">
        <f>IF(L116="entregado","",IF(EXPEDICION!L116="listo para entregar","despacho",""))</f>
        <v/>
      </c>
      <c r="L116" s="21" t="str">
        <f>IF(EXPEDICION!L116="entregado", "entregado", "")</f>
        <v>entregado</v>
      </c>
      <c r="M116" s="32" t="str">
        <f>EXPEDICION!M116</f>
        <v>M26071</v>
      </c>
    </row>
    <row r="117" ht="15.75" customHeight="1">
      <c r="A117" s="16">
        <v>26038.0</v>
      </c>
      <c r="B117" s="17">
        <v>46090.0</v>
      </c>
      <c r="C117" s="16">
        <v>14348.0</v>
      </c>
      <c r="D117" s="18" t="s">
        <v>13</v>
      </c>
      <c r="E117" s="18" t="s">
        <v>165</v>
      </c>
      <c r="F117" s="19" t="s">
        <v>36</v>
      </c>
      <c r="G117" s="19">
        <v>2000.0</v>
      </c>
      <c r="H117" s="20">
        <v>30.0</v>
      </c>
      <c r="I117" s="21" t="str">
        <f t="shared" si="1"/>
        <v/>
      </c>
      <c r="J117" s="21" t="str">
        <f>IF(OR(L117="entregado",K117="despacho"),"", IF(AND(ELABORACION!F117&lt;&gt;"-",ELABORACION!F117&lt;&gt;"PENDIENTE ELAB"),"en proceso",""))</f>
        <v/>
      </c>
      <c r="K117" s="21" t="str">
        <f>IF(L117="entregado","",IF(EXPEDICION!L117="listo para entregar","despacho",""))</f>
        <v/>
      </c>
      <c r="L117" s="21" t="str">
        <f>IF(EXPEDICION!L117="entregado", "entregado", "")</f>
        <v>entregado</v>
      </c>
      <c r="M117" s="32" t="str">
        <f>EXPEDICION!M117</f>
        <v>M26072</v>
      </c>
    </row>
    <row r="118" ht="15.75" customHeight="1">
      <c r="A118" s="23">
        <v>26038.0</v>
      </c>
      <c r="B118" s="10">
        <v>46090.0</v>
      </c>
      <c r="C118" s="23">
        <v>14348.0</v>
      </c>
      <c r="D118" s="24" t="s">
        <v>13</v>
      </c>
      <c r="E118" s="24" t="s">
        <v>166</v>
      </c>
      <c r="F118" s="25" t="s">
        <v>36</v>
      </c>
      <c r="G118" s="25">
        <v>1000.0</v>
      </c>
      <c r="H118" s="26">
        <v>105.0</v>
      </c>
      <c r="I118" s="21" t="str">
        <f t="shared" si="1"/>
        <v/>
      </c>
      <c r="J118" s="21" t="str">
        <f>IF(OR(L118="entregado",K118="despacho"),"", IF(AND(ELABORACION!F118&lt;&gt;"-",ELABORACION!F118&lt;&gt;"PENDIENTE ELAB"),"en proceso",""))</f>
        <v/>
      </c>
      <c r="K118" s="21" t="str">
        <f>IF(L118="entregado","",IF(EXPEDICION!L118="listo para entregar","despacho",""))</f>
        <v/>
      </c>
      <c r="L118" s="21" t="str">
        <f>IF(EXPEDICION!L118="entregado", "entregado", "")</f>
        <v>entregado</v>
      </c>
      <c r="M118" s="32" t="str">
        <f>EXPEDICION!M118</f>
        <v>M26070</v>
      </c>
    </row>
    <row r="119" ht="15.75" customHeight="1">
      <c r="A119" s="16">
        <v>26039.0</v>
      </c>
      <c r="B119" s="17">
        <v>46034.0</v>
      </c>
      <c r="C119" s="16">
        <v>14258.0</v>
      </c>
      <c r="D119" s="18" t="s">
        <v>13</v>
      </c>
      <c r="E119" s="18" t="s">
        <v>167</v>
      </c>
      <c r="F119" s="19" t="s">
        <v>36</v>
      </c>
      <c r="G119" s="19">
        <v>1500.0</v>
      </c>
      <c r="H119" s="20">
        <v>105.0</v>
      </c>
      <c r="I119" s="21" t="str">
        <f t="shared" si="1"/>
        <v/>
      </c>
      <c r="J119" s="21" t="str">
        <f>IF(OR(L119="entregado",K119="despacho"),"", IF(AND(ELABORACION!F119&lt;&gt;"-",ELABORACION!F119&lt;&gt;"PENDIENTE ELAB"),"en proceso",""))</f>
        <v/>
      </c>
      <c r="K119" s="21" t="str">
        <f>IF(L119="entregado","",IF(EXPEDICION!L119="listo para entregar","despacho",""))</f>
        <v/>
      </c>
      <c r="L119" s="21" t="str">
        <f>IF(EXPEDICION!L119="entregado", "entregado", "")</f>
        <v>entregado</v>
      </c>
      <c r="M119" s="32" t="str">
        <f>EXPEDICION!M119</f>
        <v>M26069</v>
      </c>
    </row>
    <row r="120" ht="15.75" customHeight="1">
      <c r="A120" s="23">
        <v>26040.0</v>
      </c>
      <c r="B120" s="10">
        <v>46076.0</v>
      </c>
      <c r="C120" s="23">
        <v>1716.0</v>
      </c>
      <c r="D120" s="24" t="s">
        <v>33</v>
      </c>
      <c r="E120" s="24" t="s">
        <v>168</v>
      </c>
      <c r="F120" s="25" t="s">
        <v>12</v>
      </c>
      <c r="G120" s="25">
        <v>1500.0</v>
      </c>
      <c r="H120" s="26">
        <v>30.0</v>
      </c>
      <c r="I120" s="21" t="str">
        <f t="shared" si="1"/>
        <v/>
      </c>
      <c r="J120" s="21" t="str">
        <f>IF(OR(L120="entregado",K120="despacho"),"", IF(AND(ELABORACION!F120&lt;&gt;"-",ELABORACION!F120&lt;&gt;"PENDIENTE ELAB"),"en proceso",""))</f>
        <v/>
      </c>
      <c r="K120" s="21" t="str">
        <f>IF(L120="entregado","",IF(EXPEDICION!L120="listo para entregar","despacho",""))</f>
        <v/>
      </c>
      <c r="L120" s="21" t="str">
        <f>IF(EXPEDICION!L120="entregado", "entregado", "")</f>
        <v>entregado</v>
      </c>
      <c r="M120" s="32" t="str">
        <f>EXPEDICION!M120</f>
        <v>M26063</v>
      </c>
    </row>
    <row r="121" ht="15.75" customHeight="1">
      <c r="A121" s="16">
        <v>26041.0</v>
      </c>
      <c r="B121" s="17">
        <v>46076.0</v>
      </c>
      <c r="C121" s="16">
        <v>1715.0</v>
      </c>
      <c r="D121" s="18" t="s">
        <v>33</v>
      </c>
      <c r="E121" s="18" t="s">
        <v>169</v>
      </c>
      <c r="F121" s="19" t="s">
        <v>12</v>
      </c>
      <c r="G121" s="19">
        <v>2000.0</v>
      </c>
      <c r="H121" s="20">
        <v>50.0</v>
      </c>
      <c r="I121" s="21" t="str">
        <f t="shared" si="1"/>
        <v/>
      </c>
      <c r="J121" s="21" t="str">
        <f>IF(OR(L121="entregado",K121="despacho"),"", IF(AND(ELABORACION!F121&lt;&gt;"-",ELABORACION!F121&lt;&gt;"PENDIENTE ELAB"),"en proceso",""))</f>
        <v/>
      </c>
      <c r="K121" s="21" t="str">
        <f>IF(L121="entregado","",IF(EXPEDICION!L121="listo para entregar","despacho",""))</f>
        <v/>
      </c>
      <c r="L121" s="21" t="str">
        <f>IF(EXPEDICION!L121="entregado", "entregado", "")</f>
        <v>entregado</v>
      </c>
      <c r="M121" s="32" t="str">
        <f>EXPEDICION!M121</f>
        <v>F26061</v>
      </c>
    </row>
    <row r="122" ht="15.75" customHeight="1">
      <c r="A122" s="23">
        <v>26042.0</v>
      </c>
      <c r="B122" s="33">
        <v>46168.0</v>
      </c>
      <c r="C122" s="23"/>
      <c r="D122" s="24" t="s">
        <v>170</v>
      </c>
      <c r="E122" s="24" t="s">
        <v>171</v>
      </c>
      <c r="F122" s="25" t="s">
        <v>12</v>
      </c>
      <c r="G122" s="25">
        <v>1000.0</v>
      </c>
      <c r="H122" s="26">
        <v>200.0</v>
      </c>
      <c r="I122" s="21" t="str">
        <f t="shared" si="1"/>
        <v/>
      </c>
      <c r="J122" s="21" t="str">
        <f>IF(OR(L122="entregado",K122="despacho"),"", IF(AND(ELABORACION!F122&lt;&gt;"-",ELABORACION!F122&lt;&gt;"PENDIENTE ELAB"),"en proceso",""))</f>
        <v/>
      </c>
      <c r="K122" s="21" t="str">
        <f>IF(L122="entregado","",IF(EXPEDICION!L122="listo para entregar","despacho",""))</f>
        <v/>
      </c>
      <c r="L122" s="21" t="str">
        <f>IF(EXPEDICION!L122="entregado", "entregado", "")</f>
        <v>entregado</v>
      </c>
      <c r="M122" s="32" t="str">
        <f>EXPEDICION!M122</f>
        <v>A26025</v>
      </c>
    </row>
    <row r="123" ht="15.75" customHeight="1">
      <c r="A123" s="16">
        <v>26042.0</v>
      </c>
      <c r="B123" s="30">
        <v>46168.0</v>
      </c>
      <c r="C123" s="16"/>
      <c r="D123" s="18" t="s">
        <v>170</v>
      </c>
      <c r="E123" s="18" t="s">
        <v>172</v>
      </c>
      <c r="F123" s="19" t="s">
        <v>12</v>
      </c>
      <c r="G123" s="19">
        <v>1000.0</v>
      </c>
      <c r="H123" s="20">
        <v>200.0</v>
      </c>
      <c r="I123" s="21" t="str">
        <f t="shared" si="1"/>
        <v/>
      </c>
      <c r="J123" s="21" t="str">
        <f>IF(OR(L123="entregado",K123="despacho"),"", IF(AND(ELABORACION!F123&lt;&gt;"-",ELABORACION!F123&lt;&gt;"PENDIENTE ELAB"),"en proceso",""))</f>
        <v/>
      </c>
      <c r="K123" s="21" t="str">
        <f>IF(L123="entregado","",IF(EXPEDICION!L123="listo para entregar","despacho",""))</f>
        <v/>
      </c>
      <c r="L123" s="21" t="str">
        <f>IF(EXPEDICION!L123="entregado", "entregado", "")</f>
        <v>entregado</v>
      </c>
      <c r="M123" s="32" t="str">
        <f>EXPEDICION!M123</f>
        <v>A26026</v>
      </c>
    </row>
    <row r="124" ht="15.75" customHeight="1">
      <c r="A124" s="23">
        <v>26042.0</v>
      </c>
      <c r="B124" s="33">
        <v>46168.0</v>
      </c>
      <c r="C124" s="23"/>
      <c r="D124" s="24" t="s">
        <v>170</v>
      </c>
      <c r="E124" s="24" t="s">
        <v>173</v>
      </c>
      <c r="F124" s="25" t="s">
        <v>12</v>
      </c>
      <c r="G124" s="25">
        <v>1000.0</v>
      </c>
      <c r="H124" s="26">
        <v>200.0</v>
      </c>
      <c r="I124" s="21" t="str">
        <f t="shared" si="1"/>
        <v/>
      </c>
      <c r="J124" s="21" t="str">
        <f>IF(OR(L124="entregado",K124="despacho"),"", IF(AND(ELABORACION!F124&lt;&gt;"-",ELABORACION!F124&lt;&gt;"PENDIENTE ELAB"),"en proceso",""))</f>
        <v/>
      </c>
      <c r="K124" s="21" t="str">
        <f>IF(L124="entregado","",IF(EXPEDICION!L124="listo para entregar","despacho",""))</f>
        <v/>
      </c>
      <c r="L124" s="21" t="str">
        <f>IF(EXPEDICION!L124="entregado", "entregado", "")</f>
        <v>entregado</v>
      </c>
      <c r="M124" s="32" t="str">
        <f>EXPEDICION!M124</f>
        <v>A26024</v>
      </c>
    </row>
    <row r="125" ht="15.75" customHeight="1">
      <c r="A125" s="16">
        <v>26042.0</v>
      </c>
      <c r="B125" s="30">
        <v>46168.0</v>
      </c>
      <c r="C125" s="16"/>
      <c r="D125" s="18" t="s">
        <v>170</v>
      </c>
      <c r="E125" s="18" t="s">
        <v>174</v>
      </c>
      <c r="F125" s="19" t="s">
        <v>12</v>
      </c>
      <c r="G125" s="19">
        <v>1000.0</v>
      </c>
      <c r="H125" s="20">
        <v>200.0</v>
      </c>
      <c r="I125" s="21" t="str">
        <f t="shared" si="1"/>
        <v/>
      </c>
      <c r="J125" s="21" t="str">
        <f>IF(OR(L125="entregado",K125="despacho"),"", IF(AND(ELABORACION!F125&lt;&gt;"-",ELABORACION!F125&lt;&gt;"PENDIENTE ELAB"),"en proceso",""))</f>
        <v/>
      </c>
      <c r="K125" s="21" t="str">
        <f>IF(L125="entregado","",IF(EXPEDICION!L125="listo para entregar","despacho",""))</f>
        <v/>
      </c>
      <c r="L125" s="21" t="str">
        <f>IF(EXPEDICION!L125="entregado", "entregado", "")</f>
        <v>entregado</v>
      </c>
      <c r="M125" s="32" t="str">
        <f>EXPEDICION!M125</f>
        <v>A26041</v>
      </c>
    </row>
    <row r="126" ht="15.75" customHeight="1">
      <c r="A126" s="23">
        <v>26042.0</v>
      </c>
      <c r="B126" s="33">
        <v>46168.0</v>
      </c>
      <c r="C126" s="23"/>
      <c r="D126" s="24" t="s">
        <v>170</v>
      </c>
      <c r="E126" s="24" t="s">
        <v>175</v>
      </c>
      <c r="F126" s="25" t="s">
        <v>12</v>
      </c>
      <c r="G126" s="25">
        <v>1000.0</v>
      </c>
      <c r="H126" s="26">
        <v>200.0</v>
      </c>
      <c r="I126" s="21" t="str">
        <f t="shared" si="1"/>
        <v/>
      </c>
      <c r="J126" s="21" t="str">
        <f>IF(OR(L126="entregado",K126="despacho"),"", IF(AND(ELABORACION!F126&lt;&gt;"-",ELABORACION!F126&lt;&gt;"PENDIENTE ELAB"),"en proceso",""))</f>
        <v/>
      </c>
      <c r="K126" s="21" t="str">
        <f>IF(L126="entregado","",IF(EXPEDICION!L126="listo para entregar","despacho",""))</f>
        <v/>
      </c>
      <c r="L126" s="21" t="str">
        <f>IF(EXPEDICION!L126="entregado", "entregado", "")</f>
        <v>entregado</v>
      </c>
      <c r="M126" s="32" t="str">
        <f>EXPEDICION!M126</f>
        <v>A26040</v>
      </c>
    </row>
    <row r="127" ht="15.75" customHeight="1">
      <c r="A127" s="16">
        <v>26047.0</v>
      </c>
      <c r="B127" s="30">
        <v>46162.0</v>
      </c>
      <c r="C127" s="16"/>
      <c r="D127" s="18" t="s">
        <v>33</v>
      </c>
      <c r="E127" s="18" t="s">
        <v>176</v>
      </c>
      <c r="F127" s="19" t="s">
        <v>12</v>
      </c>
      <c r="G127" s="19">
        <v>600.0</v>
      </c>
      <c r="H127" s="20">
        <v>50.0</v>
      </c>
      <c r="I127" s="21" t="str">
        <f t="shared" si="1"/>
        <v/>
      </c>
      <c r="J127" s="21" t="str">
        <f>IF(OR(L127="entregado",K127="despacho"),"", IF(AND(ELABORACION!F127&lt;&gt;"-",ELABORACION!F127&lt;&gt;"PENDIENTE ELAB"),"en proceso",""))</f>
        <v/>
      </c>
      <c r="K127" s="21" t="str">
        <f>IF(L127="entregado","",IF(EXPEDICION!L127="listo para entregar","despacho",""))</f>
        <v/>
      </c>
      <c r="L127" s="21" t="str">
        <f>IF(EXPEDICION!L127="entregado", "entregado", "")</f>
        <v>entregado</v>
      </c>
      <c r="M127" s="32" t="str">
        <f>EXPEDICION!M127</f>
        <v>A26010</v>
      </c>
    </row>
    <row r="128" ht="15.75" customHeight="1">
      <c r="A128" s="23">
        <v>26048.0</v>
      </c>
      <c r="B128" s="10">
        <v>46097.0</v>
      </c>
      <c r="C128" s="23"/>
      <c r="D128" s="24" t="s">
        <v>60</v>
      </c>
      <c r="E128" s="24" t="s">
        <v>177</v>
      </c>
      <c r="F128" s="25" t="s">
        <v>12</v>
      </c>
      <c r="G128" s="25">
        <v>3000.0</v>
      </c>
      <c r="H128" s="26">
        <v>4.5</v>
      </c>
      <c r="I128" s="21" t="str">
        <f t="shared" si="1"/>
        <v/>
      </c>
      <c r="J128" s="21" t="str">
        <f>IF(OR(L128="entregado",K128="despacho"),"", IF(AND(ELABORACION!F128&lt;&gt;"-",ELABORACION!F128&lt;&gt;"PENDIENTE ELAB"),"en proceso",""))</f>
        <v/>
      </c>
      <c r="K128" s="21" t="str">
        <f>IF(L128="entregado","",IF(EXPEDICION!L128="listo para entregar","despacho",""))</f>
        <v/>
      </c>
      <c r="L128" s="21" t="str">
        <f>IF(EXPEDICION!L128="entregado", "entregado", "")</f>
        <v>entregado</v>
      </c>
      <c r="M128" s="32" t="str">
        <f>EXPEDICION!M128</f>
        <v>A26043</v>
      </c>
    </row>
    <row r="129" ht="15.75" customHeight="1">
      <c r="A129" s="16">
        <v>26049.0</v>
      </c>
      <c r="B129" s="17">
        <v>46097.0</v>
      </c>
      <c r="C129" s="16"/>
      <c r="D129" s="18" t="s">
        <v>60</v>
      </c>
      <c r="E129" s="18" t="s">
        <v>178</v>
      </c>
      <c r="F129" s="19" t="s">
        <v>36</v>
      </c>
      <c r="G129" s="19">
        <v>3000.0</v>
      </c>
      <c r="H129" s="20">
        <v>300.0</v>
      </c>
      <c r="I129" s="21" t="str">
        <f t="shared" si="1"/>
        <v/>
      </c>
      <c r="J129" s="21" t="str">
        <f>IF(OR(L129="entregado",K129="despacho"),"", IF(AND(ELABORACION!F129&lt;&gt;"-",ELABORACION!F129&lt;&gt;"PENDIENTE ELAB"),"en proceso",""))</f>
        <v/>
      </c>
      <c r="K129" s="21" t="str">
        <f>IF(L129="entregado","",IF(EXPEDICION!L129="listo para entregar","despacho",""))</f>
        <v/>
      </c>
      <c r="L129" s="21" t="str">
        <f>IF(EXPEDICION!L129="entregado", "entregado", "")</f>
        <v>entregado</v>
      </c>
      <c r="M129" s="32" t="str">
        <f>EXPEDICION!M129</f>
        <v>M26098</v>
      </c>
    </row>
    <row r="130" ht="15.75" customHeight="1">
      <c r="A130" s="23">
        <v>26049.0</v>
      </c>
      <c r="B130" s="10">
        <v>46097.0</v>
      </c>
      <c r="C130" s="23"/>
      <c r="D130" s="24" t="s">
        <v>60</v>
      </c>
      <c r="E130" s="24" t="s">
        <v>179</v>
      </c>
      <c r="F130" s="25" t="s">
        <v>36</v>
      </c>
      <c r="G130" s="25">
        <v>3000.0</v>
      </c>
      <c r="H130" s="26">
        <v>300.0</v>
      </c>
      <c r="I130" s="21" t="str">
        <f t="shared" si="1"/>
        <v/>
      </c>
      <c r="J130" s="21" t="str">
        <f>IF(OR(L130="entregado",K130="despacho"),"", IF(AND(ELABORACION!F130&lt;&gt;"-",ELABORACION!F130&lt;&gt;"PENDIENTE ELAB"),"en proceso",""))</f>
        <v/>
      </c>
      <c r="K130" s="21" t="str">
        <f>IF(L130="entregado","",IF(EXPEDICION!L130="listo para entregar","despacho",""))</f>
        <v/>
      </c>
      <c r="L130" s="21" t="str">
        <f>IF(EXPEDICION!L130="entregado", "entregado", "")</f>
        <v>entregado</v>
      </c>
      <c r="M130" s="32" t="str">
        <f>EXPEDICION!M130</f>
        <v>M26099</v>
      </c>
    </row>
    <row r="131" ht="15.75" customHeight="1">
      <c r="A131" s="16">
        <v>26049.0</v>
      </c>
      <c r="B131" s="17">
        <v>46097.0</v>
      </c>
      <c r="C131" s="16"/>
      <c r="D131" s="18" t="s">
        <v>60</v>
      </c>
      <c r="E131" s="18" t="s">
        <v>180</v>
      </c>
      <c r="F131" s="19" t="s">
        <v>12</v>
      </c>
      <c r="G131" s="19">
        <v>3000.0</v>
      </c>
      <c r="H131" s="20">
        <v>30.0</v>
      </c>
      <c r="I131" s="21" t="str">
        <f t="shared" si="1"/>
        <v/>
      </c>
      <c r="J131" s="21" t="str">
        <f>IF(OR(L131="entregado",K131="despacho"),"", IF(AND(ELABORACION!F131&lt;&gt;"-",ELABORACION!F131&lt;&gt;"PENDIENTE ELAB"),"en proceso",""))</f>
        <v/>
      </c>
      <c r="K131" s="21" t="str">
        <f>IF(L131="entregado","",IF(EXPEDICION!L131="listo para entregar","despacho",""))</f>
        <v/>
      </c>
      <c r="L131" s="21" t="str">
        <f>IF(EXPEDICION!L131="entregado", "entregado", "")</f>
        <v>entregado</v>
      </c>
      <c r="M131" s="32" t="str">
        <f>EXPEDICION!M131</f>
        <v>A26042</v>
      </c>
    </row>
    <row r="132" ht="15.75" customHeight="1">
      <c r="A132" s="23">
        <v>26050.0</v>
      </c>
      <c r="B132" s="10">
        <v>46098.0</v>
      </c>
      <c r="C132" s="23"/>
      <c r="D132" s="24" t="s">
        <v>181</v>
      </c>
      <c r="E132" s="24" t="s">
        <v>182</v>
      </c>
      <c r="F132" s="25" t="s">
        <v>12</v>
      </c>
      <c r="G132" s="25">
        <v>1000.0</v>
      </c>
      <c r="H132" s="26">
        <v>30.0</v>
      </c>
      <c r="I132" s="21" t="str">
        <f t="shared" si="1"/>
        <v/>
      </c>
      <c r="J132" s="21" t="str">
        <f>IF(OR(L132="entregado",K132="despacho"),"", IF(AND(ELABORACION!F132&lt;&gt;"-",ELABORACION!F132&lt;&gt;"PENDIENTE ELAB"),"en proceso",""))</f>
        <v/>
      </c>
      <c r="K132" s="21" t="str">
        <f>IF(L132="entregado","",IF(EXPEDICION!L132="listo para entregar","despacho",""))</f>
        <v/>
      </c>
      <c r="L132" s="21" t="str">
        <f>IF(EXPEDICION!L132="entregado", "entregado", "")</f>
        <v>entregado</v>
      </c>
      <c r="M132" s="32" t="str">
        <f>EXPEDICION!M132</f>
        <v>A26091</v>
      </c>
    </row>
    <row r="133" ht="15.75" customHeight="1">
      <c r="A133" s="16">
        <v>26051.0</v>
      </c>
      <c r="B133" s="17">
        <v>46098.0</v>
      </c>
      <c r="C133" s="16"/>
      <c r="D133" s="18" t="s">
        <v>183</v>
      </c>
      <c r="E133" s="18" t="s">
        <v>184</v>
      </c>
      <c r="F133" s="19" t="s">
        <v>36</v>
      </c>
      <c r="G133" s="19">
        <v>8000.0</v>
      </c>
      <c r="H133" s="20">
        <v>400.0</v>
      </c>
      <c r="I133" s="21" t="str">
        <f t="shared" si="1"/>
        <v/>
      </c>
      <c r="J133" s="21" t="str">
        <f>IF(OR(L133="entregado",K133="despacho"),"", IF(AND(ELABORACION!F133&lt;&gt;"-",ELABORACION!F133&lt;&gt;"PENDIENTE ELAB"),"en proceso",""))</f>
        <v/>
      </c>
      <c r="K133" s="21" t="str">
        <f>IF(L133="entregado","",IF(EXPEDICION!L133="listo para entregar","despacho",""))</f>
        <v/>
      </c>
      <c r="L133" s="21" t="str">
        <f>IF(EXPEDICION!L133="entregado", "entregado", "")</f>
        <v>entregado</v>
      </c>
      <c r="M133" s="32" t="str">
        <f>EXPEDICION!M133</f>
        <v/>
      </c>
    </row>
    <row r="134" ht="15.75" customHeight="1">
      <c r="A134" s="23">
        <v>26051.0</v>
      </c>
      <c r="B134" s="10">
        <v>46098.0</v>
      </c>
      <c r="C134" s="23"/>
      <c r="D134" s="24" t="s">
        <v>183</v>
      </c>
      <c r="E134" s="24" t="s">
        <v>185</v>
      </c>
      <c r="F134" s="25" t="s">
        <v>36</v>
      </c>
      <c r="G134" s="25">
        <v>8000.0</v>
      </c>
      <c r="H134" s="26">
        <v>400.0</v>
      </c>
      <c r="I134" s="21" t="str">
        <f t="shared" si="1"/>
        <v/>
      </c>
      <c r="J134" s="21" t="str">
        <f>IF(OR(L134="entregado",K134="despacho"),"", IF(AND(ELABORACION!F134&lt;&gt;"-",ELABORACION!F134&lt;&gt;"PENDIENTE ELAB"),"en proceso",""))</f>
        <v/>
      </c>
      <c r="K134" s="21" t="str">
        <f>IF(L134="entregado","",IF(EXPEDICION!L134="listo para entregar","despacho",""))</f>
        <v/>
      </c>
      <c r="L134" s="21" t="str">
        <f>IF(EXPEDICION!L134="entregado", "entregado", "")</f>
        <v>entregado</v>
      </c>
      <c r="M134" s="32" t="str">
        <f>EXPEDICION!M134</f>
        <v>M26091</v>
      </c>
    </row>
    <row r="135" ht="15.75" customHeight="1">
      <c r="A135" s="16">
        <v>26051.0</v>
      </c>
      <c r="B135" s="17">
        <v>46098.0</v>
      </c>
      <c r="C135" s="16"/>
      <c r="D135" s="18" t="s">
        <v>183</v>
      </c>
      <c r="E135" s="18" t="s">
        <v>186</v>
      </c>
      <c r="F135" s="19" t="s">
        <v>36</v>
      </c>
      <c r="G135" s="19">
        <v>4000.0</v>
      </c>
      <c r="H135" s="20">
        <v>400.0</v>
      </c>
      <c r="I135" s="21" t="str">
        <f t="shared" si="1"/>
        <v/>
      </c>
      <c r="J135" s="21" t="str">
        <f>IF(OR(L135="entregado",K135="despacho"),"", IF(AND(ELABORACION!F135&lt;&gt;"-",ELABORACION!F135&lt;&gt;"PENDIENTE ELAB"),"en proceso",""))</f>
        <v/>
      </c>
      <c r="K135" s="21" t="str">
        <f>IF(L135="entregado","",IF(EXPEDICION!L135="listo para entregar","despacho",""))</f>
        <v/>
      </c>
      <c r="L135" s="21" t="str">
        <f>IF(EXPEDICION!L135="entregado", "entregado", "")</f>
        <v>entregado</v>
      </c>
      <c r="M135" s="32" t="str">
        <f>EXPEDICION!M135</f>
        <v>M26090</v>
      </c>
    </row>
    <row r="136" ht="15.75" customHeight="1">
      <c r="A136" s="23">
        <v>26051.0</v>
      </c>
      <c r="B136" s="10">
        <v>46098.0</v>
      </c>
      <c r="C136" s="23"/>
      <c r="D136" s="24" t="s">
        <v>183</v>
      </c>
      <c r="E136" s="24" t="s">
        <v>187</v>
      </c>
      <c r="F136" s="25" t="s">
        <v>36</v>
      </c>
      <c r="G136" s="25">
        <v>2460.0</v>
      </c>
      <c r="H136" s="26">
        <v>70.0</v>
      </c>
      <c r="I136" s="21" t="str">
        <f t="shared" si="1"/>
        <v/>
      </c>
      <c r="J136" s="21" t="str">
        <f>IF(OR(L136="entregado",K136="despacho"),"", IF(AND(ELABORACION!F136&lt;&gt;"-",ELABORACION!F136&lt;&gt;"PENDIENTE ELAB"),"en proceso",""))</f>
        <v/>
      </c>
      <c r="K136" s="21" t="str">
        <f>IF(L136="entregado","",IF(EXPEDICION!L136="listo para entregar","despacho",""))</f>
        <v/>
      </c>
      <c r="L136" s="21" t="str">
        <f>IF(EXPEDICION!L136="entregado", "entregado", "")</f>
        <v>entregado</v>
      </c>
      <c r="M136" s="32" t="str">
        <f>EXPEDICION!M136</f>
        <v>A26002</v>
      </c>
    </row>
    <row r="137" ht="15.75" customHeight="1">
      <c r="A137" s="16">
        <v>26051.0</v>
      </c>
      <c r="B137" s="17">
        <v>46098.0</v>
      </c>
      <c r="C137" s="16"/>
      <c r="D137" s="18" t="s">
        <v>183</v>
      </c>
      <c r="E137" s="18" t="s">
        <v>188</v>
      </c>
      <c r="F137" s="19" t="s">
        <v>36</v>
      </c>
      <c r="G137" s="19">
        <v>2400.0</v>
      </c>
      <c r="H137" s="20">
        <v>100.0</v>
      </c>
      <c r="I137" s="21" t="str">
        <f t="shared" si="1"/>
        <v/>
      </c>
      <c r="J137" s="21" t="str">
        <f>IF(OR(L137="entregado",K137="despacho"),"", IF(AND(ELABORACION!F137&lt;&gt;"-",ELABORACION!F137&lt;&gt;"PENDIENTE ELAB"),"en proceso",""))</f>
        <v/>
      </c>
      <c r="K137" s="21" t="str">
        <f>IF(L137="entregado","",IF(EXPEDICION!L137="listo para entregar","despacho",""))</f>
        <v/>
      </c>
      <c r="L137" s="21" t="str">
        <f>IF(EXPEDICION!L137="entregado", "entregado", "")</f>
        <v>entregado</v>
      </c>
      <c r="M137" s="32" t="str">
        <f>EXPEDICION!M137</f>
        <v>A26003</v>
      </c>
    </row>
    <row r="138" ht="15.75" customHeight="1">
      <c r="A138" s="23">
        <v>26052.0</v>
      </c>
      <c r="B138" s="10">
        <v>46098.0</v>
      </c>
      <c r="C138" s="23" t="s">
        <v>189</v>
      </c>
      <c r="D138" s="24" t="s">
        <v>68</v>
      </c>
      <c r="E138" s="24" t="s">
        <v>73</v>
      </c>
      <c r="F138" s="25" t="s">
        <v>12</v>
      </c>
      <c r="G138" s="25">
        <v>1000.0</v>
      </c>
      <c r="H138" s="26">
        <v>30.0</v>
      </c>
      <c r="I138" s="21" t="str">
        <f t="shared" si="1"/>
        <v/>
      </c>
      <c r="J138" s="21" t="str">
        <f>IF(OR(L138="entregado",K138="despacho"),"", IF(AND(ELABORACION!F138&lt;&gt;"-",ELABORACION!F138&lt;&gt;"PENDIENTE ELAB"),"en proceso",""))</f>
        <v>en proceso</v>
      </c>
      <c r="K138" s="21" t="str">
        <f>IF(L138="entregado","",IF(EXPEDICION!L138="listo para entregar","despacho",""))</f>
        <v/>
      </c>
      <c r="L138" s="21" t="str">
        <f>IF(EXPEDICION!L138="entregado", "entregado", "")</f>
        <v/>
      </c>
      <c r="M138" s="32" t="str">
        <f>EXPEDICION!M138</f>
        <v/>
      </c>
    </row>
    <row r="139" ht="15.75" customHeight="1">
      <c r="A139" s="16">
        <v>26052.0</v>
      </c>
      <c r="B139" s="17">
        <v>46098.0</v>
      </c>
      <c r="C139" s="16" t="s">
        <v>189</v>
      </c>
      <c r="D139" s="18" t="s">
        <v>68</v>
      </c>
      <c r="E139" s="18" t="s">
        <v>73</v>
      </c>
      <c r="F139" s="19" t="s">
        <v>12</v>
      </c>
      <c r="G139" s="19">
        <v>1000.0</v>
      </c>
      <c r="H139" s="20">
        <v>30.0</v>
      </c>
      <c r="I139" s="21" t="str">
        <f t="shared" si="1"/>
        <v/>
      </c>
      <c r="J139" s="21" t="str">
        <f>IF(OR(L139="entregado",K139="despacho"),"", IF(AND(ELABORACION!F139&lt;&gt;"-",ELABORACION!F139&lt;&gt;"PENDIENTE ELAB"),"en proceso",""))</f>
        <v/>
      </c>
      <c r="K139" s="21" t="str">
        <f>IF(L139="entregado","",IF(EXPEDICION!L139="listo para entregar","despacho",""))</f>
        <v/>
      </c>
      <c r="L139" s="21" t="str">
        <f>IF(EXPEDICION!L139="entregado", "entregado", "")</f>
        <v>entregado</v>
      </c>
      <c r="M139" s="32" t="str">
        <f>EXPEDICION!M139</f>
        <v>A26028</v>
      </c>
    </row>
    <row r="140" ht="15.75" customHeight="1">
      <c r="A140" s="23">
        <v>26052.0</v>
      </c>
      <c r="B140" s="10">
        <v>46098.0</v>
      </c>
      <c r="C140" s="23" t="s">
        <v>189</v>
      </c>
      <c r="D140" s="24" t="s">
        <v>68</v>
      </c>
      <c r="E140" s="24" t="s">
        <v>72</v>
      </c>
      <c r="F140" s="25" t="s">
        <v>12</v>
      </c>
      <c r="G140" s="25">
        <v>1000.0</v>
      </c>
      <c r="H140" s="26">
        <v>30.0</v>
      </c>
      <c r="I140" s="21" t="str">
        <f t="shared" si="1"/>
        <v/>
      </c>
      <c r="J140" s="21" t="str">
        <f>IF(OR(L140="entregado",K140="despacho"),"", IF(AND(ELABORACION!F140&lt;&gt;"-",ELABORACION!F140&lt;&gt;"PENDIENTE ELAB"),"en proceso",""))</f>
        <v/>
      </c>
      <c r="K140" s="21" t="str">
        <f>IF(L140="entregado","",IF(EXPEDICION!L140="listo para entregar","despacho",""))</f>
        <v/>
      </c>
      <c r="L140" s="21" t="str">
        <f>IF(EXPEDICION!L140="entregado", "entregado", "")</f>
        <v>entregado</v>
      </c>
      <c r="M140" s="32" t="str">
        <f>EXPEDICION!M140</f>
        <v>A26029</v>
      </c>
    </row>
    <row r="141" ht="15.75" customHeight="1">
      <c r="A141" s="16">
        <v>26052.0</v>
      </c>
      <c r="B141" s="17">
        <v>46098.0</v>
      </c>
      <c r="C141" s="16" t="s">
        <v>189</v>
      </c>
      <c r="D141" s="18" t="s">
        <v>68</v>
      </c>
      <c r="E141" s="18" t="s">
        <v>71</v>
      </c>
      <c r="F141" s="19" t="s">
        <v>12</v>
      </c>
      <c r="G141" s="19">
        <v>2500.0</v>
      </c>
      <c r="H141" s="20">
        <v>15.0</v>
      </c>
      <c r="I141" s="21" t="str">
        <f t="shared" si="1"/>
        <v/>
      </c>
      <c r="J141" s="21" t="str">
        <f>IF(OR(L141="entregado",K141="despacho"),"", IF(AND(ELABORACION!F141&lt;&gt;"-",ELABORACION!F141&lt;&gt;"PENDIENTE ELAB"),"en proceso",""))</f>
        <v/>
      </c>
      <c r="K141" s="21" t="str">
        <f>IF(L141="entregado","",IF(EXPEDICION!L141="listo para entregar","despacho",""))</f>
        <v/>
      </c>
      <c r="L141" s="21" t="str">
        <f>IF(EXPEDICION!L141="entregado", "entregado", "")</f>
        <v>entregado</v>
      </c>
      <c r="M141" s="32" t="str">
        <f>EXPEDICION!M141</f>
        <v>J26008</v>
      </c>
    </row>
    <row r="142" ht="15.75" customHeight="1">
      <c r="A142" s="23">
        <v>26052.0</v>
      </c>
      <c r="B142" s="10">
        <v>46098.0</v>
      </c>
      <c r="C142" s="23" t="s">
        <v>189</v>
      </c>
      <c r="D142" s="24" t="s">
        <v>68</v>
      </c>
      <c r="E142" s="24" t="s">
        <v>190</v>
      </c>
      <c r="F142" s="25" t="s">
        <v>12</v>
      </c>
      <c r="G142" s="25">
        <v>1200.0</v>
      </c>
      <c r="H142" s="26">
        <v>30.0</v>
      </c>
      <c r="I142" s="21" t="str">
        <f t="shared" si="1"/>
        <v/>
      </c>
      <c r="J142" s="21" t="str">
        <f>IF(OR(L142="entregado",K142="despacho"),"", IF(AND(ELABORACION!F142&lt;&gt;"-",ELABORACION!F142&lt;&gt;"PENDIENTE ELAB"),"en proceso",""))</f>
        <v/>
      </c>
      <c r="K142" s="21" t="str">
        <f>IF(L142="entregado","",IF(EXPEDICION!L142="listo para entregar","despacho",""))</f>
        <v/>
      </c>
      <c r="L142" s="21" t="str">
        <f>IF(EXPEDICION!L142="entregado", "entregado", "")</f>
        <v>entregado</v>
      </c>
      <c r="M142" s="32" t="str">
        <f>EXPEDICION!M142</f>
        <v>Y26064</v>
      </c>
    </row>
    <row r="143" ht="15.75" customHeight="1">
      <c r="A143" s="16">
        <v>26052.0</v>
      </c>
      <c r="B143" s="17">
        <v>46098.0</v>
      </c>
      <c r="C143" s="16" t="s">
        <v>189</v>
      </c>
      <c r="D143" s="18" t="s">
        <v>68</v>
      </c>
      <c r="E143" s="18" t="s">
        <v>191</v>
      </c>
      <c r="F143" s="19" t="s">
        <v>12</v>
      </c>
      <c r="G143" s="19">
        <v>1000.0</v>
      </c>
      <c r="H143" s="20">
        <v>30.0</v>
      </c>
      <c r="I143" s="21" t="str">
        <f t="shared" si="1"/>
        <v/>
      </c>
      <c r="J143" s="21" t="str">
        <f>IF(OR(L143="entregado",K143="despacho"),"", IF(AND(ELABORACION!F143&lt;&gt;"-",ELABORACION!F143&lt;&gt;"PENDIENTE ELAB"),"en proceso",""))</f>
        <v/>
      </c>
      <c r="K143" s="21" t="str">
        <f>IF(L143="entregado","",IF(EXPEDICION!L143="listo para entregar","despacho",""))</f>
        <v/>
      </c>
      <c r="L143" s="21" t="str">
        <f>IF(EXPEDICION!L143="entregado", "entregado", "")</f>
        <v>entregado</v>
      </c>
      <c r="M143" s="32" t="str">
        <f>EXPEDICION!M143</f>
        <v>M26092</v>
      </c>
    </row>
    <row r="144" ht="15.75" customHeight="1">
      <c r="A144" s="23">
        <v>26053.0</v>
      </c>
      <c r="B144" s="10">
        <v>46098.0</v>
      </c>
      <c r="C144" s="23"/>
      <c r="D144" s="24" t="s">
        <v>192</v>
      </c>
      <c r="E144" s="24" t="s">
        <v>193</v>
      </c>
      <c r="F144" s="25" t="s">
        <v>12</v>
      </c>
      <c r="G144" s="25">
        <v>500.0</v>
      </c>
      <c r="H144" s="26">
        <v>30.0</v>
      </c>
      <c r="I144" s="21" t="str">
        <f t="shared" si="1"/>
        <v/>
      </c>
      <c r="J144" s="21" t="str">
        <f>IF(OR(L144="entregado",K144="despacho"),"", IF(AND(ELABORACION!F144&lt;&gt;"-",ELABORACION!F144&lt;&gt;"PENDIENTE ELAB"),"en proceso",""))</f>
        <v/>
      </c>
      <c r="K144" s="21" t="str">
        <f>IF(L144="entregado","",IF(EXPEDICION!L144="listo para entregar","despacho",""))</f>
        <v/>
      </c>
      <c r="L144" s="21" t="str">
        <f>IF(EXPEDICION!L144="entregado", "entregado", "")</f>
        <v>entregado</v>
      </c>
      <c r="M144" s="32" t="str">
        <f>EXPEDICION!M144</f>
        <v>M26093</v>
      </c>
    </row>
    <row r="145" ht="15.75" customHeight="1">
      <c r="A145" s="16">
        <v>26053.0</v>
      </c>
      <c r="B145" s="17">
        <v>46098.0</v>
      </c>
      <c r="C145" s="16"/>
      <c r="D145" s="18" t="s">
        <v>192</v>
      </c>
      <c r="E145" s="18" t="s">
        <v>194</v>
      </c>
      <c r="F145" s="19" t="s">
        <v>12</v>
      </c>
      <c r="G145" s="19">
        <v>500.0</v>
      </c>
      <c r="H145" s="20">
        <v>30.0</v>
      </c>
      <c r="I145" s="21" t="str">
        <f t="shared" si="1"/>
        <v/>
      </c>
      <c r="J145" s="21" t="str">
        <f>IF(OR(L145="entregado",K145="despacho"),"", IF(AND(ELABORACION!F145&lt;&gt;"-",ELABORACION!F145&lt;&gt;"PENDIENTE ELAB"),"en proceso",""))</f>
        <v/>
      </c>
      <c r="K145" s="21" t="str">
        <f>IF(L145="entregado","",IF(EXPEDICION!L145="listo para entregar","despacho",""))</f>
        <v/>
      </c>
      <c r="L145" s="21" t="str">
        <f>IF(EXPEDICION!L145="entregado", "entregado", "")</f>
        <v>entregado</v>
      </c>
      <c r="M145" s="32" t="str">
        <f>EXPEDICION!M145</f>
        <v>M26094</v>
      </c>
    </row>
    <row r="146" ht="15.75" customHeight="1">
      <c r="A146" s="23">
        <v>26054.0</v>
      </c>
      <c r="B146" s="10">
        <v>46099.0</v>
      </c>
      <c r="C146" s="23">
        <v>15190.0</v>
      </c>
      <c r="D146" s="24" t="s">
        <v>15</v>
      </c>
      <c r="E146" s="24" t="s">
        <v>126</v>
      </c>
      <c r="F146" s="25" t="s">
        <v>36</v>
      </c>
      <c r="G146" s="25">
        <v>6000.0</v>
      </c>
      <c r="H146" s="26">
        <v>25.0</v>
      </c>
      <c r="I146" s="21" t="str">
        <f t="shared" si="1"/>
        <v/>
      </c>
      <c r="J146" s="21" t="str">
        <f>IF(OR(L146="entregado",K146="despacho"),"", IF(AND(ELABORACION!F146&lt;&gt;"-",ELABORACION!F146&lt;&gt;"PENDIENTE ELAB"),"en proceso",""))</f>
        <v/>
      </c>
      <c r="K146" s="21" t="str">
        <f>IF(L146="entregado","",IF(EXPEDICION!L146="listo para entregar","despacho",""))</f>
        <v/>
      </c>
      <c r="L146" s="21" t="str">
        <f>IF(EXPEDICION!L146="entregado", "entregado", "")</f>
        <v>entregado</v>
      </c>
      <c r="M146" s="32" t="str">
        <f>EXPEDICION!M146</f>
        <v/>
      </c>
    </row>
    <row r="147" ht="15.75" customHeight="1">
      <c r="A147" s="16">
        <v>26054.0</v>
      </c>
      <c r="B147" s="17">
        <v>46099.0</v>
      </c>
      <c r="C147" s="16">
        <v>15190.0</v>
      </c>
      <c r="D147" s="18" t="s">
        <v>15</v>
      </c>
      <c r="E147" s="18" t="s">
        <v>127</v>
      </c>
      <c r="F147" s="19" t="s">
        <v>36</v>
      </c>
      <c r="G147" s="19">
        <v>6000.0</v>
      </c>
      <c r="H147" s="20">
        <v>25.0</v>
      </c>
      <c r="I147" s="21" t="str">
        <f t="shared" si="1"/>
        <v/>
      </c>
      <c r="J147" s="21" t="str">
        <f>IF(OR(L147="entregado",K147="despacho"),"", IF(AND(ELABORACION!F147&lt;&gt;"-",ELABORACION!F147&lt;&gt;"PENDIENTE ELAB"),"en proceso",""))</f>
        <v/>
      </c>
      <c r="K147" s="21" t="str">
        <f>IF(L147="entregado","",IF(EXPEDICION!L147="listo para entregar","despacho",""))</f>
        <v/>
      </c>
      <c r="L147" s="21" t="str">
        <f>IF(EXPEDICION!L147="entregado", "entregado", "")</f>
        <v>entregado</v>
      </c>
      <c r="M147" s="32" t="str">
        <f>EXPEDICION!M147</f>
        <v/>
      </c>
    </row>
    <row r="148" ht="15.75" customHeight="1">
      <c r="A148" s="23">
        <v>26055.0</v>
      </c>
      <c r="B148" s="10">
        <v>46099.0</v>
      </c>
      <c r="C148" s="23">
        <v>141.0</v>
      </c>
      <c r="D148" s="24" t="s">
        <v>150</v>
      </c>
      <c r="E148" s="24" t="s">
        <v>195</v>
      </c>
      <c r="F148" s="25" t="s">
        <v>36</v>
      </c>
      <c r="G148" s="25">
        <v>2000.0</v>
      </c>
      <c r="H148" s="26">
        <v>250.0</v>
      </c>
      <c r="I148" s="21" t="str">
        <f t="shared" si="1"/>
        <v/>
      </c>
      <c r="J148" s="21" t="str">
        <f>IF(OR(L148="entregado",K148="despacho"),"", IF(AND(ELABORACION!F148&lt;&gt;"-",ELABORACION!F148&lt;&gt;"PENDIENTE ELAB"),"en proceso",""))</f>
        <v/>
      </c>
      <c r="K148" s="21" t="str">
        <f>IF(L148="entregado","",IF(EXPEDICION!L148="listo para entregar","despacho",""))</f>
        <v/>
      </c>
      <c r="L148" s="21" t="str">
        <f>IF(EXPEDICION!L148="entregado", "entregado", "")</f>
        <v>entregado</v>
      </c>
      <c r="M148" s="32" t="str">
        <f>EXPEDICION!M148</f>
        <v>A26012</v>
      </c>
    </row>
    <row r="149" ht="15.75" customHeight="1">
      <c r="A149" s="16">
        <v>26055.0</v>
      </c>
      <c r="B149" s="17">
        <v>46099.0</v>
      </c>
      <c r="C149" s="16">
        <v>141.0</v>
      </c>
      <c r="D149" s="18" t="s">
        <v>150</v>
      </c>
      <c r="E149" s="18" t="s">
        <v>196</v>
      </c>
      <c r="F149" s="19" t="s">
        <v>12</v>
      </c>
      <c r="G149" s="19">
        <v>2000.0</v>
      </c>
      <c r="H149" s="20">
        <v>95.0</v>
      </c>
      <c r="I149" s="21" t="str">
        <f t="shared" si="1"/>
        <v/>
      </c>
      <c r="J149" s="21" t="str">
        <f>IF(OR(L149="entregado",K149="despacho"),"", IF(AND(ELABORACION!F149&lt;&gt;"-",ELABORACION!F149&lt;&gt;"PENDIENTE ELAB"),"en proceso",""))</f>
        <v/>
      </c>
      <c r="K149" s="21" t="str">
        <f>IF(L149="entregado","",IF(EXPEDICION!L149="listo para entregar","despacho",""))</f>
        <v/>
      </c>
      <c r="L149" s="21" t="str">
        <f>IF(EXPEDICION!L149="entregado", "entregado", "")</f>
        <v>entregado</v>
      </c>
      <c r="M149" s="32" t="str">
        <f>EXPEDICION!M149</f>
        <v>A26011</v>
      </c>
    </row>
    <row r="150" ht="15.75" customHeight="1">
      <c r="A150" s="23">
        <v>26055.0</v>
      </c>
      <c r="B150" s="10">
        <v>46099.0</v>
      </c>
      <c r="C150" s="23">
        <v>141.0</v>
      </c>
      <c r="D150" s="24" t="s">
        <v>150</v>
      </c>
      <c r="E150" s="24" t="s">
        <v>197</v>
      </c>
      <c r="F150" s="25" t="s">
        <v>36</v>
      </c>
      <c r="G150" s="25">
        <v>2000.0</v>
      </c>
      <c r="H150" s="26">
        <v>250.0</v>
      </c>
      <c r="I150" s="21" t="str">
        <f t="shared" si="1"/>
        <v/>
      </c>
      <c r="J150" s="21" t="str">
        <f>IF(OR(L150="entregado",K150="despacho"),"", IF(AND(ELABORACION!F150&lt;&gt;"-",ELABORACION!F150&lt;&gt;"PENDIENTE ELAB"),"en proceso",""))</f>
        <v/>
      </c>
      <c r="K150" s="21" t="str">
        <f>IF(L150="entregado","",IF(EXPEDICION!L150="listo para entregar","despacho",""))</f>
        <v/>
      </c>
      <c r="L150" s="21" t="str">
        <f>IF(EXPEDICION!L150="entregado", "entregado", "")</f>
        <v>entregado</v>
      </c>
      <c r="M150" s="32" t="str">
        <f>EXPEDICION!M150</f>
        <v>A26011</v>
      </c>
    </row>
    <row r="151" ht="15.75" customHeight="1">
      <c r="A151" s="16">
        <v>26056.0</v>
      </c>
      <c r="B151" s="17">
        <v>46099.0</v>
      </c>
      <c r="C151" s="16"/>
      <c r="D151" s="18" t="s">
        <v>198</v>
      </c>
      <c r="E151" s="18" t="s">
        <v>199</v>
      </c>
      <c r="F151" s="19" t="s">
        <v>12</v>
      </c>
      <c r="G151" s="19">
        <v>500.0</v>
      </c>
      <c r="H151" s="20">
        <v>30.0</v>
      </c>
      <c r="I151" s="21" t="str">
        <f t="shared" si="1"/>
        <v/>
      </c>
      <c r="J151" s="21" t="str">
        <f>IF(OR(L151="entregado",K151="despacho"),"", IF(AND(ELABORACION!F151&lt;&gt;"-",ELABORACION!F151&lt;&gt;"PENDIENTE ELAB"),"en proceso",""))</f>
        <v/>
      </c>
      <c r="K151" s="21" t="str">
        <f>IF(L151="entregado","",IF(EXPEDICION!L151="listo para entregar","despacho",""))</f>
        <v/>
      </c>
      <c r="L151" s="21" t="str">
        <f>IF(EXPEDICION!L151="entregado", "entregado", "")</f>
        <v>entregado</v>
      </c>
      <c r="M151" s="32" t="str">
        <f>EXPEDICION!M151</f>
        <v>M26095</v>
      </c>
    </row>
    <row r="152" ht="15.75" customHeight="1">
      <c r="A152" s="23">
        <v>26057.0</v>
      </c>
      <c r="B152" s="10">
        <v>46100.0</v>
      </c>
      <c r="C152" s="23">
        <v>169.0</v>
      </c>
      <c r="D152" s="24" t="s">
        <v>10</v>
      </c>
      <c r="E152" s="24" t="s">
        <v>200</v>
      </c>
      <c r="F152" s="25" t="s">
        <v>12</v>
      </c>
      <c r="G152" s="25">
        <v>720.0</v>
      </c>
      <c r="H152" s="26">
        <v>30.0</v>
      </c>
      <c r="I152" s="21" t="str">
        <f t="shared" si="1"/>
        <v/>
      </c>
      <c r="J152" s="21" t="str">
        <f>IF(OR(L152="entregado",K152="despacho"),"", IF(AND(ELABORACION!F152&lt;&gt;"-",ELABORACION!F152&lt;&gt;"PENDIENTE ELAB"),"en proceso",""))</f>
        <v/>
      </c>
      <c r="K152" s="21" t="str">
        <f>IF(L152="entregado","",IF(EXPEDICION!L152="listo para entregar","despacho",""))</f>
        <v/>
      </c>
      <c r="L152" s="21" t="str">
        <f>IF(EXPEDICION!L152="entregado", "entregado", "")</f>
        <v>entregado</v>
      </c>
      <c r="M152" s="32" t="str">
        <f>EXPEDICION!M152</f>
        <v>A26090</v>
      </c>
    </row>
    <row r="153" ht="15.75" customHeight="1">
      <c r="A153" s="16">
        <v>26058.0</v>
      </c>
      <c r="B153" s="17">
        <v>46101.0</v>
      </c>
      <c r="C153" s="16">
        <v>14363.0</v>
      </c>
      <c r="D153" s="18" t="s">
        <v>57</v>
      </c>
      <c r="E153" s="18" t="s">
        <v>201</v>
      </c>
      <c r="F153" s="19" t="s">
        <v>36</v>
      </c>
      <c r="G153" s="19">
        <v>2500.0</v>
      </c>
      <c r="H153" s="20">
        <v>250.0</v>
      </c>
      <c r="I153" s="21" t="str">
        <f t="shared" si="1"/>
        <v/>
      </c>
      <c r="J153" s="21" t="str">
        <f>IF(OR(L153="entregado",K153="despacho"),"", IF(AND(ELABORACION!F153&lt;&gt;"-",ELABORACION!F153&lt;&gt;"PENDIENTE ELAB"),"en proceso",""))</f>
        <v/>
      </c>
      <c r="K153" s="21" t="str">
        <f>IF(L153="entregado","",IF(EXPEDICION!L153="listo para entregar","despacho",""))</f>
        <v/>
      </c>
      <c r="L153" s="21" t="str">
        <f>IF(EXPEDICION!L153="entregado", "entregado", "")</f>
        <v>entregado</v>
      </c>
      <c r="M153" s="32" t="str">
        <f>EXPEDICION!M153</f>
        <v>A26007</v>
      </c>
    </row>
    <row r="154" ht="15.75" customHeight="1">
      <c r="A154" s="23">
        <v>26059.0</v>
      </c>
      <c r="B154" s="10">
        <v>46104.0</v>
      </c>
      <c r="C154" s="23">
        <v>15198.0</v>
      </c>
      <c r="D154" s="24" t="s">
        <v>15</v>
      </c>
      <c r="E154" s="24" t="s">
        <v>202</v>
      </c>
      <c r="F154" s="25" t="s">
        <v>36</v>
      </c>
      <c r="G154" s="25">
        <v>3000.0</v>
      </c>
      <c r="H154" s="26">
        <v>32.0</v>
      </c>
      <c r="I154" s="21" t="str">
        <f t="shared" si="1"/>
        <v/>
      </c>
      <c r="J154" s="21" t="str">
        <f>IF(OR(L154="entregado",K154="despacho"),"", IF(AND(ELABORACION!F154&lt;&gt;"-",ELABORACION!F154&lt;&gt;"PENDIENTE ELAB"),"en proceso",""))</f>
        <v/>
      </c>
      <c r="K154" s="21" t="str">
        <f>IF(L154="entregado","",IF(EXPEDICION!L154="listo para entregar","despacho",""))</f>
        <v/>
      </c>
      <c r="L154" s="21" t="str">
        <f>IF(EXPEDICION!L154="entregado", "entregado", "")</f>
        <v>entregado</v>
      </c>
      <c r="M154" s="32" t="str">
        <f>EXPEDICION!M154</f>
        <v/>
      </c>
    </row>
    <row r="155" ht="15.75" customHeight="1">
      <c r="A155" s="16">
        <v>26059.0</v>
      </c>
      <c r="B155" s="17">
        <v>46104.0</v>
      </c>
      <c r="C155" s="16">
        <v>15198.0</v>
      </c>
      <c r="D155" s="18" t="s">
        <v>15</v>
      </c>
      <c r="E155" s="18" t="s">
        <v>203</v>
      </c>
      <c r="F155" s="19" t="s">
        <v>36</v>
      </c>
      <c r="G155" s="19">
        <v>3000.0</v>
      </c>
      <c r="H155" s="20">
        <v>32.0</v>
      </c>
      <c r="I155" s="21" t="str">
        <f t="shared" si="1"/>
        <v/>
      </c>
      <c r="J155" s="21" t="str">
        <f>IF(OR(L155="entregado",K155="despacho"),"", IF(AND(ELABORACION!F155&lt;&gt;"-",ELABORACION!F155&lt;&gt;"PENDIENTE ELAB"),"en proceso",""))</f>
        <v/>
      </c>
      <c r="K155" s="21" t="str">
        <f>IF(L155="entregado","",IF(EXPEDICION!L155="listo para entregar","despacho",""))</f>
        <v/>
      </c>
      <c r="L155" s="21" t="str">
        <f>IF(EXPEDICION!L155="entregado", "entregado", "")</f>
        <v>entregado</v>
      </c>
      <c r="M155" s="32" t="str">
        <f>EXPEDICION!M155</f>
        <v/>
      </c>
    </row>
    <row r="156" ht="15.75" customHeight="1">
      <c r="A156" s="23">
        <v>26060.0</v>
      </c>
      <c r="B156" s="10">
        <v>46104.0</v>
      </c>
      <c r="C156" s="23">
        <v>141.0</v>
      </c>
      <c r="D156" s="24" t="s">
        <v>158</v>
      </c>
      <c r="E156" s="24" t="s">
        <v>159</v>
      </c>
      <c r="F156" s="25" t="s">
        <v>12</v>
      </c>
      <c r="G156" s="25">
        <v>500.0</v>
      </c>
      <c r="H156" s="26">
        <v>10.0</v>
      </c>
      <c r="I156" s="21" t="str">
        <f t="shared" si="1"/>
        <v/>
      </c>
      <c r="J156" s="21" t="str">
        <f>IF(OR(L156="entregado",K156="despacho"),"", IF(AND(ELABORACION!F156&lt;&gt;"-",ELABORACION!F156&lt;&gt;"PENDIENTE ELAB"),"en proceso",""))</f>
        <v/>
      </c>
      <c r="K156" s="21" t="str">
        <f>IF(L156="entregado","",IF(EXPEDICION!L156="listo para entregar","despacho",""))</f>
        <v/>
      </c>
      <c r="L156" s="21" t="str">
        <f>IF(EXPEDICION!L156="entregado", "entregado", "")</f>
        <v>entregado</v>
      </c>
      <c r="M156" s="32" t="str">
        <f>EXPEDICION!M156</f>
        <v>A26021</v>
      </c>
    </row>
    <row r="157" ht="15.75" customHeight="1">
      <c r="A157" s="16">
        <v>26060.0</v>
      </c>
      <c r="B157" s="17">
        <v>46104.0</v>
      </c>
      <c r="C157" s="16">
        <v>141.0</v>
      </c>
      <c r="D157" s="18" t="s">
        <v>158</v>
      </c>
      <c r="E157" s="18" t="s">
        <v>204</v>
      </c>
      <c r="F157" s="19" t="s">
        <v>12</v>
      </c>
      <c r="G157" s="19">
        <v>500.0</v>
      </c>
      <c r="H157" s="20">
        <v>10.0</v>
      </c>
      <c r="I157" s="21" t="str">
        <f t="shared" si="1"/>
        <v/>
      </c>
      <c r="J157" s="21" t="str">
        <f>IF(OR(L157="entregado",K157="despacho"),"", IF(AND(ELABORACION!F157&lt;&gt;"-",ELABORACION!F157&lt;&gt;"PENDIENTE ELAB"),"en proceso",""))</f>
        <v/>
      </c>
      <c r="K157" s="21" t="str">
        <f>IF(L157="entregado","",IF(EXPEDICION!L157="listo para entregar","despacho",""))</f>
        <v/>
      </c>
      <c r="L157" s="21" t="str">
        <f>IF(EXPEDICION!L157="entregado", "entregado", "")</f>
        <v>entregado</v>
      </c>
      <c r="M157" s="32" t="str">
        <f>EXPEDICION!M157</f>
        <v>A26048</v>
      </c>
    </row>
    <row r="158" ht="15.75" customHeight="1">
      <c r="A158" s="23">
        <v>26060.0</v>
      </c>
      <c r="B158" s="10">
        <v>46104.0</v>
      </c>
      <c r="C158" s="23">
        <v>141.0</v>
      </c>
      <c r="D158" s="24" t="s">
        <v>158</v>
      </c>
      <c r="E158" s="24" t="s">
        <v>205</v>
      </c>
      <c r="F158" s="25" t="s">
        <v>12</v>
      </c>
      <c r="G158" s="25">
        <v>500.0</v>
      </c>
      <c r="H158" s="26">
        <v>10.0</v>
      </c>
      <c r="I158" s="21" t="str">
        <f t="shared" si="1"/>
        <v/>
      </c>
      <c r="J158" s="21" t="str">
        <f>IF(OR(L158="entregado",K158="despacho"),"", IF(AND(ELABORACION!F158&lt;&gt;"-",ELABORACION!F158&lt;&gt;"PENDIENTE ELAB"),"en proceso",""))</f>
        <v/>
      </c>
      <c r="K158" s="21" t="str">
        <f>IF(L158="entregado","",IF(EXPEDICION!L158="listo para entregar","despacho",""))</f>
        <v/>
      </c>
      <c r="L158" s="21" t="str">
        <f>IF(EXPEDICION!L158="entregado", "entregado", "")</f>
        <v>entregado</v>
      </c>
      <c r="M158" s="32" t="str">
        <f>EXPEDICION!M158</f>
        <v>A26009</v>
      </c>
    </row>
    <row r="159" ht="15.75" customHeight="1">
      <c r="A159" s="16">
        <v>26061.0</v>
      </c>
      <c r="B159" s="17">
        <v>46104.0</v>
      </c>
      <c r="C159" s="16"/>
      <c r="D159" s="18" t="s">
        <v>206</v>
      </c>
      <c r="E159" s="18" t="s">
        <v>207</v>
      </c>
      <c r="F159" s="19" t="s">
        <v>36</v>
      </c>
      <c r="G159" s="19">
        <v>1600.0</v>
      </c>
      <c r="H159" s="20">
        <v>250.0</v>
      </c>
      <c r="I159" s="21" t="str">
        <f t="shared" si="1"/>
        <v/>
      </c>
      <c r="J159" s="21" t="str">
        <f>IF(OR(L159="entregado",K159="despacho"),"", IF(AND(ELABORACION!F159&lt;&gt;"-",ELABORACION!F159&lt;&gt;"PENDIENTE ELAB"),"en proceso",""))</f>
        <v/>
      </c>
      <c r="K159" s="21" t="str">
        <f>IF(L159="entregado","",IF(EXPEDICION!L159="listo para entregar","despacho",""))</f>
        <v/>
      </c>
      <c r="L159" s="21" t="str">
        <f>IF(EXPEDICION!L159="entregado", "entregado", "")</f>
        <v>entregado</v>
      </c>
      <c r="M159" s="32" t="str">
        <f>EXPEDICION!M159</f>
        <v>A26004</v>
      </c>
    </row>
    <row r="160" ht="15.75" customHeight="1">
      <c r="A160" s="23">
        <v>26062.0</v>
      </c>
      <c r="B160" s="10">
        <v>46104.0</v>
      </c>
      <c r="C160" s="23"/>
      <c r="D160" s="24" t="s">
        <v>208</v>
      </c>
      <c r="E160" s="24" t="s">
        <v>209</v>
      </c>
      <c r="F160" s="25" t="s">
        <v>12</v>
      </c>
      <c r="G160" s="25">
        <v>1000.0</v>
      </c>
      <c r="H160" s="26">
        <v>60.0</v>
      </c>
      <c r="I160" s="21" t="str">
        <f t="shared" si="1"/>
        <v/>
      </c>
      <c r="J160" s="21" t="str">
        <f>IF(OR(L160="entregado",K160="despacho"),"", IF(AND(ELABORACION!F160&lt;&gt;"-",ELABORACION!F160&lt;&gt;"PENDIENTE ELAB"),"en proceso",""))</f>
        <v/>
      </c>
      <c r="K160" s="21" t="str">
        <f>IF(L160="entregado","",IF(EXPEDICION!L160="listo para entregar","despacho",""))</f>
        <v/>
      </c>
      <c r="L160" s="21" t="str">
        <f>IF(EXPEDICION!L160="entregado", "entregado", "")</f>
        <v>entregado</v>
      </c>
      <c r="M160" s="32" t="str">
        <f>EXPEDICION!M160</f>
        <v>M26096</v>
      </c>
    </row>
    <row r="161" ht="15.75" customHeight="1">
      <c r="A161" s="16">
        <v>26062.0</v>
      </c>
      <c r="B161" s="17">
        <v>46104.0</v>
      </c>
      <c r="C161" s="16"/>
      <c r="D161" s="18" t="s">
        <v>208</v>
      </c>
      <c r="E161" s="18" t="s">
        <v>210</v>
      </c>
      <c r="F161" s="19" t="s">
        <v>12</v>
      </c>
      <c r="G161" s="19">
        <v>1000.0</v>
      </c>
      <c r="H161" s="20">
        <v>60.0</v>
      </c>
      <c r="I161" s="21" t="str">
        <f t="shared" si="1"/>
        <v/>
      </c>
      <c r="J161" s="21" t="str">
        <f>IF(OR(L161="entregado",K161="despacho"),"", IF(AND(ELABORACION!F161&lt;&gt;"-",ELABORACION!F161&lt;&gt;"PENDIENTE ELAB"),"en proceso",""))</f>
        <v/>
      </c>
      <c r="K161" s="21" t="str">
        <f>IF(L161="entregado","",IF(EXPEDICION!L161="listo para entregar","despacho",""))</f>
        <v/>
      </c>
      <c r="L161" s="21" t="str">
        <f>IF(EXPEDICION!L161="entregado", "entregado", "")</f>
        <v>entregado</v>
      </c>
      <c r="M161" s="32" t="str">
        <f>EXPEDICION!M161</f>
        <v>M26097</v>
      </c>
    </row>
    <row r="162" ht="15.75" customHeight="1">
      <c r="A162" s="23">
        <v>26063.0</v>
      </c>
      <c r="B162" s="10">
        <v>46107.0</v>
      </c>
      <c r="C162" s="23"/>
      <c r="D162" s="24" t="s">
        <v>52</v>
      </c>
      <c r="E162" s="24" t="s">
        <v>211</v>
      </c>
      <c r="F162" s="25" t="s">
        <v>12</v>
      </c>
      <c r="G162" s="25">
        <v>700.0</v>
      </c>
      <c r="H162" s="26">
        <v>15.0</v>
      </c>
      <c r="I162" s="21" t="str">
        <f t="shared" si="1"/>
        <v/>
      </c>
      <c r="J162" s="21" t="str">
        <f>IF(OR(L162="entregado",K162="despacho"),"", IF(AND(ELABORACION!F162&lt;&gt;"-",ELABORACION!F162&lt;&gt;"PENDIENTE ELAB"),"en proceso",""))</f>
        <v/>
      </c>
      <c r="K162" s="21" t="str">
        <f>IF(L162="entregado","",IF(EXPEDICION!L162="listo para entregar","despacho",""))</f>
        <v/>
      </c>
      <c r="L162" s="21" t="str">
        <f>IF(EXPEDICION!L162="entregado", "entregado", "")</f>
        <v>entregado</v>
      </c>
      <c r="M162" s="32" t="str">
        <f>EXPEDICION!M162</f>
        <v>A26016</v>
      </c>
    </row>
    <row r="163" ht="15.75" customHeight="1">
      <c r="A163" s="16">
        <v>26063.0</v>
      </c>
      <c r="B163" s="17">
        <v>46107.0</v>
      </c>
      <c r="C163" s="16"/>
      <c r="D163" s="18" t="s">
        <v>52</v>
      </c>
      <c r="E163" s="18" t="s">
        <v>212</v>
      </c>
      <c r="F163" s="19" t="s">
        <v>12</v>
      </c>
      <c r="G163" s="19">
        <v>700.0</v>
      </c>
      <c r="H163" s="20">
        <v>15.0</v>
      </c>
      <c r="I163" s="21" t="str">
        <f t="shared" si="1"/>
        <v/>
      </c>
      <c r="J163" s="21" t="str">
        <f>IF(OR(L163="entregado",K163="despacho"),"", IF(AND(ELABORACION!F163&lt;&gt;"-",ELABORACION!F163&lt;&gt;"PENDIENTE ELAB"),"en proceso",""))</f>
        <v/>
      </c>
      <c r="K163" s="21" t="str">
        <f>IF(L163="entregado","",IF(EXPEDICION!L163="listo para entregar","despacho",""))</f>
        <v/>
      </c>
      <c r="L163" s="21" t="str">
        <f>IF(EXPEDICION!L163="entregado", "entregado", "")</f>
        <v>entregado</v>
      </c>
      <c r="M163" s="32" t="str">
        <f>EXPEDICION!M163</f>
        <v>A26017</v>
      </c>
    </row>
    <row r="164" ht="15.75" customHeight="1">
      <c r="A164" s="23">
        <v>26064.0</v>
      </c>
      <c r="B164" s="10">
        <v>46107.0</v>
      </c>
      <c r="C164" s="23"/>
      <c r="D164" s="24" t="s">
        <v>213</v>
      </c>
      <c r="E164" s="24" t="s">
        <v>214</v>
      </c>
      <c r="F164" s="25" t="s">
        <v>12</v>
      </c>
      <c r="G164" s="25">
        <v>500.0</v>
      </c>
      <c r="H164" s="26">
        <v>30.0</v>
      </c>
      <c r="I164" s="21" t="str">
        <f t="shared" si="1"/>
        <v/>
      </c>
      <c r="J164" s="21" t="str">
        <f>IF(OR(L164="entregado",K164="despacho"),"", IF(AND(ELABORACION!F164&lt;&gt;"-",ELABORACION!F164&lt;&gt;"PENDIENTE ELAB"),"en proceso",""))</f>
        <v/>
      </c>
      <c r="K164" s="21" t="str">
        <f>IF(L164="entregado","",IF(EXPEDICION!L164="listo para entregar","despacho",""))</f>
        <v/>
      </c>
      <c r="L164" s="21" t="str">
        <f>IF(EXPEDICION!L164="entregado", "entregado", "")</f>
        <v>entregado</v>
      </c>
      <c r="M164" s="32" t="str">
        <f>EXPEDICION!M164</f>
        <v>Y26038</v>
      </c>
    </row>
    <row r="165" ht="15.75" customHeight="1">
      <c r="A165" s="16">
        <v>26063.0</v>
      </c>
      <c r="B165" s="30">
        <v>46101.0</v>
      </c>
      <c r="C165" s="16"/>
      <c r="D165" s="18" t="s">
        <v>215</v>
      </c>
      <c r="E165" s="18" t="s">
        <v>216</v>
      </c>
      <c r="F165" s="19" t="s">
        <v>12</v>
      </c>
      <c r="G165" s="19">
        <v>600.0</v>
      </c>
      <c r="H165" s="20">
        <v>85.0</v>
      </c>
      <c r="I165" s="21" t="str">
        <f t="shared" si="1"/>
        <v/>
      </c>
      <c r="J165" s="21" t="str">
        <f>IF(OR(L165="entregado",K165="despacho"),"", IF(AND(ELABORACION!F165&lt;&gt;"-",ELABORACION!F165&lt;&gt;"PENDIENTE ELAB"),"en proceso",""))</f>
        <v/>
      </c>
      <c r="K165" s="21" t="str">
        <f>IF(L165="entregado","",IF(EXPEDICION!L165="listo para entregar","despacho",""))</f>
        <v/>
      </c>
      <c r="L165" s="21" t="str">
        <f>IF(EXPEDICION!L165="entregado", "entregado", "")</f>
        <v>entregado</v>
      </c>
      <c r="M165" s="32" t="str">
        <f>EXPEDICION!M165</f>
        <v>M26029</v>
      </c>
    </row>
    <row r="166" ht="15.75" customHeight="1">
      <c r="A166" s="23">
        <v>26063.0</v>
      </c>
      <c r="B166" s="33">
        <v>46101.0</v>
      </c>
      <c r="C166" s="23"/>
      <c r="D166" s="24" t="s">
        <v>215</v>
      </c>
      <c r="E166" s="24" t="s">
        <v>217</v>
      </c>
      <c r="F166" s="25" t="s">
        <v>12</v>
      </c>
      <c r="G166" s="25">
        <v>600.0</v>
      </c>
      <c r="H166" s="26">
        <v>85.0</v>
      </c>
      <c r="I166" s="21" t="str">
        <f t="shared" si="1"/>
        <v/>
      </c>
      <c r="J166" s="21" t="str">
        <f>IF(OR(L166="entregado",K166="despacho"),"", IF(AND(ELABORACION!F166&lt;&gt;"-",ELABORACION!F166&lt;&gt;"PENDIENTE ELAB"),"en proceso",""))</f>
        <v/>
      </c>
      <c r="K166" s="21" t="str">
        <f>IF(L166="entregado","",IF(EXPEDICION!L166="listo para entregar","despacho",""))</f>
        <v/>
      </c>
      <c r="L166" s="21" t="str">
        <f>IF(EXPEDICION!L166="entregado", "entregado", "")</f>
        <v>entregado</v>
      </c>
      <c r="M166" s="32" t="str">
        <f>EXPEDICION!M166</f>
        <v>M26043</v>
      </c>
    </row>
    <row r="167" ht="15.75" customHeight="1">
      <c r="A167" s="16">
        <v>26064.0</v>
      </c>
      <c r="B167" s="17">
        <v>46111.0</v>
      </c>
      <c r="C167" s="16"/>
      <c r="D167" s="18" t="s">
        <v>192</v>
      </c>
      <c r="E167" s="18" t="s">
        <v>218</v>
      </c>
      <c r="F167" s="19" t="s">
        <v>12</v>
      </c>
      <c r="G167" s="19">
        <v>500.0</v>
      </c>
      <c r="H167" s="20">
        <v>30.0</v>
      </c>
      <c r="I167" s="21" t="str">
        <f t="shared" si="1"/>
        <v/>
      </c>
      <c r="J167" s="21" t="str">
        <f>IF(OR(L167="entregado",K167="despacho"),"", IF(AND(ELABORACION!F167&lt;&gt;"-",ELABORACION!F167&lt;&gt;"PENDIENTE ELAB"),"en proceso",""))</f>
        <v/>
      </c>
      <c r="K167" s="21" t="str">
        <f>IF(L167="entregado","",IF(EXPEDICION!L167="listo para entregar","despacho",""))</f>
        <v/>
      </c>
      <c r="L167" s="21" t="str">
        <f>IF(EXPEDICION!L167="entregado", "entregado", "")</f>
        <v>entregado</v>
      </c>
      <c r="M167" s="32" t="str">
        <f>EXPEDICION!M167</f>
        <v>A26019</v>
      </c>
    </row>
    <row r="168" ht="15.75" customHeight="1">
      <c r="A168" s="23">
        <v>26064.0</v>
      </c>
      <c r="B168" s="10">
        <v>46111.0</v>
      </c>
      <c r="C168" s="23"/>
      <c r="D168" s="24" t="s">
        <v>192</v>
      </c>
      <c r="E168" s="24" t="s">
        <v>219</v>
      </c>
      <c r="F168" s="25" t="s">
        <v>12</v>
      </c>
      <c r="G168" s="25">
        <v>500.0</v>
      </c>
      <c r="H168" s="26">
        <v>50.0</v>
      </c>
      <c r="I168" s="21" t="str">
        <f t="shared" si="1"/>
        <v/>
      </c>
      <c r="J168" s="21" t="str">
        <f>IF(OR(L168="entregado",K168="despacho"),"", IF(AND(ELABORACION!F168&lt;&gt;"-",ELABORACION!F168&lt;&gt;"PENDIENTE ELAB"),"en proceso",""))</f>
        <v/>
      </c>
      <c r="K168" s="21" t="str">
        <f>IF(L168="entregado","",IF(EXPEDICION!L168="listo para entregar","despacho",""))</f>
        <v/>
      </c>
      <c r="L168" s="21" t="str">
        <f>IF(EXPEDICION!L168="entregado", "entregado", "")</f>
        <v>entregado</v>
      </c>
      <c r="M168" s="32" t="str">
        <f>EXPEDICION!M168</f>
        <v>A26020</v>
      </c>
    </row>
    <row r="169" ht="15.75" customHeight="1">
      <c r="A169" s="16">
        <v>26065.0</v>
      </c>
      <c r="B169" s="17">
        <v>46112.0</v>
      </c>
      <c r="C169" s="16">
        <v>786.0</v>
      </c>
      <c r="D169" s="18" t="s">
        <v>52</v>
      </c>
      <c r="E169" s="18" t="s">
        <v>220</v>
      </c>
      <c r="F169" s="19" t="s">
        <v>36</v>
      </c>
      <c r="G169" s="19">
        <v>250.0</v>
      </c>
      <c r="H169" s="20">
        <v>400.0</v>
      </c>
      <c r="I169" s="21" t="str">
        <f t="shared" si="1"/>
        <v/>
      </c>
      <c r="J169" s="21" t="str">
        <f>IF(OR(L169="entregado",K169="despacho"),"", IF(AND(ELABORACION!F169&lt;&gt;"-",ELABORACION!F169&lt;&gt;"PENDIENTE ELAB"),"en proceso",""))</f>
        <v/>
      </c>
      <c r="K169" s="21" t="str">
        <f>IF(L169="entregado","",IF(EXPEDICION!L169="listo para entregar","despacho",""))</f>
        <v/>
      </c>
      <c r="L169" s="21" t="str">
        <f>IF(EXPEDICION!L169="entregado", "entregado", "")</f>
        <v>entregado</v>
      </c>
      <c r="M169" s="32" t="str">
        <f>EXPEDICION!M169</f>
        <v>A26005</v>
      </c>
    </row>
    <row r="170" ht="15.75" customHeight="1">
      <c r="A170" s="23">
        <v>26065.0</v>
      </c>
      <c r="B170" s="10">
        <v>46112.0</v>
      </c>
      <c r="C170" s="23">
        <v>786.0</v>
      </c>
      <c r="D170" s="24" t="s">
        <v>52</v>
      </c>
      <c r="E170" s="24" t="s">
        <v>221</v>
      </c>
      <c r="F170" s="25" t="s">
        <v>36</v>
      </c>
      <c r="G170" s="25">
        <v>250.0</v>
      </c>
      <c r="H170" s="26">
        <v>400.0</v>
      </c>
      <c r="I170" s="21" t="str">
        <f t="shared" si="1"/>
        <v/>
      </c>
      <c r="J170" s="21" t="str">
        <f>IF(OR(L170="entregado",K170="despacho"),"", IF(AND(ELABORACION!F170&lt;&gt;"-",ELABORACION!F170&lt;&gt;"PENDIENTE ELAB"),"en proceso",""))</f>
        <v/>
      </c>
      <c r="K170" s="21" t="str">
        <f>IF(L170="entregado","",IF(EXPEDICION!L170="listo para entregar","despacho",""))</f>
        <v/>
      </c>
      <c r="L170" s="21" t="str">
        <f>IF(EXPEDICION!L170="entregado", "entregado", "")</f>
        <v>entregado</v>
      </c>
      <c r="M170" s="32" t="str">
        <f>EXPEDICION!M170</f>
        <v>A26006</v>
      </c>
    </row>
    <row r="171" ht="15.75" customHeight="1">
      <c r="A171" s="16">
        <v>26065.0</v>
      </c>
      <c r="B171" s="17">
        <v>46112.0</v>
      </c>
      <c r="C171" s="16">
        <v>786.0</v>
      </c>
      <c r="D171" s="18" t="s">
        <v>52</v>
      </c>
      <c r="E171" s="18" t="s">
        <v>222</v>
      </c>
      <c r="F171" s="19" t="s">
        <v>12</v>
      </c>
      <c r="G171" s="19">
        <v>350.0</v>
      </c>
      <c r="H171" s="20">
        <v>300.0</v>
      </c>
      <c r="I171" s="21" t="str">
        <f t="shared" si="1"/>
        <v/>
      </c>
      <c r="J171" s="21" t="str">
        <f>IF(OR(L171="entregado",K171="despacho"),"", IF(AND(ELABORACION!F171&lt;&gt;"-",ELABORACION!F171&lt;&gt;"PENDIENTE ELAB"),"en proceso",""))</f>
        <v/>
      </c>
      <c r="K171" s="21" t="str">
        <f>IF(L171="entregado","",IF(EXPEDICION!L171="listo para entregar","despacho",""))</f>
        <v/>
      </c>
      <c r="L171" s="21" t="str">
        <f>IF(EXPEDICION!L171="entregado", "entregado", "")</f>
        <v>entregado</v>
      </c>
      <c r="M171" s="32" t="str">
        <f>EXPEDICION!M171</f>
        <v>A26027</v>
      </c>
    </row>
    <row r="172" ht="15.75" customHeight="1">
      <c r="A172" s="23">
        <v>26065.0</v>
      </c>
      <c r="B172" s="10">
        <v>46112.0</v>
      </c>
      <c r="C172" s="23">
        <v>786.0</v>
      </c>
      <c r="D172" s="24" t="s">
        <v>52</v>
      </c>
      <c r="E172" s="24" t="s">
        <v>223</v>
      </c>
      <c r="F172" s="25" t="s">
        <v>12</v>
      </c>
      <c r="G172" s="25">
        <v>200.0</v>
      </c>
      <c r="H172" s="26">
        <v>150.0</v>
      </c>
      <c r="I172" s="21" t="str">
        <f t="shared" si="1"/>
        <v/>
      </c>
      <c r="J172" s="21" t="str">
        <f>IF(OR(L172="entregado",K172="despacho"),"", IF(AND(ELABORACION!F172&lt;&gt;"-",ELABORACION!F172&lt;&gt;"PENDIENTE ELAB"),"en proceso",""))</f>
        <v/>
      </c>
      <c r="K172" s="21" t="str">
        <f>IF(L172="entregado","",IF(EXPEDICION!L172="listo para entregar","despacho",""))</f>
        <v/>
      </c>
      <c r="L172" s="21" t="str">
        <f>IF(EXPEDICION!L172="entregado", "entregado", "")</f>
        <v>entregado</v>
      </c>
      <c r="M172" s="32" t="str">
        <f>EXPEDICION!M172</f>
        <v>M26041</v>
      </c>
    </row>
    <row r="173" ht="15.75" customHeight="1">
      <c r="A173" s="16">
        <v>26065.0</v>
      </c>
      <c r="B173" s="17">
        <v>46112.0</v>
      </c>
      <c r="C173" s="16">
        <v>786.0</v>
      </c>
      <c r="D173" s="18" t="s">
        <v>52</v>
      </c>
      <c r="E173" s="18" t="s">
        <v>137</v>
      </c>
      <c r="F173" s="19" t="s">
        <v>36</v>
      </c>
      <c r="G173" s="19">
        <v>250.0</v>
      </c>
      <c r="H173" s="20">
        <v>400.0</v>
      </c>
      <c r="I173" s="21" t="str">
        <f t="shared" si="1"/>
        <v/>
      </c>
      <c r="J173" s="21" t="str">
        <f>IF(OR(L173="entregado",K173="despacho"),"", IF(AND(ELABORACION!F173&lt;&gt;"-",ELABORACION!F173&lt;&gt;"PENDIENTE ELAB"),"en proceso",""))</f>
        <v/>
      </c>
      <c r="K173" s="21" t="str">
        <f>IF(L173="entregado","",IF(EXPEDICION!L173="listo para entregar","despacho",""))</f>
        <v/>
      </c>
      <c r="L173" s="21" t="str">
        <f>IF(EXPEDICION!L173="entregado", "entregado", "")</f>
        <v>entregado</v>
      </c>
      <c r="M173" s="32" t="str">
        <f>EXPEDICION!M173</f>
        <v>A26078</v>
      </c>
    </row>
    <row r="174" ht="15.75" customHeight="1">
      <c r="A174" s="23">
        <v>26065.0</v>
      </c>
      <c r="B174" s="10">
        <v>46112.0</v>
      </c>
      <c r="C174" s="23">
        <v>786.0</v>
      </c>
      <c r="D174" s="24" t="s">
        <v>52</v>
      </c>
      <c r="E174" s="24" t="s">
        <v>138</v>
      </c>
      <c r="F174" s="25" t="s">
        <v>36</v>
      </c>
      <c r="G174" s="25">
        <v>250.0</v>
      </c>
      <c r="H174" s="26">
        <v>400.0</v>
      </c>
      <c r="I174" s="21" t="str">
        <f t="shared" si="1"/>
        <v/>
      </c>
      <c r="J174" s="21" t="str">
        <f>IF(OR(L174="entregado",K174="despacho"),"", IF(AND(ELABORACION!F174&lt;&gt;"-",ELABORACION!F174&lt;&gt;"PENDIENTE ELAB"),"en proceso",""))</f>
        <v/>
      </c>
      <c r="K174" s="21" t="str">
        <f>IF(L174="entregado","",IF(EXPEDICION!L174="listo para entregar","despacho",""))</f>
        <v/>
      </c>
      <c r="L174" s="21" t="str">
        <f>IF(EXPEDICION!L174="entregado", "entregado", "")</f>
        <v>entregado</v>
      </c>
      <c r="M174" s="32" t="str">
        <f>EXPEDICION!M174</f>
        <v>A26079</v>
      </c>
    </row>
    <row r="175" ht="15.75" customHeight="1">
      <c r="A175" s="16">
        <v>26065.0</v>
      </c>
      <c r="B175" s="17">
        <v>46112.0</v>
      </c>
      <c r="C175" s="16">
        <v>786.0</v>
      </c>
      <c r="D175" s="18" t="s">
        <v>52</v>
      </c>
      <c r="E175" s="18" t="s">
        <v>224</v>
      </c>
      <c r="F175" s="19" t="s">
        <v>36</v>
      </c>
      <c r="G175" s="19">
        <v>200.0</v>
      </c>
      <c r="H175" s="20">
        <v>125.0</v>
      </c>
      <c r="I175" s="21" t="str">
        <f t="shared" si="1"/>
        <v/>
      </c>
      <c r="J175" s="21" t="str">
        <f>IF(OR(L175="entregado",K175="despacho"),"", IF(AND(ELABORACION!F175&lt;&gt;"-",ELABORACION!F175&lt;&gt;"PENDIENTE ELAB"),"en proceso",""))</f>
        <v/>
      </c>
      <c r="K175" s="21" t="str">
        <f>IF(L175="entregado","",IF(EXPEDICION!L175="listo para entregar","despacho",""))</f>
        <v/>
      </c>
      <c r="L175" s="21" t="str">
        <f>IF(EXPEDICION!L175="entregado", "entregado", "")</f>
        <v>entregado</v>
      </c>
      <c r="M175" s="32" t="str">
        <f>EXPEDICION!M175</f>
        <v>A26083</v>
      </c>
    </row>
    <row r="176" ht="15.75" customHeight="1">
      <c r="A176" s="23">
        <v>26066.0</v>
      </c>
      <c r="B176" s="10">
        <v>46112.0</v>
      </c>
      <c r="C176" s="23">
        <v>15223.0</v>
      </c>
      <c r="D176" s="24" t="s">
        <v>15</v>
      </c>
      <c r="E176" s="24" t="s">
        <v>225</v>
      </c>
      <c r="F176" s="25" t="s">
        <v>36</v>
      </c>
      <c r="G176" s="25">
        <v>17000.0</v>
      </c>
      <c r="H176" s="26">
        <v>18.0</v>
      </c>
      <c r="I176" s="21" t="str">
        <f t="shared" si="1"/>
        <v/>
      </c>
      <c r="J176" s="21" t="str">
        <f>IF(OR(L176="entregado",K176="despacho"),"", IF(AND(ELABORACION!F176&lt;&gt;"-",ELABORACION!F176&lt;&gt;"PENDIENTE ELAB"),"en proceso",""))</f>
        <v/>
      </c>
      <c r="K176" s="21" t="str">
        <f>IF(L176="entregado","",IF(EXPEDICION!L176="listo para entregar","despacho",""))</f>
        <v/>
      </c>
      <c r="L176" s="21" t="str">
        <f>IF(EXPEDICION!L176="entregado", "entregado", "")</f>
        <v>entregado</v>
      </c>
      <c r="M176" s="32">
        <f>EXPEDICION!M176</f>
        <v>140401</v>
      </c>
    </row>
    <row r="177" ht="15.75" customHeight="1">
      <c r="A177" s="16">
        <v>26066.0</v>
      </c>
      <c r="B177" s="17">
        <v>46112.0</v>
      </c>
      <c r="C177" s="16">
        <v>15223.0</v>
      </c>
      <c r="D177" s="18" t="s">
        <v>15</v>
      </c>
      <c r="E177" s="18" t="s">
        <v>226</v>
      </c>
      <c r="F177" s="19" t="s">
        <v>36</v>
      </c>
      <c r="G177" s="19">
        <v>17000.0</v>
      </c>
      <c r="H177" s="20">
        <v>18.0</v>
      </c>
      <c r="I177" s="21" t="str">
        <f t="shared" si="1"/>
        <v/>
      </c>
      <c r="J177" s="21" t="str">
        <f>IF(OR(L177="entregado",K177="despacho"),"", IF(AND(ELABORACION!F177&lt;&gt;"-",ELABORACION!F177&lt;&gt;"PENDIENTE ELAB"),"en proceso",""))</f>
        <v/>
      </c>
      <c r="K177" s="21" t="str">
        <f>IF(L177="entregado","",IF(EXPEDICION!L177="listo para entregar","despacho",""))</f>
        <v/>
      </c>
      <c r="L177" s="21" t="str">
        <f>IF(EXPEDICION!L177="entregado", "entregado", "")</f>
        <v>entregado</v>
      </c>
      <c r="M177" s="32">
        <f>EXPEDICION!M177</f>
        <v>150401</v>
      </c>
    </row>
    <row r="178" ht="15.75" customHeight="1">
      <c r="A178" s="23">
        <v>26066.0</v>
      </c>
      <c r="B178" s="10">
        <v>46112.0</v>
      </c>
      <c r="C178" s="23">
        <v>15223.0</v>
      </c>
      <c r="D178" s="24" t="s">
        <v>15</v>
      </c>
      <c r="E178" s="24" t="s">
        <v>227</v>
      </c>
      <c r="F178" s="25" t="s">
        <v>36</v>
      </c>
      <c r="G178" s="25">
        <v>8100.0</v>
      </c>
      <c r="H178" s="26">
        <v>18.0</v>
      </c>
      <c r="I178" s="21" t="str">
        <f t="shared" si="1"/>
        <v/>
      </c>
      <c r="J178" s="21" t="str">
        <f>IF(OR(L178="entregado",K178="despacho"),"", IF(AND(ELABORACION!F178&lt;&gt;"-",ELABORACION!F178&lt;&gt;"PENDIENTE ELAB"),"en proceso",""))</f>
        <v/>
      </c>
      <c r="K178" s="21" t="str">
        <f>IF(L178="entregado","",IF(EXPEDICION!L178="listo para entregar","despacho",""))</f>
        <v/>
      </c>
      <c r="L178" s="21" t="str">
        <f>IF(EXPEDICION!L178="entregado", "entregado", "")</f>
        <v>entregado</v>
      </c>
      <c r="M178" s="32" t="str">
        <f>EXPEDICION!M178</f>
        <v/>
      </c>
    </row>
    <row r="179" ht="15.75" customHeight="1">
      <c r="A179" s="16">
        <v>26066.0</v>
      </c>
      <c r="B179" s="17">
        <v>46112.0</v>
      </c>
      <c r="C179" s="16">
        <v>15220.0</v>
      </c>
      <c r="D179" s="18" t="s">
        <v>15</v>
      </c>
      <c r="E179" s="18" t="s">
        <v>228</v>
      </c>
      <c r="F179" s="19" t="s">
        <v>36</v>
      </c>
      <c r="G179" s="19">
        <v>7000.0</v>
      </c>
      <c r="H179" s="20">
        <v>18.0</v>
      </c>
      <c r="I179" s="21" t="str">
        <f t="shared" si="1"/>
        <v/>
      </c>
      <c r="J179" s="21" t="str">
        <f>IF(OR(L179="entregado",K179="despacho"),"", IF(AND(ELABORACION!F179&lt;&gt;"-",ELABORACION!F179&lt;&gt;"PENDIENTE ELAB"),"en proceso",""))</f>
        <v/>
      </c>
      <c r="K179" s="21" t="str">
        <f>IF(L179="entregado","",IF(EXPEDICION!L179="listo para entregar","despacho",""))</f>
        <v/>
      </c>
      <c r="L179" s="21" t="str">
        <f>IF(EXPEDICION!L179="entregado", "entregado", "")</f>
        <v>entregado</v>
      </c>
      <c r="M179" s="32">
        <f>EXPEDICION!M179</f>
        <v>80402</v>
      </c>
    </row>
    <row r="180" ht="15.75" customHeight="1">
      <c r="A180" s="23">
        <v>26066.0</v>
      </c>
      <c r="B180" s="10">
        <v>46112.0</v>
      </c>
      <c r="C180" s="23">
        <v>15220.0</v>
      </c>
      <c r="D180" s="24" t="s">
        <v>15</v>
      </c>
      <c r="E180" s="24" t="s">
        <v>229</v>
      </c>
      <c r="F180" s="25" t="s">
        <v>36</v>
      </c>
      <c r="G180" s="25">
        <v>7000.0</v>
      </c>
      <c r="H180" s="26">
        <v>18.0</v>
      </c>
      <c r="I180" s="21" t="str">
        <f t="shared" si="1"/>
        <v/>
      </c>
      <c r="J180" s="21" t="str">
        <f>IF(OR(L180="entregado",K180="despacho"),"", IF(AND(ELABORACION!F180&lt;&gt;"-",ELABORACION!F180&lt;&gt;"PENDIENTE ELAB"),"en proceso",""))</f>
        <v/>
      </c>
      <c r="K180" s="21" t="str">
        <f>IF(L180="entregado","",IF(EXPEDICION!L180="listo para entregar","despacho",""))</f>
        <v/>
      </c>
      <c r="L180" s="21" t="str">
        <f>IF(EXPEDICION!L180="entregado", "entregado", "")</f>
        <v>entregado</v>
      </c>
      <c r="M180" s="32">
        <f>EXPEDICION!M180</f>
        <v>90402</v>
      </c>
    </row>
    <row r="181" ht="15.75" customHeight="1">
      <c r="A181" s="16">
        <v>26066.0</v>
      </c>
      <c r="B181" s="17">
        <v>46112.0</v>
      </c>
      <c r="C181" s="16">
        <v>15226.0</v>
      </c>
      <c r="D181" s="18" t="s">
        <v>15</v>
      </c>
      <c r="E181" s="18" t="s">
        <v>230</v>
      </c>
      <c r="F181" s="19" t="s">
        <v>36</v>
      </c>
      <c r="G181" s="19">
        <v>3900.0</v>
      </c>
      <c r="H181" s="20">
        <v>18.0</v>
      </c>
      <c r="I181" s="21" t="str">
        <f t="shared" si="1"/>
        <v/>
      </c>
      <c r="J181" s="21" t="str">
        <f>IF(OR(L181="entregado",K181="despacho"),"", IF(AND(ELABORACION!F181&lt;&gt;"-",ELABORACION!F181&lt;&gt;"PENDIENTE ELAB"),"en proceso",""))</f>
        <v/>
      </c>
      <c r="K181" s="21" t="str">
        <f>IF(L181="entregado","",IF(EXPEDICION!L181="listo para entregar","despacho",""))</f>
        <v/>
      </c>
      <c r="L181" s="21" t="str">
        <f>IF(EXPEDICION!L181="entregado", "entregado", "")</f>
        <v>entregado</v>
      </c>
      <c r="M181" s="32" t="str">
        <f>EXPEDICION!M181</f>
        <v/>
      </c>
    </row>
    <row r="182" ht="15.75" customHeight="1">
      <c r="A182" s="23">
        <v>26066.0</v>
      </c>
      <c r="B182" s="10">
        <v>46112.0</v>
      </c>
      <c r="C182" s="23">
        <v>15226.0</v>
      </c>
      <c r="D182" s="24" t="s">
        <v>15</v>
      </c>
      <c r="E182" s="24" t="s">
        <v>231</v>
      </c>
      <c r="F182" s="25" t="s">
        <v>36</v>
      </c>
      <c r="G182" s="25">
        <v>1800.0</v>
      </c>
      <c r="H182" s="26">
        <v>18.0</v>
      </c>
      <c r="I182" s="21" t="str">
        <f t="shared" si="1"/>
        <v/>
      </c>
      <c r="J182" s="21" t="str">
        <f>IF(OR(L182="entregado",K182="despacho"),"", IF(AND(ELABORACION!F182&lt;&gt;"-",ELABORACION!F182&lt;&gt;"PENDIENTE ELAB"),"en proceso",""))</f>
        <v/>
      </c>
      <c r="K182" s="21" t="str">
        <f>IF(L182="entregado","",IF(EXPEDICION!L182="listo para entregar","despacho",""))</f>
        <v/>
      </c>
      <c r="L182" s="21" t="str">
        <f>IF(EXPEDICION!L182="entregado", "entregado", "")</f>
        <v>entregado</v>
      </c>
      <c r="M182" s="32" t="str">
        <f>EXPEDICION!M182</f>
        <v/>
      </c>
    </row>
    <row r="183" ht="15.75" customHeight="1">
      <c r="A183" s="16">
        <v>26066.0</v>
      </c>
      <c r="B183" s="17">
        <v>46112.0</v>
      </c>
      <c r="C183" s="16">
        <v>15226.0</v>
      </c>
      <c r="D183" s="18" t="s">
        <v>15</v>
      </c>
      <c r="E183" s="18" t="s">
        <v>232</v>
      </c>
      <c r="F183" s="19" t="s">
        <v>36</v>
      </c>
      <c r="G183" s="19">
        <v>4000.0</v>
      </c>
      <c r="H183" s="20">
        <v>18.0</v>
      </c>
      <c r="I183" s="21" t="str">
        <f t="shared" si="1"/>
        <v/>
      </c>
      <c r="J183" s="21" t="str">
        <f>IF(OR(L183="entregado",K183="despacho"),"", IF(AND(ELABORACION!F183&lt;&gt;"-",ELABORACION!F183&lt;&gt;"PENDIENTE ELAB"),"en proceso",""))</f>
        <v/>
      </c>
      <c r="K183" s="21" t="str">
        <f>IF(L183="entregado","",IF(EXPEDICION!L183="listo para entregar","despacho",""))</f>
        <v/>
      </c>
      <c r="L183" s="21" t="str">
        <f>IF(EXPEDICION!L183="entregado", "entregado", "")</f>
        <v>entregado</v>
      </c>
      <c r="M183" s="32" t="str">
        <f>EXPEDICION!M183</f>
        <v/>
      </c>
    </row>
    <row r="184" ht="15.75" customHeight="1">
      <c r="A184" s="23">
        <v>26066.0</v>
      </c>
      <c r="B184" s="10">
        <v>46112.0</v>
      </c>
      <c r="C184" s="23">
        <v>15226.0</v>
      </c>
      <c r="D184" s="24" t="s">
        <v>15</v>
      </c>
      <c r="E184" s="24" t="s">
        <v>233</v>
      </c>
      <c r="F184" s="25" t="s">
        <v>36</v>
      </c>
      <c r="G184" s="25">
        <v>2500.0</v>
      </c>
      <c r="H184" s="26">
        <v>18.0</v>
      </c>
      <c r="I184" s="21" t="str">
        <f t="shared" si="1"/>
        <v/>
      </c>
      <c r="J184" s="21" t="str">
        <f>IF(OR(L184="entregado",K184="despacho"),"", IF(AND(ELABORACION!F184&lt;&gt;"-",ELABORACION!F184&lt;&gt;"PENDIENTE ELAB"),"en proceso",""))</f>
        <v/>
      </c>
      <c r="K184" s="21" t="str">
        <f>IF(L184="entregado","",IF(EXPEDICION!L184="listo para entregar","despacho",""))</f>
        <v/>
      </c>
      <c r="L184" s="21" t="str">
        <f>IF(EXPEDICION!L184="entregado", "entregado", "")</f>
        <v>entregado</v>
      </c>
      <c r="M184" s="32" t="str">
        <f>EXPEDICION!M184</f>
        <v/>
      </c>
    </row>
    <row r="185" ht="15.75" customHeight="1">
      <c r="A185" s="16">
        <v>26067.0</v>
      </c>
      <c r="B185" s="17">
        <v>46113.0</v>
      </c>
      <c r="C185" s="16">
        <v>14362.0</v>
      </c>
      <c r="D185" s="18" t="s">
        <v>57</v>
      </c>
      <c r="E185" s="18" t="s">
        <v>234</v>
      </c>
      <c r="F185" s="19" t="s">
        <v>36</v>
      </c>
      <c r="G185" s="19">
        <v>1000.0</v>
      </c>
      <c r="H185" s="20">
        <v>5.0</v>
      </c>
      <c r="I185" s="21" t="str">
        <f t="shared" si="1"/>
        <v>ingreso</v>
      </c>
      <c r="J185" s="21" t="str">
        <f>IF(OR(L185="entregado",K185="despacho"),"", IF(AND(ELABORACION!F185&lt;&gt;"-",ELABORACION!F185&lt;&gt;"PENDIENTE ELAB"),"en proceso",""))</f>
        <v/>
      </c>
      <c r="K185" s="21" t="str">
        <f>IF(L185="entregado","",IF(EXPEDICION!L185="listo para entregar","despacho",""))</f>
        <v/>
      </c>
      <c r="L185" s="21" t="str">
        <f>IF(EXPEDICION!L185="entregado", "entregado", "")</f>
        <v/>
      </c>
      <c r="M185" s="32" t="str">
        <f>EXPEDICION!M185</f>
        <v/>
      </c>
    </row>
    <row r="186" ht="15.75" customHeight="1">
      <c r="A186" s="23">
        <v>26067.0</v>
      </c>
      <c r="B186" s="10">
        <v>46113.0</v>
      </c>
      <c r="C186" s="23">
        <v>14362.0</v>
      </c>
      <c r="D186" s="24" t="s">
        <v>57</v>
      </c>
      <c r="E186" s="24" t="s">
        <v>235</v>
      </c>
      <c r="F186" s="25" t="s">
        <v>36</v>
      </c>
      <c r="G186" s="25">
        <v>1000.0</v>
      </c>
      <c r="H186" s="26">
        <v>5.0</v>
      </c>
      <c r="I186" s="21" t="str">
        <f t="shared" si="1"/>
        <v>ingreso</v>
      </c>
      <c r="J186" s="21" t="str">
        <f>IF(OR(L186="entregado",K186="despacho"),"", IF(AND(ELABORACION!F186&lt;&gt;"-",ELABORACION!F186&lt;&gt;"PENDIENTE ELAB"),"en proceso",""))</f>
        <v/>
      </c>
      <c r="K186" s="21" t="str">
        <f>IF(L186="entregado","",IF(EXPEDICION!L186="listo para entregar","despacho",""))</f>
        <v/>
      </c>
      <c r="L186" s="21" t="str">
        <f>IF(EXPEDICION!L186="entregado", "entregado", "")</f>
        <v/>
      </c>
      <c r="M186" s="32" t="str">
        <f>EXPEDICION!M186</f>
        <v/>
      </c>
    </row>
    <row r="187" ht="15.75" customHeight="1">
      <c r="A187" s="16">
        <v>26067.0</v>
      </c>
      <c r="B187" s="17">
        <v>46113.0</v>
      </c>
      <c r="C187" s="16">
        <v>14362.0</v>
      </c>
      <c r="D187" s="18" t="s">
        <v>57</v>
      </c>
      <c r="E187" s="18" t="s">
        <v>236</v>
      </c>
      <c r="F187" s="19" t="s">
        <v>36</v>
      </c>
      <c r="G187" s="19">
        <v>1000.0</v>
      </c>
      <c r="H187" s="20">
        <v>5.0</v>
      </c>
      <c r="I187" s="21" t="str">
        <f t="shared" si="1"/>
        <v>ingreso</v>
      </c>
      <c r="J187" s="21" t="str">
        <f>IF(OR(L187="entregado",K187="despacho"),"", IF(AND(ELABORACION!F187&lt;&gt;"-",ELABORACION!F187&lt;&gt;"PENDIENTE ELAB"),"en proceso",""))</f>
        <v/>
      </c>
      <c r="K187" s="21" t="str">
        <f>IF(L187="entregado","",IF(EXPEDICION!L187="listo para entregar","despacho",""))</f>
        <v/>
      </c>
      <c r="L187" s="21" t="str">
        <f>IF(EXPEDICION!L187="entregado", "entregado", "")</f>
        <v/>
      </c>
      <c r="M187" s="32" t="str">
        <f>EXPEDICION!M187</f>
        <v/>
      </c>
    </row>
    <row r="188" ht="15.75" customHeight="1">
      <c r="A188" s="23">
        <v>26067.0</v>
      </c>
      <c r="B188" s="10">
        <v>46113.0</v>
      </c>
      <c r="C188" s="23">
        <v>14362.0</v>
      </c>
      <c r="D188" s="24" t="s">
        <v>57</v>
      </c>
      <c r="E188" s="24" t="s">
        <v>237</v>
      </c>
      <c r="F188" s="25" t="s">
        <v>36</v>
      </c>
      <c r="G188" s="25">
        <v>1000.0</v>
      </c>
      <c r="H188" s="26">
        <v>5.0</v>
      </c>
      <c r="I188" s="21" t="str">
        <f t="shared" si="1"/>
        <v>ingreso</v>
      </c>
      <c r="J188" s="21" t="str">
        <f>IF(OR(L188="entregado",K188="despacho"),"", IF(AND(ELABORACION!F188&lt;&gt;"-",ELABORACION!F188&lt;&gt;"PENDIENTE ELAB"),"en proceso",""))</f>
        <v/>
      </c>
      <c r="K188" s="21" t="str">
        <f>IF(L188="entregado","",IF(EXPEDICION!L188="listo para entregar","despacho",""))</f>
        <v/>
      </c>
      <c r="L188" s="21" t="str">
        <f>IF(EXPEDICION!L188="entregado", "entregado", "")</f>
        <v/>
      </c>
      <c r="M188" s="32" t="str">
        <f>EXPEDICION!M188</f>
        <v/>
      </c>
    </row>
    <row r="189" ht="15.75" customHeight="1">
      <c r="A189" s="16">
        <v>26067.0</v>
      </c>
      <c r="B189" s="17">
        <v>46113.0</v>
      </c>
      <c r="C189" s="16">
        <v>14362.0</v>
      </c>
      <c r="D189" s="18" t="s">
        <v>57</v>
      </c>
      <c r="E189" s="18" t="s">
        <v>238</v>
      </c>
      <c r="F189" s="19" t="s">
        <v>36</v>
      </c>
      <c r="G189" s="19">
        <v>2000.0</v>
      </c>
      <c r="H189" s="20">
        <v>50.0</v>
      </c>
      <c r="I189" s="21" t="str">
        <f t="shared" si="1"/>
        <v/>
      </c>
      <c r="J189" s="21" t="str">
        <f>IF(OR(L189="entregado",K189="despacho"),"", IF(AND(ELABORACION!F189&lt;&gt;"-",ELABORACION!F189&lt;&gt;"PENDIENTE ELAB"),"en proceso",""))</f>
        <v/>
      </c>
      <c r="K189" s="21" t="str">
        <f>IF(L189="entregado","",IF(EXPEDICION!L189="listo para entregar","despacho",""))</f>
        <v/>
      </c>
      <c r="L189" s="21" t="str">
        <f>IF(EXPEDICION!L189="entregado", "entregado", "")</f>
        <v>entregado</v>
      </c>
      <c r="M189" s="32" t="str">
        <f>EXPEDICION!M189</f>
        <v>J26015</v>
      </c>
    </row>
    <row r="190" ht="15.75" customHeight="1">
      <c r="A190" s="23">
        <v>26067.0</v>
      </c>
      <c r="B190" s="10">
        <v>46113.0</v>
      </c>
      <c r="C190" s="23">
        <v>14362.0</v>
      </c>
      <c r="D190" s="24" t="s">
        <v>57</v>
      </c>
      <c r="E190" s="34" t="s">
        <v>239</v>
      </c>
      <c r="F190" s="25" t="s">
        <v>36</v>
      </c>
      <c r="G190" s="25">
        <v>1500.0</v>
      </c>
      <c r="H190" s="26">
        <v>50.0</v>
      </c>
      <c r="I190" s="21" t="str">
        <f t="shared" si="1"/>
        <v/>
      </c>
      <c r="J190" s="21" t="str">
        <f>IF(OR(L190="entregado",K190="despacho"),"", IF(AND(ELABORACION!F190&lt;&gt;"-",ELABORACION!F190&lt;&gt;"PENDIENTE ELAB"),"en proceso",""))</f>
        <v/>
      </c>
      <c r="K190" s="21" t="str">
        <f>IF(L190="entregado","",IF(EXPEDICION!L190="listo para entregar","despacho",""))</f>
        <v/>
      </c>
      <c r="L190" s="21" t="str">
        <f>IF(EXPEDICION!L190="entregado", "entregado", "")</f>
        <v>entregado</v>
      </c>
      <c r="M190" s="32" t="str">
        <f>EXPEDICION!M190</f>
        <v>J26041</v>
      </c>
    </row>
    <row r="191" ht="15.75" customHeight="1">
      <c r="A191" s="16">
        <v>26067.0</v>
      </c>
      <c r="B191" s="17">
        <v>46113.0</v>
      </c>
      <c r="C191" s="16">
        <v>14362.0</v>
      </c>
      <c r="D191" s="18" t="s">
        <v>57</v>
      </c>
      <c r="E191" s="18" t="s">
        <v>240</v>
      </c>
      <c r="F191" s="19" t="s">
        <v>36</v>
      </c>
      <c r="G191" s="19">
        <v>1500.0</v>
      </c>
      <c r="H191" s="20">
        <v>25.0</v>
      </c>
      <c r="I191" s="21" t="str">
        <f t="shared" si="1"/>
        <v/>
      </c>
      <c r="J191" s="21" t="str">
        <f>IF(OR(L191="entregado",K191="despacho"),"", IF(AND(ELABORACION!F191&lt;&gt;"-",ELABORACION!F191&lt;&gt;"PENDIENTE ELAB"),"en proceso",""))</f>
        <v/>
      </c>
      <c r="K191" s="21" t="str">
        <f>IF(L191="entregado","",IF(EXPEDICION!L191="listo para entregar","despacho",""))</f>
        <v/>
      </c>
      <c r="L191" s="21" t="str">
        <f>IF(EXPEDICION!L191="entregado", "entregado", "")</f>
        <v>entregado</v>
      </c>
      <c r="M191" s="32" t="str">
        <f>EXPEDICION!M191</f>
        <v>A26084</v>
      </c>
    </row>
    <row r="192" ht="15.75" customHeight="1">
      <c r="A192" s="23">
        <v>26067.0</v>
      </c>
      <c r="B192" s="10">
        <v>46113.0</v>
      </c>
      <c r="C192" s="23">
        <v>14362.0</v>
      </c>
      <c r="D192" s="24" t="s">
        <v>57</v>
      </c>
      <c r="E192" s="24" t="s">
        <v>241</v>
      </c>
      <c r="F192" s="25" t="s">
        <v>36</v>
      </c>
      <c r="G192" s="25">
        <v>2000.0</v>
      </c>
      <c r="H192" s="26">
        <v>50.0</v>
      </c>
      <c r="I192" s="21" t="str">
        <f t="shared" si="1"/>
        <v/>
      </c>
      <c r="J192" s="21" t="str">
        <f>IF(OR(L192="entregado",K192="despacho"),"", IF(AND(ELABORACION!F192&lt;&gt;"-",ELABORACION!F192&lt;&gt;"PENDIENTE ELAB"),"en proceso",""))</f>
        <v/>
      </c>
      <c r="K192" s="21" t="str">
        <f>IF(L192="entregado","",IF(EXPEDICION!L192="listo para entregar","despacho",""))</f>
        <v/>
      </c>
      <c r="L192" s="21" t="str">
        <f>IF(EXPEDICION!L192="entregado", "entregado", "")</f>
        <v>entregado</v>
      </c>
      <c r="M192" s="32" t="str">
        <f>EXPEDICION!M192</f>
        <v>A26080</v>
      </c>
    </row>
    <row r="193" ht="15.75" customHeight="1">
      <c r="A193" s="16">
        <v>26067.0</v>
      </c>
      <c r="B193" s="17">
        <v>46113.0</v>
      </c>
      <c r="C193" s="16">
        <v>14362.0</v>
      </c>
      <c r="D193" s="18" t="s">
        <v>57</v>
      </c>
      <c r="E193" s="18" t="s">
        <v>242</v>
      </c>
      <c r="F193" s="19" t="s">
        <v>36</v>
      </c>
      <c r="G193" s="19">
        <v>1500.0</v>
      </c>
      <c r="H193" s="20">
        <v>50.0</v>
      </c>
      <c r="I193" s="21" t="str">
        <f t="shared" si="1"/>
        <v/>
      </c>
      <c r="J193" s="21" t="str">
        <f>IF(OR(L193="entregado",K193="despacho"),"", IF(AND(ELABORACION!F193&lt;&gt;"-",ELABORACION!F193&lt;&gt;"PENDIENTE ELAB"),"en proceso",""))</f>
        <v/>
      </c>
      <c r="K193" s="21" t="str">
        <f>IF(L193="entregado","",IF(EXPEDICION!L193="listo para entregar","despacho",""))</f>
        <v/>
      </c>
      <c r="L193" s="21" t="str">
        <f>IF(EXPEDICION!L193="entregado", "entregado", "")</f>
        <v>entregado</v>
      </c>
      <c r="M193" s="32" t="str">
        <f>EXPEDICION!M193</f>
        <v>Y26067</v>
      </c>
    </row>
    <row r="194" ht="15.75" customHeight="1">
      <c r="A194" s="23">
        <v>26067.0</v>
      </c>
      <c r="B194" s="10">
        <v>46113.0</v>
      </c>
      <c r="C194" s="23">
        <v>14362.0</v>
      </c>
      <c r="D194" s="24" t="s">
        <v>57</v>
      </c>
      <c r="E194" s="24" t="s">
        <v>243</v>
      </c>
      <c r="F194" s="25" t="s">
        <v>36</v>
      </c>
      <c r="G194" s="25">
        <v>1500.0</v>
      </c>
      <c r="H194" s="26">
        <v>45.0</v>
      </c>
      <c r="I194" s="21" t="str">
        <f t="shared" si="1"/>
        <v/>
      </c>
      <c r="J194" s="21" t="str">
        <f>IF(OR(L194="entregado",K194="despacho"),"", IF(AND(ELABORACION!F194&lt;&gt;"-",ELABORACION!F194&lt;&gt;"PENDIENTE ELAB"),"en proceso",""))</f>
        <v/>
      </c>
      <c r="K194" s="21" t="str">
        <f>IF(L194="entregado","",IF(EXPEDICION!L194="listo para entregar","despacho",""))</f>
        <v/>
      </c>
      <c r="L194" s="21" t="str">
        <f>IF(EXPEDICION!L194="entregado", "entregado", "")</f>
        <v>entregado</v>
      </c>
      <c r="M194" s="32" t="str">
        <f>EXPEDICION!M194</f>
        <v>Y26007</v>
      </c>
    </row>
    <row r="195" ht="15.75" customHeight="1">
      <c r="A195" s="16">
        <v>26067.0</v>
      </c>
      <c r="B195" s="17">
        <v>46113.0</v>
      </c>
      <c r="C195" s="16">
        <v>14362.0</v>
      </c>
      <c r="D195" s="18" t="s">
        <v>57</v>
      </c>
      <c r="E195" s="18" t="s">
        <v>244</v>
      </c>
      <c r="F195" s="19" t="s">
        <v>36</v>
      </c>
      <c r="G195" s="19">
        <v>1500.0</v>
      </c>
      <c r="H195" s="20">
        <v>45.0</v>
      </c>
      <c r="I195" s="21" t="str">
        <f t="shared" si="1"/>
        <v/>
      </c>
      <c r="J195" s="21" t="str">
        <f>IF(OR(L195="entregado",K195="despacho"),"", IF(AND(ELABORACION!F195&lt;&gt;"-",ELABORACION!F195&lt;&gt;"PENDIENTE ELAB"),"en proceso",""))</f>
        <v/>
      </c>
      <c r="K195" s="21" t="str">
        <f>IF(L195="entregado","",IF(EXPEDICION!L195="listo para entregar","despacho",""))</f>
        <v/>
      </c>
      <c r="L195" s="21" t="str">
        <f>IF(EXPEDICION!L195="entregado", "entregado", "")</f>
        <v>entregado</v>
      </c>
      <c r="M195" s="32" t="str">
        <f>EXPEDICION!M195</f>
        <v>Y26008</v>
      </c>
    </row>
    <row r="196" ht="15.75" customHeight="1">
      <c r="A196" s="23">
        <v>26067.0</v>
      </c>
      <c r="B196" s="10">
        <v>46113.0</v>
      </c>
      <c r="C196" s="23">
        <v>14362.0</v>
      </c>
      <c r="D196" s="24" t="s">
        <v>57</v>
      </c>
      <c r="E196" s="34" t="s">
        <v>239</v>
      </c>
      <c r="F196" s="25" t="s">
        <v>36</v>
      </c>
      <c r="G196" s="25">
        <v>2000.0</v>
      </c>
      <c r="H196" s="26">
        <v>50.0</v>
      </c>
      <c r="I196" s="21" t="str">
        <f t="shared" si="1"/>
        <v/>
      </c>
      <c r="J196" s="21" t="str">
        <f>IF(OR(L196="entregado",K196="despacho"),"", IF(AND(ELABORACION!F196&lt;&gt;"-",ELABORACION!F196&lt;&gt;"PENDIENTE ELAB"),"en proceso",""))</f>
        <v/>
      </c>
      <c r="K196" s="21" t="str">
        <f>IF(L196="entregado","",IF(EXPEDICION!L196="listo para entregar","despacho",""))</f>
        <v/>
      </c>
      <c r="L196" s="21" t="str">
        <f>IF(EXPEDICION!L196="entregado", "entregado", "")</f>
        <v>entregado</v>
      </c>
      <c r="M196" s="32" t="str">
        <f>EXPEDICION!M196</f>
        <v>Y26066</v>
      </c>
    </row>
    <row r="197" ht="15.75" customHeight="1">
      <c r="A197" s="16">
        <v>26067.0</v>
      </c>
      <c r="B197" s="17">
        <v>46113.0</v>
      </c>
      <c r="C197" s="16">
        <v>14362.0</v>
      </c>
      <c r="D197" s="18" t="s">
        <v>57</v>
      </c>
      <c r="E197" s="18" t="s">
        <v>245</v>
      </c>
      <c r="F197" s="19" t="s">
        <v>36</v>
      </c>
      <c r="G197" s="19">
        <v>2000.0</v>
      </c>
      <c r="H197" s="20">
        <v>50.0</v>
      </c>
      <c r="I197" s="21" t="str">
        <f t="shared" si="1"/>
        <v/>
      </c>
      <c r="J197" s="21" t="str">
        <f>IF(OR(L197="entregado",K197="despacho"),"", IF(AND(ELABORACION!F197&lt;&gt;"-",ELABORACION!F197&lt;&gt;"PENDIENTE ELAB"),"en proceso",""))</f>
        <v/>
      </c>
      <c r="K197" s="21" t="str">
        <f>IF(L197="entregado","",IF(EXPEDICION!L197="listo para entregar","despacho",""))</f>
        <v/>
      </c>
      <c r="L197" s="21" t="str">
        <f>IF(EXPEDICION!L197="entregado", "entregado", "")</f>
        <v>entregado</v>
      </c>
      <c r="M197" s="32" t="str">
        <f>EXPEDICION!M197</f>
        <v>J26016</v>
      </c>
    </row>
    <row r="198" ht="15.75" customHeight="1">
      <c r="A198" s="23">
        <v>26068.0</v>
      </c>
      <c r="B198" s="10">
        <v>46113.0</v>
      </c>
      <c r="C198" s="23"/>
      <c r="D198" s="24" t="s">
        <v>246</v>
      </c>
      <c r="E198" s="24" t="s">
        <v>247</v>
      </c>
      <c r="F198" s="25" t="s">
        <v>12</v>
      </c>
      <c r="G198" s="25">
        <v>600.0</v>
      </c>
      <c r="H198" s="26" t="s">
        <v>248</v>
      </c>
      <c r="I198" s="21" t="str">
        <f t="shared" si="1"/>
        <v/>
      </c>
      <c r="J198" s="21" t="str">
        <f>IF(OR(L198="entregado",K198="despacho"),"", IF(AND(ELABORACION!F198&lt;&gt;"-",ELABORACION!F198&lt;&gt;"PENDIENTE ELAB"),"en proceso",""))</f>
        <v/>
      </c>
      <c r="K198" s="21" t="str">
        <f>IF(L198="entregado","",IF(EXPEDICION!L198="listo para entregar","despacho",""))</f>
        <v/>
      </c>
      <c r="L198" s="21" t="str">
        <f>IF(EXPEDICION!L198="entregado", "entregado", "")</f>
        <v>entregado</v>
      </c>
      <c r="M198" s="32" t="str">
        <f>EXPEDICION!M198</f>
        <v>A26047</v>
      </c>
    </row>
    <row r="199" ht="15.75" customHeight="1">
      <c r="A199" s="16">
        <v>26068.0</v>
      </c>
      <c r="B199" s="17">
        <v>46113.0</v>
      </c>
      <c r="C199" s="16"/>
      <c r="D199" s="18" t="s">
        <v>246</v>
      </c>
      <c r="E199" s="18" t="s">
        <v>247</v>
      </c>
      <c r="F199" s="19" t="s">
        <v>12</v>
      </c>
      <c r="G199" s="19">
        <v>600.0</v>
      </c>
      <c r="H199" s="20" t="s">
        <v>248</v>
      </c>
      <c r="I199" s="21" t="str">
        <f t="shared" si="1"/>
        <v/>
      </c>
      <c r="J199" s="21" t="str">
        <f>IF(OR(L199="entregado",K199="despacho"),"", IF(AND(ELABORACION!F199&lt;&gt;"-",ELABORACION!F199&lt;&gt;"PENDIENTE ELAB"),"en proceso",""))</f>
        <v/>
      </c>
      <c r="K199" s="21" t="str">
        <f>IF(L199="entregado","",IF(EXPEDICION!L199="listo para entregar","despacho",""))</f>
        <v/>
      </c>
      <c r="L199" s="21" t="str">
        <f>IF(EXPEDICION!L199="entregado", "entregado", "")</f>
        <v>entregado</v>
      </c>
      <c r="M199" s="32" t="str">
        <f>EXPEDICION!M199</f>
        <v>A26088</v>
      </c>
    </row>
    <row r="200" ht="15.75" customHeight="1">
      <c r="A200" s="23">
        <v>26069.0</v>
      </c>
      <c r="B200" s="10">
        <v>46119.0</v>
      </c>
      <c r="C200" s="23"/>
      <c r="D200" s="24" t="s">
        <v>20</v>
      </c>
      <c r="E200" s="24" t="s">
        <v>249</v>
      </c>
      <c r="F200" s="35" t="s">
        <v>36</v>
      </c>
      <c r="G200" s="25">
        <v>1000.0</v>
      </c>
      <c r="H200" s="26">
        <v>200.0</v>
      </c>
      <c r="I200" s="21" t="str">
        <f t="shared" si="1"/>
        <v/>
      </c>
      <c r="J200" s="21" t="str">
        <f>IF(OR(L200="entregado",K200="despacho"),"", IF(AND(ELABORACION!F200&lt;&gt;"-",ELABORACION!F200&lt;&gt;"PENDIENTE ELAB"),"en proceso",""))</f>
        <v/>
      </c>
      <c r="K200" s="21" t="str">
        <f>IF(L200="entregado","",IF(EXPEDICION!L200="listo para entregar","despacho",""))</f>
        <v/>
      </c>
      <c r="L200" s="21" t="str">
        <f>IF(EXPEDICION!L200="entregado", "entregado", "")</f>
        <v>entregado</v>
      </c>
      <c r="M200" s="32" t="str">
        <f>EXPEDICION!M200</f>
        <v>A26032</v>
      </c>
    </row>
    <row r="201" ht="15.75" customHeight="1">
      <c r="A201" s="16">
        <v>26069.0</v>
      </c>
      <c r="B201" s="17">
        <v>46119.0</v>
      </c>
      <c r="C201" s="16"/>
      <c r="D201" s="18" t="s">
        <v>20</v>
      </c>
      <c r="E201" s="18" t="s">
        <v>250</v>
      </c>
      <c r="F201" s="29" t="s">
        <v>36</v>
      </c>
      <c r="G201" s="19">
        <v>1000.0</v>
      </c>
      <c r="H201" s="20">
        <v>50.0</v>
      </c>
      <c r="I201" s="21" t="str">
        <f t="shared" si="1"/>
        <v/>
      </c>
      <c r="J201" s="21" t="str">
        <f>IF(OR(L201="entregado",K201="despacho"),"", IF(AND(ELABORACION!F201&lt;&gt;"-",ELABORACION!F201&lt;&gt;"PENDIENTE ELAB"),"en proceso",""))</f>
        <v/>
      </c>
      <c r="K201" s="21" t="str">
        <f>IF(L201="entregado","",IF(EXPEDICION!L201="listo para entregar","despacho",""))</f>
        <v/>
      </c>
      <c r="L201" s="21" t="str">
        <f>IF(EXPEDICION!L201="entregado", "entregado", "")</f>
        <v>entregado</v>
      </c>
      <c r="M201" s="32" t="str">
        <f>EXPEDICION!M201</f>
        <v>A26044</v>
      </c>
    </row>
    <row r="202" ht="15.75" customHeight="1">
      <c r="A202" s="16">
        <v>26069.0</v>
      </c>
      <c r="B202" s="10">
        <v>46119.0</v>
      </c>
      <c r="C202" s="23"/>
      <c r="D202" s="36" t="s">
        <v>20</v>
      </c>
      <c r="E202" s="36" t="s">
        <v>251</v>
      </c>
      <c r="F202" s="35" t="s">
        <v>36</v>
      </c>
      <c r="G202" s="35">
        <v>1000.0</v>
      </c>
      <c r="H202" s="37">
        <v>50.0</v>
      </c>
      <c r="I202" s="21" t="str">
        <f t="shared" si="1"/>
        <v/>
      </c>
      <c r="J202" s="21" t="str">
        <f>IF(OR(L202="entregado",K202="despacho"),"", IF(AND(ELABORACION!F202&lt;&gt;"-",ELABORACION!F202&lt;&gt;"PENDIENTE ELAB"),"en proceso",""))</f>
        <v/>
      </c>
      <c r="K202" s="21" t="str">
        <f>IF(L202="entregado","",IF(EXPEDICION!L202="listo para entregar","despacho",""))</f>
        <v/>
      </c>
      <c r="L202" s="21" t="str">
        <f>IF(EXPEDICION!L202="entregado", "entregado", "")</f>
        <v>entregado</v>
      </c>
      <c r="M202" s="32" t="str">
        <f>EXPEDICION!M202</f>
        <v>A26044</v>
      </c>
    </row>
    <row r="203" ht="15.75" customHeight="1">
      <c r="A203" s="16">
        <v>26078.0</v>
      </c>
      <c r="B203" s="17">
        <v>46128.0</v>
      </c>
      <c r="C203" s="16">
        <v>143.0</v>
      </c>
      <c r="D203" s="18" t="s">
        <v>158</v>
      </c>
      <c r="E203" s="18" t="s">
        <v>162</v>
      </c>
      <c r="F203" s="19" t="s">
        <v>12</v>
      </c>
      <c r="G203" s="19">
        <v>500.0</v>
      </c>
      <c r="H203" s="20">
        <v>10.0</v>
      </c>
      <c r="I203" s="21" t="str">
        <f t="shared" si="1"/>
        <v/>
      </c>
      <c r="J203" s="21" t="str">
        <f>IF(OR(L203="entregado",K203="despacho"),"", IF(AND(ELABORACION!F203&lt;&gt;"-",ELABORACION!F203&lt;&gt;"PENDIENTE ELAB"),"en proceso",""))</f>
        <v/>
      </c>
      <c r="K203" s="21" t="str">
        <f>IF(L203="entregado","",IF(EXPEDICION!L203="listo para entregar","despacho",""))</f>
        <v/>
      </c>
      <c r="L203" s="21" t="str">
        <f>IF(EXPEDICION!L203="entregado", "entregado", "")</f>
        <v>entregado</v>
      </c>
      <c r="M203" s="32" t="str">
        <f>EXPEDICION!M203</f>
        <v>A26068</v>
      </c>
    </row>
    <row r="204" ht="15.75" customHeight="1">
      <c r="A204" s="23">
        <v>26078.0</v>
      </c>
      <c r="B204" s="10">
        <v>46128.0</v>
      </c>
      <c r="C204" s="23">
        <v>143.0</v>
      </c>
      <c r="D204" s="24" t="s">
        <v>158</v>
      </c>
      <c r="E204" s="24" t="s">
        <v>252</v>
      </c>
      <c r="F204" s="25" t="s">
        <v>12</v>
      </c>
      <c r="G204" s="25">
        <v>500.0</v>
      </c>
      <c r="H204" s="26">
        <v>10.0</v>
      </c>
      <c r="I204" s="21" t="str">
        <f t="shared" si="1"/>
        <v/>
      </c>
      <c r="J204" s="21" t="str">
        <f>IF(OR(L204="entregado",K204="despacho"),"", IF(AND(ELABORACION!F204&lt;&gt;"-",ELABORACION!F204&lt;&gt;"PENDIENTE ELAB"),"en proceso",""))</f>
        <v/>
      </c>
      <c r="K204" s="21" t="str">
        <f>IF(L204="entregado","",IF(EXPEDICION!L204="listo para entregar","despacho",""))</f>
        <v/>
      </c>
      <c r="L204" s="21" t="str">
        <f>IF(EXPEDICION!L204="entregado", "entregado", "")</f>
        <v>entregado</v>
      </c>
      <c r="M204" s="32" t="str">
        <f>EXPEDICION!M204</f>
        <v>A26067</v>
      </c>
    </row>
    <row r="205" ht="15.75" customHeight="1">
      <c r="A205" s="16">
        <v>26070.0</v>
      </c>
      <c r="B205" s="17">
        <v>46119.0</v>
      </c>
      <c r="C205" s="16">
        <v>142.0</v>
      </c>
      <c r="D205" s="18" t="s">
        <v>158</v>
      </c>
      <c r="E205" s="18" t="s">
        <v>253</v>
      </c>
      <c r="F205" s="19" t="s">
        <v>12</v>
      </c>
      <c r="G205" s="19">
        <v>500.0</v>
      </c>
      <c r="H205" s="20">
        <v>10.0</v>
      </c>
      <c r="I205" s="21" t="str">
        <f t="shared" si="1"/>
        <v/>
      </c>
      <c r="J205" s="21" t="str">
        <f>IF(OR(L205="entregado",K205="despacho"),"", IF(AND(ELABORACION!F205&lt;&gt;"-",ELABORACION!F205&lt;&gt;"PENDIENTE ELAB"),"en proceso",""))</f>
        <v/>
      </c>
      <c r="K205" s="21" t="str">
        <f>IF(L205="entregado","",IF(EXPEDICION!L205="listo para entregar","despacho",""))</f>
        <v/>
      </c>
      <c r="L205" s="21" t="str">
        <f>IF(EXPEDICION!L205="entregado", "entregado", "")</f>
        <v>entregado</v>
      </c>
      <c r="M205" s="32" t="str">
        <f>EXPEDICION!M205</f>
        <v>A26037</v>
      </c>
    </row>
    <row r="206" ht="15.75" customHeight="1">
      <c r="A206" s="23">
        <v>26070.0</v>
      </c>
      <c r="B206" s="10">
        <v>46119.0</v>
      </c>
      <c r="C206" s="23">
        <v>142.0</v>
      </c>
      <c r="D206" s="24" t="s">
        <v>158</v>
      </c>
      <c r="E206" s="24" t="s">
        <v>254</v>
      </c>
      <c r="F206" s="25" t="s">
        <v>12</v>
      </c>
      <c r="G206" s="25">
        <v>500.0</v>
      </c>
      <c r="H206" s="26">
        <v>10.0</v>
      </c>
      <c r="I206" s="21" t="str">
        <f t="shared" si="1"/>
        <v/>
      </c>
      <c r="J206" s="21" t="str">
        <f>IF(OR(L206="entregado",K206="despacho"),"", IF(AND(ELABORACION!F206&lt;&gt;"-",ELABORACION!F206&lt;&gt;"PENDIENTE ELAB"),"en proceso",""))</f>
        <v/>
      </c>
      <c r="K206" s="21" t="str">
        <f>IF(L206="entregado","",IF(EXPEDICION!L206="listo para entregar","despacho",""))</f>
        <v/>
      </c>
      <c r="L206" s="21" t="str">
        <f>IF(EXPEDICION!L206="entregado", "entregado", "")</f>
        <v>entregado</v>
      </c>
      <c r="M206" s="32" t="str">
        <f>EXPEDICION!M206</f>
        <v>A26034</v>
      </c>
    </row>
    <row r="207" ht="15.75" customHeight="1">
      <c r="A207" s="16">
        <v>26070.0</v>
      </c>
      <c r="B207" s="17">
        <v>46119.0</v>
      </c>
      <c r="C207" s="16">
        <v>142.0</v>
      </c>
      <c r="D207" s="18" t="s">
        <v>158</v>
      </c>
      <c r="E207" s="18" t="s">
        <v>159</v>
      </c>
      <c r="F207" s="19" t="s">
        <v>12</v>
      </c>
      <c r="G207" s="19">
        <v>500.0</v>
      </c>
      <c r="H207" s="20">
        <v>10.0</v>
      </c>
      <c r="I207" s="21" t="str">
        <f t="shared" si="1"/>
        <v/>
      </c>
      <c r="J207" s="21" t="str">
        <f>IF(OR(L207="entregado",K207="despacho"),"", IF(AND(ELABORACION!F207&lt;&gt;"-",ELABORACION!F207&lt;&gt;"PENDIENTE ELAB"),"en proceso",""))</f>
        <v/>
      </c>
      <c r="K207" s="21" t="str">
        <f>IF(L207="entregado","",IF(EXPEDICION!L207="listo para entregar","despacho",""))</f>
        <v/>
      </c>
      <c r="L207" s="21" t="str">
        <f>IF(EXPEDICION!L207="entregado", "entregado", "")</f>
        <v>entregado</v>
      </c>
      <c r="M207" s="32" t="str">
        <f>EXPEDICION!M207</f>
        <v>A26021</v>
      </c>
    </row>
    <row r="208" ht="15.75" customHeight="1">
      <c r="A208" s="23">
        <v>26070.0</v>
      </c>
      <c r="B208" s="10">
        <v>46119.0</v>
      </c>
      <c r="C208" s="23">
        <v>142.0</v>
      </c>
      <c r="D208" s="24" t="s">
        <v>158</v>
      </c>
      <c r="E208" s="24" t="s">
        <v>161</v>
      </c>
      <c r="F208" s="25" t="s">
        <v>12</v>
      </c>
      <c r="G208" s="25">
        <v>500.0</v>
      </c>
      <c r="H208" s="26">
        <v>10.0</v>
      </c>
      <c r="I208" s="21" t="str">
        <f t="shared" si="1"/>
        <v/>
      </c>
      <c r="J208" s="21" t="str">
        <f>IF(OR(L208="entregado",K208="despacho"),"", IF(AND(ELABORACION!F208&lt;&gt;"-",ELABORACION!F208&lt;&gt;"PENDIENTE ELAB"),"en proceso",""))</f>
        <v/>
      </c>
      <c r="K208" s="21" t="str">
        <f>IF(L208="entregado","",IF(EXPEDICION!L208="listo para entregar","despacho",""))</f>
        <v/>
      </c>
      <c r="L208" s="21" t="str">
        <f>IF(EXPEDICION!L208="entregado", "entregado", "")</f>
        <v>entregado</v>
      </c>
      <c r="M208" s="32" t="str">
        <f>EXPEDICION!M208</f>
        <v>A26022</v>
      </c>
    </row>
    <row r="209" ht="15.75" customHeight="1">
      <c r="A209" s="16">
        <v>26070.0</v>
      </c>
      <c r="B209" s="17">
        <v>46119.0</v>
      </c>
      <c r="C209" s="16">
        <v>142.0</v>
      </c>
      <c r="D209" s="18" t="s">
        <v>158</v>
      </c>
      <c r="E209" s="18" t="s">
        <v>163</v>
      </c>
      <c r="F209" s="19" t="s">
        <v>12</v>
      </c>
      <c r="G209" s="19">
        <v>500.0</v>
      </c>
      <c r="H209" s="20">
        <v>10.0</v>
      </c>
      <c r="I209" s="21" t="str">
        <f t="shared" si="1"/>
        <v/>
      </c>
      <c r="J209" s="21" t="str">
        <f>IF(OR(L209="entregado",K209="despacho"),"", IF(AND(ELABORACION!F209&lt;&gt;"-",ELABORACION!F209&lt;&gt;"PENDIENTE ELAB"),"en proceso",""))</f>
        <v/>
      </c>
      <c r="K209" s="21" t="str">
        <f>IF(L209="entregado","",IF(EXPEDICION!L209="listo para entregar","despacho",""))</f>
        <v/>
      </c>
      <c r="L209" s="21" t="str">
        <f>IF(EXPEDICION!L209="entregado", "entregado", "")</f>
        <v>entregado</v>
      </c>
      <c r="M209" s="32" t="str">
        <f>EXPEDICION!M209</f>
        <v>A26036</v>
      </c>
    </row>
    <row r="210" ht="15.75" customHeight="1">
      <c r="A210" s="23">
        <v>26070.0</v>
      </c>
      <c r="B210" s="10">
        <v>46119.0</v>
      </c>
      <c r="C210" s="23">
        <v>142.0</v>
      </c>
      <c r="D210" s="24" t="s">
        <v>158</v>
      </c>
      <c r="E210" s="24" t="s">
        <v>205</v>
      </c>
      <c r="F210" s="25" t="s">
        <v>12</v>
      </c>
      <c r="G210" s="25">
        <v>500.0</v>
      </c>
      <c r="H210" s="26">
        <v>10.0</v>
      </c>
      <c r="I210" s="21" t="str">
        <f t="shared" si="1"/>
        <v/>
      </c>
      <c r="J210" s="21" t="str">
        <f>IF(OR(L210="entregado",K210="despacho"),"", IF(AND(ELABORACION!F210&lt;&gt;"-",ELABORACION!F210&lt;&gt;"PENDIENTE ELAB"),"en proceso",""))</f>
        <v/>
      </c>
      <c r="K210" s="21" t="str">
        <f>IF(L210="entregado","",IF(EXPEDICION!L210="listo para entregar","despacho",""))</f>
        <v/>
      </c>
      <c r="L210" s="21" t="str">
        <f>IF(EXPEDICION!L210="entregado", "entregado", "")</f>
        <v>entregado</v>
      </c>
      <c r="M210" s="32" t="str">
        <f>EXPEDICION!M210</f>
        <v>A26009</v>
      </c>
    </row>
    <row r="211" ht="15.75" customHeight="1">
      <c r="A211" s="16">
        <v>26071.0</v>
      </c>
      <c r="B211" s="17">
        <v>46118.0</v>
      </c>
      <c r="C211" s="16">
        <v>15231.0</v>
      </c>
      <c r="D211" s="18" t="s">
        <v>15</v>
      </c>
      <c r="E211" s="18" t="s">
        <v>255</v>
      </c>
      <c r="F211" s="19" t="s">
        <v>36</v>
      </c>
      <c r="G211" s="19">
        <v>4909.0</v>
      </c>
      <c r="H211" s="20">
        <v>30.0</v>
      </c>
      <c r="I211" s="21" t="str">
        <f t="shared" si="1"/>
        <v/>
      </c>
      <c r="J211" s="21" t="str">
        <f>IF(OR(L211="entregado",K211="despacho"),"", IF(AND(ELABORACION!F211&lt;&gt;"-",ELABORACION!F211&lt;&gt;"PENDIENTE ELAB"),"en proceso",""))</f>
        <v/>
      </c>
      <c r="K211" s="21" t="str">
        <f>IF(L211="entregado","",IF(EXPEDICION!L211="listo para entregar","despacho",""))</f>
        <v/>
      </c>
      <c r="L211" s="21" t="str">
        <f>IF(EXPEDICION!L211="entregado", "entregado", "")</f>
        <v>entregado</v>
      </c>
      <c r="M211" s="32" t="str">
        <f>EXPEDICION!M211</f>
        <v>A26001</v>
      </c>
    </row>
    <row r="212" ht="15.75" customHeight="1">
      <c r="A212" s="23">
        <v>26072.0</v>
      </c>
      <c r="B212" s="10">
        <v>46118.0</v>
      </c>
      <c r="C212" s="23">
        <v>15228.0</v>
      </c>
      <c r="D212" s="24" t="s">
        <v>15</v>
      </c>
      <c r="E212" s="24" t="s">
        <v>256</v>
      </c>
      <c r="F212" s="25" t="s">
        <v>36</v>
      </c>
      <c r="G212" s="25">
        <v>5000.0</v>
      </c>
      <c r="H212" s="26">
        <v>160.0</v>
      </c>
      <c r="I212" s="21" t="str">
        <f t="shared" si="1"/>
        <v/>
      </c>
      <c r="J212" s="21" t="str">
        <f>IF(OR(L212="entregado",K212="despacho"),"", IF(AND(ELABORACION!F212&lt;&gt;"-",ELABORACION!F212&lt;&gt;"PENDIENTE ELAB"),"en proceso",""))</f>
        <v/>
      </c>
      <c r="K212" s="21" t="str">
        <f>IF(L212="entregado","",IF(EXPEDICION!L212="listo para entregar","despacho",""))</f>
        <v/>
      </c>
      <c r="L212" s="21" t="str">
        <f>IF(EXPEDICION!L212="entregado", "entregado", "")</f>
        <v>entregado</v>
      </c>
      <c r="M212" s="32">
        <f>EXPEDICION!M212</f>
        <v>70401</v>
      </c>
    </row>
    <row r="213" ht="15.75" customHeight="1">
      <c r="A213" s="16">
        <v>26073.0</v>
      </c>
      <c r="B213" s="17">
        <v>46118.0</v>
      </c>
      <c r="C213" s="16">
        <v>15233.0</v>
      </c>
      <c r="D213" s="18" t="s">
        <v>15</v>
      </c>
      <c r="E213" s="18" t="s">
        <v>257</v>
      </c>
      <c r="F213" s="19" t="s">
        <v>36</v>
      </c>
      <c r="G213" s="19">
        <v>200.0</v>
      </c>
      <c r="H213" s="20">
        <v>12.0</v>
      </c>
      <c r="I213" s="21" t="str">
        <f t="shared" si="1"/>
        <v/>
      </c>
      <c r="J213" s="21" t="str">
        <f>IF(OR(L213="entregado",K213="despacho"),"", IF(AND(ELABORACION!F213&lt;&gt;"-",ELABORACION!F213&lt;&gt;"PENDIENTE ELAB"),"en proceso",""))</f>
        <v/>
      </c>
      <c r="K213" s="21" t="str">
        <f>IF(L213="entregado","",IF(EXPEDICION!L213="listo para entregar","despacho",""))</f>
        <v/>
      </c>
      <c r="L213" s="21" t="str">
        <f>IF(EXPEDICION!L213="entregado", "entregado", "")</f>
        <v>entregado</v>
      </c>
      <c r="M213" s="32" t="str">
        <f>EXPEDICION!M213</f>
        <v>A26058</v>
      </c>
    </row>
    <row r="214" ht="15.75" customHeight="1">
      <c r="A214" s="23">
        <v>26073.0</v>
      </c>
      <c r="B214" s="10">
        <v>46118.0</v>
      </c>
      <c r="C214" s="23">
        <v>15233.0</v>
      </c>
      <c r="D214" s="24" t="s">
        <v>15</v>
      </c>
      <c r="E214" s="24" t="s">
        <v>258</v>
      </c>
      <c r="F214" s="25" t="s">
        <v>36</v>
      </c>
      <c r="G214" s="25">
        <v>300.0</v>
      </c>
      <c r="H214" s="26">
        <v>12.0</v>
      </c>
      <c r="I214" s="21" t="str">
        <f t="shared" si="1"/>
        <v/>
      </c>
      <c r="J214" s="21" t="str">
        <f>IF(OR(L214="entregado",K214="despacho"),"", IF(AND(ELABORACION!F214&lt;&gt;"-",ELABORACION!F214&lt;&gt;"PENDIENTE ELAB"),"en proceso",""))</f>
        <v/>
      </c>
      <c r="K214" s="21" t="str">
        <f>IF(L214="entregado","",IF(EXPEDICION!L214="listo para entregar","despacho",""))</f>
        <v/>
      </c>
      <c r="L214" s="21" t="str">
        <f>IF(EXPEDICION!L214="entregado", "entregado", "")</f>
        <v>entregado</v>
      </c>
      <c r="M214" s="32" t="str">
        <f>EXPEDICION!M214</f>
        <v>A26069</v>
      </c>
    </row>
    <row r="215" ht="15.75" customHeight="1">
      <c r="A215" s="16">
        <v>26073.0</v>
      </c>
      <c r="B215" s="17">
        <v>46118.0</v>
      </c>
      <c r="C215" s="16">
        <v>15233.0</v>
      </c>
      <c r="D215" s="18" t="s">
        <v>15</v>
      </c>
      <c r="E215" s="18" t="s">
        <v>259</v>
      </c>
      <c r="F215" s="19" t="s">
        <v>36</v>
      </c>
      <c r="G215" s="19">
        <v>900.0</v>
      </c>
      <c r="H215" s="20">
        <v>12.0</v>
      </c>
      <c r="I215" s="21" t="str">
        <f t="shared" si="1"/>
        <v/>
      </c>
      <c r="J215" s="21" t="str">
        <f>IF(OR(L215="entregado",K215="despacho"),"", IF(AND(ELABORACION!F215&lt;&gt;"-",ELABORACION!F215&lt;&gt;"PENDIENTE ELAB"),"en proceso",""))</f>
        <v/>
      </c>
      <c r="K215" s="21" t="str">
        <f>IF(L215="entregado","",IF(EXPEDICION!L215="listo para entregar","despacho",""))</f>
        <v/>
      </c>
      <c r="L215" s="21" t="str">
        <f>IF(EXPEDICION!L215="entregado", "entregado", "")</f>
        <v>entregado</v>
      </c>
      <c r="M215" s="32" t="str">
        <f>EXPEDICION!M215</f>
        <v>A26031</v>
      </c>
    </row>
    <row r="216" ht="15.75" customHeight="1">
      <c r="A216" s="23">
        <v>26074.0</v>
      </c>
      <c r="B216" s="10">
        <v>46121.0</v>
      </c>
      <c r="C216" s="23"/>
      <c r="D216" s="24" t="s">
        <v>60</v>
      </c>
      <c r="E216" s="24" t="s">
        <v>260</v>
      </c>
      <c r="F216" s="25" t="s">
        <v>12</v>
      </c>
      <c r="G216" s="25">
        <v>5000.0</v>
      </c>
      <c r="H216" s="26">
        <v>30.0</v>
      </c>
      <c r="I216" s="21" t="str">
        <f t="shared" si="1"/>
        <v/>
      </c>
      <c r="J216" s="21" t="str">
        <f>IF(OR(L216="entregado",K216="despacho"),"", IF(AND(ELABORACION!F216&lt;&gt;"-",ELABORACION!F216&lt;&gt;"PENDIENTE ELAB"),"en proceso",""))</f>
        <v/>
      </c>
      <c r="K216" s="21" t="str">
        <f>IF(L216="entregado","",IF(EXPEDICION!L216="listo para entregar","despacho",""))</f>
        <v/>
      </c>
      <c r="L216" s="21" t="str">
        <f>IF(EXPEDICION!L216="entregado", "entregado", "")</f>
        <v>entregado</v>
      </c>
      <c r="M216" s="32" t="str">
        <f>EXPEDICION!M216</f>
        <v>A26089</v>
      </c>
    </row>
    <row r="217" ht="15.75" customHeight="1">
      <c r="A217" s="16">
        <v>26074.0</v>
      </c>
      <c r="B217" s="17">
        <v>46121.0</v>
      </c>
      <c r="C217" s="16"/>
      <c r="D217" s="18" t="s">
        <v>60</v>
      </c>
      <c r="E217" s="18" t="s">
        <v>261</v>
      </c>
      <c r="F217" s="19" t="s">
        <v>12</v>
      </c>
      <c r="G217" s="19">
        <v>5000.0</v>
      </c>
      <c r="H217" s="20">
        <v>150.0</v>
      </c>
      <c r="I217" s="21" t="str">
        <f t="shared" si="1"/>
        <v/>
      </c>
      <c r="J217" s="21" t="str">
        <f>IF(OR(L217="entregado",K217="despacho"),"", IF(AND(ELABORACION!F217&lt;&gt;"-",ELABORACION!F217&lt;&gt;"PENDIENTE ELAB"),"en proceso",""))</f>
        <v/>
      </c>
      <c r="K217" s="21" t="str">
        <f>IF(L217="entregado","",IF(EXPEDICION!L217="listo para entregar","despacho",""))</f>
        <v/>
      </c>
      <c r="L217" s="21" t="str">
        <f>IF(EXPEDICION!L217="entregado", "entregado", "")</f>
        <v>entregado</v>
      </c>
      <c r="M217" s="32" t="str">
        <f>EXPEDICION!M217</f>
        <v>A26081</v>
      </c>
    </row>
    <row r="218" ht="15.75" customHeight="1">
      <c r="A218" s="23">
        <v>26074.0</v>
      </c>
      <c r="B218" s="10">
        <v>46121.0</v>
      </c>
      <c r="C218" s="23"/>
      <c r="D218" s="24" t="s">
        <v>60</v>
      </c>
      <c r="E218" s="24" t="s">
        <v>178</v>
      </c>
      <c r="F218" s="25" t="s">
        <v>36</v>
      </c>
      <c r="G218" s="35">
        <v>300.0</v>
      </c>
      <c r="H218" s="26">
        <v>1000.0</v>
      </c>
      <c r="I218" s="21" t="str">
        <f t="shared" si="1"/>
        <v/>
      </c>
      <c r="J218" s="21" t="str">
        <f>IF(OR(L218="entregado",K218="despacho"),"", IF(AND(ELABORACION!F218&lt;&gt;"-",ELABORACION!F218&lt;&gt;"PENDIENTE ELAB"),"en proceso",""))</f>
        <v/>
      </c>
      <c r="K218" s="21" t="str">
        <f>IF(L218="entregado","",IF(EXPEDICION!L218="listo para entregar","despacho",""))</f>
        <v/>
      </c>
      <c r="L218" s="21" t="str">
        <f>IF(EXPEDICION!L218="entregado", "entregado", "")</f>
        <v>entregado</v>
      </c>
      <c r="M218" s="32" t="str">
        <f>EXPEDICION!M218</f>
        <v>Y26013</v>
      </c>
    </row>
    <row r="219" ht="15.75" customHeight="1">
      <c r="A219" s="16">
        <v>26074.0</v>
      </c>
      <c r="B219" s="17">
        <v>46121.0</v>
      </c>
      <c r="C219" s="16"/>
      <c r="D219" s="18" t="s">
        <v>60</v>
      </c>
      <c r="E219" s="18" t="s">
        <v>179</v>
      </c>
      <c r="F219" s="19" t="s">
        <v>36</v>
      </c>
      <c r="G219" s="19">
        <v>300.0</v>
      </c>
      <c r="H219" s="20">
        <v>1000.0</v>
      </c>
      <c r="I219" s="21" t="str">
        <f t="shared" si="1"/>
        <v/>
      </c>
      <c r="J219" s="21" t="str">
        <f>IF(OR(L219="entregado",K219="despacho"),"", IF(AND(ELABORACION!F219&lt;&gt;"-",ELABORACION!F219&lt;&gt;"PENDIENTE ELAB"),"en proceso",""))</f>
        <v/>
      </c>
      <c r="K219" s="21" t="str">
        <f>IF(L219="entregado","",IF(EXPEDICION!L219="listo para entregar","despacho",""))</f>
        <v/>
      </c>
      <c r="L219" s="21" t="str">
        <f>IF(EXPEDICION!L219="entregado", "entregado", "")</f>
        <v>entregado</v>
      </c>
      <c r="M219" s="32" t="str">
        <f>EXPEDICION!M219</f>
        <v>Y26014</v>
      </c>
    </row>
    <row r="220" ht="15.75" customHeight="1">
      <c r="A220" s="23">
        <v>26074.0</v>
      </c>
      <c r="B220" s="10">
        <v>46121.0</v>
      </c>
      <c r="C220" s="23"/>
      <c r="D220" s="24" t="s">
        <v>60</v>
      </c>
      <c r="E220" s="24" t="s">
        <v>262</v>
      </c>
      <c r="F220" s="25" t="s">
        <v>36</v>
      </c>
      <c r="G220" s="25">
        <v>500.0</v>
      </c>
      <c r="H220" s="26">
        <v>1000.0</v>
      </c>
      <c r="I220" s="21" t="str">
        <f t="shared" si="1"/>
        <v/>
      </c>
      <c r="J220" s="21" t="str">
        <f>IF(OR(L220="entregado",K220="despacho"),"", IF(AND(ELABORACION!F220&lt;&gt;"-",ELABORACION!F220&lt;&gt;"PENDIENTE ELAB"),"en proceso",""))</f>
        <v/>
      </c>
      <c r="K220" s="21" t="str">
        <f>IF(L220="entregado","",IF(EXPEDICION!L220="listo para entregar","despacho",""))</f>
        <v/>
      </c>
      <c r="L220" s="21" t="str">
        <f>IF(EXPEDICION!L220="entregado", "entregado", "")</f>
        <v>entregado</v>
      </c>
      <c r="M220" s="32" t="str">
        <f>EXPEDICION!M220</f>
        <v>Y26010</v>
      </c>
    </row>
    <row r="221" ht="15.75" customHeight="1">
      <c r="A221" s="16">
        <v>26074.0</v>
      </c>
      <c r="B221" s="17">
        <v>46121.0</v>
      </c>
      <c r="C221" s="16"/>
      <c r="D221" s="18" t="s">
        <v>60</v>
      </c>
      <c r="E221" s="18" t="s">
        <v>263</v>
      </c>
      <c r="F221" s="19" t="s">
        <v>12</v>
      </c>
      <c r="G221" s="19">
        <v>2000.0</v>
      </c>
      <c r="H221" s="20">
        <v>300.0</v>
      </c>
      <c r="I221" s="21" t="str">
        <f t="shared" si="1"/>
        <v/>
      </c>
      <c r="J221" s="21" t="str">
        <f>IF(OR(L221="entregado",K221="despacho"),"", IF(AND(ELABORACION!F221&lt;&gt;"-",ELABORACION!F221&lt;&gt;"PENDIENTE ELAB"),"en proceso",""))</f>
        <v/>
      </c>
      <c r="K221" s="21" t="str">
        <f>IF(L221="entregado","",IF(EXPEDICION!L221="listo para entregar","despacho",""))</f>
        <v/>
      </c>
      <c r="L221" s="21" t="str">
        <f>IF(EXPEDICION!L221="entregado", "entregado", "")</f>
        <v>entregado</v>
      </c>
      <c r="M221" s="32" t="str">
        <f>EXPEDICION!M221</f>
        <v>Y26010</v>
      </c>
    </row>
    <row r="222" ht="15.75" customHeight="1">
      <c r="A222" s="23">
        <v>26074.0</v>
      </c>
      <c r="B222" s="10">
        <v>46121.0</v>
      </c>
      <c r="C222" s="23"/>
      <c r="D222" s="24" t="s">
        <v>60</v>
      </c>
      <c r="E222" s="24" t="s">
        <v>62</v>
      </c>
      <c r="F222" s="25" t="s">
        <v>12</v>
      </c>
      <c r="G222" s="25">
        <v>600.0</v>
      </c>
      <c r="H222" s="26">
        <v>1000.0</v>
      </c>
      <c r="I222" s="21" t="str">
        <f t="shared" si="1"/>
        <v/>
      </c>
      <c r="J222" s="21" t="str">
        <f>IF(OR(L222="entregado",K222="despacho"),"", IF(AND(ELABORACION!F222&lt;&gt;"-",ELABORACION!F222&lt;&gt;"PENDIENTE ELAB"),"en proceso",""))</f>
        <v/>
      </c>
      <c r="K222" s="21" t="str">
        <f>IF(L222="entregado","",IF(EXPEDICION!L222="listo para entregar","despacho",""))</f>
        <v/>
      </c>
      <c r="L222" s="21" t="str">
        <f>IF(EXPEDICION!L222="entregado", "entregado", "")</f>
        <v>entregado</v>
      </c>
      <c r="M222" s="32" t="str">
        <f>EXPEDICION!M222</f>
        <v>Y26002</v>
      </c>
    </row>
    <row r="223" ht="15.75" customHeight="1">
      <c r="A223" s="16">
        <v>26075.0</v>
      </c>
      <c r="B223" s="17">
        <v>46122.0</v>
      </c>
      <c r="C223" s="16"/>
      <c r="D223" s="18" t="s">
        <v>133</v>
      </c>
      <c r="E223" s="18" t="s">
        <v>264</v>
      </c>
      <c r="F223" s="19" t="s">
        <v>12</v>
      </c>
      <c r="G223" s="19">
        <v>700.0</v>
      </c>
      <c r="H223" s="20">
        <v>30.0</v>
      </c>
      <c r="I223" s="21" t="str">
        <f t="shared" si="1"/>
        <v/>
      </c>
      <c r="J223" s="21" t="str">
        <f>IF(OR(L223="entregado",K223="despacho"),"", IF(AND(ELABORACION!F223&lt;&gt;"-",ELABORACION!F223&lt;&gt;"PENDIENTE ELAB"),"en proceso",""))</f>
        <v/>
      </c>
      <c r="K223" s="21" t="str">
        <f>IF(L223="entregado","",IF(EXPEDICION!L223="listo para entregar","despacho",""))</f>
        <v/>
      </c>
      <c r="L223" s="21" t="str">
        <f>IF(EXPEDICION!L223="entregado", "entregado", "")</f>
        <v>entregado</v>
      </c>
      <c r="M223" s="32" t="str">
        <f>EXPEDICION!M223</f>
        <v>A26035</v>
      </c>
    </row>
    <row r="224" ht="15.75" customHeight="1">
      <c r="A224" s="23">
        <v>26076.0</v>
      </c>
      <c r="B224" s="10">
        <v>46126.0</v>
      </c>
      <c r="C224" s="23"/>
      <c r="D224" s="24" t="s">
        <v>265</v>
      </c>
      <c r="E224" s="24" t="s">
        <v>266</v>
      </c>
      <c r="F224" s="25" t="s">
        <v>12</v>
      </c>
      <c r="G224" s="25">
        <v>1000.0</v>
      </c>
      <c r="H224" s="26">
        <v>10.0</v>
      </c>
      <c r="I224" s="21" t="str">
        <f t="shared" si="1"/>
        <v/>
      </c>
      <c r="J224" s="21" t="str">
        <f>IF(OR(L224="entregado",K224="despacho"),"", IF(AND(ELABORACION!F224&lt;&gt;"-",ELABORACION!F224&lt;&gt;"PENDIENTE ELAB"),"en proceso",""))</f>
        <v/>
      </c>
      <c r="K224" s="21" t="str">
        <f>IF(L224="entregado","",IF(EXPEDICION!L224="listo para entregar","despacho",""))</f>
        <v/>
      </c>
      <c r="L224" s="21" t="str">
        <f>IF(EXPEDICION!L224="entregado", "entregado", "")</f>
        <v>entregado</v>
      </c>
      <c r="M224" s="32" t="str">
        <f>EXPEDICION!M224</f>
        <v>A26085</v>
      </c>
    </row>
    <row r="225" ht="15.75" customHeight="1">
      <c r="A225" s="16">
        <v>26076.0</v>
      </c>
      <c r="B225" s="17">
        <v>46126.0</v>
      </c>
      <c r="C225" s="16"/>
      <c r="D225" s="18" t="s">
        <v>265</v>
      </c>
      <c r="E225" s="18" t="s">
        <v>267</v>
      </c>
      <c r="F225" s="19" t="s">
        <v>12</v>
      </c>
      <c r="G225" s="19">
        <v>1000.0</v>
      </c>
      <c r="H225" s="20">
        <v>10.0</v>
      </c>
      <c r="I225" s="21" t="str">
        <f t="shared" si="1"/>
        <v/>
      </c>
      <c r="J225" s="21" t="str">
        <f>IF(OR(L225="entregado",K225="despacho"),"", IF(AND(ELABORACION!F225&lt;&gt;"-",ELABORACION!F225&lt;&gt;"PENDIENTE ELAB"),"en proceso",""))</f>
        <v/>
      </c>
      <c r="K225" s="21" t="str">
        <f>IF(L225="entregado","",IF(EXPEDICION!L225="listo para entregar","despacho",""))</f>
        <v/>
      </c>
      <c r="L225" s="21" t="str">
        <f>IF(EXPEDICION!L225="entregado", "entregado", "")</f>
        <v>entregado</v>
      </c>
      <c r="M225" s="32" t="str">
        <f>EXPEDICION!M225</f>
        <v>A26086</v>
      </c>
    </row>
    <row r="226" ht="15.75" customHeight="1">
      <c r="A226" s="23">
        <v>26077.0</v>
      </c>
      <c r="B226" s="10">
        <v>46127.0</v>
      </c>
      <c r="C226" s="23"/>
      <c r="D226" s="24" t="s">
        <v>198</v>
      </c>
      <c r="E226" s="24" t="s">
        <v>268</v>
      </c>
      <c r="F226" s="25" t="s">
        <v>12</v>
      </c>
      <c r="G226" s="25">
        <v>1000.0</v>
      </c>
      <c r="H226" s="26">
        <v>10.0</v>
      </c>
      <c r="I226" s="21" t="str">
        <f t="shared" si="1"/>
        <v/>
      </c>
      <c r="J226" s="21" t="str">
        <f>IF(OR(L226="entregado",K226="despacho"),"", IF(AND(ELABORACION!F226&lt;&gt;"-",ELABORACION!F226&lt;&gt;"PENDIENTE ELAB"),"en proceso",""))</f>
        <v/>
      </c>
      <c r="K226" s="21" t="str">
        <f>IF(L226="entregado","",IF(EXPEDICION!L226="listo para entregar","despacho",""))</f>
        <v/>
      </c>
      <c r="L226" s="21" t="str">
        <f>IF(EXPEDICION!L226="entregado", "entregado", "")</f>
        <v>entregado</v>
      </c>
      <c r="M226" s="32" t="str">
        <f>EXPEDICION!M226</f>
        <v>A26054</v>
      </c>
    </row>
    <row r="227" ht="15.75" customHeight="1">
      <c r="A227" s="16">
        <v>26077.0</v>
      </c>
      <c r="B227" s="17">
        <v>46127.0</v>
      </c>
      <c r="C227" s="16"/>
      <c r="D227" s="18" t="s">
        <v>198</v>
      </c>
      <c r="E227" s="18" t="s">
        <v>269</v>
      </c>
      <c r="F227" s="19" t="s">
        <v>12</v>
      </c>
      <c r="G227" s="19">
        <v>1000.0</v>
      </c>
      <c r="H227" s="20">
        <v>10.0</v>
      </c>
      <c r="I227" s="21" t="str">
        <f t="shared" si="1"/>
        <v/>
      </c>
      <c r="J227" s="21" t="str">
        <f>IF(OR(L227="entregado",K227="despacho"),"", IF(AND(ELABORACION!F227&lt;&gt;"-",ELABORACION!F227&lt;&gt;"PENDIENTE ELAB"),"en proceso",""))</f>
        <v/>
      </c>
      <c r="K227" s="21" t="str">
        <f>IF(L227="entregado","",IF(EXPEDICION!L227="listo para entregar","despacho",""))</f>
        <v/>
      </c>
      <c r="L227" s="21" t="str">
        <f>IF(EXPEDICION!L227="entregado", "entregado", "")</f>
        <v>entregado</v>
      </c>
      <c r="M227" s="32" t="str">
        <f>EXPEDICION!M227</f>
        <v>A26055</v>
      </c>
    </row>
    <row r="228" ht="15.75" customHeight="1">
      <c r="A228" s="23">
        <v>26077.0</v>
      </c>
      <c r="B228" s="10">
        <v>46127.0</v>
      </c>
      <c r="C228" s="23"/>
      <c r="D228" s="24" t="s">
        <v>198</v>
      </c>
      <c r="E228" s="24" t="s">
        <v>270</v>
      </c>
      <c r="F228" s="25" t="s">
        <v>12</v>
      </c>
      <c r="G228" s="25">
        <v>500.0</v>
      </c>
      <c r="H228" s="26">
        <v>10.0</v>
      </c>
      <c r="I228" s="21" t="str">
        <f t="shared" si="1"/>
        <v/>
      </c>
      <c r="J228" s="21" t="str">
        <f>IF(OR(L228="entregado",K228="despacho"),"", IF(AND(ELABORACION!F228&lt;&gt;"-",ELABORACION!F228&lt;&gt;"PENDIENTE ELAB"),"en proceso",""))</f>
        <v/>
      </c>
      <c r="K228" s="21" t="str">
        <f>IF(L228="entregado","",IF(EXPEDICION!L228="listo para entregar","despacho",""))</f>
        <v/>
      </c>
      <c r="L228" s="21" t="str">
        <f>IF(EXPEDICION!L228="entregado", "entregado", "")</f>
        <v>entregado</v>
      </c>
      <c r="M228" s="32" t="str">
        <f>EXPEDICION!M228</f>
        <v>A26056</v>
      </c>
    </row>
    <row r="229" ht="15.75" customHeight="1">
      <c r="A229" s="16">
        <v>26077.0</v>
      </c>
      <c r="B229" s="17">
        <v>46127.0</v>
      </c>
      <c r="C229" s="16"/>
      <c r="D229" s="18" t="s">
        <v>198</v>
      </c>
      <c r="E229" s="18" t="s">
        <v>271</v>
      </c>
      <c r="F229" s="19" t="s">
        <v>12</v>
      </c>
      <c r="G229" s="19">
        <v>500.0</v>
      </c>
      <c r="H229" s="20">
        <v>10.0</v>
      </c>
      <c r="I229" s="21" t="str">
        <f t="shared" si="1"/>
        <v/>
      </c>
      <c r="J229" s="21" t="str">
        <f>IF(OR(L229="entregado",K229="despacho"),"", IF(AND(ELABORACION!F229&lt;&gt;"-",ELABORACION!F229&lt;&gt;"PENDIENTE ELAB"),"en proceso",""))</f>
        <v/>
      </c>
      <c r="K229" s="21" t="str">
        <f>IF(L229="entregado","",IF(EXPEDICION!L229="listo para entregar","despacho",""))</f>
        <v/>
      </c>
      <c r="L229" s="21" t="str">
        <f>IF(EXPEDICION!L229="entregado", "entregado", "")</f>
        <v>entregado</v>
      </c>
      <c r="M229" s="32" t="str">
        <f>EXPEDICION!M229</f>
        <v>A26057</v>
      </c>
    </row>
    <row r="230" ht="15.75" customHeight="1">
      <c r="A230" s="23">
        <v>26077.0</v>
      </c>
      <c r="B230" s="10">
        <v>46127.0</v>
      </c>
      <c r="C230" s="23"/>
      <c r="D230" s="24" t="s">
        <v>198</v>
      </c>
      <c r="E230" s="24" t="s">
        <v>272</v>
      </c>
      <c r="F230" s="25" t="s">
        <v>12</v>
      </c>
      <c r="G230" s="25">
        <v>500.0</v>
      </c>
      <c r="H230" s="26">
        <v>10.0</v>
      </c>
      <c r="I230" s="21" t="str">
        <f t="shared" si="1"/>
        <v/>
      </c>
      <c r="J230" s="21" t="str">
        <f>IF(OR(L230="entregado",K230="despacho"),"", IF(AND(ELABORACION!F230&lt;&gt;"-",ELABORACION!F230&lt;&gt;"PENDIENTE ELAB"),"en proceso",""))</f>
        <v/>
      </c>
      <c r="K230" s="21" t="str">
        <f>IF(L230="entregado","",IF(EXPEDICION!L230="listo para entregar","despacho",""))</f>
        <v/>
      </c>
      <c r="L230" s="21" t="str">
        <f>IF(EXPEDICION!L230="entregado", "entregado", "")</f>
        <v>entregado</v>
      </c>
      <c r="M230" s="32" t="str">
        <f>EXPEDICION!M230</f>
        <v>A26066</v>
      </c>
    </row>
    <row r="231" ht="15.75" customHeight="1">
      <c r="A231" s="16">
        <v>26077.0</v>
      </c>
      <c r="B231" s="17">
        <v>46127.0</v>
      </c>
      <c r="C231" s="16"/>
      <c r="D231" s="18" t="s">
        <v>198</v>
      </c>
      <c r="E231" s="18" t="s">
        <v>273</v>
      </c>
      <c r="F231" s="19" t="s">
        <v>12</v>
      </c>
      <c r="G231" s="19">
        <v>500.0</v>
      </c>
      <c r="H231" s="20">
        <v>10.0</v>
      </c>
      <c r="I231" s="21" t="str">
        <f t="shared" si="1"/>
        <v/>
      </c>
      <c r="J231" s="21" t="str">
        <f>IF(OR(L231="entregado",K231="despacho"),"", IF(AND(ELABORACION!F231&lt;&gt;"-",ELABORACION!F231&lt;&gt;"PENDIENTE ELAB"),"en proceso",""))</f>
        <v/>
      </c>
      <c r="K231" s="21" t="str">
        <f>IF(L231="entregado","",IF(EXPEDICION!L231="listo para entregar","despacho",""))</f>
        <v/>
      </c>
      <c r="L231" s="21" t="str">
        <f>IF(EXPEDICION!L231="entregado", "entregado", "")</f>
        <v>entregado</v>
      </c>
      <c r="M231" s="32" t="str">
        <f>EXPEDICION!M231</f>
        <v>A26059</v>
      </c>
    </row>
    <row r="232" ht="15.75" customHeight="1">
      <c r="A232" s="23">
        <v>26077.0</v>
      </c>
      <c r="B232" s="10">
        <v>46127.0</v>
      </c>
      <c r="C232" s="23"/>
      <c r="D232" s="24" t="s">
        <v>198</v>
      </c>
      <c r="E232" s="24" t="s">
        <v>274</v>
      </c>
      <c r="F232" s="25" t="s">
        <v>12</v>
      </c>
      <c r="G232" s="25">
        <v>500.0</v>
      </c>
      <c r="H232" s="26">
        <v>10.0</v>
      </c>
      <c r="I232" s="21" t="str">
        <f t="shared" si="1"/>
        <v/>
      </c>
      <c r="J232" s="21" t="str">
        <f>IF(OR(L232="entregado",K232="despacho"),"", IF(AND(ELABORACION!F232&lt;&gt;"-",ELABORACION!F232&lt;&gt;"PENDIENTE ELAB"),"en proceso",""))</f>
        <v/>
      </c>
      <c r="K232" s="21" t="str">
        <f>IF(L232="entregado","",IF(EXPEDICION!L232="listo para entregar","despacho",""))</f>
        <v/>
      </c>
      <c r="L232" s="21" t="str">
        <f>IF(EXPEDICION!L232="entregado", "entregado", "")</f>
        <v>entregado</v>
      </c>
      <c r="M232" s="32" t="str">
        <f>EXPEDICION!M232</f>
        <v>A26060</v>
      </c>
    </row>
    <row r="233" ht="15.75" customHeight="1">
      <c r="A233" s="16">
        <v>26077.0</v>
      </c>
      <c r="B233" s="17">
        <v>46127.0</v>
      </c>
      <c r="C233" s="16"/>
      <c r="D233" s="18" t="s">
        <v>198</v>
      </c>
      <c r="E233" s="18" t="s">
        <v>275</v>
      </c>
      <c r="F233" s="19" t="s">
        <v>12</v>
      </c>
      <c r="G233" s="19">
        <v>500.0</v>
      </c>
      <c r="H233" s="20">
        <v>10.0</v>
      </c>
      <c r="I233" s="21" t="str">
        <f t="shared" si="1"/>
        <v/>
      </c>
      <c r="J233" s="21" t="str">
        <f>IF(OR(L233="entregado",K233="despacho"),"", IF(AND(ELABORACION!F233&lt;&gt;"-",ELABORACION!F233&lt;&gt;"PENDIENTE ELAB"),"en proceso",""))</f>
        <v/>
      </c>
      <c r="K233" s="21" t="str">
        <f>IF(L233="entregado","",IF(EXPEDICION!L233="listo para entregar","despacho",""))</f>
        <v/>
      </c>
      <c r="L233" s="21" t="str">
        <f>IF(EXPEDICION!L233="entregado", "entregado", "")</f>
        <v>entregado</v>
      </c>
      <c r="M233" s="32" t="str">
        <f>EXPEDICION!M233</f>
        <v>A26061</v>
      </c>
    </row>
    <row r="234" ht="15.75" customHeight="1">
      <c r="A234" s="23">
        <v>26077.0</v>
      </c>
      <c r="B234" s="10">
        <v>46127.0</v>
      </c>
      <c r="C234" s="23"/>
      <c r="D234" s="24" t="s">
        <v>198</v>
      </c>
      <c r="E234" s="24" t="s">
        <v>276</v>
      </c>
      <c r="F234" s="25" t="s">
        <v>12</v>
      </c>
      <c r="G234" s="25">
        <v>500.0</v>
      </c>
      <c r="H234" s="26">
        <v>10.0</v>
      </c>
      <c r="I234" s="21" t="str">
        <f t="shared" si="1"/>
        <v/>
      </c>
      <c r="J234" s="21" t="str">
        <f>IF(OR(L234="entregado",K234="despacho"),"", IF(AND(ELABORACION!F234&lt;&gt;"-",ELABORACION!F234&lt;&gt;"PENDIENTE ELAB"),"en proceso",""))</f>
        <v/>
      </c>
      <c r="K234" s="21" t="str">
        <f>IF(L234="entregado","",IF(EXPEDICION!L234="listo para entregar","despacho",""))</f>
        <v/>
      </c>
      <c r="L234" s="21" t="str">
        <f>IF(EXPEDICION!L234="entregado", "entregado", "")</f>
        <v>entregado</v>
      </c>
      <c r="M234" s="32" t="str">
        <f>EXPEDICION!M234</f>
        <v>A26062</v>
      </c>
    </row>
    <row r="235" ht="15.75" customHeight="1">
      <c r="A235" s="16">
        <v>26077.0</v>
      </c>
      <c r="B235" s="17">
        <v>46127.0</v>
      </c>
      <c r="C235" s="16"/>
      <c r="D235" s="18" t="s">
        <v>198</v>
      </c>
      <c r="E235" s="18" t="s">
        <v>277</v>
      </c>
      <c r="F235" s="19" t="s">
        <v>12</v>
      </c>
      <c r="G235" s="19">
        <v>1000.0</v>
      </c>
      <c r="H235" s="20">
        <v>10.0</v>
      </c>
      <c r="I235" s="21" t="str">
        <f t="shared" si="1"/>
        <v/>
      </c>
      <c r="J235" s="21" t="str">
        <f>IF(OR(L235="entregado",K235="despacho"),"", IF(AND(ELABORACION!F235&lt;&gt;"-",ELABORACION!F235&lt;&gt;"PENDIENTE ELAB"),"en proceso",""))</f>
        <v/>
      </c>
      <c r="K235" s="21" t="str">
        <f>IF(L235="entregado","",IF(EXPEDICION!L235="listo para entregar","despacho",""))</f>
        <v/>
      </c>
      <c r="L235" s="21" t="str">
        <f>IF(EXPEDICION!L235="entregado", "entregado", "")</f>
        <v>entregado</v>
      </c>
      <c r="M235" s="32" t="str">
        <f>EXPEDICION!M235</f>
        <v>A26063</v>
      </c>
    </row>
    <row r="236" ht="15.75" customHeight="1">
      <c r="A236" s="23">
        <v>26077.0</v>
      </c>
      <c r="B236" s="10">
        <v>46127.0</v>
      </c>
      <c r="C236" s="23"/>
      <c r="D236" s="24" t="s">
        <v>198</v>
      </c>
      <c r="E236" s="24" t="s">
        <v>278</v>
      </c>
      <c r="F236" s="25" t="s">
        <v>12</v>
      </c>
      <c r="G236" s="25">
        <v>1000.0</v>
      </c>
      <c r="H236" s="26">
        <v>10.0</v>
      </c>
      <c r="I236" s="21" t="str">
        <f t="shared" si="1"/>
        <v/>
      </c>
      <c r="J236" s="21" t="str">
        <f>IF(OR(L236="entregado",K236="despacho"),"", IF(AND(ELABORACION!F236&lt;&gt;"-",ELABORACION!F236&lt;&gt;"PENDIENTE ELAB"),"en proceso",""))</f>
        <v/>
      </c>
      <c r="K236" s="21" t="str">
        <f>IF(L236="entregado","",IF(EXPEDICION!L236="listo para entregar","despacho",""))</f>
        <v/>
      </c>
      <c r="L236" s="21" t="str">
        <f>IF(EXPEDICION!L236="entregado", "entregado", "")</f>
        <v>entregado</v>
      </c>
      <c r="M236" s="32" t="str">
        <f>EXPEDICION!M236</f>
        <v>A26064</v>
      </c>
    </row>
    <row r="237" ht="15.75" customHeight="1">
      <c r="A237" s="16">
        <v>26077.0</v>
      </c>
      <c r="B237" s="17">
        <v>46127.0</v>
      </c>
      <c r="C237" s="16"/>
      <c r="D237" s="18" t="s">
        <v>198</v>
      </c>
      <c r="E237" s="18" t="s">
        <v>279</v>
      </c>
      <c r="F237" s="19" t="s">
        <v>12</v>
      </c>
      <c r="G237" s="19">
        <v>1000.0</v>
      </c>
      <c r="H237" s="20">
        <v>10.0</v>
      </c>
      <c r="I237" s="21" t="str">
        <f t="shared" si="1"/>
        <v/>
      </c>
      <c r="J237" s="21" t="str">
        <f>IF(OR(L237="entregado",K237="despacho"),"", IF(AND(ELABORACION!F237&lt;&gt;"-",ELABORACION!F237&lt;&gt;"PENDIENTE ELAB"),"en proceso",""))</f>
        <v/>
      </c>
      <c r="K237" s="21" t="str">
        <f>IF(L237="entregado","",IF(EXPEDICION!L237="listo para entregar","despacho",""))</f>
        <v/>
      </c>
      <c r="L237" s="21" t="str">
        <f>IF(EXPEDICION!L237="entregado", "entregado", "")</f>
        <v>entregado</v>
      </c>
      <c r="M237" s="32" t="str">
        <f>EXPEDICION!M237</f>
        <v>A26065</v>
      </c>
    </row>
    <row r="238" ht="15.75" customHeight="1">
      <c r="A238" s="23">
        <v>26079.0</v>
      </c>
      <c r="B238" s="10">
        <v>46127.0</v>
      </c>
      <c r="C238" s="23">
        <v>15254.0</v>
      </c>
      <c r="D238" s="24" t="s">
        <v>15</v>
      </c>
      <c r="E238" s="24" t="s">
        <v>280</v>
      </c>
      <c r="F238" s="25" t="s">
        <v>36</v>
      </c>
      <c r="G238" s="25">
        <v>3024.0</v>
      </c>
      <c r="H238" s="26">
        <v>30.0</v>
      </c>
      <c r="I238" s="21" t="str">
        <f t="shared" si="1"/>
        <v/>
      </c>
      <c r="J238" s="21" t="str">
        <f>IF(OR(L238="entregado",K238="despacho"),"", IF(AND(ELABORACION!F238&lt;&gt;"-",ELABORACION!F238&lt;&gt;"PENDIENTE ELAB"),"en proceso",""))</f>
        <v/>
      </c>
      <c r="K238" s="21" t="str">
        <f>IF(L238="entregado","",IF(EXPEDICION!L238="listo para entregar","despacho",""))</f>
        <v/>
      </c>
      <c r="L238" s="21" t="str">
        <f>IF(EXPEDICION!L238="entregado", "entregado", "")</f>
        <v>entregado</v>
      </c>
      <c r="M238" s="32" t="str">
        <f>EXPEDICION!M238</f>
        <v>A26071</v>
      </c>
    </row>
    <row r="239" ht="15.75" customHeight="1">
      <c r="A239" s="16">
        <v>26079.0</v>
      </c>
      <c r="B239" s="17">
        <v>46127.0</v>
      </c>
      <c r="C239" s="16">
        <v>15254.0</v>
      </c>
      <c r="D239" s="18" t="s">
        <v>15</v>
      </c>
      <c r="E239" s="18" t="s">
        <v>281</v>
      </c>
      <c r="F239" s="19" t="s">
        <v>36</v>
      </c>
      <c r="G239" s="19">
        <v>3024.0</v>
      </c>
      <c r="H239" s="20">
        <v>30.0</v>
      </c>
      <c r="I239" s="21" t="str">
        <f t="shared" si="1"/>
        <v/>
      </c>
      <c r="J239" s="21" t="str">
        <f>IF(OR(L239="entregado",K239="despacho"),"", IF(AND(ELABORACION!F239&lt;&gt;"-",ELABORACION!F239&lt;&gt;"PENDIENTE ELAB"),"en proceso",""))</f>
        <v/>
      </c>
      <c r="K239" s="21" t="str">
        <f>IF(L239="entregado","",IF(EXPEDICION!L239="listo para entregar","despacho",""))</f>
        <v/>
      </c>
      <c r="L239" s="21" t="str">
        <f>IF(EXPEDICION!L239="entregado", "entregado", "")</f>
        <v>entregado</v>
      </c>
      <c r="M239" s="32" t="str">
        <f>EXPEDICION!M239</f>
        <v>A26070</v>
      </c>
    </row>
    <row r="240" ht="15.75" customHeight="1">
      <c r="A240" s="23">
        <v>26080.0</v>
      </c>
      <c r="B240" s="10">
        <v>46127.0</v>
      </c>
      <c r="C240" s="23">
        <v>15255.0</v>
      </c>
      <c r="D240" s="24" t="s">
        <v>15</v>
      </c>
      <c r="E240" s="24" t="s">
        <v>16</v>
      </c>
      <c r="F240" s="25" t="s">
        <v>36</v>
      </c>
      <c r="G240" s="25">
        <v>5040.0</v>
      </c>
      <c r="H240" s="26">
        <v>100.0</v>
      </c>
      <c r="I240" s="21" t="str">
        <f t="shared" si="1"/>
        <v/>
      </c>
      <c r="J240" s="21" t="str">
        <f>IF(OR(L240="entregado",K240="despacho"),"", IF(AND(ELABORACION!F240&lt;&gt;"-",ELABORACION!F240&lt;&gt;"PENDIENTE ELAB"),"en proceso",""))</f>
        <v/>
      </c>
      <c r="K240" s="21" t="str">
        <f>IF(L240="entregado","",IF(EXPEDICION!L240="listo para entregar","despacho",""))</f>
        <v/>
      </c>
      <c r="L240" s="21" t="str">
        <f>IF(EXPEDICION!L240="entregado", "entregado", "")</f>
        <v>entregado</v>
      </c>
      <c r="M240" s="32" t="str">
        <f>EXPEDICION!M240</f>
        <v>Y26026</v>
      </c>
    </row>
    <row r="241" ht="15.75" customHeight="1">
      <c r="A241" s="16">
        <v>26080.0</v>
      </c>
      <c r="B241" s="17">
        <v>46127.0</v>
      </c>
      <c r="C241" s="16">
        <v>15255.0</v>
      </c>
      <c r="D241" s="18" t="s">
        <v>15</v>
      </c>
      <c r="E241" s="18" t="s">
        <v>282</v>
      </c>
      <c r="F241" s="19" t="s">
        <v>36</v>
      </c>
      <c r="G241" s="19">
        <v>3360.0</v>
      </c>
      <c r="H241" s="20">
        <v>100.0</v>
      </c>
      <c r="I241" s="21" t="str">
        <f t="shared" si="1"/>
        <v/>
      </c>
      <c r="J241" s="21" t="str">
        <f>IF(OR(L241="entregado",K241="despacho"),"", IF(AND(ELABORACION!F241&lt;&gt;"-",ELABORACION!F241&lt;&gt;"PENDIENTE ELAB"),"en proceso",""))</f>
        <v/>
      </c>
      <c r="K241" s="21" t="str">
        <f>IF(L241="entregado","",IF(EXPEDICION!L241="listo para entregar","despacho",""))</f>
        <v/>
      </c>
      <c r="L241" s="21" t="str">
        <f>IF(EXPEDICION!L241="entregado", "entregado", "")</f>
        <v>entregado</v>
      </c>
      <c r="M241" s="32" t="str">
        <f>EXPEDICION!M241</f>
        <v>Y26016</v>
      </c>
    </row>
    <row r="242" ht="15.75" customHeight="1">
      <c r="A242" s="23">
        <v>26081.0</v>
      </c>
      <c r="B242" s="10">
        <v>46127.0</v>
      </c>
      <c r="C242" s="23"/>
      <c r="D242" s="24" t="s">
        <v>124</v>
      </c>
      <c r="E242" s="24" t="s">
        <v>283</v>
      </c>
      <c r="F242" s="25" t="s">
        <v>12</v>
      </c>
      <c r="G242" s="25">
        <v>300.0</v>
      </c>
      <c r="H242" s="26">
        <v>200.0</v>
      </c>
      <c r="I242" s="21" t="str">
        <f t="shared" si="1"/>
        <v/>
      </c>
      <c r="J242" s="21" t="str">
        <f>IF(OR(L242="entregado",K242="despacho"),"", IF(AND(ELABORACION!F242&lt;&gt;"-",ELABORACION!F242&lt;&gt;"PENDIENTE ELAB"),"en proceso",""))</f>
        <v/>
      </c>
      <c r="K242" s="21" t="str">
        <f>IF(L242="entregado","",IF(EXPEDICION!L242="listo para entregar","despacho",""))</f>
        <v/>
      </c>
      <c r="L242" s="21" t="str">
        <f>IF(EXPEDICION!L242="entregado", "entregado", "")</f>
        <v>entregado</v>
      </c>
      <c r="M242" s="32" t="str">
        <f>EXPEDICION!M242</f>
        <v>A26038</v>
      </c>
    </row>
    <row r="243" ht="15.75" customHeight="1">
      <c r="A243" s="16">
        <v>26081.0</v>
      </c>
      <c r="B243" s="17">
        <v>46127.0</v>
      </c>
      <c r="C243" s="16"/>
      <c r="D243" s="18" t="s">
        <v>124</v>
      </c>
      <c r="E243" s="18" t="s">
        <v>284</v>
      </c>
      <c r="F243" s="19" t="s">
        <v>12</v>
      </c>
      <c r="G243" s="19">
        <v>300.0</v>
      </c>
      <c r="H243" s="20">
        <v>200.0</v>
      </c>
      <c r="I243" s="21" t="str">
        <f t="shared" si="1"/>
        <v/>
      </c>
      <c r="J243" s="21" t="str">
        <f>IF(OR(L243="entregado",K243="despacho"),"", IF(AND(ELABORACION!F243&lt;&gt;"-",ELABORACION!F243&lt;&gt;"PENDIENTE ELAB"),"en proceso",""))</f>
        <v/>
      </c>
      <c r="K243" s="21" t="str">
        <f>IF(L243="entregado","",IF(EXPEDICION!L243="listo para entregar","despacho",""))</f>
        <v/>
      </c>
      <c r="L243" s="21" t="str">
        <f>IF(EXPEDICION!L243="entregado", "entregado", "")</f>
        <v>entregado</v>
      </c>
      <c r="M243" s="32" t="str">
        <f>EXPEDICION!M243</f>
        <v>A26033</v>
      </c>
    </row>
    <row r="244" ht="15.75" customHeight="1">
      <c r="A244" s="23">
        <v>26082.0</v>
      </c>
      <c r="B244" s="10">
        <v>46129.0</v>
      </c>
      <c r="C244" s="23"/>
      <c r="D244" s="24" t="s">
        <v>198</v>
      </c>
      <c r="E244" s="24" t="s">
        <v>285</v>
      </c>
      <c r="F244" s="25" t="s">
        <v>12</v>
      </c>
      <c r="G244" s="25">
        <v>500.0</v>
      </c>
      <c r="H244" s="26">
        <v>250.0</v>
      </c>
      <c r="I244" s="21" t="str">
        <f t="shared" si="1"/>
        <v/>
      </c>
      <c r="J244" s="21" t="str">
        <f>IF(OR(L244="entregado",K244="despacho"),"", IF(AND(ELABORACION!F244&lt;&gt;"-",ELABORACION!F244&lt;&gt;"PENDIENTE ELAB"),"en proceso",""))</f>
        <v/>
      </c>
      <c r="K244" s="21" t="str">
        <f>IF(L244="entregado","",IF(EXPEDICION!L244="listo para entregar","despacho",""))</f>
        <v/>
      </c>
      <c r="L244" s="21" t="str">
        <f>IF(EXPEDICION!L244="entregado", "entregado", "")</f>
        <v>entregado</v>
      </c>
      <c r="M244" s="32" t="str">
        <f>EXPEDICION!M244</f>
        <v>A26087</v>
      </c>
    </row>
    <row r="245" ht="15.75" customHeight="1">
      <c r="A245" s="16">
        <v>26083.0</v>
      </c>
      <c r="B245" s="17">
        <v>46133.0</v>
      </c>
      <c r="C245" s="16">
        <v>788.0</v>
      </c>
      <c r="D245" s="18" t="s">
        <v>52</v>
      </c>
      <c r="E245" s="18" t="s">
        <v>286</v>
      </c>
      <c r="F245" s="19" t="s">
        <v>36</v>
      </c>
      <c r="G245" s="19">
        <v>400.0</v>
      </c>
      <c r="H245" s="20">
        <v>400.0</v>
      </c>
      <c r="I245" s="21" t="str">
        <f t="shared" si="1"/>
        <v/>
      </c>
      <c r="J245" s="21" t="str">
        <f>IF(OR(L245="entregado",K245="despacho"),"", IF(AND(ELABORACION!F245&lt;&gt;"-",ELABORACION!F245&lt;&gt;"PENDIENTE ELAB"),"en proceso",""))</f>
        <v/>
      </c>
      <c r="K245" s="21" t="str">
        <f>IF(L245="entregado","",IF(EXPEDICION!L245="listo para entregar","despacho",""))</f>
        <v/>
      </c>
      <c r="L245" s="21" t="str">
        <f>IF(EXPEDICION!L245="entregado", "entregado", "")</f>
        <v>entregado</v>
      </c>
      <c r="M245" s="32" t="str">
        <f>EXPEDICION!M245</f>
        <v>A26077</v>
      </c>
    </row>
    <row r="246" ht="15.75" customHeight="1">
      <c r="A246" s="23">
        <v>26083.0</v>
      </c>
      <c r="B246" s="10">
        <v>46133.0</v>
      </c>
      <c r="C246" s="23">
        <v>788.0</v>
      </c>
      <c r="D246" s="24" t="s">
        <v>52</v>
      </c>
      <c r="E246" s="24" t="s">
        <v>287</v>
      </c>
      <c r="F246" s="25" t="s">
        <v>36</v>
      </c>
      <c r="G246" s="25">
        <v>150.0</v>
      </c>
      <c r="H246" s="26">
        <v>900.0</v>
      </c>
      <c r="I246" s="21" t="str">
        <f t="shared" si="1"/>
        <v/>
      </c>
      <c r="J246" s="21" t="str">
        <f>IF(OR(L246="entregado",K246="despacho"),"", IF(AND(ELABORACION!F246&lt;&gt;"-",ELABORACION!F246&lt;&gt;"PENDIENTE ELAB"),"en proceso",""))</f>
        <v/>
      </c>
      <c r="K246" s="21" t="str">
        <f>IF(L246="entregado","",IF(EXPEDICION!L246="listo para entregar","despacho",""))</f>
        <v/>
      </c>
      <c r="L246" s="21" t="str">
        <f>IF(EXPEDICION!L246="entregado", "entregado", "")</f>
        <v>entregado</v>
      </c>
      <c r="M246" s="32" t="str">
        <f>EXPEDICION!M246</f>
        <v>A26077</v>
      </c>
    </row>
    <row r="247" ht="15.75" customHeight="1">
      <c r="A247" s="16">
        <v>26083.0</v>
      </c>
      <c r="B247" s="17">
        <v>46133.0</v>
      </c>
      <c r="C247" s="16">
        <v>788.0</v>
      </c>
      <c r="D247" s="18" t="s">
        <v>52</v>
      </c>
      <c r="E247" s="18" t="s">
        <v>288</v>
      </c>
      <c r="F247" s="19" t="s">
        <v>36</v>
      </c>
      <c r="G247" s="19">
        <v>400.0</v>
      </c>
      <c r="H247" s="20">
        <v>400.0</v>
      </c>
      <c r="I247" s="21" t="str">
        <f t="shared" si="1"/>
        <v/>
      </c>
      <c r="J247" s="21" t="str">
        <f>IF(OR(L247="entregado",K247="despacho"),"", IF(AND(ELABORACION!F247&lt;&gt;"-",ELABORACION!F247&lt;&gt;"PENDIENTE ELAB"),"en proceso",""))</f>
        <v/>
      </c>
      <c r="K247" s="21" t="str">
        <f>IF(L247="entregado","",IF(EXPEDICION!L247="listo para entregar","despacho",""))</f>
        <v/>
      </c>
      <c r="L247" s="21" t="str">
        <f>IF(EXPEDICION!L247="entregado", "entregado", "")</f>
        <v>entregado</v>
      </c>
      <c r="M247" s="32" t="str">
        <f>EXPEDICION!M247</f>
        <v>A26093</v>
      </c>
    </row>
    <row r="248" ht="15.75" customHeight="1">
      <c r="A248" s="23">
        <v>26083.0</v>
      </c>
      <c r="B248" s="10">
        <v>46133.0</v>
      </c>
      <c r="C248" s="23">
        <v>788.0</v>
      </c>
      <c r="D248" s="24" t="s">
        <v>52</v>
      </c>
      <c r="E248" s="24" t="s">
        <v>289</v>
      </c>
      <c r="F248" s="25" t="s">
        <v>36</v>
      </c>
      <c r="G248" s="25">
        <v>150.0</v>
      </c>
      <c r="H248" s="26">
        <v>900.0</v>
      </c>
      <c r="I248" s="21" t="str">
        <f t="shared" si="1"/>
        <v/>
      </c>
      <c r="J248" s="21" t="str">
        <f>IF(OR(L248="entregado",K248="despacho"),"", IF(AND(ELABORACION!F248&lt;&gt;"-",ELABORACION!F248&lt;&gt;"PENDIENTE ELAB"),"en proceso",""))</f>
        <v/>
      </c>
      <c r="K248" s="21" t="str">
        <f>IF(L248="entregado","",IF(EXPEDICION!L248="listo para entregar","despacho",""))</f>
        <v/>
      </c>
      <c r="L248" s="21" t="str">
        <f>IF(EXPEDICION!L248="entregado", "entregado", "")</f>
        <v>entregado</v>
      </c>
      <c r="M248" s="32" t="str">
        <f>EXPEDICION!M248</f>
        <v>M26100 / A26093</v>
      </c>
    </row>
    <row r="249" ht="15.75" customHeight="1">
      <c r="A249" s="16">
        <v>26083.0</v>
      </c>
      <c r="B249" s="17">
        <v>46133.0</v>
      </c>
      <c r="C249" s="16">
        <v>788.0</v>
      </c>
      <c r="D249" s="18" t="s">
        <v>52</v>
      </c>
      <c r="E249" s="18" t="s">
        <v>290</v>
      </c>
      <c r="F249" s="19" t="s">
        <v>12</v>
      </c>
      <c r="G249" s="19">
        <v>200.0</v>
      </c>
      <c r="H249" s="20">
        <v>30.0</v>
      </c>
      <c r="I249" s="21" t="str">
        <f t="shared" si="1"/>
        <v/>
      </c>
      <c r="J249" s="21" t="str">
        <f>IF(OR(L249="entregado",K249="despacho"),"", IF(AND(ELABORACION!F249&lt;&gt;"-",ELABORACION!F249&lt;&gt;"PENDIENTE ELAB"),"en proceso",""))</f>
        <v/>
      </c>
      <c r="K249" s="21" t="str">
        <f>IF(L249="entregado","",IF(EXPEDICION!L249="listo para entregar","despacho",""))</f>
        <v/>
      </c>
      <c r="L249" s="21" t="str">
        <f>IF(EXPEDICION!L249="entregado", "entregado", "")</f>
        <v>entregado</v>
      </c>
      <c r="M249" s="32" t="str">
        <f>EXPEDICION!M249</f>
        <v>J26040</v>
      </c>
    </row>
    <row r="250" ht="15.75" customHeight="1">
      <c r="A250" s="23">
        <v>26083.0</v>
      </c>
      <c r="B250" s="10">
        <v>46133.0</v>
      </c>
      <c r="C250" s="23">
        <v>788.0</v>
      </c>
      <c r="D250" s="24" t="s">
        <v>52</v>
      </c>
      <c r="E250" s="24" t="s">
        <v>291</v>
      </c>
      <c r="F250" s="25" t="s">
        <v>36</v>
      </c>
      <c r="G250" s="25">
        <v>100.0</v>
      </c>
      <c r="H250" s="26">
        <v>900.0</v>
      </c>
      <c r="I250" s="21" t="str">
        <f t="shared" si="1"/>
        <v/>
      </c>
      <c r="J250" s="21" t="str">
        <f>IF(OR(L250="entregado",K250="despacho"),"", IF(AND(ELABORACION!F250&lt;&gt;"-",ELABORACION!F250&lt;&gt;"PENDIENTE ELAB"),"en proceso",""))</f>
        <v/>
      </c>
      <c r="K250" s="21" t="str">
        <f>IF(L250="entregado","",IF(EXPEDICION!L250="listo para entregar","despacho",""))</f>
        <v/>
      </c>
      <c r="L250" s="21" t="str">
        <f>IF(EXPEDICION!L250="entregado", "entregado", "")</f>
        <v>entregado</v>
      </c>
      <c r="M250" s="32" t="str">
        <f>EXPEDICION!M250</f>
        <v>A26005</v>
      </c>
    </row>
    <row r="251" ht="15.75" customHeight="1">
      <c r="A251" s="16">
        <v>26083.0</v>
      </c>
      <c r="B251" s="17">
        <v>46133.0</v>
      </c>
      <c r="C251" s="16">
        <v>788.0</v>
      </c>
      <c r="D251" s="18" t="s">
        <v>52</v>
      </c>
      <c r="E251" s="18" t="s">
        <v>292</v>
      </c>
      <c r="F251" s="19" t="s">
        <v>36</v>
      </c>
      <c r="G251" s="19">
        <v>100.0</v>
      </c>
      <c r="H251" s="20">
        <v>900.0</v>
      </c>
      <c r="I251" s="21" t="str">
        <f t="shared" si="1"/>
        <v/>
      </c>
      <c r="J251" s="21" t="str">
        <f>IF(OR(L251="entregado",K251="despacho"),"", IF(AND(ELABORACION!F251&lt;&gt;"-",ELABORACION!F251&lt;&gt;"PENDIENTE ELAB"),"en proceso",""))</f>
        <v/>
      </c>
      <c r="K251" s="21" t="str">
        <f>IF(L251="entregado","",IF(EXPEDICION!L251="listo para entregar","despacho",""))</f>
        <v/>
      </c>
      <c r="L251" s="21" t="str">
        <f>IF(EXPEDICION!L251="entregado", "entregado", "")</f>
        <v>entregado</v>
      </c>
      <c r="M251" s="32" t="str">
        <f>EXPEDICION!M251</f>
        <v>A26006</v>
      </c>
    </row>
    <row r="252" ht="15.75" customHeight="1">
      <c r="A252" s="23">
        <v>26083.0</v>
      </c>
      <c r="B252" s="10">
        <v>46133.0</v>
      </c>
      <c r="C252" s="23">
        <v>788.0</v>
      </c>
      <c r="D252" s="24" t="s">
        <v>52</v>
      </c>
      <c r="E252" s="24" t="s">
        <v>109</v>
      </c>
      <c r="F252" s="25" t="s">
        <v>36</v>
      </c>
      <c r="G252" s="25">
        <v>150.0</v>
      </c>
      <c r="H252" s="26">
        <v>500.0</v>
      </c>
      <c r="I252" s="21" t="str">
        <f t="shared" si="1"/>
        <v/>
      </c>
      <c r="J252" s="21" t="str">
        <f>IF(OR(L252="entregado",K252="despacho"),"", IF(AND(ELABORACION!F252&lt;&gt;"-",ELABORACION!F252&lt;&gt;"PENDIENTE ELAB"),"en proceso",""))</f>
        <v/>
      </c>
      <c r="K252" s="21" t="str">
        <f>IF(L252="entregado","",IF(EXPEDICION!L252="listo para entregar","despacho",""))</f>
        <v/>
      </c>
      <c r="L252" s="21" t="str">
        <f>IF(EXPEDICION!L252="entregado", "entregado", "")</f>
        <v>entregado</v>
      </c>
      <c r="M252" s="32" t="str">
        <f>EXPEDICION!M252</f>
        <v>M26062</v>
      </c>
    </row>
    <row r="253" ht="15.75" customHeight="1">
      <c r="A253" s="16">
        <v>26083.0</v>
      </c>
      <c r="B253" s="17">
        <v>46133.0</v>
      </c>
      <c r="C253" s="16">
        <v>788.0</v>
      </c>
      <c r="D253" s="18" t="s">
        <v>52</v>
      </c>
      <c r="E253" s="18" t="s">
        <v>110</v>
      </c>
      <c r="F253" s="19" t="s">
        <v>36</v>
      </c>
      <c r="G253" s="19">
        <v>300.0</v>
      </c>
      <c r="H253" s="20">
        <v>500.0</v>
      </c>
      <c r="I253" s="21" t="str">
        <f t="shared" si="1"/>
        <v/>
      </c>
      <c r="J253" s="21" t="str">
        <f>IF(OR(L253="entregado",K253="despacho"),"", IF(AND(ELABORACION!F253&lt;&gt;"-",ELABORACION!F253&lt;&gt;"PENDIENTE ELAB"),"en proceso",""))</f>
        <v/>
      </c>
      <c r="K253" s="21" t="str">
        <f>IF(L253="entregado","",IF(EXPEDICION!L253="listo para entregar","despacho",""))</f>
        <v/>
      </c>
      <c r="L253" s="21" t="str">
        <f>IF(EXPEDICION!L253="entregado", "entregado", "")</f>
        <v>entregado</v>
      </c>
      <c r="M253" s="32" t="str">
        <f>EXPEDICION!M253</f>
        <v>M26061</v>
      </c>
    </row>
    <row r="254" ht="15.75" customHeight="1">
      <c r="A254" s="23">
        <v>26084.0</v>
      </c>
      <c r="B254" s="10">
        <v>46134.0</v>
      </c>
      <c r="C254" s="23">
        <v>1083.0</v>
      </c>
      <c r="D254" s="24" t="s">
        <v>140</v>
      </c>
      <c r="E254" s="24" t="s">
        <v>293</v>
      </c>
      <c r="F254" s="25" t="s">
        <v>12</v>
      </c>
      <c r="G254" s="25">
        <v>300.0</v>
      </c>
      <c r="H254" s="26">
        <v>50.0</v>
      </c>
      <c r="I254" s="21" t="str">
        <f t="shared" si="1"/>
        <v/>
      </c>
      <c r="J254" s="21" t="str">
        <f>IF(OR(L254="entregado",K254="despacho"),"", IF(AND(ELABORACION!F254&lt;&gt;"-",ELABORACION!F254&lt;&gt;"PENDIENTE ELAB"),"en proceso",""))</f>
        <v/>
      </c>
      <c r="K254" s="21" t="str">
        <f>IF(L254="entregado","",IF(EXPEDICION!L254="listo para entregar","despacho",""))</f>
        <v/>
      </c>
      <c r="L254" s="21" t="str">
        <f>IF(EXPEDICION!L254="entregado", "entregado", "")</f>
        <v>entregado</v>
      </c>
      <c r="M254" s="32" t="str">
        <f>EXPEDICION!M254</f>
        <v>A2094</v>
      </c>
    </row>
    <row r="255" ht="15.75" customHeight="1">
      <c r="A255" s="16">
        <v>26084.0</v>
      </c>
      <c r="B255" s="17">
        <v>46134.0</v>
      </c>
      <c r="C255" s="16">
        <v>1083.0</v>
      </c>
      <c r="D255" s="18" t="s">
        <v>140</v>
      </c>
      <c r="E255" s="18" t="s">
        <v>294</v>
      </c>
      <c r="F255" s="19" t="s">
        <v>12</v>
      </c>
      <c r="G255" s="19">
        <v>490.0</v>
      </c>
      <c r="H255" s="20">
        <v>15.0</v>
      </c>
      <c r="I255" s="21" t="str">
        <f t="shared" si="1"/>
        <v/>
      </c>
      <c r="J255" s="21" t="str">
        <f>IF(OR(L255="entregado",K255="despacho"),"", IF(AND(ELABORACION!F255&lt;&gt;"-",ELABORACION!F255&lt;&gt;"PENDIENTE ELAB"),"en proceso",""))</f>
        <v/>
      </c>
      <c r="K255" s="21" t="str">
        <f>IF(L255="entregado","",IF(EXPEDICION!L255="listo para entregar","despacho",""))</f>
        <v/>
      </c>
      <c r="L255" s="21" t="str">
        <f>IF(EXPEDICION!L255="entregado", "entregado", "")</f>
        <v>entregado</v>
      </c>
      <c r="M255" s="32" t="str">
        <f>EXPEDICION!M255</f>
        <v>A26095</v>
      </c>
    </row>
    <row r="256" ht="15.75" customHeight="1">
      <c r="A256" s="23">
        <v>26084.0</v>
      </c>
      <c r="B256" s="10">
        <v>46134.0</v>
      </c>
      <c r="C256" s="23">
        <v>1083.0</v>
      </c>
      <c r="D256" s="24" t="s">
        <v>140</v>
      </c>
      <c r="E256" s="24" t="s">
        <v>295</v>
      </c>
      <c r="F256" s="25" t="s">
        <v>12</v>
      </c>
      <c r="G256" s="25">
        <v>300.0</v>
      </c>
      <c r="H256" s="26">
        <v>50.0</v>
      </c>
      <c r="I256" s="21" t="str">
        <f t="shared" si="1"/>
        <v/>
      </c>
      <c r="J256" s="21" t="str">
        <f>IF(OR(L256="entregado",K256="despacho"),"", IF(AND(ELABORACION!F256&lt;&gt;"-",ELABORACION!F256&lt;&gt;"PENDIENTE ELAB"),"en proceso",""))</f>
        <v/>
      </c>
      <c r="K256" s="21" t="str">
        <f>IF(L256="entregado","",IF(EXPEDICION!L256="listo para entregar","despacho",""))</f>
        <v/>
      </c>
      <c r="L256" s="21" t="str">
        <f>IF(EXPEDICION!L256="entregado", "entregado", "")</f>
        <v>entregado</v>
      </c>
      <c r="M256" s="32" t="str">
        <f>EXPEDICION!M256</f>
        <v>A26096</v>
      </c>
    </row>
    <row r="257" ht="15.75" customHeight="1">
      <c r="A257" s="16">
        <v>26084.0</v>
      </c>
      <c r="B257" s="17">
        <v>46134.0</v>
      </c>
      <c r="C257" s="16">
        <v>1083.0</v>
      </c>
      <c r="D257" s="18" t="s">
        <v>140</v>
      </c>
      <c r="E257" s="18" t="s">
        <v>296</v>
      </c>
      <c r="F257" s="19" t="s">
        <v>12</v>
      </c>
      <c r="G257" s="19">
        <v>300.0</v>
      </c>
      <c r="H257" s="20">
        <v>30.0</v>
      </c>
      <c r="I257" s="21" t="str">
        <f t="shared" si="1"/>
        <v/>
      </c>
      <c r="J257" s="21" t="str">
        <f>IF(OR(L257="entregado",K257="despacho"),"", IF(AND(ELABORACION!F257&lt;&gt;"-",ELABORACION!F257&lt;&gt;"PENDIENTE ELAB"),"en proceso",""))</f>
        <v/>
      </c>
      <c r="K257" s="21" t="str">
        <f>IF(L257="entregado","",IF(EXPEDICION!L257="listo para entregar","despacho",""))</f>
        <v/>
      </c>
      <c r="L257" s="21" t="str">
        <f>IF(EXPEDICION!L257="entregado", "entregado", "")</f>
        <v>entregado</v>
      </c>
      <c r="M257" s="32" t="str">
        <f>EXPEDICION!M257</f>
        <v>A26097</v>
      </c>
    </row>
    <row r="258" ht="15.75" customHeight="1">
      <c r="A258" s="23">
        <v>26085.0</v>
      </c>
      <c r="B258" s="10">
        <v>46135.0</v>
      </c>
      <c r="C258" s="23">
        <v>1278.0</v>
      </c>
      <c r="D258" s="24" t="s">
        <v>297</v>
      </c>
      <c r="E258" s="24" t="s">
        <v>298</v>
      </c>
      <c r="F258" s="25" t="s">
        <v>36</v>
      </c>
      <c r="G258" s="25">
        <v>250.0</v>
      </c>
      <c r="H258" s="26">
        <v>100.0</v>
      </c>
      <c r="I258" s="21" t="str">
        <f t="shared" si="1"/>
        <v/>
      </c>
      <c r="J258" s="21" t="str">
        <f>IF(OR(L258="entregado",K258="despacho"),"", IF(AND(ELABORACION!F258&lt;&gt;"-",ELABORACION!F258&lt;&gt;"PENDIENTE ELAB"),"en proceso",""))</f>
        <v/>
      </c>
      <c r="K258" s="21" t="str">
        <f>IF(L258="entregado","",IF(EXPEDICION!L258="listo para entregar","despacho",""))</f>
        <v/>
      </c>
      <c r="L258" s="21" t="str">
        <f>IF(EXPEDICION!L258="entregado", "entregado", "")</f>
        <v>entregado</v>
      </c>
      <c r="M258" s="32" t="str">
        <f>EXPEDICION!M258</f>
        <v>Y26018</v>
      </c>
    </row>
    <row r="259" ht="15.75" customHeight="1">
      <c r="A259" s="16">
        <v>26085.0</v>
      </c>
      <c r="B259" s="17">
        <v>46135.0</v>
      </c>
      <c r="C259" s="16">
        <v>1278.0</v>
      </c>
      <c r="D259" s="18" t="s">
        <v>297</v>
      </c>
      <c r="E259" s="18" t="s">
        <v>299</v>
      </c>
      <c r="F259" s="19" t="s">
        <v>36</v>
      </c>
      <c r="G259" s="19">
        <v>500.0</v>
      </c>
      <c r="H259" s="20">
        <v>70.0</v>
      </c>
      <c r="I259" s="21" t="str">
        <f t="shared" si="1"/>
        <v/>
      </c>
      <c r="J259" s="21" t="str">
        <f>IF(OR(L259="entregado",K259="despacho"),"", IF(AND(ELABORACION!F259&lt;&gt;"-",ELABORACION!F259&lt;&gt;"PENDIENTE ELAB"),"en proceso",""))</f>
        <v/>
      </c>
      <c r="K259" s="21" t="str">
        <f>IF(L259="entregado","",IF(EXPEDICION!L259="listo para entregar","despacho",""))</f>
        <v/>
      </c>
      <c r="L259" s="21" t="str">
        <f>IF(EXPEDICION!L259="entregado", "entregado", "")</f>
        <v>entregado</v>
      </c>
      <c r="M259" s="32" t="str">
        <f>EXPEDICION!M259</f>
        <v>A26024</v>
      </c>
    </row>
    <row r="260" ht="15.75" customHeight="1">
      <c r="A260" s="23">
        <v>26085.0</v>
      </c>
      <c r="B260" s="10">
        <v>46135.0</v>
      </c>
      <c r="C260" s="23">
        <v>1278.0</v>
      </c>
      <c r="D260" s="24" t="s">
        <v>297</v>
      </c>
      <c r="E260" s="24" t="s">
        <v>300</v>
      </c>
      <c r="F260" s="25" t="s">
        <v>36</v>
      </c>
      <c r="G260" s="25">
        <v>500.0</v>
      </c>
      <c r="H260" s="26">
        <v>70.0</v>
      </c>
      <c r="I260" s="21" t="str">
        <f t="shared" si="1"/>
        <v/>
      </c>
      <c r="J260" s="21" t="str">
        <f>IF(OR(L260="entregado",K260="despacho"),"", IF(AND(ELABORACION!F260&lt;&gt;"-",ELABORACION!F260&lt;&gt;"PENDIENTE ELAB"),"en proceso",""))</f>
        <v/>
      </c>
      <c r="K260" s="21" t="str">
        <f>IF(L260="entregado","",IF(EXPEDICION!L260="listo para entregar","despacho",""))</f>
        <v/>
      </c>
      <c r="L260" s="21" t="str">
        <f>IF(EXPEDICION!L260="entregado", "entregado", "")</f>
        <v>entregado</v>
      </c>
      <c r="M260" s="32" t="str">
        <f>EXPEDICION!M260</f>
        <v>A26025</v>
      </c>
    </row>
    <row r="261" ht="15.75" customHeight="1">
      <c r="A261" s="16">
        <v>26086.0</v>
      </c>
      <c r="B261" s="17">
        <v>46126.0</v>
      </c>
      <c r="C261" s="16">
        <v>1606.0</v>
      </c>
      <c r="D261" s="18" t="s">
        <v>147</v>
      </c>
      <c r="E261" s="18" t="s">
        <v>301</v>
      </c>
      <c r="F261" s="19" t="s">
        <v>12</v>
      </c>
      <c r="G261" s="19">
        <v>500.0</v>
      </c>
      <c r="H261" s="20">
        <v>150.0</v>
      </c>
      <c r="I261" s="21" t="str">
        <f t="shared" si="1"/>
        <v/>
      </c>
      <c r="J261" s="21" t="str">
        <f>IF(OR(L261="entregado",K261="despacho"),"", IF(AND(ELABORACION!F261&lt;&gt;"-",ELABORACION!F261&lt;&gt;"PENDIENTE ELAB"),"en proceso",""))</f>
        <v/>
      </c>
      <c r="K261" s="21" t="str">
        <f>IF(L261="entregado","",IF(EXPEDICION!L261="listo para entregar","despacho",""))</f>
        <v/>
      </c>
      <c r="L261" s="21" t="str">
        <f>IF(EXPEDICION!L261="entregado", "entregado", "")</f>
        <v>entregado</v>
      </c>
      <c r="M261" s="32" t="str">
        <f>EXPEDICION!M261</f>
        <v>A26030</v>
      </c>
    </row>
    <row r="262" ht="15.75" customHeight="1">
      <c r="A262" s="23">
        <v>26087.0</v>
      </c>
      <c r="B262" s="10">
        <v>46140.0</v>
      </c>
      <c r="C262" s="23">
        <v>144.0</v>
      </c>
      <c r="D262" s="24" t="s">
        <v>158</v>
      </c>
      <c r="E262" s="24" t="s">
        <v>302</v>
      </c>
      <c r="F262" s="25" t="s">
        <v>36</v>
      </c>
      <c r="G262" s="25">
        <v>500.0</v>
      </c>
      <c r="H262" s="26">
        <v>500.0</v>
      </c>
      <c r="I262" s="21" t="str">
        <f t="shared" si="1"/>
        <v/>
      </c>
      <c r="J262" s="21" t="str">
        <f>IF(OR(L262="entregado",K262="despacho"),"", IF(AND(ELABORACION!F262&lt;&gt;"-",ELABORACION!F262&lt;&gt;"PENDIENTE ELAB"),"en proceso",""))</f>
        <v/>
      </c>
      <c r="K262" s="21" t="str">
        <f>IF(L262="entregado","",IF(EXPEDICION!L262="listo para entregar","despacho",""))</f>
        <v/>
      </c>
      <c r="L262" s="21" t="str">
        <f>IF(EXPEDICION!L262="entregado", "entregado", "")</f>
        <v>entregado</v>
      </c>
      <c r="M262" s="32" t="str">
        <f>EXPEDICION!M262</f>
        <v>A26092</v>
      </c>
    </row>
    <row r="263" ht="15.75" customHeight="1">
      <c r="A263" s="16">
        <v>26087.0</v>
      </c>
      <c r="B263" s="17">
        <v>46140.0</v>
      </c>
      <c r="C263" s="16">
        <v>144.0</v>
      </c>
      <c r="D263" s="18" t="s">
        <v>158</v>
      </c>
      <c r="E263" s="18" t="s">
        <v>303</v>
      </c>
      <c r="F263" s="19" t="s">
        <v>12</v>
      </c>
      <c r="G263" s="19">
        <v>500.0</v>
      </c>
      <c r="H263" s="20">
        <v>10.0</v>
      </c>
      <c r="I263" s="21" t="str">
        <f t="shared" si="1"/>
        <v/>
      </c>
      <c r="J263" s="21" t="str">
        <f>IF(OR(L263="entregado",K263="despacho"),"", IF(AND(ELABORACION!F263&lt;&gt;"-",ELABORACION!F263&lt;&gt;"PENDIENTE ELAB"),"en proceso",""))</f>
        <v/>
      </c>
      <c r="K263" s="21" t="str">
        <f>IF(L263="entregado","",IF(EXPEDICION!L263="listo para entregar","despacho",""))</f>
        <v/>
      </c>
      <c r="L263" s="21" t="str">
        <f>IF(EXPEDICION!L263="entregado", "entregado", "")</f>
        <v>entregado</v>
      </c>
      <c r="M263" s="32" t="str">
        <f>EXPEDICION!M263</f>
        <v>Y26056</v>
      </c>
    </row>
    <row r="264" ht="15.75" customHeight="1">
      <c r="A264" s="23">
        <v>26087.0</v>
      </c>
      <c r="B264" s="10">
        <v>46140.0</v>
      </c>
      <c r="C264" s="23">
        <v>144.0</v>
      </c>
      <c r="D264" s="24" t="s">
        <v>158</v>
      </c>
      <c r="E264" s="24" t="s">
        <v>304</v>
      </c>
      <c r="F264" s="25" t="s">
        <v>12</v>
      </c>
      <c r="G264" s="25">
        <v>500.0</v>
      </c>
      <c r="H264" s="26">
        <v>10.0</v>
      </c>
      <c r="I264" s="21" t="str">
        <f t="shared" si="1"/>
        <v/>
      </c>
      <c r="J264" s="21" t="str">
        <f>IF(OR(L264="entregado",K264="despacho"),"", IF(AND(ELABORACION!F264&lt;&gt;"-",ELABORACION!F264&lt;&gt;"PENDIENTE ELAB"),"en proceso",""))</f>
        <v/>
      </c>
      <c r="K264" s="21" t="str">
        <f>IF(L264="entregado","",IF(EXPEDICION!L264="listo para entregar","despacho",""))</f>
        <v/>
      </c>
      <c r="L264" s="21" t="str">
        <f>IF(EXPEDICION!L264="entregado", "entregado", "")</f>
        <v>entregado</v>
      </c>
      <c r="M264" s="32" t="str">
        <f>EXPEDICION!M264</f>
        <v>Y26057</v>
      </c>
    </row>
    <row r="265" ht="15.75" customHeight="1">
      <c r="A265" s="16">
        <v>26087.0</v>
      </c>
      <c r="B265" s="17">
        <v>46140.0</v>
      </c>
      <c r="C265" s="16">
        <v>144.0</v>
      </c>
      <c r="D265" s="18" t="s">
        <v>158</v>
      </c>
      <c r="E265" s="18" t="s">
        <v>305</v>
      </c>
      <c r="F265" s="19" t="s">
        <v>12</v>
      </c>
      <c r="G265" s="19">
        <v>500.0</v>
      </c>
      <c r="H265" s="20">
        <v>10.0</v>
      </c>
      <c r="I265" s="21" t="str">
        <f t="shared" si="1"/>
        <v/>
      </c>
      <c r="J265" s="21" t="str">
        <f>IF(OR(L265="entregado",K265="despacho"),"", IF(AND(ELABORACION!F265&lt;&gt;"-",ELABORACION!F265&lt;&gt;"PENDIENTE ELAB"),"en proceso",""))</f>
        <v/>
      </c>
      <c r="K265" s="21" t="str">
        <f>IF(L265="entregado","",IF(EXPEDICION!L265="listo para entregar","despacho",""))</f>
        <v/>
      </c>
      <c r="L265" s="21" t="str">
        <f>IF(EXPEDICION!L265="entregado", "entregado", "")</f>
        <v>entregado</v>
      </c>
      <c r="M265" s="32" t="str">
        <f>EXPEDICION!M265</f>
        <v>Y26058</v>
      </c>
    </row>
    <row r="266" ht="15.75" customHeight="1">
      <c r="A266" s="23">
        <v>26088.0</v>
      </c>
      <c r="B266" s="10">
        <v>46140.0</v>
      </c>
      <c r="C266" s="23">
        <v>15282.0</v>
      </c>
      <c r="D266" s="24" t="s">
        <v>15</v>
      </c>
      <c r="E266" s="24" t="s">
        <v>127</v>
      </c>
      <c r="F266" s="25" t="s">
        <v>36</v>
      </c>
      <c r="G266" s="25">
        <v>10000.0</v>
      </c>
      <c r="H266" s="26">
        <v>25.0</v>
      </c>
      <c r="I266" s="21" t="str">
        <f t="shared" si="1"/>
        <v/>
      </c>
      <c r="J266" s="21" t="str">
        <f>IF(OR(L266="entregado",K266="despacho"),"", IF(AND(ELABORACION!F266&lt;&gt;"-",ELABORACION!F266&lt;&gt;"PENDIENTE ELAB"),"en proceso",""))</f>
        <v/>
      </c>
      <c r="K266" s="21" t="str">
        <f>IF(L266="entregado","",IF(EXPEDICION!L266="listo para entregar","despacho",""))</f>
        <v/>
      </c>
      <c r="L266" s="21" t="str">
        <f>IF(EXPEDICION!L266="entregado", "entregado", "")</f>
        <v>entregado</v>
      </c>
      <c r="M266" s="32">
        <f>EXPEDICION!M266</f>
        <v>180501</v>
      </c>
    </row>
    <row r="267" ht="15.75" customHeight="1">
      <c r="A267" s="16">
        <v>26088.0</v>
      </c>
      <c r="B267" s="17">
        <v>46140.0</v>
      </c>
      <c r="C267" s="16">
        <v>15282.0</v>
      </c>
      <c r="D267" s="18" t="s">
        <v>15</v>
      </c>
      <c r="E267" s="18" t="s">
        <v>126</v>
      </c>
      <c r="F267" s="19" t="s">
        <v>36</v>
      </c>
      <c r="G267" s="19">
        <v>10000.0</v>
      </c>
      <c r="H267" s="20">
        <v>25.0</v>
      </c>
      <c r="I267" s="21" t="str">
        <f t="shared" si="1"/>
        <v/>
      </c>
      <c r="J267" s="21" t="str">
        <f>IF(OR(L267="entregado",K267="despacho"),"", IF(AND(ELABORACION!F267&lt;&gt;"-",ELABORACION!F267&lt;&gt;"PENDIENTE ELAB"),"en proceso",""))</f>
        <v/>
      </c>
      <c r="K267" s="21" t="str">
        <f>IF(L267="entregado","",IF(EXPEDICION!L267="listo para entregar","despacho",""))</f>
        <v/>
      </c>
      <c r="L267" s="21" t="str">
        <f>IF(EXPEDICION!L267="entregado", "entregado", "")</f>
        <v>entregado</v>
      </c>
      <c r="M267" s="32">
        <f>EXPEDICION!M267</f>
        <v>150501</v>
      </c>
    </row>
    <row r="268" ht="15.75" customHeight="1">
      <c r="A268" s="23">
        <v>26089.0</v>
      </c>
      <c r="B268" s="10">
        <v>46140.0</v>
      </c>
      <c r="C268" s="23"/>
      <c r="D268" s="24" t="s">
        <v>33</v>
      </c>
      <c r="E268" s="24" t="s">
        <v>306</v>
      </c>
      <c r="F268" s="25" t="s">
        <v>12</v>
      </c>
      <c r="G268" s="25">
        <v>1200.0</v>
      </c>
      <c r="H268" s="26">
        <v>30.0</v>
      </c>
      <c r="I268" s="21" t="str">
        <f t="shared" si="1"/>
        <v/>
      </c>
      <c r="J268" s="21" t="str">
        <f>IF(OR(L268="entregado",K268="despacho"),"", IF(AND(ELABORACION!F268&lt;&gt;"-",ELABORACION!F268&lt;&gt;"PENDIENTE ELAB"),"en proceso",""))</f>
        <v/>
      </c>
      <c r="K268" s="21" t="str">
        <f>IF(L268="entregado","",IF(EXPEDICION!L268="listo para entregar","despacho",""))</f>
        <v/>
      </c>
      <c r="L268" s="21" t="str">
        <f>IF(EXPEDICION!L268="entregado", "entregado", "")</f>
        <v>entregado</v>
      </c>
      <c r="M268" s="32" t="str">
        <f>EXPEDICION!M268</f>
        <v>Y26001</v>
      </c>
    </row>
    <row r="269" ht="15.75" customHeight="1">
      <c r="A269" s="16">
        <v>26090.0</v>
      </c>
      <c r="B269" s="17">
        <v>46141.0</v>
      </c>
      <c r="C269" s="16"/>
      <c r="D269" s="18" t="s">
        <v>46</v>
      </c>
      <c r="E269" s="18" t="s">
        <v>82</v>
      </c>
      <c r="F269" s="19" t="s">
        <v>36</v>
      </c>
      <c r="G269" s="19">
        <v>600.0</v>
      </c>
      <c r="H269" s="20">
        <v>250.0</v>
      </c>
      <c r="I269" s="21" t="str">
        <f t="shared" si="1"/>
        <v/>
      </c>
      <c r="J269" s="21" t="str">
        <f>IF(OR(L269="entregado",K269="despacho"),"", IF(AND(ELABORACION!F269&lt;&gt;"-",ELABORACION!F269&lt;&gt;"PENDIENTE ELAB"),"en proceso",""))</f>
        <v/>
      </c>
      <c r="K269" s="21" t="str">
        <f>IF(L269="entregado","",IF(EXPEDICION!L269="listo para entregar","despacho",""))</f>
        <v/>
      </c>
      <c r="L269" s="21" t="str">
        <f>IF(EXPEDICION!L269="entregado", "entregado", "")</f>
        <v>entregado</v>
      </c>
      <c r="M269" s="32" t="str">
        <f>EXPEDICION!M269</f>
        <v/>
      </c>
    </row>
    <row r="270" ht="15.75" customHeight="1">
      <c r="A270" s="23">
        <v>26091.0</v>
      </c>
      <c r="B270" s="10">
        <v>46136.0</v>
      </c>
      <c r="C270" s="23"/>
      <c r="D270" s="24" t="s">
        <v>10</v>
      </c>
      <c r="E270" s="24" t="s">
        <v>307</v>
      </c>
      <c r="F270" s="25" t="s">
        <v>12</v>
      </c>
      <c r="G270" s="25">
        <v>1200.0</v>
      </c>
      <c r="H270" s="26">
        <v>30.0</v>
      </c>
      <c r="I270" s="21" t="str">
        <f t="shared" si="1"/>
        <v/>
      </c>
      <c r="J270" s="21" t="str">
        <f>IF(OR(L270="entregado",K270="despacho"),"", IF(AND(ELABORACION!F270&lt;&gt;"-",ELABORACION!F270&lt;&gt;"PENDIENTE ELAB"),"en proceso",""))</f>
        <v/>
      </c>
      <c r="K270" s="21" t="str">
        <f>IF(L270="entregado","",IF(EXPEDICION!L270="listo para entregar","despacho",""))</f>
        <v/>
      </c>
      <c r="L270" s="21" t="str">
        <f>IF(EXPEDICION!L270="entregado", "entregado", "")</f>
        <v>entregado</v>
      </c>
      <c r="M270" s="32" t="str">
        <f>EXPEDICION!M270</f>
        <v>A26082</v>
      </c>
    </row>
    <row r="271" ht="15.75" customHeight="1">
      <c r="A271" s="16">
        <v>26092.0</v>
      </c>
      <c r="B271" s="17">
        <v>46142.0</v>
      </c>
      <c r="C271" s="16"/>
      <c r="D271" s="18" t="s">
        <v>308</v>
      </c>
      <c r="E271" s="18" t="s">
        <v>309</v>
      </c>
      <c r="F271" s="19" t="s">
        <v>12</v>
      </c>
      <c r="G271" s="19">
        <v>300.0</v>
      </c>
      <c r="H271" s="20">
        <v>30.0</v>
      </c>
      <c r="I271" s="21" t="str">
        <f t="shared" si="1"/>
        <v/>
      </c>
      <c r="J271" s="21" t="str">
        <f>IF(OR(L271="entregado",K271="despacho"),"", IF(AND(ELABORACION!F271&lt;&gt;"-",ELABORACION!F271&lt;&gt;"PENDIENTE ELAB"),"en proceso",""))</f>
        <v/>
      </c>
      <c r="K271" s="21" t="str">
        <f>IF(L271="entregado","",IF(EXPEDICION!L271="listo para entregar","despacho",""))</f>
        <v/>
      </c>
      <c r="L271" s="21" t="str">
        <f>IF(EXPEDICION!L271="entregado", "entregado", "")</f>
        <v>entregado</v>
      </c>
      <c r="M271" s="32" t="str">
        <f>EXPEDICION!M271</f>
        <v>Y26003</v>
      </c>
    </row>
    <row r="272" ht="15.75" customHeight="1">
      <c r="A272" s="23">
        <v>26092.0</v>
      </c>
      <c r="B272" s="10">
        <v>46142.0</v>
      </c>
      <c r="C272" s="23"/>
      <c r="D272" s="24" t="s">
        <v>308</v>
      </c>
      <c r="E272" s="24" t="s">
        <v>310</v>
      </c>
      <c r="F272" s="25" t="s">
        <v>12</v>
      </c>
      <c r="G272" s="25">
        <v>300.0</v>
      </c>
      <c r="H272" s="26">
        <v>50.0</v>
      </c>
      <c r="I272" s="21" t="str">
        <f t="shared" si="1"/>
        <v/>
      </c>
      <c r="J272" s="21" t="str">
        <f>IF(OR(L272="entregado",K272="despacho"),"", IF(AND(ELABORACION!F272&lt;&gt;"-",ELABORACION!F272&lt;&gt;"PENDIENTE ELAB"),"en proceso",""))</f>
        <v/>
      </c>
      <c r="K272" s="21" t="str">
        <f>IF(L272="entregado","",IF(EXPEDICION!L272="listo para entregar","despacho",""))</f>
        <v/>
      </c>
      <c r="L272" s="21" t="str">
        <f>IF(EXPEDICION!L272="entregado", "entregado", "")</f>
        <v>entregado</v>
      </c>
      <c r="M272" s="32" t="str">
        <f>EXPEDICION!M272</f>
        <v>Y26003</v>
      </c>
    </row>
    <row r="273" ht="15.75" customHeight="1">
      <c r="A273" s="16">
        <v>26092.0</v>
      </c>
      <c r="B273" s="17">
        <v>46142.0</v>
      </c>
      <c r="C273" s="16"/>
      <c r="D273" s="18" t="s">
        <v>308</v>
      </c>
      <c r="E273" s="18" t="s">
        <v>311</v>
      </c>
      <c r="F273" s="19" t="s">
        <v>12</v>
      </c>
      <c r="G273" s="19">
        <v>300.0</v>
      </c>
      <c r="H273" s="20">
        <v>125.0</v>
      </c>
      <c r="I273" s="21" t="str">
        <f t="shared" si="1"/>
        <v>ingreso</v>
      </c>
      <c r="J273" s="21" t="str">
        <f>IF(OR(L273="entregado",K273="despacho"),"", IF(AND(ELABORACION!F273&lt;&gt;"-",ELABORACION!F273&lt;&gt;"PENDIENTE ELAB"),"en proceso",""))</f>
        <v/>
      </c>
      <c r="K273" s="21" t="str">
        <f>IF(L273="entregado","",IF(EXPEDICION!L273="listo para entregar","despacho",""))</f>
        <v/>
      </c>
      <c r="L273" s="21" t="str">
        <f>IF(EXPEDICION!L273="entregado", "entregado", "")</f>
        <v/>
      </c>
      <c r="M273" s="32" t="str">
        <f>EXPEDICION!M273</f>
        <v/>
      </c>
    </row>
    <row r="274" ht="15.75" customHeight="1">
      <c r="A274" s="23">
        <v>26092.0</v>
      </c>
      <c r="B274" s="10">
        <v>46142.0</v>
      </c>
      <c r="C274" s="23"/>
      <c r="D274" s="24" t="s">
        <v>308</v>
      </c>
      <c r="E274" s="24" t="s">
        <v>312</v>
      </c>
      <c r="F274" s="25" t="s">
        <v>12</v>
      </c>
      <c r="G274" s="25">
        <v>300.0</v>
      </c>
      <c r="H274" s="26">
        <v>30.0</v>
      </c>
      <c r="I274" s="21" t="str">
        <f t="shared" si="1"/>
        <v/>
      </c>
      <c r="J274" s="21" t="str">
        <f>IF(OR(L274="entregado",K274="despacho"),"", IF(AND(ELABORACION!F274&lt;&gt;"-",ELABORACION!F274&lt;&gt;"PENDIENTE ELAB"),"en proceso",""))</f>
        <v/>
      </c>
      <c r="K274" s="21" t="str">
        <f>IF(L274="entregado","",IF(EXPEDICION!L274="listo para entregar","despacho",""))</f>
        <v/>
      </c>
      <c r="L274" s="21" t="str">
        <f>IF(EXPEDICION!L274="entregado", "entregado", "")</f>
        <v>entregado</v>
      </c>
      <c r="M274" s="32" t="str">
        <f>EXPEDICION!M274</f>
        <v>Y26005</v>
      </c>
    </row>
    <row r="275" ht="15.75" customHeight="1">
      <c r="A275" s="16">
        <v>26093.0</v>
      </c>
      <c r="B275" s="17">
        <v>46142.0</v>
      </c>
      <c r="C275" s="16">
        <v>5.0</v>
      </c>
      <c r="D275" s="18" t="s">
        <v>313</v>
      </c>
      <c r="E275" s="18" t="s">
        <v>314</v>
      </c>
      <c r="F275" s="19" t="s">
        <v>12</v>
      </c>
      <c r="G275" s="19">
        <v>500.0</v>
      </c>
      <c r="H275" s="20">
        <v>200.0</v>
      </c>
      <c r="I275" s="21" t="str">
        <f t="shared" si="1"/>
        <v/>
      </c>
      <c r="J275" s="21" t="str">
        <f>IF(OR(L275="entregado",K275="despacho"),"", IF(AND(ELABORACION!F275&lt;&gt;"-",ELABORACION!F275&lt;&gt;"PENDIENTE ELAB"),"en proceso",""))</f>
        <v/>
      </c>
      <c r="K275" s="21" t="str">
        <f>IF(L275="entregado","",IF(EXPEDICION!L275="listo para entregar","despacho",""))</f>
        <v/>
      </c>
      <c r="L275" s="21" t="str">
        <f>IF(EXPEDICION!L275="entregado", "entregado", "")</f>
        <v>entregado</v>
      </c>
      <c r="M275" s="32" t="str">
        <f>EXPEDICION!M275</f>
        <v>Y26045</v>
      </c>
    </row>
    <row r="276" ht="15.75" customHeight="1">
      <c r="A276" s="23">
        <v>26094.0</v>
      </c>
      <c r="B276" s="10">
        <v>46142.0</v>
      </c>
      <c r="C276" s="23"/>
      <c r="D276" s="24" t="s">
        <v>143</v>
      </c>
      <c r="E276" s="24" t="s">
        <v>315</v>
      </c>
      <c r="F276" s="25" t="s">
        <v>12</v>
      </c>
      <c r="G276" s="25">
        <v>500.0</v>
      </c>
      <c r="H276" s="37">
        <v>50.0</v>
      </c>
      <c r="I276" s="21" t="str">
        <f t="shared" si="1"/>
        <v/>
      </c>
      <c r="J276" s="21" t="str">
        <f>IF(OR(L276="entregado",K276="despacho"),"", IF(AND(ELABORACION!F276&lt;&gt;"-",ELABORACION!F276&lt;&gt;"PENDIENTE ELAB"),"en proceso",""))</f>
        <v>en proceso</v>
      </c>
      <c r="K276" s="21" t="str">
        <f>IF(L276="entregado","",IF(EXPEDICION!L276="listo para entregar","despacho",""))</f>
        <v/>
      </c>
      <c r="L276" s="21" t="str">
        <f>IF(EXPEDICION!L276="entregado", "entregado", "")</f>
        <v/>
      </c>
      <c r="M276" s="32" t="str">
        <f>EXPEDICION!M276</f>
        <v/>
      </c>
    </row>
    <row r="277" ht="15.75" customHeight="1">
      <c r="A277" s="16">
        <v>26095.0</v>
      </c>
      <c r="B277" s="17">
        <v>46146.0</v>
      </c>
      <c r="C277" s="16">
        <v>15276.0</v>
      </c>
      <c r="D277" s="18" t="s">
        <v>15</v>
      </c>
      <c r="E277" s="18" t="s">
        <v>316</v>
      </c>
      <c r="F277" s="19" t="s">
        <v>36</v>
      </c>
      <c r="G277" s="19">
        <v>3000.0</v>
      </c>
      <c r="H277" s="20">
        <v>28.0</v>
      </c>
      <c r="I277" s="21" t="str">
        <f t="shared" si="1"/>
        <v/>
      </c>
      <c r="J277" s="21" t="str">
        <f>IF(OR(L277="entregado",K277="despacho"),"", IF(AND(ELABORACION!F277&lt;&gt;"-",ELABORACION!F277&lt;&gt;"PENDIENTE ELAB"),"en proceso",""))</f>
        <v/>
      </c>
      <c r="K277" s="21" t="str">
        <f>IF(L277="entregado","",IF(EXPEDICION!L277="listo para entregar","despacho",""))</f>
        <v/>
      </c>
      <c r="L277" s="21" t="str">
        <f>IF(EXPEDICION!L277="entregado", "entregado", "")</f>
        <v>entregado</v>
      </c>
      <c r="M277" s="32">
        <f>EXPEDICION!M277</f>
        <v>180502</v>
      </c>
    </row>
    <row r="278" ht="15.75" customHeight="1">
      <c r="A278" s="23">
        <v>26096.0</v>
      </c>
      <c r="B278" s="10">
        <v>46148.0</v>
      </c>
      <c r="C278" s="23">
        <v>15288.0</v>
      </c>
      <c r="D278" s="24" t="s">
        <v>15</v>
      </c>
      <c r="E278" s="24" t="s">
        <v>128</v>
      </c>
      <c r="F278" s="25" t="s">
        <v>36</v>
      </c>
      <c r="G278" s="25">
        <v>2000.0</v>
      </c>
      <c r="H278" s="26">
        <v>28.0</v>
      </c>
      <c r="I278" s="21" t="str">
        <f t="shared" si="1"/>
        <v/>
      </c>
      <c r="J278" s="21" t="str">
        <f>IF(OR(L278="entregado",K278="despacho"),"", IF(AND(ELABORACION!F278&lt;&gt;"-",ELABORACION!F278&lt;&gt;"PENDIENTE ELAB"),"en proceso",""))</f>
        <v/>
      </c>
      <c r="K278" s="21" t="str">
        <f>IF(L278="entregado","",IF(EXPEDICION!L278="listo para entregar","despacho",""))</f>
        <v/>
      </c>
      <c r="L278" s="21" t="str">
        <f>IF(EXPEDICION!L278="entregado", "entregado", "")</f>
        <v>entregado</v>
      </c>
      <c r="M278" s="32">
        <f>EXPEDICION!M278</f>
        <v>270501</v>
      </c>
    </row>
    <row r="279" ht="15.75" customHeight="1">
      <c r="A279" s="16">
        <v>26096.0</v>
      </c>
      <c r="B279" s="17">
        <v>46148.0</v>
      </c>
      <c r="C279" s="16">
        <v>15288.0</v>
      </c>
      <c r="D279" s="18" t="s">
        <v>15</v>
      </c>
      <c r="E279" s="18" t="s">
        <v>129</v>
      </c>
      <c r="F279" s="19" t="s">
        <v>36</v>
      </c>
      <c r="G279" s="19">
        <v>2000.0</v>
      </c>
      <c r="H279" s="20">
        <v>28.0</v>
      </c>
      <c r="I279" s="21" t="str">
        <f t="shared" si="1"/>
        <v/>
      </c>
      <c r="J279" s="21" t="str">
        <f>IF(OR(L279="entregado",K279="despacho"),"", IF(AND(ELABORACION!F279&lt;&gt;"-",ELABORACION!F279&lt;&gt;"PENDIENTE ELAB"),"en proceso",""))</f>
        <v/>
      </c>
      <c r="K279" s="21" t="str">
        <f>IF(L279="entregado","",IF(EXPEDICION!L279="listo para entregar","despacho",""))</f>
        <v/>
      </c>
      <c r="L279" s="21" t="str">
        <f>IF(EXPEDICION!L279="entregado", "entregado", "")</f>
        <v>entregado</v>
      </c>
      <c r="M279" s="32">
        <f>EXPEDICION!M279</f>
        <v>280501</v>
      </c>
    </row>
    <row r="280" ht="15.75" customHeight="1">
      <c r="A280" s="23">
        <v>26096.0</v>
      </c>
      <c r="B280" s="10">
        <v>46148.0</v>
      </c>
      <c r="C280" s="23">
        <v>15288.0</v>
      </c>
      <c r="D280" s="24" t="s">
        <v>15</v>
      </c>
      <c r="E280" s="24" t="s">
        <v>130</v>
      </c>
      <c r="F280" s="25" t="s">
        <v>36</v>
      </c>
      <c r="G280" s="25">
        <v>2000.0</v>
      </c>
      <c r="H280" s="26">
        <v>28.0</v>
      </c>
      <c r="I280" s="21" t="str">
        <f t="shared" si="1"/>
        <v/>
      </c>
      <c r="J280" s="21" t="str">
        <f>IF(OR(L280="entregado",K280="despacho"),"", IF(AND(ELABORACION!F280&lt;&gt;"-",ELABORACION!F280&lt;&gt;"PENDIENTE ELAB"),"en proceso",""))</f>
        <v/>
      </c>
      <c r="K280" s="21" t="str">
        <f>IF(L280="entregado","",IF(EXPEDICION!L280="listo para entregar","despacho",""))</f>
        <v/>
      </c>
      <c r="L280" s="21" t="str">
        <f>IF(EXPEDICION!L280="entregado", "entregado", "")</f>
        <v>entregado</v>
      </c>
      <c r="M280" s="32">
        <f>EXPEDICION!M280</f>
        <v>270503</v>
      </c>
    </row>
    <row r="281" ht="15.75" customHeight="1">
      <c r="A281" s="16">
        <v>26097.0</v>
      </c>
      <c r="B281" s="17">
        <v>46153.0</v>
      </c>
      <c r="C281" s="16"/>
      <c r="D281" s="18" t="s">
        <v>317</v>
      </c>
      <c r="E281" s="18" t="s">
        <v>38</v>
      </c>
      <c r="F281" s="19" t="s">
        <v>12</v>
      </c>
      <c r="G281" s="19">
        <v>500.0</v>
      </c>
      <c r="H281" s="20">
        <v>30.0</v>
      </c>
      <c r="I281" s="21" t="str">
        <f t="shared" si="1"/>
        <v/>
      </c>
      <c r="J281" s="21" t="str">
        <f>IF(OR(L281="entregado",K281="despacho"),"", IF(AND(ELABORACION!F281&lt;&gt;"-",ELABORACION!F281&lt;&gt;"PENDIENTE ELAB"),"en proceso",""))</f>
        <v/>
      </c>
      <c r="K281" s="21" t="str">
        <f>IF(L281="entregado","",IF(EXPEDICION!L281="listo para entregar","despacho",""))</f>
        <v/>
      </c>
      <c r="L281" s="21" t="str">
        <f>IF(EXPEDICION!L281="entregado", "entregado", "")</f>
        <v>entregado</v>
      </c>
      <c r="M281" s="32" t="str">
        <f>EXPEDICION!M281</f>
        <v>Y26023</v>
      </c>
    </row>
    <row r="282" ht="15.75" customHeight="1">
      <c r="A282" s="23">
        <v>26097.0</v>
      </c>
      <c r="B282" s="10">
        <v>46153.0</v>
      </c>
      <c r="C282" s="23"/>
      <c r="D282" s="24" t="s">
        <v>317</v>
      </c>
      <c r="E282" s="24" t="s">
        <v>307</v>
      </c>
      <c r="F282" s="25" t="s">
        <v>12</v>
      </c>
      <c r="G282" s="25">
        <v>300.0</v>
      </c>
      <c r="H282" s="26">
        <v>30.0</v>
      </c>
      <c r="I282" s="21" t="str">
        <f t="shared" si="1"/>
        <v/>
      </c>
      <c r="J282" s="21" t="str">
        <f>IF(OR(L282="entregado",K282="despacho"),"", IF(AND(ELABORACION!F282&lt;&gt;"-",ELABORACION!F282&lt;&gt;"PENDIENTE ELAB"),"en proceso",""))</f>
        <v>en proceso</v>
      </c>
      <c r="K282" s="21" t="str">
        <f>IF(L282="entregado","",IF(EXPEDICION!L282="listo para entregar","despacho",""))</f>
        <v/>
      </c>
      <c r="L282" s="21" t="str">
        <f>IF(EXPEDICION!L282="entregado", "entregado", "")</f>
        <v/>
      </c>
      <c r="M282" s="32" t="str">
        <f>EXPEDICION!M282</f>
        <v/>
      </c>
    </row>
    <row r="283" ht="15.75" customHeight="1">
      <c r="A283" s="16">
        <v>26098.0</v>
      </c>
      <c r="B283" s="17">
        <v>46153.0</v>
      </c>
      <c r="C283" s="16"/>
      <c r="D283" s="18" t="s">
        <v>318</v>
      </c>
      <c r="E283" s="18" t="s">
        <v>319</v>
      </c>
      <c r="F283" s="19" t="s">
        <v>36</v>
      </c>
      <c r="G283" s="19">
        <v>180.0</v>
      </c>
      <c r="H283" s="20">
        <v>500.0</v>
      </c>
      <c r="I283" s="21" t="str">
        <f t="shared" si="1"/>
        <v>ingreso</v>
      </c>
      <c r="J283" s="21" t="str">
        <f>IF(OR(L283="entregado",K283="despacho"),"", IF(AND(ELABORACION!F283&lt;&gt;"-",ELABORACION!F283&lt;&gt;"PENDIENTE ELAB"),"en proceso",""))</f>
        <v/>
      </c>
      <c r="K283" s="21" t="str">
        <f>IF(L283="entregado","",IF(EXPEDICION!L283="listo para entregar","despacho",""))</f>
        <v/>
      </c>
      <c r="L283" s="21" t="str">
        <f>IF(EXPEDICION!L283="entregado", "entregado", "")</f>
        <v/>
      </c>
      <c r="M283" s="32" t="str">
        <f>EXPEDICION!M283</f>
        <v/>
      </c>
    </row>
    <row r="284" ht="15.75" customHeight="1">
      <c r="A284" s="23">
        <v>26098.0</v>
      </c>
      <c r="B284" s="10">
        <v>46153.0</v>
      </c>
      <c r="C284" s="23"/>
      <c r="D284" s="24" t="s">
        <v>318</v>
      </c>
      <c r="E284" s="24" t="s">
        <v>319</v>
      </c>
      <c r="F284" s="25" t="s">
        <v>36</v>
      </c>
      <c r="G284" s="25">
        <v>70.0</v>
      </c>
      <c r="H284" s="26">
        <v>250.0</v>
      </c>
      <c r="I284" s="21" t="str">
        <f t="shared" si="1"/>
        <v>ingreso</v>
      </c>
      <c r="J284" s="21" t="str">
        <f>IF(OR(L284="entregado",K284="despacho"),"", IF(AND(ELABORACION!F284&lt;&gt;"-",ELABORACION!F284&lt;&gt;"PENDIENTE ELAB"),"en proceso",""))</f>
        <v/>
      </c>
      <c r="K284" s="21" t="str">
        <f>IF(L284="entregado","",IF(EXPEDICION!L284="listo para entregar","despacho",""))</f>
        <v/>
      </c>
      <c r="L284" s="21" t="str">
        <f>IF(EXPEDICION!L284="entregado", "entregado", "")</f>
        <v/>
      </c>
      <c r="M284" s="32" t="str">
        <f>EXPEDICION!M284</f>
        <v/>
      </c>
    </row>
    <row r="285" ht="15.75" customHeight="1">
      <c r="A285" s="16">
        <v>26098.0</v>
      </c>
      <c r="B285" s="17">
        <v>46153.0</v>
      </c>
      <c r="C285" s="16"/>
      <c r="D285" s="18" t="s">
        <v>318</v>
      </c>
      <c r="E285" s="18" t="s">
        <v>320</v>
      </c>
      <c r="F285" s="19" t="s">
        <v>36</v>
      </c>
      <c r="G285" s="19">
        <v>70.0</v>
      </c>
      <c r="H285" s="20">
        <v>500.0</v>
      </c>
      <c r="I285" s="21" t="str">
        <f t="shared" si="1"/>
        <v>ingreso</v>
      </c>
      <c r="J285" s="21" t="str">
        <f>IF(OR(L285="entregado",K285="despacho"),"", IF(AND(ELABORACION!F285&lt;&gt;"-",ELABORACION!F285&lt;&gt;"PENDIENTE ELAB"),"en proceso",""))</f>
        <v/>
      </c>
      <c r="K285" s="21" t="str">
        <f>IF(L285="entregado","",IF(EXPEDICION!L285="listo para entregar","despacho",""))</f>
        <v/>
      </c>
      <c r="L285" s="21" t="str">
        <f>IF(EXPEDICION!L285="entregado", "entregado", "")</f>
        <v/>
      </c>
      <c r="M285" s="32" t="str">
        <f>EXPEDICION!M285</f>
        <v/>
      </c>
    </row>
    <row r="286" ht="15.75" customHeight="1">
      <c r="A286" s="23">
        <v>26098.0</v>
      </c>
      <c r="B286" s="10">
        <v>46153.0</v>
      </c>
      <c r="C286" s="23"/>
      <c r="D286" s="24" t="s">
        <v>318</v>
      </c>
      <c r="E286" s="24" t="s">
        <v>320</v>
      </c>
      <c r="F286" s="25" t="s">
        <v>36</v>
      </c>
      <c r="G286" s="25">
        <v>30.0</v>
      </c>
      <c r="H286" s="26">
        <v>250.0</v>
      </c>
      <c r="I286" s="21" t="str">
        <f t="shared" si="1"/>
        <v>ingreso</v>
      </c>
      <c r="J286" s="21" t="str">
        <f>IF(OR(L286="entregado",K286="despacho"),"", IF(AND(ELABORACION!F286&lt;&gt;"-",ELABORACION!F286&lt;&gt;"PENDIENTE ELAB"),"en proceso",""))</f>
        <v/>
      </c>
      <c r="K286" s="21" t="str">
        <f>IF(L286="entregado","",IF(EXPEDICION!L286="listo para entregar","despacho",""))</f>
        <v/>
      </c>
      <c r="L286" s="21" t="str">
        <f>IF(EXPEDICION!L286="entregado", "entregado", "")</f>
        <v/>
      </c>
      <c r="M286" s="32" t="str">
        <f>EXPEDICION!M286</f>
        <v/>
      </c>
    </row>
    <row r="287" ht="15.75" customHeight="1">
      <c r="A287" s="16">
        <v>26099.0</v>
      </c>
      <c r="B287" s="17">
        <v>46154.0</v>
      </c>
      <c r="C287" s="16" t="s">
        <v>321</v>
      </c>
      <c r="D287" s="18" t="s">
        <v>20</v>
      </c>
      <c r="E287" s="18" t="s">
        <v>322</v>
      </c>
      <c r="F287" s="19" t="s">
        <v>36</v>
      </c>
      <c r="G287" s="19">
        <v>400.0</v>
      </c>
      <c r="H287" s="20">
        <v>200.0</v>
      </c>
      <c r="I287" s="21" t="str">
        <f t="shared" si="1"/>
        <v/>
      </c>
      <c r="J287" s="21" t="str">
        <f>IF(OR(L287="entregado",K287="despacho"),"", IF(AND(ELABORACION!F287&lt;&gt;"-",ELABORACION!F287&lt;&gt;"PENDIENTE ELAB"),"en proceso",""))</f>
        <v/>
      </c>
      <c r="K287" s="21" t="str">
        <f>IF(L287="entregado","",IF(EXPEDICION!L287="listo para entregar","despacho",""))</f>
        <v/>
      </c>
      <c r="L287" s="21" t="str">
        <f>IF(EXPEDICION!L287="entregado", "entregado", "")</f>
        <v>entregado</v>
      </c>
      <c r="M287" s="32">
        <f>EXPEDICION!M287</f>
        <v>200501</v>
      </c>
    </row>
    <row r="288" ht="15.75" customHeight="1">
      <c r="A288" s="23">
        <v>26099.0</v>
      </c>
      <c r="B288" s="10">
        <v>46154.0</v>
      </c>
      <c r="C288" s="23" t="s">
        <v>321</v>
      </c>
      <c r="D288" s="24" t="s">
        <v>20</v>
      </c>
      <c r="E288" s="24" t="s">
        <v>323</v>
      </c>
      <c r="F288" s="25" t="s">
        <v>36</v>
      </c>
      <c r="G288" s="25">
        <v>500.0</v>
      </c>
      <c r="H288" s="26">
        <v>250.0</v>
      </c>
      <c r="I288" s="21" t="str">
        <f t="shared" si="1"/>
        <v/>
      </c>
      <c r="J288" s="21" t="str">
        <f>IF(OR(L288="entregado",K288="despacho"),"", IF(AND(ELABORACION!F288&lt;&gt;"-",ELABORACION!F288&lt;&gt;"PENDIENTE ELAB"),"en proceso",""))</f>
        <v/>
      </c>
      <c r="K288" s="21" t="str">
        <f>IF(L288="entregado","",IF(EXPEDICION!L288="listo para entregar","despacho",""))</f>
        <v/>
      </c>
      <c r="L288" s="21" t="str">
        <f>IF(EXPEDICION!L288="entregado", "entregado", "")</f>
        <v>entregado</v>
      </c>
      <c r="M288" s="32" t="str">
        <f>EXPEDICION!M288</f>
        <v>Y26021</v>
      </c>
    </row>
    <row r="289" ht="15.75" customHeight="1">
      <c r="A289" s="16">
        <v>26100.0</v>
      </c>
      <c r="B289" s="17">
        <v>46154.0</v>
      </c>
      <c r="C289" s="16" t="s">
        <v>324</v>
      </c>
      <c r="D289" s="18" t="s">
        <v>20</v>
      </c>
      <c r="E289" s="18" t="s">
        <v>325</v>
      </c>
      <c r="F289" s="19" t="s">
        <v>36</v>
      </c>
      <c r="G289" s="19">
        <v>1000.0</v>
      </c>
      <c r="H289" s="20">
        <v>160.0</v>
      </c>
      <c r="I289" s="21" t="str">
        <f t="shared" si="1"/>
        <v/>
      </c>
      <c r="J289" s="21" t="str">
        <f>IF(OR(L289="entregado",K289="despacho"),"", IF(AND(ELABORACION!F289&lt;&gt;"-",ELABORACION!F289&lt;&gt;"PENDIENTE ELAB"),"en proceso",""))</f>
        <v/>
      </c>
      <c r="K289" s="21" t="str">
        <f>IF(L289="entregado","",IF(EXPEDICION!L289="listo para entregar","despacho",""))</f>
        <v/>
      </c>
      <c r="L289" s="21" t="str">
        <f>IF(EXPEDICION!L289="entregado", "entregado", "")</f>
        <v>entregado</v>
      </c>
      <c r="M289" s="32">
        <f>EXPEDICION!M289</f>
        <v>200502</v>
      </c>
    </row>
    <row r="290" ht="15.75" customHeight="1">
      <c r="A290" s="23">
        <v>26101.0</v>
      </c>
      <c r="B290" s="10">
        <v>46147.0</v>
      </c>
      <c r="C290" s="23"/>
      <c r="D290" s="24" t="s">
        <v>33</v>
      </c>
      <c r="E290" s="24" t="s">
        <v>326</v>
      </c>
      <c r="F290" s="25" t="s">
        <v>12</v>
      </c>
      <c r="G290" s="25">
        <v>1500.0</v>
      </c>
      <c r="H290" s="26">
        <v>30.0</v>
      </c>
      <c r="I290" s="21" t="str">
        <f t="shared" si="1"/>
        <v/>
      </c>
      <c r="J290" s="21" t="str">
        <f>IF(OR(L290="entregado",K290="despacho"),"", IF(AND(ELABORACION!F290&lt;&gt;"-",ELABORACION!F290&lt;&gt;"PENDIENTE ELAB"),"en proceso",""))</f>
        <v/>
      </c>
      <c r="K290" s="21" t="str">
        <f>IF(L290="entregado","",IF(EXPEDICION!L290="listo para entregar","despacho",""))</f>
        <v/>
      </c>
      <c r="L290" s="21" t="str">
        <f>IF(EXPEDICION!L290="entregado", "entregado", "")</f>
        <v>entregado</v>
      </c>
      <c r="M290" s="32" t="str">
        <f>EXPEDICION!M290</f>
        <v>Y26019</v>
      </c>
    </row>
    <row r="291" ht="15.75" customHeight="1">
      <c r="A291" s="16">
        <v>26101.0</v>
      </c>
      <c r="B291" s="17">
        <v>46147.0</v>
      </c>
      <c r="C291" s="16"/>
      <c r="D291" s="18" t="s">
        <v>33</v>
      </c>
      <c r="E291" s="18" t="s">
        <v>264</v>
      </c>
      <c r="F291" s="19" t="s">
        <v>12</v>
      </c>
      <c r="G291" s="19">
        <v>1500.0</v>
      </c>
      <c r="H291" s="20">
        <v>30.0</v>
      </c>
      <c r="I291" s="21" t="str">
        <f t="shared" si="1"/>
        <v/>
      </c>
      <c r="J291" s="21" t="str">
        <f>IF(OR(L291="entregado",K291="despacho"),"", IF(AND(ELABORACION!F291&lt;&gt;"-",ELABORACION!F291&lt;&gt;"PENDIENTE ELAB"),"en proceso",""))</f>
        <v/>
      </c>
      <c r="K291" s="21" t="str">
        <f>IF(L291="entregado","",IF(EXPEDICION!L291="listo para entregar","despacho",""))</f>
        <v/>
      </c>
      <c r="L291" s="21" t="str">
        <f>IF(EXPEDICION!L291="entregado", "entregado", "")</f>
        <v>entregado</v>
      </c>
      <c r="M291" s="32" t="str">
        <f>EXPEDICION!M291</f>
        <v>Y26020</v>
      </c>
    </row>
    <row r="292" ht="15.75" customHeight="1">
      <c r="A292" s="23">
        <v>26102.0</v>
      </c>
      <c r="B292" s="33">
        <v>46153.0</v>
      </c>
      <c r="C292" s="23">
        <v>14442.0</v>
      </c>
      <c r="D292" s="24" t="s">
        <v>57</v>
      </c>
      <c r="E292" s="36" t="s">
        <v>327</v>
      </c>
      <c r="F292" s="35" t="s">
        <v>36</v>
      </c>
      <c r="G292" s="35">
        <v>3000.0</v>
      </c>
      <c r="H292" s="37">
        <v>50.0</v>
      </c>
      <c r="I292" s="21" t="str">
        <f t="shared" si="1"/>
        <v/>
      </c>
      <c r="J292" s="21" t="str">
        <f>IF(OR(L292="entregado",K292="despacho"),"", IF(AND(ELABORACION!F292&lt;&gt;"-",ELABORACION!F292&lt;&gt;"PENDIENTE ELAB"),"en proceso",""))</f>
        <v/>
      </c>
      <c r="K292" s="21" t="str">
        <f>IF(L292="entregado","",IF(EXPEDICION!L292="listo para entregar","despacho",""))</f>
        <v/>
      </c>
      <c r="L292" s="21" t="str">
        <f>IF(EXPEDICION!L292="entregado", "entregado", "")</f>
        <v>entregado</v>
      </c>
      <c r="M292" s="32" t="str">
        <f>EXPEDICION!M292</f>
        <v>J26011</v>
      </c>
    </row>
    <row r="293" ht="15.75" customHeight="1">
      <c r="A293" s="16">
        <v>26102.0</v>
      </c>
      <c r="B293" s="30">
        <v>46153.0</v>
      </c>
      <c r="C293" s="16">
        <v>14442.0</v>
      </c>
      <c r="D293" s="18" t="s">
        <v>57</v>
      </c>
      <c r="E293" s="28" t="s">
        <v>328</v>
      </c>
      <c r="F293" s="29" t="s">
        <v>36</v>
      </c>
      <c r="G293" s="29">
        <v>3000.0</v>
      </c>
      <c r="H293" s="38">
        <v>55.0</v>
      </c>
      <c r="I293" s="21" t="str">
        <f t="shared" si="1"/>
        <v/>
      </c>
      <c r="J293" s="21" t="str">
        <f>IF(OR(L293="entregado",K293="despacho"),"", IF(AND(ELABORACION!F293&lt;&gt;"-",ELABORACION!F293&lt;&gt;"PENDIENTE ELAB"),"en proceso",""))</f>
        <v/>
      </c>
      <c r="K293" s="21" t="str">
        <f>IF(L293="entregado","",IF(EXPEDICION!L293="listo para entregar","despacho",""))</f>
        <v/>
      </c>
      <c r="L293" s="21" t="str">
        <f>IF(EXPEDICION!L293="entregado", "entregado", "")</f>
        <v>entregado</v>
      </c>
      <c r="M293" s="32" t="str">
        <f>EXPEDICION!M293</f>
        <v>J26012</v>
      </c>
    </row>
    <row r="294" ht="15.75" customHeight="1">
      <c r="A294" s="23">
        <v>26102.0</v>
      </c>
      <c r="B294" s="33">
        <v>46153.0</v>
      </c>
      <c r="C294" s="23">
        <v>14442.0</v>
      </c>
      <c r="D294" s="24" t="s">
        <v>57</v>
      </c>
      <c r="E294" s="39" t="s">
        <v>329</v>
      </c>
      <c r="F294" s="35" t="s">
        <v>36</v>
      </c>
      <c r="G294" s="35">
        <v>2000.0</v>
      </c>
      <c r="H294" s="37">
        <v>50.0</v>
      </c>
      <c r="I294" s="21" t="str">
        <f t="shared" si="1"/>
        <v/>
      </c>
      <c r="J294" s="21" t="str">
        <f>IF(OR(L294="entregado",K294="despacho"),"", IF(AND(ELABORACION!F294&lt;&gt;"-",ELABORACION!F294&lt;&gt;"PENDIENTE ELAB"),"en proceso",""))</f>
        <v/>
      </c>
      <c r="K294" s="21" t="str">
        <f>IF(L294="entregado","",IF(EXPEDICION!L294="listo para entregar","despacho",""))</f>
        <v/>
      </c>
      <c r="L294" s="21" t="str">
        <f>IF(EXPEDICION!L294="entregado", "entregado", "")</f>
        <v>entregado</v>
      </c>
      <c r="M294" s="32" t="str">
        <f>EXPEDICION!M294</f>
        <v>Y26031</v>
      </c>
    </row>
    <row r="295" ht="15.75" customHeight="1">
      <c r="A295" s="16">
        <v>26102.0</v>
      </c>
      <c r="B295" s="30">
        <v>46153.0</v>
      </c>
      <c r="C295" s="16">
        <v>14442.0</v>
      </c>
      <c r="D295" s="18" t="s">
        <v>57</v>
      </c>
      <c r="E295" s="40" t="s">
        <v>330</v>
      </c>
      <c r="F295" s="29" t="s">
        <v>36</v>
      </c>
      <c r="G295" s="29">
        <v>2000.0</v>
      </c>
      <c r="H295" s="38">
        <v>50.0</v>
      </c>
      <c r="I295" s="21" t="str">
        <f t="shared" si="1"/>
        <v>ingreso</v>
      </c>
      <c r="J295" s="21" t="str">
        <f>IF(OR(L295="entregado",K295="despacho"),"", IF(AND(ELABORACION!F295&lt;&gt;"-",ELABORACION!F295&lt;&gt;"PENDIENTE ELAB"),"en proceso",""))</f>
        <v/>
      </c>
      <c r="K295" s="21" t="str">
        <f>IF(L295="entregado","",IF(EXPEDICION!L295="listo para entregar","despacho",""))</f>
        <v/>
      </c>
      <c r="L295" s="21" t="str">
        <f>IF(EXPEDICION!L295="entregado", "entregado", "")</f>
        <v/>
      </c>
      <c r="M295" s="32" t="str">
        <f>EXPEDICION!M295</f>
        <v/>
      </c>
    </row>
    <row r="296" ht="15.75" customHeight="1">
      <c r="A296" s="41">
        <v>26103.0</v>
      </c>
      <c r="B296" s="33">
        <v>46153.0</v>
      </c>
      <c r="C296" s="41">
        <v>14441.0</v>
      </c>
      <c r="D296" s="24" t="s">
        <v>57</v>
      </c>
      <c r="E296" s="36" t="s">
        <v>331</v>
      </c>
      <c r="F296" s="35" t="s">
        <v>36</v>
      </c>
      <c r="G296" s="35">
        <v>1000.0</v>
      </c>
      <c r="H296" s="37">
        <v>50.0</v>
      </c>
      <c r="I296" s="21" t="str">
        <f t="shared" si="1"/>
        <v/>
      </c>
      <c r="J296" s="21" t="str">
        <f>IF(OR(L296="entregado",K296="despacho"),"", IF(AND(ELABORACION!F296&lt;&gt;"-",ELABORACION!F296&lt;&gt;"PENDIENTE ELAB"),"en proceso",""))</f>
        <v/>
      </c>
      <c r="K296" s="21" t="str">
        <f>IF(L296="entregado","",IF(EXPEDICION!L296="listo para entregar","despacho",""))</f>
        <v/>
      </c>
      <c r="L296" s="21" t="str">
        <f>IF(EXPEDICION!L296="entregado", "entregado", "")</f>
        <v>entregado</v>
      </c>
      <c r="M296" s="32" t="str">
        <f>EXPEDICION!M296</f>
        <v>Y26042-1</v>
      </c>
    </row>
    <row r="297" ht="15.75" customHeight="1">
      <c r="A297" s="41">
        <v>26103.0</v>
      </c>
      <c r="B297" s="30">
        <v>46153.0</v>
      </c>
      <c r="C297" s="42">
        <v>14441.0</v>
      </c>
      <c r="D297" s="18" t="s">
        <v>57</v>
      </c>
      <c r="E297" s="28" t="s">
        <v>332</v>
      </c>
      <c r="F297" s="29" t="s">
        <v>36</v>
      </c>
      <c r="G297" s="29">
        <v>1300.0</v>
      </c>
      <c r="H297" s="38">
        <v>50.0</v>
      </c>
      <c r="I297" s="21" t="str">
        <f t="shared" si="1"/>
        <v/>
      </c>
      <c r="J297" s="21" t="str">
        <f>IF(OR(L297="entregado",K297="despacho"),"", IF(AND(ELABORACION!F297&lt;&gt;"-",ELABORACION!F297&lt;&gt;"PENDIENTE ELAB"),"en proceso",""))</f>
        <v/>
      </c>
      <c r="K297" s="21" t="str">
        <f>IF(L297="entregado","",IF(EXPEDICION!L297="listo para entregar","despacho",""))</f>
        <v/>
      </c>
      <c r="L297" s="21" t="str">
        <f>IF(EXPEDICION!L297="entregado", "entregado", "")</f>
        <v>entregado</v>
      </c>
      <c r="M297" s="32" t="str">
        <f>EXPEDICION!M297</f>
        <v>Y26041-1</v>
      </c>
    </row>
    <row r="298" ht="15.75" customHeight="1">
      <c r="A298" s="41">
        <v>26103.0</v>
      </c>
      <c r="B298" s="33">
        <v>46153.0</v>
      </c>
      <c r="C298" s="41">
        <v>14441.0</v>
      </c>
      <c r="D298" s="24" t="s">
        <v>57</v>
      </c>
      <c r="E298" s="36" t="s">
        <v>333</v>
      </c>
      <c r="F298" s="35" t="s">
        <v>36</v>
      </c>
      <c r="G298" s="29">
        <v>1300.0</v>
      </c>
      <c r="H298" s="37">
        <v>65.0</v>
      </c>
      <c r="I298" s="21" t="str">
        <f t="shared" si="1"/>
        <v/>
      </c>
      <c r="J298" s="21" t="str">
        <f>IF(OR(L298="entregado",K298="despacho"),"", IF(AND(ELABORACION!F298&lt;&gt;"-",ELABORACION!F298&lt;&gt;"PENDIENTE ELAB"),"en proceso",""))</f>
        <v/>
      </c>
      <c r="K298" s="21" t="str">
        <f>IF(L298="entregado","",IF(EXPEDICION!L298="listo para entregar","despacho",""))</f>
        <v/>
      </c>
      <c r="L298" s="21" t="str">
        <f>IF(EXPEDICION!L298="entregado", "entregado", "")</f>
        <v>entregado</v>
      </c>
      <c r="M298" s="32" t="str">
        <f>EXPEDICION!M298</f>
        <v>Y26041</v>
      </c>
    </row>
    <row r="299" ht="15.75" customHeight="1">
      <c r="A299" s="41">
        <v>26103.0</v>
      </c>
      <c r="B299" s="30">
        <v>46153.0</v>
      </c>
      <c r="C299" s="42">
        <v>14441.0</v>
      </c>
      <c r="D299" s="18" t="s">
        <v>57</v>
      </c>
      <c r="E299" s="28" t="s">
        <v>334</v>
      </c>
      <c r="F299" s="29" t="s">
        <v>36</v>
      </c>
      <c r="G299" s="29">
        <v>1300.0</v>
      </c>
      <c r="H299" s="38">
        <v>65.0</v>
      </c>
      <c r="I299" s="21" t="str">
        <f t="shared" si="1"/>
        <v/>
      </c>
      <c r="J299" s="21" t="str">
        <f>IF(OR(L299="entregado",K299="despacho"),"", IF(AND(ELABORACION!F299&lt;&gt;"-",ELABORACION!F299&lt;&gt;"PENDIENTE ELAB"),"en proceso",""))</f>
        <v/>
      </c>
      <c r="K299" s="21" t="str">
        <f>IF(L299="entregado","",IF(EXPEDICION!L299="listo para entregar","despacho",""))</f>
        <v/>
      </c>
      <c r="L299" s="21" t="str">
        <f>IF(EXPEDICION!L299="entregado", "entregado", "")</f>
        <v>entregado</v>
      </c>
      <c r="M299" s="32" t="str">
        <f>EXPEDICION!M299</f>
        <v>Y26042</v>
      </c>
    </row>
    <row r="300" ht="15.75" customHeight="1">
      <c r="A300" s="41">
        <v>26103.0</v>
      </c>
      <c r="B300" s="33">
        <v>46153.0</v>
      </c>
      <c r="C300" s="41">
        <v>14441.0</v>
      </c>
      <c r="D300" s="24" t="s">
        <v>57</v>
      </c>
      <c r="E300" s="36" t="s">
        <v>335</v>
      </c>
      <c r="F300" s="35" t="s">
        <v>36</v>
      </c>
      <c r="G300" s="29">
        <v>1300.0</v>
      </c>
      <c r="H300" s="37">
        <v>50.0</v>
      </c>
      <c r="I300" s="21" t="str">
        <f t="shared" si="1"/>
        <v/>
      </c>
      <c r="J300" s="21" t="str">
        <f>IF(OR(L300="entregado",K300="despacho"),"", IF(AND(ELABORACION!F300&lt;&gt;"-",ELABORACION!F300&lt;&gt;"PENDIENTE ELAB"),"en proceso",""))</f>
        <v/>
      </c>
      <c r="K300" s="21" t="str">
        <f>IF(L300="entregado","",IF(EXPEDICION!L300="listo para entregar","despacho",""))</f>
        <v/>
      </c>
      <c r="L300" s="21" t="str">
        <f>IF(EXPEDICION!L300="entregado", "entregado", "")</f>
        <v>entregado</v>
      </c>
      <c r="M300" s="32" t="str">
        <f>EXPEDICION!M300</f>
        <v>Y26042-2</v>
      </c>
    </row>
    <row r="301" ht="15.75" customHeight="1">
      <c r="A301" s="42">
        <v>26104.0</v>
      </c>
      <c r="B301" s="30">
        <v>46156.0</v>
      </c>
      <c r="C301" s="42">
        <v>797.0</v>
      </c>
      <c r="D301" s="28" t="s">
        <v>52</v>
      </c>
      <c r="E301" s="28" t="s">
        <v>220</v>
      </c>
      <c r="F301" s="29" t="s">
        <v>36</v>
      </c>
      <c r="G301" s="29">
        <v>400.0</v>
      </c>
      <c r="H301" s="38">
        <v>400.0</v>
      </c>
      <c r="I301" s="21" t="str">
        <f t="shared" si="1"/>
        <v/>
      </c>
      <c r="J301" s="21" t="str">
        <f>IF(OR(L301="entregado",K301="despacho"),"", IF(AND(ELABORACION!F301&lt;&gt;"-",ELABORACION!F301&lt;&gt;"PENDIENTE ELAB"),"en proceso",""))</f>
        <v/>
      </c>
      <c r="K301" s="21" t="str">
        <f>IF(L301="entregado","",IF(EXPEDICION!L301="listo para entregar","despacho",""))</f>
        <v/>
      </c>
      <c r="L301" s="21" t="str">
        <f>IF(EXPEDICION!L301="entregado", "entregado", "")</f>
        <v>entregado</v>
      </c>
      <c r="M301" s="32" t="str">
        <f>EXPEDICION!M301</f>
        <v>A26005</v>
      </c>
    </row>
    <row r="302" ht="15.75" customHeight="1">
      <c r="A302" s="41">
        <v>26104.0</v>
      </c>
      <c r="B302" s="33">
        <v>46156.0</v>
      </c>
      <c r="C302" s="41">
        <v>797.0</v>
      </c>
      <c r="D302" s="36" t="s">
        <v>52</v>
      </c>
      <c r="E302" s="36" t="s">
        <v>336</v>
      </c>
      <c r="F302" s="35" t="s">
        <v>36</v>
      </c>
      <c r="G302" s="35">
        <v>400.0</v>
      </c>
      <c r="H302" s="37">
        <v>400.0</v>
      </c>
      <c r="I302" s="21" t="str">
        <f t="shared" si="1"/>
        <v/>
      </c>
      <c r="J302" s="21" t="str">
        <f>IF(OR(L302="entregado",K302="despacho"),"", IF(AND(ELABORACION!F302&lt;&gt;"-",ELABORACION!F302&lt;&gt;"PENDIENTE ELAB"),"en proceso",""))</f>
        <v/>
      </c>
      <c r="K302" s="21" t="str">
        <f>IF(L302="entregado","",IF(EXPEDICION!L302="listo para entregar","despacho",""))</f>
        <v/>
      </c>
      <c r="L302" s="21" t="str">
        <f>IF(EXPEDICION!L302="entregado", "entregado", "")</f>
        <v>entregado</v>
      </c>
      <c r="M302" s="32" t="str">
        <f>EXPEDICION!M302</f>
        <v>A26006</v>
      </c>
    </row>
    <row r="303" ht="15.75" customHeight="1">
      <c r="A303" s="42">
        <v>26105.0</v>
      </c>
      <c r="B303" s="30">
        <v>46156.0</v>
      </c>
      <c r="C303" s="42">
        <v>15246.0</v>
      </c>
      <c r="D303" s="28" t="s">
        <v>15</v>
      </c>
      <c r="E303" s="28" t="s">
        <v>337</v>
      </c>
      <c r="F303" s="29" t="s">
        <v>36</v>
      </c>
      <c r="G303" s="29">
        <v>5000.0</v>
      </c>
      <c r="H303" s="38">
        <v>40.0</v>
      </c>
      <c r="I303" s="21" t="str">
        <f t="shared" si="1"/>
        <v/>
      </c>
      <c r="J303" s="21" t="str">
        <f>IF(OR(L303="entregado",K303="despacho"),"", IF(AND(ELABORACION!F303&lt;&gt;"-",ELABORACION!F303&lt;&gt;"PENDIENTE ELAB"),"en proceso",""))</f>
        <v/>
      </c>
      <c r="K303" s="21" t="str">
        <f>IF(L303="entregado","",IF(EXPEDICION!L303="listo para entregar","despacho",""))</f>
        <v/>
      </c>
      <c r="L303" s="21" t="str">
        <f>IF(EXPEDICION!L303="entregado", "entregado", "")</f>
        <v>entregado</v>
      </c>
      <c r="M303" s="32">
        <f>EXPEDICION!M303</f>
        <v>270504</v>
      </c>
    </row>
    <row r="304" ht="15.75" customHeight="1">
      <c r="A304" s="41">
        <v>26105.0</v>
      </c>
      <c r="B304" s="33">
        <v>46156.0</v>
      </c>
      <c r="C304" s="41">
        <v>15246.0</v>
      </c>
      <c r="D304" s="36" t="s">
        <v>15</v>
      </c>
      <c r="E304" s="36" t="s">
        <v>338</v>
      </c>
      <c r="F304" s="35" t="s">
        <v>36</v>
      </c>
      <c r="G304" s="35">
        <v>5000.0</v>
      </c>
      <c r="H304" s="37">
        <v>40.0</v>
      </c>
      <c r="I304" s="21" t="str">
        <f t="shared" si="1"/>
        <v/>
      </c>
      <c r="J304" s="21" t="str">
        <f>IF(OR(L304="entregado",K304="despacho"),"", IF(AND(ELABORACION!F304&lt;&gt;"-",ELABORACION!F304&lt;&gt;"PENDIENTE ELAB"),"en proceso",""))</f>
        <v/>
      </c>
      <c r="K304" s="21" t="str">
        <f>IF(L304="entregado","",IF(EXPEDICION!L304="listo para entregar","despacho",""))</f>
        <v/>
      </c>
      <c r="L304" s="21" t="str">
        <f>IF(EXPEDICION!L304="entregado", "entregado", "")</f>
        <v>entregado</v>
      </c>
      <c r="M304" s="32">
        <f>EXPEDICION!M304</f>
        <v>260501</v>
      </c>
    </row>
    <row r="305" ht="15.75" customHeight="1">
      <c r="A305" s="42">
        <v>26106.0</v>
      </c>
      <c r="B305" s="30">
        <v>46156.0</v>
      </c>
      <c r="C305" s="16"/>
      <c r="D305" s="28" t="s">
        <v>339</v>
      </c>
      <c r="E305" s="28" t="s">
        <v>340</v>
      </c>
      <c r="F305" s="29" t="s">
        <v>12</v>
      </c>
      <c r="G305" s="29">
        <v>500.0</v>
      </c>
      <c r="H305" s="38">
        <v>30.0</v>
      </c>
      <c r="I305" s="21" t="str">
        <f t="shared" si="1"/>
        <v/>
      </c>
      <c r="J305" s="21" t="str">
        <f>IF(OR(L305="entregado",K305="despacho"),"", IF(AND(ELABORACION!F305&lt;&gt;"-",ELABORACION!F305&lt;&gt;"PENDIENTE ELAB"),"en proceso",""))</f>
        <v>en proceso</v>
      </c>
      <c r="K305" s="21" t="str">
        <f>IF(L305="entregado","",IF(EXPEDICION!L305="listo para entregar","despacho",""))</f>
        <v/>
      </c>
      <c r="L305" s="21" t="str">
        <f>IF(EXPEDICION!L305="entregado", "entregado", "")</f>
        <v/>
      </c>
      <c r="M305" s="32" t="str">
        <f>EXPEDICION!M305</f>
        <v/>
      </c>
    </row>
    <row r="306" ht="15.75" customHeight="1">
      <c r="A306" s="41">
        <v>26107.0</v>
      </c>
      <c r="B306" s="33">
        <v>46157.0</v>
      </c>
      <c r="C306" s="23"/>
      <c r="D306" s="36" t="s">
        <v>135</v>
      </c>
      <c r="E306" s="36" t="s">
        <v>341</v>
      </c>
      <c r="F306" s="35" t="s">
        <v>12</v>
      </c>
      <c r="G306" s="35">
        <v>3000.0</v>
      </c>
      <c r="H306" s="37">
        <v>15.0</v>
      </c>
      <c r="I306" s="21" t="str">
        <f t="shared" si="1"/>
        <v/>
      </c>
      <c r="J306" s="21" t="str">
        <f>IF(OR(L306="entregado",K306="despacho"),"", IF(AND(ELABORACION!F306&lt;&gt;"-",ELABORACION!F306&lt;&gt;"PENDIENTE ELAB"),"en proceso",""))</f>
        <v/>
      </c>
      <c r="K306" s="21" t="str">
        <f>IF(L306="entregado","",IF(EXPEDICION!L306="listo para entregar","despacho",""))</f>
        <v/>
      </c>
      <c r="L306" s="21" t="str">
        <f>IF(EXPEDICION!L306="entregado", "entregado", "")</f>
        <v>entregado</v>
      </c>
      <c r="M306" s="32" t="str">
        <f>EXPEDICION!M306</f>
        <v>Y26049</v>
      </c>
    </row>
    <row r="307" ht="15.75" customHeight="1">
      <c r="A307" s="42">
        <v>26107.0</v>
      </c>
      <c r="B307" s="30">
        <v>46157.0</v>
      </c>
      <c r="C307" s="16"/>
      <c r="D307" s="28" t="s">
        <v>135</v>
      </c>
      <c r="E307" s="28" t="s">
        <v>342</v>
      </c>
      <c r="F307" s="29" t="s">
        <v>12</v>
      </c>
      <c r="G307" s="29">
        <v>2000.0</v>
      </c>
      <c r="H307" s="38">
        <v>30.0</v>
      </c>
      <c r="I307" s="21" t="str">
        <f t="shared" si="1"/>
        <v/>
      </c>
      <c r="J307" s="21" t="str">
        <f>IF(OR(L307="entregado",K307="despacho"),"", IF(AND(ELABORACION!F307&lt;&gt;"-",ELABORACION!F307&lt;&gt;"PENDIENTE ELAB"),"en proceso",""))</f>
        <v/>
      </c>
      <c r="K307" s="21" t="str">
        <f>IF(L307="entregado","",IF(EXPEDICION!L307="listo para entregar","despacho",""))</f>
        <v/>
      </c>
      <c r="L307" s="21" t="str">
        <f>IF(EXPEDICION!L307="entregado", "entregado", "")</f>
        <v>entregado</v>
      </c>
      <c r="M307" s="32" t="str">
        <f>EXPEDICION!M307</f>
        <v>Y26050</v>
      </c>
    </row>
    <row r="308" ht="15.75" customHeight="1">
      <c r="A308" s="41">
        <v>26108.0</v>
      </c>
      <c r="B308" s="33">
        <v>46157.0</v>
      </c>
      <c r="C308" s="41">
        <v>15294.0</v>
      </c>
      <c r="D308" s="36" t="s">
        <v>15</v>
      </c>
      <c r="E308" s="36" t="s">
        <v>202</v>
      </c>
      <c r="F308" s="35" t="s">
        <v>36</v>
      </c>
      <c r="G308" s="35">
        <v>2000.0</v>
      </c>
      <c r="H308" s="37">
        <v>30.0</v>
      </c>
      <c r="I308" s="21" t="str">
        <f t="shared" si="1"/>
        <v/>
      </c>
      <c r="J308" s="21" t="str">
        <f>IF(OR(L308="entregado",K308="despacho"),"", IF(AND(ELABORACION!F308&lt;&gt;"-",ELABORACION!F308&lt;&gt;"PENDIENTE ELAB"),"en proceso",""))</f>
        <v/>
      </c>
      <c r="K308" s="21" t="str">
        <f>IF(L308="entregado","",IF(EXPEDICION!L308="listo para entregar","despacho",""))</f>
        <v/>
      </c>
      <c r="L308" s="21" t="str">
        <f>IF(EXPEDICION!L308="entregado", "entregado", "")</f>
        <v>entregado</v>
      </c>
      <c r="M308" s="32">
        <f>EXPEDICION!M308</f>
        <v>10601</v>
      </c>
    </row>
    <row r="309" ht="15.75" customHeight="1">
      <c r="A309" s="42">
        <v>26108.0</v>
      </c>
      <c r="B309" s="30">
        <v>46157.0</v>
      </c>
      <c r="C309" s="42">
        <v>15294.0</v>
      </c>
      <c r="D309" s="28" t="s">
        <v>15</v>
      </c>
      <c r="E309" s="28" t="s">
        <v>203</v>
      </c>
      <c r="F309" s="29" t="s">
        <v>36</v>
      </c>
      <c r="G309" s="29">
        <v>2000.0</v>
      </c>
      <c r="H309" s="38">
        <v>30.0</v>
      </c>
      <c r="I309" s="21" t="str">
        <f t="shared" si="1"/>
        <v/>
      </c>
      <c r="J309" s="21" t="str">
        <f>IF(OR(L309="entregado",K309="despacho"),"", IF(AND(ELABORACION!F309&lt;&gt;"-",ELABORACION!F309&lt;&gt;"PENDIENTE ELAB"),"en proceso",""))</f>
        <v/>
      </c>
      <c r="K309" s="21" t="str">
        <f>IF(L309="entregado","",IF(EXPEDICION!L309="listo para entregar","despacho",""))</f>
        <v/>
      </c>
      <c r="L309" s="21" t="str">
        <f>IF(EXPEDICION!L309="entregado", "entregado", "")</f>
        <v>entregado</v>
      </c>
      <c r="M309" s="32">
        <f>EXPEDICION!M309</f>
        <v>290501</v>
      </c>
    </row>
    <row r="310" ht="15.75" customHeight="1">
      <c r="A310" s="41">
        <v>26109.0</v>
      </c>
      <c r="B310" s="33">
        <v>46157.0</v>
      </c>
      <c r="C310" s="23"/>
      <c r="D310" s="36" t="s">
        <v>87</v>
      </c>
      <c r="E310" s="36" t="s">
        <v>82</v>
      </c>
      <c r="F310" s="35" t="s">
        <v>36</v>
      </c>
      <c r="G310" s="35">
        <v>300.0</v>
      </c>
      <c r="H310" s="37">
        <v>1000.0</v>
      </c>
      <c r="I310" s="21" t="str">
        <f t="shared" si="1"/>
        <v/>
      </c>
      <c r="J310" s="21" t="str">
        <f>IF(OR(L310="entregado",K310="despacho"),"", IF(AND(ELABORACION!F310&lt;&gt;"-",ELABORACION!F310&lt;&gt;"PENDIENTE ELAB"),"en proceso",""))</f>
        <v>en proceso</v>
      </c>
      <c r="K310" s="21" t="str">
        <f>IF(L310="entregado","",IF(EXPEDICION!L310="listo para entregar","despacho",""))</f>
        <v/>
      </c>
      <c r="L310" s="21" t="str">
        <f>IF(EXPEDICION!L310="entregado", "entregado", "")</f>
        <v/>
      </c>
      <c r="M310" s="32" t="str">
        <f>EXPEDICION!M310</f>
        <v/>
      </c>
    </row>
    <row r="311" ht="15.75" customHeight="1">
      <c r="A311" s="42">
        <v>26109.0</v>
      </c>
      <c r="B311" s="30">
        <v>46157.0</v>
      </c>
      <c r="C311" s="16"/>
      <c r="D311" s="28" t="s">
        <v>87</v>
      </c>
      <c r="E311" s="28" t="s">
        <v>343</v>
      </c>
      <c r="F311" s="29" t="s">
        <v>36</v>
      </c>
      <c r="G311" s="29">
        <v>100.0</v>
      </c>
      <c r="H311" s="38">
        <v>1000.0</v>
      </c>
      <c r="I311" s="21" t="str">
        <f t="shared" si="1"/>
        <v/>
      </c>
      <c r="J311" s="21" t="str">
        <f>IF(OR(L311="entregado",K311="despacho"),"", IF(AND(ELABORACION!F311&lt;&gt;"-",ELABORACION!F311&lt;&gt;"PENDIENTE ELAB"),"en proceso",""))</f>
        <v>en proceso</v>
      </c>
      <c r="K311" s="21" t="str">
        <f>IF(L311="entregado","",IF(EXPEDICION!L311="listo para entregar","despacho",""))</f>
        <v/>
      </c>
      <c r="L311" s="21" t="str">
        <f>IF(EXPEDICION!L311="entregado", "entregado", "")</f>
        <v/>
      </c>
      <c r="M311" s="32" t="str">
        <f>EXPEDICION!M311</f>
        <v/>
      </c>
    </row>
    <row r="312" ht="15.75" customHeight="1">
      <c r="A312" s="41">
        <v>26110.0</v>
      </c>
      <c r="B312" s="33">
        <v>46163.0</v>
      </c>
      <c r="C312" s="41">
        <v>803.0</v>
      </c>
      <c r="D312" s="36" t="s">
        <v>52</v>
      </c>
      <c r="E312" s="36" t="s">
        <v>344</v>
      </c>
      <c r="F312" s="35" t="s">
        <v>12</v>
      </c>
      <c r="G312" s="35">
        <v>700.0</v>
      </c>
      <c r="H312" s="37">
        <v>300.0</v>
      </c>
      <c r="I312" s="21" t="str">
        <f t="shared" si="1"/>
        <v/>
      </c>
      <c r="J312" s="21" t="str">
        <f>IF(OR(L312="entregado",K312="despacho"),"", IF(AND(ELABORACION!F312&lt;&gt;"-",ELABORACION!F312&lt;&gt;"PENDIENTE ELAB"),"en proceso",""))</f>
        <v/>
      </c>
      <c r="K312" s="21" t="str">
        <f>IF(L312="entregado","",IF(EXPEDICION!L312="listo para entregar","despacho",""))</f>
        <v/>
      </c>
      <c r="L312" s="21" t="str">
        <f>IF(EXPEDICION!L312="entregado", "entregado", "")</f>
        <v>entregado</v>
      </c>
      <c r="M312" s="32" t="str">
        <f>EXPEDICION!M312</f>
        <v>Y26063</v>
      </c>
    </row>
    <row r="313" ht="15.75" customHeight="1">
      <c r="A313" s="42">
        <v>26111.0</v>
      </c>
      <c r="B313" s="30">
        <v>46163.0</v>
      </c>
      <c r="C313" s="16"/>
      <c r="D313" s="28" t="s">
        <v>345</v>
      </c>
      <c r="E313" s="28" t="s">
        <v>346</v>
      </c>
      <c r="F313" s="29" t="s">
        <v>12</v>
      </c>
      <c r="G313" s="29">
        <v>1500.0</v>
      </c>
      <c r="H313" s="38">
        <v>5.0</v>
      </c>
      <c r="I313" s="21" t="str">
        <f t="shared" si="1"/>
        <v/>
      </c>
      <c r="J313" s="21" t="str">
        <f>IF(OR(L313="entregado",K313="despacho"),"", IF(AND(ELABORACION!F313&lt;&gt;"-",ELABORACION!F313&lt;&gt;"PENDIENTE ELAB"),"en proceso",""))</f>
        <v>en proceso</v>
      </c>
      <c r="K313" s="21" t="str">
        <f>IF(L313="entregado","",IF(EXPEDICION!L313="listo para entregar","despacho",""))</f>
        <v/>
      </c>
      <c r="L313" s="21" t="str">
        <f>IF(EXPEDICION!L313="entregado", "entregado", "")</f>
        <v/>
      </c>
      <c r="M313" s="32" t="str">
        <f>EXPEDICION!M313</f>
        <v/>
      </c>
    </row>
    <row r="314" ht="15.75" customHeight="1">
      <c r="A314" s="41">
        <v>26111.0</v>
      </c>
      <c r="B314" s="33">
        <v>46163.0</v>
      </c>
      <c r="C314" s="23"/>
      <c r="D314" s="36" t="s">
        <v>345</v>
      </c>
      <c r="E314" s="36" t="s">
        <v>347</v>
      </c>
      <c r="F314" s="35" t="s">
        <v>12</v>
      </c>
      <c r="G314" s="35">
        <v>1000.0</v>
      </c>
      <c r="H314" s="37">
        <v>30.0</v>
      </c>
      <c r="I314" s="21" t="str">
        <f t="shared" si="1"/>
        <v/>
      </c>
      <c r="J314" s="21" t="str">
        <f>IF(OR(L314="entregado",K314="despacho"),"", IF(AND(ELABORACION!F314&lt;&gt;"-",ELABORACION!F314&lt;&gt;"PENDIENTE ELAB"),"en proceso",""))</f>
        <v>en proceso</v>
      </c>
      <c r="K314" s="21" t="str">
        <f>IF(L314="entregado","",IF(EXPEDICION!L314="listo para entregar","despacho",""))</f>
        <v/>
      </c>
      <c r="L314" s="21" t="str">
        <f>IF(EXPEDICION!L314="entregado", "entregado", "")</f>
        <v/>
      </c>
      <c r="M314" s="32" t="str">
        <f>EXPEDICION!M314</f>
        <v/>
      </c>
    </row>
    <row r="315" ht="15.75" customHeight="1">
      <c r="A315" s="42">
        <v>26112.0</v>
      </c>
      <c r="B315" s="30">
        <v>46163.0</v>
      </c>
      <c r="C315" s="16"/>
      <c r="D315" s="28" t="s">
        <v>183</v>
      </c>
      <c r="E315" s="28" t="s">
        <v>187</v>
      </c>
      <c r="F315" s="29" t="s">
        <v>36</v>
      </c>
      <c r="G315" s="29">
        <v>1600.0</v>
      </c>
      <c r="H315" s="38">
        <v>50.0</v>
      </c>
      <c r="I315" s="21" t="str">
        <f t="shared" si="1"/>
        <v/>
      </c>
      <c r="J315" s="21" t="str">
        <f>IF(OR(L315="entregado",K315="despacho"),"", IF(AND(ELABORACION!F315&lt;&gt;"-",ELABORACION!F315&lt;&gt;"PENDIENTE ELAB"),"en proceso",""))</f>
        <v/>
      </c>
      <c r="K315" s="21" t="str">
        <f>IF(L315="entregado","",IF(EXPEDICION!L315="listo para entregar","despacho",""))</f>
        <v/>
      </c>
      <c r="L315" s="21" t="str">
        <f>IF(EXPEDICION!L315="entregado", "entregado", "")</f>
        <v>entregado</v>
      </c>
      <c r="M315" s="32" t="str">
        <f>EXPEDICION!M315</f>
        <v>Y26051</v>
      </c>
    </row>
    <row r="316" ht="15.75" customHeight="1">
      <c r="A316" s="41">
        <v>26113.0</v>
      </c>
      <c r="B316" s="33">
        <v>46163.0</v>
      </c>
      <c r="C316" s="23"/>
      <c r="D316" s="36" t="s">
        <v>158</v>
      </c>
      <c r="E316" s="36" t="s">
        <v>205</v>
      </c>
      <c r="F316" s="35" t="s">
        <v>12</v>
      </c>
      <c r="G316" s="35">
        <v>500.0</v>
      </c>
      <c r="H316" s="37">
        <v>10.0</v>
      </c>
      <c r="I316" s="21" t="str">
        <f t="shared" si="1"/>
        <v/>
      </c>
      <c r="J316" s="21" t="str">
        <f>IF(OR(L316="entregado",K316="despacho"),"", IF(AND(ELABORACION!F316&lt;&gt;"-",ELABORACION!F316&lt;&gt;"PENDIENTE ELAB"),"en proceso",""))</f>
        <v/>
      </c>
      <c r="K316" s="21" t="str">
        <f>IF(L316="entregado","",IF(EXPEDICION!L316="listo para entregar","despacho",""))</f>
        <v/>
      </c>
      <c r="L316" s="21" t="str">
        <f>IF(EXPEDICION!L316="entregado", "entregado", "")</f>
        <v>entregado</v>
      </c>
      <c r="M316" s="32" t="str">
        <f>EXPEDICION!M316</f>
        <v>Y26053</v>
      </c>
    </row>
    <row r="317" ht="15.75" customHeight="1">
      <c r="A317" s="42">
        <v>26113.0</v>
      </c>
      <c r="B317" s="30">
        <v>46163.0</v>
      </c>
      <c r="C317" s="16"/>
      <c r="D317" s="36" t="s">
        <v>158</v>
      </c>
      <c r="E317" s="28" t="s">
        <v>159</v>
      </c>
      <c r="F317" s="29" t="s">
        <v>12</v>
      </c>
      <c r="G317" s="29">
        <v>500.0</v>
      </c>
      <c r="H317" s="38">
        <v>10.0</v>
      </c>
      <c r="I317" s="21" t="str">
        <f t="shared" si="1"/>
        <v/>
      </c>
      <c r="J317" s="21" t="str">
        <f>IF(OR(L317="entregado",K317="despacho"),"", IF(AND(ELABORACION!F317&lt;&gt;"-",ELABORACION!F317&lt;&gt;"PENDIENTE ELAB"),"en proceso",""))</f>
        <v/>
      </c>
      <c r="K317" s="21" t="str">
        <f>IF(L317="entregado","",IF(EXPEDICION!L317="listo para entregar","despacho",""))</f>
        <v/>
      </c>
      <c r="L317" s="21" t="str">
        <f>IF(EXPEDICION!L317="entregado", "entregado", "")</f>
        <v>entregado</v>
      </c>
      <c r="M317" s="32" t="str">
        <f>EXPEDICION!M317</f>
        <v>A26021</v>
      </c>
    </row>
    <row r="318" ht="15.75" customHeight="1">
      <c r="A318" s="41">
        <v>26113.0</v>
      </c>
      <c r="B318" s="33">
        <v>46163.0</v>
      </c>
      <c r="C318" s="23"/>
      <c r="D318" s="36" t="s">
        <v>158</v>
      </c>
      <c r="E318" s="36" t="s">
        <v>163</v>
      </c>
      <c r="F318" s="35" t="s">
        <v>12</v>
      </c>
      <c r="G318" s="35">
        <v>500.0</v>
      </c>
      <c r="H318" s="37">
        <v>10.0</v>
      </c>
      <c r="I318" s="21" t="str">
        <f t="shared" si="1"/>
        <v/>
      </c>
      <c r="J318" s="21" t="str">
        <f>IF(OR(L318="entregado",K318="despacho"),"", IF(AND(ELABORACION!F318&lt;&gt;"-",ELABORACION!F318&lt;&gt;"PENDIENTE ELAB"),"en proceso",""))</f>
        <v/>
      </c>
      <c r="K318" s="21" t="str">
        <f>IF(L318="entregado","",IF(EXPEDICION!L318="listo para entregar","despacho",""))</f>
        <v/>
      </c>
      <c r="L318" s="21" t="str">
        <f>IF(EXPEDICION!L318="entregado", "entregado", "")</f>
        <v>entregado</v>
      </c>
      <c r="M318" s="32" t="str">
        <f>EXPEDICION!M318</f>
        <v>A26035</v>
      </c>
    </row>
    <row r="319" ht="15.75" customHeight="1">
      <c r="A319" s="42">
        <v>26113.0</v>
      </c>
      <c r="B319" s="30">
        <v>46163.0</v>
      </c>
      <c r="C319" s="16"/>
      <c r="D319" s="36" t="s">
        <v>158</v>
      </c>
      <c r="E319" s="28" t="s">
        <v>348</v>
      </c>
      <c r="F319" s="29" t="s">
        <v>12</v>
      </c>
      <c r="G319" s="29">
        <v>500.0</v>
      </c>
      <c r="H319" s="38">
        <v>250.0</v>
      </c>
      <c r="I319" s="21" t="str">
        <f t="shared" si="1"/>
        <v/>
      </c>
      <c r="J319" s="21" t="str">
        <f>IF(OR(L319="entregado",K319="despacho"),"", IF(AND(ELABORACION!F319&lt;&gt;"-",ELABORACION!F319&lt;&gt;"PENDIENTE ELAB"),"en proceso",""))</f>
        <v/>
      </c>
      <c r="K319" s="21" t="str">
        <f>IF(L319="entregado","",IF(EXPEDICION!L319="listo para entregar","despacho",""))</f>
        <v>despacho</v>
      </c>
      <c r="L319" s="21" t="str">
        <f>IF(EXPEDICION!L319="entregado", "entregado", "")</f>
        <v/>
      </c>
      <c r="M319" s="32" t="str">
        <f>EXPEDICION!M319</f>
        <v>Y26052</v>
      </c>
    </row>
    <row r="320" ht="15.75" customHeight="1">
      <c r="A320" s="41">
        <v>26113.0</v>
      </c>
      <c r="B320" s="33">
        <v>46163.0</v>
      </c>
      <c r="C320" s="23"/>
      <c r="D320" s="36" t="s">
        <v>158</v>
      </c>
      <c r="E320" s="36" t="s">
        <v>252</v>
      </c>
      <c r="F320" s="35" t="s">
        <v>12</v>
      </c>
      <c r="G320" s="35">
        <v>500.0</v>
      </c>
      <c r="H320" s="37">
        <v>10.0</v>
      </c>
      <c r="I320" s="21" t="str">
        <f t="shared" si="1"/>
        <v/>
      </c>
      <c r="J320" s="21" t="str">
        <f>IF(OR(L320="entregado",K320="despacho"),"", IF(AND(ELABORACION!F320&lt;&gt;"-",ELABORACION!F320&lt;&gt;"PENDIENTE ELAB"),"en proceso",""))</f>
        <v/>
      </c>
      <c r="K320" s="21" t="str">
        <f>IF(L320="entregado","",IF(EXPEDICION!L320="listo para entregar","despacho",""))</f>
        <v/>
      </c>
      <c r="L320" s="21" t="str">
        <f>IF(EXPEDICION!L320="entregado", "entregado", "")</f>
        <v>entregado</v>
      </c>
      <c r="M320" s="32" t="str">
        <f>EXPEDICION!M320</f>
        <v>A26057</v>
      </c>
    </row>
    <row r="321" ht="15.75" customHeight="1">
      <c r="A321" s="42">
        <v>26114.0</v>
      </c>
      <c r="B321" s="30">
        <v>46168.0</v>
      </c>
      <c r="C321" s="42">
        <v>15303.0</v>
      </c>
      <c r="D321" s="28" t="s">
        <v>15</v>
      </c>
      <c r="E321" s="28" t="s">
        <v>349</v>
      </c>
      <c r="F321" s="29" t="s">
        <v>36</v>
      </c>
      <c r="G321" s="29">
        <v>3300.0</v>
      </c>
      <c r="H321" s="38">
        <v>160.0</v>
      </c>
      <c r="I321" s="21" t="str">
        <f t="shared" si="1"/>
        <v/>
      </c>
      <c r="J321" s="21" t="str">
        <f>IF(OR(L321="entregado",K321="despacho"),"", IF(AND(ELABORACION!F321&lt;&gt;"-",ELABORACION!F321&lt;&gt;"PENDIENTE ELAB"),"en proceso",""))</f>
        <v/>
      </c>
      <c r="K321" s="21" t="str">
        <f>IF(L321="entregado","",IF(EXPEDICION!L321="listo para entregar","despacho",""))</f>
        <v/>
      </c>
      <c r="L321" s="21" t="str">
        <f>IF(EXPEDICION!L321="entregado", "entregado", "")</f>
        <v>entregado</v>
      </c>
      <c r="M321" s="32" t="str">
        <f>EXPEDICION!M321</f>
        <v>J26009</v>
      </c>
    </row>
    <row r="322" ht="15.75" customHeight="1">
      <c r="A322" s="41">
        <v>26115.0</v>
      </c>
      <c r="B322" s="33">
        <v>46160.0</v>
      </c>
      <c r="C322" s="23"/>
      <c r="D322" s="36" t="s">
        <v>46</v>
      </c>
      <c r="E322" s="36" t="s">
        <v>350</v>
      </c>
      <c r="F322" s="35" t="s">
        <v>36</v>
      </c>
      <c r="G322" s="35">
        <v>500.0</v>
      </c>
      <c r="H322" s="37">
        <v>100.0</v>
      </c>
      <c r="I322" s="21" t="str">
        <f t="shared" si="1"/>
        <v/>
      </c>
      <c r="J322" s="21" t="str">
        <f>IF(OR(L322="entregado",K322="despacho"),"", IF(AND(ELABORACION!F322&lt;&gt;"-",ELABORACION!F322&lt;&gt;"PENDIENTE ELAB"),"en proceso",""))</f>
        <v/>
      </c>
      <c r="K322" s="21" t="str">
        <f>IF(L322="entregado","",IF(EXPEDICION!L322="listo para entregar","despacho",""))</f>
        <v/>
      </c>
      <c r="L322" s="21" t="str">
        <f>IF(EXPEDICION!L322="entregado", "entregado", "")</f>
        <v>entregado</v>
      </c>
      <c r="M322" s="32">
        <f>EXPEDICION!M322</f>
        <v>110601</v>
      </c>
    </row>
    <row r="323" ht="15.75" customHeight="1">
      <c r="A323" s="42">
        <v>26116.0</v>
      </c>
      <c r="B323" s="30">
        <v>46169.0</v>
      </c>
      <c r="C323" s="16"/>
      <c r="D323" s="28" t="s">
        <v>192</v>
      </c>
      <c r="E323" s="18" t="s">
        <v>218</v>
      </c>
      <c r="F323" s="29" t="s">
        <v>12</v>
      </c>
      <c r="G323" s="29">
        <v>1000.0</v>
      </c>
      <c r="H323" s="38">
        <v>30.0</v>
      </c>
      <c r="I323" s="21" t="str">
        <f t="shared" si="1"/>
        <v/>
      </c>
      <c r="J323" s="21" t="str">
        <f>IF(OR(L323="entregado",K323="despacho"),"", IF(AND(ELABORACION!F323&lt;&gt;"-",ELABORACION!F323&lt;&gt;"PENDIENTE ELAB"),"en proceso",""))</f>
        <v/>
      </c>
      <c r="K323" s="21" t="str">
        <f>IF(L323="entregado","",IF(EXPEDICION!L323="listo para entregar","despacho",""))</f>
        <v/>
      </c>
      <c r="L323" s="21" t="str">
        <f>IF(EXPEDICION!L323="entregado", "entregado", "")</f>
        <v>entregado</v>
      </c>
      <c r="M323" s="32" t="str">
        <f>EXPEDICION!M323</f>
        <v>Y26044</v>
      </c>
    </row>
    <row r="324" ht="15.75" customHeight="1">
      <c r="A324" s="41">
        <v>26116.0</v>
      </c>
      <c r="B324" s="33">
        <v>46169.0</v>
      </c>
      <c r="C324" s="23"/>
      <c r="D324" s="36" t="s">
        <v>192</v>
      </c>
      <c r="E324" s="36" t="s">
        <v>351</v>
      </c>
      <c r="F324" s="35" t="s">
        <v>12</v>
      </c>
      <c r="G324" s="35">
        <v>1000.0</v>
      </c>
      <c r="H324" s="37">
        <v>150.0</v>
      </c>
      <c r="I324" s="21" t="str">
        <f t="shared" si="1"/>
        <v/>
      </c>
      <c r="J324" s="21" t="str">
        <f>IF(OR(L324="entregado",K324="despacho"),"", IF(AND(ELABORACION!F324&lt;&gt;"-",ELABORACION!F324&lt;&gt;"PENDIENTE ELAB"),"en proceso",""))</f>
        <v/>
      </c>
      <c r="K324" s="21" t="str">
        <f>IF(L324="entregado","",IF(EXPEDICION!L324="listo para entregar","despacho",""))</f>
        <v/>
      </c>
      <c r="L324" s="21" t="str">
        <f>IF(EXPEDICION!L324="entregado", "entregado", "")</f>
        <v>entregado</v>
      </c>
      <c r="M324" s="32" t="str">
        <f>EXPEDICION!M324</f>
        <v>Y26043</v>
      </c>
    </row>
    <row r="325" ht="15.75" customHeight="1">
      <c r="A325" s="42">
        <v>26117.0</v>
      </c>
      <c r="B325" s="30">
        <v>46170.0</v>
      </c>
      <c r="C325" s="16"/>
      <c r="D325" s="28" t="s">
        <v>352</v>
      </c>
      <c r="E325" s="28" t="s">
        <v>353</v>
      </c>
      <c r="F325" s="29" t="s">
        <v>36</v>
      </c>
      <c r="G325" s="29">
        <v>300.0</v>
      </c>
      <c r="H325" s="38">
        <v>250.0</v>
      </c>
      <c r="I325" s="21" t="str">
        <f t="shared" si="1"/>
        <v/>
      </c>
      <c r="J325" s="21" t="str">
        <f>IF(OR(L325="entregado",K325="despacho"),"", IF(AND(ELABORACION!F325&lt;&gt;"-",ELABORACION!F325&lt;&gt;"PENDIENTE ELAB"),"en proceso",""))</f>
        <v/>
      </c>
      <c r="K325" s="21" t="str">
        <f>IF(L325="entregado","",IF(EXPEDICION!L325="listo para entregar","despacho",""))</f>
        <v>despacho</v>
      </c>
      <c r="L325" s="21" t="str">
        <f>IF(EXPEDICION!L325="entregado", "entregado", "")</f>
        <v/>
      </c>
      <c r="M325" s="32" t="str">
        <f>EXPEDICION!M325</f>
        <v>J26002</v>
      </c>
    </row>
    <row r="326" ht="15.75" customHeight="1">
      <c r="A326" s="41">
        <v>26117.0</v>
      </c>
      <c r="B326" s="33">
        <v>46170.0</v>
      </c>
      <c r="C326" s="23"/>
      <c r="D326" s="36" t="s">
        <v>352</v>
      </c>
      <c r="E326" s="36" t="s">
        <v>353</v>
      </c>
      <c r="F326" s="35" t="s">
        <v>36</v>
      </c>
      <c r="G326" s="35">
        <v>500.0</v>
      </c>
      <c r="H326" s="37">
        <v>1000.0</v>
      </c>
      <c r="I326" s="21" t="str">
        <f t="shared" si="1"/>
        <v/>
      </c>
      <c r="J326" s="21" t="str">
        <f>IF(OR(L326="entregado",K326="despacho"),"", IF(AND(ELABORACION!F326&lt;&gt;"-",ELABORACION!F326&lt;&gt;"PENDIENTE ELAB"),"en proceso",""))</f>
        <v/>
      </c>
      <c r="K326" s="21" t="str">
        <f>IF(L326="entregado","",IF(EXPEDICION!L326="listo para entregar","despacho",""))</f>
        <v>despacho</v>
      </c>
      <c r="L326" s="21" t="str">
        <f>IF(EXPEDICION!L326="entregado", "entregado", "")</f>
        <v/>
      </c>
      <c r="M326" s="32" t="str">
        <f>EXPEDICION!M326</f>
        <v>J26002</v>
      </c>
    </row>
    <row r="327" ht="15.75" customHeight="1">
      <c r="A327" s="42">
        <v>26118.0</v>
      </c>
      <c r="B327" s="30">
        <v>46170.0</v>
      </c>
      <c r="C327" s="16"/>
      <c r="D327" s="28" t="s">
        <v>198</v>
      </c>
      <c r="E327" s="28" t="s">
        <v>354</v>
      </c>
      <c r="F327" s="29" t="s">
        <v>12</v>
      </c>
      <c r="G327" s="29">
        <v>1000.0</v>
      </c>
      <c r="H327" s="38">
        <v>15.0</v>
      </c>
      <c r="I327" s="21" t="str">
        <f t="shared" si="1"/>
        <v/>
      </c>
      <c r="J327" s="21" t="str">
        <f>IF(OR(L327="entregado",K327="despacho"),"", IF(AND(ELABORACION!F327&lt;&gt;"-",ELABORACION!F327&lt;&gt;"PENDIENTE ELAB"),"en proceso",""))</f>
        <v/>
      </c>
      <c r="K327" s="21" t="str">
        <f>IF(L327="entregado","",IF(EXPEDICION!L327="listo para entregar","despacho",""))</f>
        <v/>
      </c>
      <c r="L327" s="21" t="str">
        <f>IF(EXPEDICION!L327="entregado", "entregado", "")</f>
        <v>entregado</v>
      </c>
      <c r="M327" s="32" t="str">
        <f>EXPEDICION!M327</f>
        <v>Y26059</v>
      </c>
    </row>
    <row r="328" ht="15.75" customHeight="1">
      <c r="A328" s="41">
        <v>26119.0</v>
      </c>
      <c r="B328" s="33">
        <v>46174.0</v>
      </c>
      <c r="C328" s="41">
        <v>147.0</v>
      </c>
      <c r="D328" s="36" t="s">
        <v>150</v>
      </c>
      <c r="E328" s="36" t="s">
        <v>355</v>
      </c>
      <c r="F328" s="35" t="s">
        <v>12</v>
      </c>
      <c r="G328" s="35">
        <v>2000.0</v>
      </c>
      <c r="H328" s="37">
        <v>50.0</v>
      </c>
      <c r="I328" s="21" t="str">
        <f t="shared" si="1"/>
        <v/>
      </c>
      <c r="J328" s="21" t="str">
        <f>IF(OR(L328="entregado",K328="despacho"),"", IF(AND(ELABORACION!F328&lt;&gt;"-",ELABORACION!F328&lt;&gt;"PENDIENTE ELAB"),"en proceso",""))</f>
        <v/>
      </c>
      <c r="K328" s="21" t="str">
        <f>IF(L328="entregado","",IF(EXPEDICION!L328="listo para entregar","despacho",""))</f>
        <v/>
      </c>
      <c r="L328" s="21" t="str">
        <f>IF(EXPEDICION!L328="entregado", "entregado", "")</f>
        <v>entregado</v>
      </c>
      <c r="M328" s="32" t="str">
        <f>EXPEDICION!M328</f>
        <v>J26001</v>
      </c>
    </row>
    <row r="329" ht="15.75" customHeight="1">
      <c r="A329" s="42">
        <v>26119.0</v>
      </c>
      <c r="B329" s="30">
        <v>46174.0</v>
      </c>
      <c r="C329" s="42">
        <v>147.0</v>
      </c>
      <c r="D329" s="28" t="s">
        <v>150</v>
      </c>
      <c r="E329" s="18" t="s">
        <v>151</v>
      </c>
      <c r="F329" s="29" t="s">
        <v>36</v>
      </c>
      <c r="G329" s="29">
        <v>3000.0</v>
      </c>
      <c r="H329" s="38">
        <v>250.0</v>
      </c>
      <c r="I329" s="21" t="str">
        <f t="shared" si="1"/>
        <v/>
      </c>
      <c r="J329" s="21" t="str">
        <f>IF(OR(L329="entregado",K329="despacho"),"", IF(AND(ELABORACION!F329&lt;&gt;"-",ELABORACION!F329&lt;&gt;"PENDIENTE ELAB"),"en proceso",""))</f>
        <v/>
      </c>
      <c r="K329" s="21" t="str">
        <f>IF(L329="entregado","",IF(EXPEDICION!L329="listo para entregar","despacho",""))</f>
        <v/>
      </c>
      <c r="L329" s="21" t="str">
        <f>IF(EXPEDICION!L329="entregado", "entregado", "")</f>
        <v>entregado</v>
      </c>
      <c r="M329" s="32" t="str">
        <f>EXPEDICION!M329</f>
        <v>J26005</v>
      </c>
    </row>
    <row r="330" ht="15.75" customHeight="1">
      <c r="A330" s="41">
        <v>26120.0</v>
      </c>
      <c r="B330" s="33">
        <v>46174.0</v>
      </c>
      <c r="C330" s="41" t="s">
        <v>356</v>
      </c>
      <c r="D330" s="36" t="s">
        <v>20</v>
      </c>
      <c r="E330" s="36" t="s">
        <v>357</v>
      </c>
      <c r="F330" s="35" t="s">
        <v>36</v>
      </c>
      <c r="G330" s="35">
        <v>1000.0</v>
      </c>
      <c r="H330" s="37">
        <v>250.0</v>
      </c>
      <c r="I330" s="21" t="str">
        <f t="shared" si="1"/>
        <v/>
      </c>
      <c r="J330" s="21" t="str">
        <f>IF(OR(L330="entregado",K330="despacho"),"", IF(AND(ELABORACION!F330&lt;&gt;"-",ELABORACION!F330&lt;&gt;"PENDIENTE ELAB"),"en proceso",""))</f>
        <v/>
      </c>
      <c r="K330" s="21" t="str">
        <f>IF(L330="entregado","",IF(EXPEDICION!L330="listo para entregar","despacho",""))</f>
        <v/>
      </c>
      <c r="L330" s="21" t="str">
        <f>IF(EXPEDICION!L330="entregado", "entregado", "")</f>
        <v>entregado</v>
      </c>
      <c r="M330" s="32">
        <f>EXPEDICION!M330</f>
        <v>110602</v>
      </c>
    </row>
    <row r="331" ht="15.75" customHeight="1">
      <c r="A331" s="41">
        <v>26120.0</v>
      </c>
      <c r="B331" s="30">
        <v>46174.0</v>
      </c>
      <c r="C331" s="42" t="s">
        <v>356</v>
      </c>
      <c r="D331" s="28" t="s">
        <v>20</v>
      </c>
      <c r="E331" s="28" t="s">
        <v>358</v>
      </c>
      <c r="F331" s="29" t="s">
        <v>36</v>
      </c>
      <c r="G331" s="29">
        <v>1000.0</v>
      </c>
      <c r="H331" s="38">
        <v>50.0</v>
      </c>
      <c r="I331" s="21" t="str">
        <f t="shared" si="1"/>
        <v/>
      </c>
      <c r="J331" s="21" t="str">
        <f>IF(OR(L331="entregado",K331="despacho"),"", IF(AND(ELABORACION!F331&lt;&gt;"-",ELABORACION!F331&lt;&gt;"PENDIENTE ELAB"),"en proceso",""))</f>
        <v/>
      </c>
      <c r="K331" s="21" t="str">
        <f>IF(L331="entregado","",IF(EXPEDICION!L331="listo para entregar","despacho",""))</f>
        <v/>
      </c>
      <c r="L331" s="21" t="str">
        <f>IF(EXPEDICION!L331="entregado", "entregado", "")</f>
        <v>entregado</v>
      </c>
      <c r="M331" s="32">
        <f>EXPEDICION!M331</f>
        <v>100601</v>
      </c>
    </row>
    <row r="332" ht="15.75" customHeight="1">
      <c r="A332" s="41">
        <v>26120.0</v>
      </c>
      <c r="B332" s="33">
        <v>46174.0</v>
      </c>
      <c r="C332" s="41" t="s">
        <v>356</v>
      </c>
      <c r="D332" s="36" t="s">
        <v>20</v>
      </c>
      <c r="E332" s="36" t="s">
        <v>359</v>
      </c>
      <c r="F332" s="35" t="s">
        <v>36</v>
      </c>
      <c r="G332" s="35">
        <v>1000.0</v>
      </c>
      <c r="H332" s="37">
        <v>50.0</v>
      </c>
      <c r="I332" s="21" t="str">
        <f t="shared" si="1"/>
        <v/>
      </c>
      <c r="J332" s="21" t="str">
        <f>IF(OR(L332="entregado",K332="despacho"),"", IF(AND(ELABORACION!F332&lt;&gt;"-",ELABORACION!F332&lt;&gt;"PENDIENTE ELAB"),"en proceso",""))</f>
        <v/>
      </c>
      <c r="K332" s="21" t="str">
        <f>IF(L332="entregado","",IF(EXPEDICION!L332="listo para entregar","despacho",""))</f>
        <v/>
      </c>
      <c r="L332" s="21" t="str">
        <f>IF(EXPEDICION!L332="entregado", "entregado", "")</f>
        <v>entregado</v>
      </c>
      <c r="M332" s="32">
        <f>EXPEDICION!M332</f>
        <v>280502</v>
      </c>
    </row>
    <row r="333" ht="15.75" customHeight="1">
      <c r="A333" s="42">
        <v>26121.0</v>
      </c>
      <c r="B333" s="30">
        <v>46169.0</v>
      </c>
      <c r="C333" s="42" t="s">
        <v>360</v>
      </c>
      <c r="D333" s="28" t="s">
        <v>183</v>
      </c>
      <c r="E333" s="28" t="s">
        <v>185</v>
      </c>
      <c r="F333" s="29" t="s">
        <v>36</v>
      </c>
      <c r="G333" s="29">
        <v>4000.0</v>
      </c>
      <c r="H333" s="38">
        <v>400.0</v>
      </c>
      <c r="I333" s="21" t="str">
        <f t="shared" si="1"/>
        <v/>
      </c>
      <c r="J333" s="21" t="str">
        <f>IF(OR(L333="entregado",K333="despacho"),"", IF(AND(ELABORACION!F333&lt;&gt;"-",ELABORACION!F333&lt;&gt;"PENDIENTE ELAB"),"en proceso",""))</f>
        <v>en proceso</v>
      </c>
      <c r="K333" s="21" t="str">
        <f>IF(L333="entregado","",IF(EXPEDICION!L333="listo para entregar","despacho",""))</f>
        <v/>
      </c>
      <c r="L333" s="21" t="str">
        <f>IF(EXPEDICION!L333="entregado", "entregado", "")</f>
        <v/>
      </c>
      <c r="M333" s="32" t="str">
        <f>EXPEDICION!M333</f>
        <v/>
      </c>
    </row>
    <row r="334" ht="15.75" customHeight="1">
      <c r="A334" s="41">
        <v>26121.0</v>
      </c>
      <c r="B334" s="33">
        <v>46169.0</v>
      </c>
      <c r="C334" s="41" t="s">
        <v>360</v>
      </c>
      <c r="D334" s="36" t="s">
        <v>183</v>
      </c>
      <c r="E334" s="36" t="s">
        <v>186</v>
      </c>
      <c r="F334" s="35" t="s">
        <v>36</v>
      </c>
      <c r="G334" s="35">
        <v>2000.0</v>
      </c>
      <c r="H334" s="37">
        <v>400.0</v>
      </c>
      <c r="I334" s="21" t="str">
        <f t="shared" si="1"/>
        <v/>
      </c>
      <c r="J334" s="21" t="str">
        <f>IF(OR(L334="entregado",K334="despacho"),"", IF(AND(ELABORACION!F334&lt;&gt;"-",ELABORACION!F334&lt;&gt;"PENDIENTE ELAB"),"en proceso",""))</f>
        <v/>
      </c>
      <c r="K334" s="21" t="str">
        <f>IF(L334="entregado","",IF(EXPEDICION!L334="listo para entregar","despacho",""))</f>
        <v/>
      </c>
      <c r="L334" s="21" t="str">
        <f>IF(EXPEDICION!L334="entregado", "entregado", "")</f>
        <v>entregado</v>
      </c>
      <c r="M334" s="32" t="str">
        <f>EXPEDICION!M334</f>
        <v/>
      </c>
    </row>
    <row r="335" ht="15.75" customHeight="1">
      <c r="A335" s="42">
        <v>26121.0</v>
      </c>
      <c r="B335" s="30">
        <v>46169.0</v>
      </c>
      <c r="C335" s="42" t="s">
        <v>360</v>
      </c>
      <c r="D335" s="28" t="s">
        <v>183</v>
      </c>
      <c r="E335" s="28" t="s">
        <v>184</v>
      </c>
      <c r="F335" s="29" t="s">
        <v>36</v>
      </c>
      <c r="G335" s="29">
        <v>4000.0</v>
      </c>
      <c r="H335" s="38">
        <v>400.0</v>
      </c>
      <c r="I335" s="21" t="str">
        <f t="shared" si="1"/>
        <v/>
      </c>
      <c r="J335" s="21" t="str">
        <f>IF(OR(L335="entregado",K335="despacho"),"", IF(AND(ELABORACION!F335&lt;&gt;"-",ELABORACION!F335&lt;&gt;"PENDIENTE ELAB"),"en proceso",""))</f>
        <v>en proceso</v>
      </c>
      <c r="K335" s="21" t="str">
        <f>IF(L335="entregado","",IF(EXPEDICION!L335="listo para entregar","despacho",""))</f>
        <v/>
      </c>
      <c r="L335" s="21" t="str">
        <f>IF(EXPEDICION!L335="entregado", "entregado", "")</f>
        <v/>
      </c>
      <c r="M335" s="32" t="str">
        <f>EXPEDICION!M335</f>
        <v/>
      </c>
    </row>
    <row r="336" ht="15.75" customHeight="1">
      <c r="A336" s="41">
        <v>26122.0</v>
      </c>
      <c r="B336" s="33">
        <v>46181.0</v>
      </c>
      <c r="C336" s="41">
        <v>1090.0</v>
      </c>
      <c r="D336" s="36" t="s">
        <v>140</v>
      </c>
      <c r="E336" s="36" t="s">
        <v>361</v>
      </c>
      <c r="F336" s="35" t="s">
        <v>12</v>
      </c>
      <c r="G336" s="35">
        <v>300.0</v>
      </c>
      <c r="H336" s="37">
        <v>250.0</v>
      </c>
      <c r="I336" s="21" t="str">
        <f t="shared" si="1"/>
        <v/>
      </c>
      <c r="J336" s="21" t="str">
        <f>IF(OR(L336="entregado",K336="despacho"),"", IF(AND(ELABORACION!F336&lt;&gt;"-",ELABORACION!F336&lt;&gt;"PENDIENTE ELAB"),"en proceso",""))</f>
        <v/>
      </c>
      <c r="K336" s="21" t="str">
        <f>IF(L336="entregado","",IF(EXPEDICION!L336="listo para entregar","despacho",""))</f>
        <v>despacho</v>
      </c>
      <c r="L336" s="21" t="str">
        <f>IF(EXPEDICION!L336="entregado", "entregado", "")</f>
        <v/>
      </c>
      <c r="M336" s="32" t="str">
        <f>EXPEDICION!M336</f>
        <v>J26049</v>
      </c>
    </row>
    <row r="337" ht="15.75" customHeight="1">
      <c r="A337" s="42">
        <v>26122.0</v>
      </c>
      <c r="B337" s="30">
        <v>46181.0</v>
      </c>
      <c r="C337" s="42">
        <v>1090.0</v>
      </c>
      <c r="D337" s="28" t="s">
        <v>140</v>
      </c>
      <c r="E337" s="28" t="s">
        <v>362</v>
      </c>
      <c r="F337" s="29" t="s">
        <v>12</v>
      </c>
      <c r="G337" s="29">
        <v>300.0</v>
      </c>
      <c r="H337" s="38">
        <v>300.0</v>
      </c>
      <c r="I337" s="21" t="str">
        <f t="shared" si="1"/>
        <v/>
      </c>
      <c r="J337" s="21" t="str">
        <f>IF(OR(L337="entregado",K337="despacho"),"", IF(AND(ELABORACION!F337&lt;&gt;"-",ELABORACION!F337&lt;&gt;"PENDIENTE ELAB"),"en proceso",""))</f>
        <v>en proceso</v>
      </c>
      <c r="K337" s="21" t="str">
        <f>IF(L337="entregado","",IF(EXPEDICION!L337="listo para entregar","despacho",""))</f>
        <v/>
      </c>
      <c r="L337" s="21" t="str">
        <f>IF(EXPEDICION!L337="entregado", "entregado", "")</f>
        <v/>
      </c>
      <c r="M337" s="32" t="str">
        <f>EXPEDICION!M337</f>
        <v/>
      </c>
    </row>
    <row r="338" ht="15.75" customHeight="1">
      <c r="A338" s="41">
        <v>26122.0</v>
      </c>
      <c r="B338" s="33">
        <v>46181.0</v>
      </c>
      <c r="C338" s="41">
        <v>1090.0</v>
      </c>
      <c r="D338" s="36" t="s">
        <v>140</v>
      </c>
      <c r="E338" s="36" t="s">
        <v>363</v>
      </c>
      <c r="F338" s="35" t="s">
        <v>12</v>
      </c>
      <c r="G338" s="35">
        <v>300.0</v>
      </c>
      <c r="H338" s="37">
        <v>500.0</v>
      </c>
      <c r="I338" s="21" t="str">
        <f t="shared" si="1"/>
        <v/>
      </c>
      <c r="J338" s="21" t="str">
        <f>IF(OR(L338="entregado",K338="despacho"),"", IF(AND(ELABORACION!F338&lt;&gt;"-",ELABORACION!F338&lt;&gt;"PENDIENTE ELAB"),"en proceso",""))</f>
        <v/>
      </c>
      <c r="K338" s="21" t="str">
        <f>IF(L338="entregado","",IF(EXPEDICION!L338="listo para entregar","despacho",""))</f>
        <v>despacho</v>
      </c>
      <c r="L338" s="21" t="str">
        <f>IF(EXPEDICION!L338="entregado", "entregado", "")</f>
        <v/>
      </c>
      <c r="M338" s="32" t="str">
        <f>EXPEDICION!M338</f>
        <v>J26047</v>
      </c>
    </row>
    <row r="339" ht="15.75" customHeight="1">
      <c r="A339" s="42">
        <v>26122.0</v>
      </c>
      <c r="B339" s="30">
        <v>46181.0</v>
      </c>
      <c r="C339" s="42">
        <v>1090.0</v>
      </c>
      <c r="D339" s="28" t="s">
        <v>140</v>
      </c>
      <c r="E339" s="28" t="s">
        <v>364</v>
      </c>
      <c r="F339" s="29" t="s">
        <v>12</v>
      </c>
      <c r="G339" s="29">
        <v>300.0</v>
      </c>
      <c r="H339" s="38">
        <v>500.0</v>
      </c>
      <c r="I339" s="21" t="str">
        <f t="shared" si="1"/>
        <v/>
      </c>
      <c r="J339" s="21" t="str">
        <f>IF(OR(L339="entregado",K339="despacho"),"", IF(AND(ELABORACION!F339&lt;&gt;"-",ELABORACION!F339&lt;&gt;"PENDIENTE ELAB"),"en proceso",""))</f>
        <v/>
      </c>
      <c r="K339" s="21" t="str">
        <f>IF(L339="entregado","",IF(EXPEDICION!L339="listo para entregar","despacho",""))</f>
        <v>despacho</v>
      </c>
      <c r="L339" s="21" t="str">
        <f>IF(EXPEDICION!L339="entregado", "entregado", "")</f>
        <v/>
      </c>
      <c r="M339" s="32" t="str">
        <f>EXPEDICION!M339</f>
        <v>J26048</v>
      </c>
    </row>
    <row r="340" ht="15.75" customHeight="1">
      <c r="A340" s="41">
        <v>26123.0</v>
      </c>
      <c r="B340" s="33">
        <v>46178.0</v>
      </c>
      <c r="C340" s="23"/>
      <c r="D340" s="36" t="s">
        <v>15</v>
      </c>
      <c r="E340" s="36" t="s">
        <v>365</v>
      </c>
      <c r="F340" s="35" t="s">
        <v>36</v>
      </c>
      <c r="G340" s="35">
        <v>5000.0</v>
      </c>
      <c r="H340" s="37">
        <v>28.0</v>
      </c>
      <c r="I340" s="21" t="str">
        <f t="shared" si="1"/>
        <v/>
      </c>
      <c r="J340" s="21" t="str">
        <f>IF(OR(L340="entregado",K340="despacho"),"", IF(AND(ELABORACION!F340&lt;&gt;"-",ELABORACION!F340&lt;&gt;"PENDIENTE ELAB"),"en proceso",""))</f>
        <v/>
      </c>
      <c r="K340" s="21" t="str">
        <f>IF(L340="entregado","",IF(EXPEDICION!L340="listo para entregar","despacho",""))</f>
        <v/>
      </c>
      <c r="L340" s="21" t="str">
        <f>IF(EXPEDICION!L340="entregado", "entregado", "")</f>
        <v>entregado</v>
      </c>
      <c r="M340" s="32">
        <f>EXPEDICION!M340</f>
        <v>120601</v>
      </c>
    </row>
    <row r="341" ht="15.75" customHeight="1">
      <c r="A341" s="42">
        <v>26123.0</v>
      </c>
      <c r="B341" s="30">
        <v>46178.0</v>
      </c>
      <c r="C341" s="16"/>
      <c r="D341" s="28" t="s">
        <v>15</v>
      </c>
      <c r="E341" s="28" t="s">
        <v>366</v>
      </c>
      <c r="F341" s="29" t="s">
        <v>36</v>
      </c>
      <c r="G341" s="29">
        <v>5000.0</v>
      </c>
      <c r="H341" s="38">
        <v>28.0</v>
      </c>
      <c r="I341" s="21" t="str">
        <f t="shared" si="1"/>
        <v/>
      </c>
      <c r="J341" s="21" t="str">
        <f>IF(OR(L341="entregado",K341="despacho"),"", IF(AND(ELABORACION!F341&lt;&gt;"-",ELABORACION!F341&lt;&gt;"PENDIENTE ELAB"),"en proceso",""))</f>
        <v/>
      </c>
      <c r="K341" s="21" t="str">
        <f>IF(L341="entregado","",IF(EXPEDICION!L341="listo para entregar","despacho",""))</f>
        <v/>
      </c>
      <c r="L341" s="21" t="str">
        <f>IF(EXPEDICION!L341="entregado", "entregado", "")</f>
        <v>entregado</v>
      </c>
      <c r="M341" s="32">
        <f>EXPEDICION!M341</f>
        <v>190601</v>
      </c>
    </row>
    <row r="342" ht="15.75" customHeight="1">
      <c r="A342" s="41">
        <v>26124.0</v>
      </c>
      <c r="B342" s="33">
        <v>46181.0</v>
      </c>
      <c r="C342" s="41" t="s">
        <v>367</v>
      </c>
      <c r="D342" s="36" t="s">
        <v>368</v>
      </c>
      <c r="E342" s="36" t="s">
        <v>369</v>
      </c>
      <c r="F342" s="35" t="s">
        <v>12</v>
      </c>
      <c r="G342" s="35">
        <v>2100.0</v>
      </c>
      <c r="H342" s="37">
        <v>60.0</v>
      </c>
      <c r="I342" s="21" t="str">
        <f t="shared" si="1"/>
        <v/>
      </c>
      <c r="J342" s="21" t="str">
        <f>IF(OR(L342="entregado",K342="despacho"),"", IF(AND(ELABORACION!F342&lt;&gt;"-",ELABORACION!F342&lt;&gt;"PENDIENTE ELAB"),"en proceso",""))</f>
        <v/>
      </c>
      <c r="K342" s="21" t="str">
        <f>IF(L342="entregado","",IF(EXPEDICION!L342="listo para entregar","despacho",""))</f>
        <v/>
      </c>
      <c r="L342" s="21" t="str">
        <f>IF(EXPEDICION!L342="entregado", "entregado", "")</f>
        <v>entregado</v>
      </c>
      <c r="M342" s="32" t="str">
        <f>EXPEDICION!M342</f>
        <v>J26023</v>
      </c>
    </row>
    <row r="343" ht="15.75" customHeight="1">
      <c r="A343" s="42">
        <v>26125.0</v>
      </c>
      <c r="B343" s="30">
        <v>46182.0</v>
      </c>
      <c r="C343" s="16"/>
      <c r="D343" s="28" t="s">
        <v>370</v>
      </c>
      <c r="E343" s="28" t="s">
        <v>371</v>
      </c>
      <c r="F343" s="29" t="s">
        <v>36</v>
      </c>
      <c r="G343" s="29">
        <v>500.0</v>
      </c>
      <c r="H343" s="38">
        <v>500.0</v>
      </c>
      <c r="I343" s="21" t="str">
        <f t="shared" si="1"/>
        <v/>
      </c>
      <c r="J343" s="21" t="str">
        <f>IF(OR(L343="entregado",K343="despacho"),"", IF(AND(ELABORACION!F343&lt;&gt;"-",ELABORACION!F343&lt;&gt;"PENDIENTE ELAB"),"en proceso",""))</f>
        <v/>
      </c>
      <c r="K343" s="21" t="str">
        <f>IF(L343="entregado","",IF(EXPEDICION!L343="listo para entregar","despacho",""))</f>
        <v/>
      </c>
      <c r="L343" s="21" t="str">
        <f>IF(EXPEDICION!L343="entregado", "entregado", "")</f>
        <v>entregado</v>
      </c>
      <c r="M343" s="32" t="str">
        <f>EXPEDICION!M343</f>
        <v>J26025</v>
      </c>
    </row>
    <row r="344" ht="15.75" customHeight="1">
      <c r="A344" s="41">
        <v>26126.0</v>
      </c>
      <c r="B344" s="33">
        <v>46174.0</v>
      </c>
      <c r="C344" s="41" t="s">
        <v>372</v>
      </c>
      <c r="D344" s="36" t="s">
        <v>183</v>
      </c>
      <c r="E344" s="36" t="s">
        <v>185</v>
      </c>
      <c r="F344" s="35" t="s">
        <v>36</v>
      </c>
      <c r="G344" s="35">
        <v>4000.0</v>
      </c>
      <c r="H344" s="37">
        <v>400.0</v>
      </c>
      <c r="I344" s="21" t="str">
        <f t="shared" si="1"/>
        <v/>
      </c>
      <c r="J344" s="21" t="str">
        <f>IF(OR(L344="entregado",K344="despacho"),"", IF(AND(ELABORACION!F344&lt;&gt;"-",ELABORACION!F344&lt;&gt;"PENDIENTE ELAB"),"en proceso",""))</f>
        <v>en proceso</v>
      </c>
      <c r="K344" s="21" t="str">
        <f>IF(L344="entregado","",IF(EXPEDICION!L344="listo para entregar","despacho",""))</f>
        <v/>
      </c>
      <c r="L344" s="21" t="str">
        <f>IF(EXPEDICION!L344="entregado", "entregado", "")</f>
        <v/>
      </c>
      <c r="M344" s="32" t="str">
        <f>EXPEDICION!M344</f>
        <v/>
      </c>
    </row>
    <row r="345" ht="15.75" customHeight="1">
      <c r="A345" s="42">
        <v>26126.0</v>
      </c>
      <c r="B345" s="30">
        <v>46174.0</v>
      </c>
      <c r="C345" s="42" t="s">
        <v>372</v>
      </c>
      <c r="D345" s="28" t="s">
        <v>183</v>
      </c>
      <c r="E345" s="28" t="s">
        <v>186</v>
      </c>
      <c r="F345" s="29" t="s">
        <v>36</v>
      </c>
      <c r="G345" s="29">
        <v>2000.0</v>
      </c>
      <c r="H345" s="38">
        <v>400.0</v>
      </c>
      <c r="I345" s="21" t="str">
        <f t="shared" si="1"/>
        <v/>
      </c>
      <c r="J345" s="21" t="str">
        <f>IF(OR(L345="entregado",K345="despacho"),"", IF(AND(ELABORACION!F345&lt;&gt;"-",ELABORACION!F345&lt;&gt;"PENDIENTE ELAB"),"en proceso",""))</f>
        <v/>
      </c>
      <c r="K345" s="21" t="str">
        <f>IF(L345="entregado","",IF(EXPEDICION!L345="listo para entregar","despacho",""))</f>
        <v/>
      </c>
      <c r="L345" s="21" t="str">
        <f>IF(EXPEDICION!L345="entregado", "entregado", "")</f>
        <v>entregado</v>
      </c>
      <c r="M345" s="32" t="str">
        <f>EXPEDICION!M345</f>
        <v/>
      </c>
    </row>
    <row r="346" ht="15.75" customHeight="1">
      <c r="A346" s="41">
        <v>26126.0</v>
      </c>
      <c r="B346" s="33">
        <v>46174.0</v>
      </c>
      <c r="C346" s="41" t="s">
        <v>372</v>
      </c>
      <c r="D346" s="36" t="s">
        <v>183</v>
      </c>
      <c r="E346" s="36" t="s">
        <v>184</v>
      </c>
      <c r="F346" s="35" t="s">
        <v>36</v>
      </c>
      <c r="G346" s="35">
        <v>4000.0</v>
      </c>
      <c r="H346" s="37">
        <v>400.0</v>
      </c>
      <c r="I346" s="21" t="str">
        <f t="shared" si="1"/>
        <v/>
      </c>
      <c r="J346" s="21" t="str">
        <f>IF(OR(L346="entregado",K346="despacho"),"", IF(AND(ELABORACION!F346&lt;&gt;"-",ELABORACION!F346&lt;&gt;"PENDIENTE ELAB"),"en proceso",""))</f>
        <v>en proceso</v>
      </c>
      <c r="K346" s="21" t="str">
        <f>IF(L346="entregado","",IF(EXPEDICION!L346="listo para entregar","despacho",""))</f>
        <v/>
      </c>
      <c r="L346" s="21" t="str">
        <f>IF(EXPEDICION!L346="entregado", "entregado", "")</f>
        <v/>
      </c>
      <c r="M346" s="32" t="str">
        <f>EXPEDICION!M346</f>
        <v/>
      </c>
    </row>
    <row r="347" ht="15.75" customHeight="1">
      <c r="A347" s="42">
        <v>26127.0</v>
      </c>
      <c r="B347" s="30">
        <v>46178.0</v>
      </c>
      <c r="C347" s="16"/>
      <c r="D347" s="28" t="s">
        <v>60</v>
      </c>
      <c r="E347" s="28" t="s">
        <v>373</v>
      </c>
      <c r="F347" s="29" t="s">
        <v>36</v>
      </c>
      <c r="G347" s="29">
        <v>3000.0</v>
      </c>
      <c r="H347" s="38">
        <v>300.0</v>
      </c>
      <c r="I347" s="21" t="str">
        <f t="shared" si="1"/>
        <v/>
      </c>
      <c r="J347" s="21" t="str">
        <f>IF(OR(L347="entregado",K347="despacho"),"", IF(AND(ELABORACION!F347&lt;&gt;"-",ELABORACION!F347&lt;&gt;"PENDIENTE ELAB"),"en proceso",""))</f>
        <v/>
      </c>
      <c r="K347" s="21" t="str">
        <f>IF(L347="entregado","",IF(EXPEDICION!L347="listo para entregar","despacho",""))</f>
        <v/>
      </c>
      <c r="L347" s="21" t="str">
        <f>IF(EXPEDICION!L347="entregado", "entregado", "")</f>
        <v>entregado</v>
      </c>
      <c r="M347" s="32" t="str">
        <f>EXPEDICION!M347</f>
        <v>J26037</v>
      </c>
    </row>
    <row r="348" ht="15.75" customHeight="1">
      <c r="A348" s="41">
        <v>26128.0</v>
      </c>
      <c r="B348" s="33">
        <v>46183.0</v>
      </c>
      <c r="C348" s="41">
        <v>6455.0</v>
      </c>
      <c r="D348" s="36" t="s">
        <v>41</v>
      </c>
      <c r="E348" s="36" t="s">
        <v>374</v>
      </c>
      <c r="F348" s="35" t="s">
        <v>36</v>
      </c>
      <c r="G348" s="35">
        <v>1000.0</v>
      </c>
      <c r="H348" s="37">
        <v>125.0</v>
      </c>
      <c r="I348" s="21" t="str">
        <f t="shared" si="1"/>
        <v/>
      </c>
      <c r="J348" s="21" t="str">
        <f>IF(OR(L348="entregado",K348="despacho"),"", IF(AND(ELABORACION!F348&lt;&gt;"-",ELABORACION!F348&lt;&gt;"PENDIENTE ELAB"),"en proceso",""))</f>
        <v/>
      </c>
      <c r="K348" s="21" t="str">
        <f>IF(L348="entregado","",IF(EXPEDICION!L348="listo para entregar","despacho",""))</f>
        <v>despacho</v>
      </c>
      <c r="L348" s="21" t="str">
        <f>IF(EXPEDICION!L348="entregado", "entregado", "")</f>
        <v/>
      </c>
      <c r="M348" s="32" t="str">
        <f>EXPEDICION!M348</f>
        <v>J26030</v>
      </c>
    </row>
    <row r="349" ht="15.75" customHeight="1">
      <c r="A349" s="42">
        <v>26129.0</v>
      </c>
      <c r="B349" s="30">
        <v>46183.0</v>
      </c>
      <c r="C349" s="42">
        <v>14474.0</v>
      </c>
      <c r="D349" s="28" t="s">
        <v>57</v>
      </c>
      <c r="E349" s="28" t="s">
        <v>375</v>
      </c>
      <c r="F349" s="29" t="s">
        <v>36</v>
      </c>
      <c r="G349" s="29">
        <v>10.0</v>
      </c>
      <c r="H349" s="38">
        <v>1000.0</v>
      </c>
      <c r="I349" s="21" t="str">
        <f t="shared" si="1"/>
        <v/>
      </c>
      <c r="J349" s="21" t="str">
        <f>IF(OR(L349="entregado",K349="despacho"),"", IF(AND(ELABORACION!F349&lt;&gt;"-",ELABORACION!F349&lt;&gt;"PENDIENTE ELAB"),"en proceso",""))</f>
        <v/>
      </c>
      <c r="K349" s="21" t="str">
        <f>IF(L349="entregado","",IF(EXPEDICION!L349="listo para entregar","despacho",""))</f>
        <v/>
      </c>
      <c r="L349" s="21" t="str">
        <f>IF(EXPEDICION!L349="entregado", "entregado", "")</f>
        <v>entregado</v>
      </c>
      <c r="M349" s="32" t="str">
        <f>EXPEDICION!M349</f>
        <v>J26017</v>
      </c>
    </row>
    <row r="350" ht="15.75" customHeight="1">
      <c r="A350" s="41">
        <v>26129.0</v>
      </c>
      <c r="B350" s="33">
        <v>46183.0</v>
      </c>
      <c r="C350" s="41">
        <v>14474.0</v>
      </c>
      <c r="D350" s="36" t="s">
        <v>57</v>
      </c>
      <c r="E350" s="36" t="s">
        <v>376</v>
      </c>
      <c r="F350" s="35" t="s">
        <v>36</v>
      </c>
      <c r="G350" s="35">
        <v>10.0</v>
      </c>
      <c r="H350" s="37">
        <v>1000.0</v>
      </c>
      <c r="I350" s="21" t="str">
        <f t="shared" si="1"/>
        <v/>
      </c>
      <c r="J350" s="21" t="str">
        <f>IF(OR(L350="entregado",K350="despacho"),"", IF(AND(ELABORACION!F350&lt;&gt;"-",ELABORACION!F350&lt;&gt;"PENDIENTE ELAB"),"en proceso",""))</f>
        <v/>
      </c>
      <c r="K350" s="21" t="str">
        <f>IF(L350="entregado","",IF(EXPEDICION!L350="listo para entregar","despacho",""))</f>
        <v/>
      </c>
      <c r="L350" s="21" t="str">
        <f>IF(EXPEDICION!L350="entregado", "entregado", "")</f>
        <v>entregado</v>
      </c>
      <c r="M350" s="32" t="str">
        <f>EXPEDICION!M350</f>
        <v>J26018</v>
      </c>
    </row>
    <row r="351" ht="15.75" customHeight="1">
      <c r="A351" s="42">
        <v>26129.0</v>
      </c>
      <c r="B351" s="30">
        <v>46183.0</v>
      </c>
      <c r="C351" s="42">
        <v>14474.0</v>
      </c>
      <c r="D351" s="28" t="s">
        <v>57</v>
      </c>
      <c r="E351" s="28" t="s">
        <v>377</v>
      </c>
      <c r="F351" s="29" t="s">
        <v>36</v>
      </c>
      <c r="G351" s="29">
        <v>20.0</v>
      </c>
      <c r="H351" s="38">
        <v>1000.0</v>
      </c>
      <c r="I351" s="21" t="str">
        <f t="shared" si="1"/>
        <v/>
      </c>
      <c r="J351" s="21" t="str">
        <f>IF(OR(L351="entregado",K351="despacho"),"", IF(AND(ELABORACION!F351&lt;&gt;"-",ELABORACION!F351&lt;&gt;"PENDIENTE ELAB"),"en proceso",""))</f>
        <v/>
      </c>
      <c r="K351" s="21" t="str">
        <f>IF(L351="entregado","",IF(EXPEDICION!L351="listo para entregar","despacho",""))</f>
        <v/>
      </c>
      <c r="L351" s="21" t="str">
        <f>IF(EXPEDICION!L351="entregado", "entregado", "")</f>
        <v>entregado</v>
      </c>
      <c r="M351" s="32" t="str">
        <f>EXPEDICION!M351</f>
        <v>J26019</v>
      </c>
    </row>
    <row r="352" ht="15.75" customHeight="1">
      <c r="A352" s="41">
        <v>26129.0</v>
      </c>
      <c r="B352" s="33">
        <v>46183.0</v>
      </c>
      <c r="C352" s="42">
        <v>14474.0</v>
      </c>
      <c r="D352" s="36" t="s">
        <v>57</v>
      </c>
      <c r="E352" s="36" t="s">
        <v>378</v>
      </c>
      <c r="F352" s="35" t="s">
        <v>36</v>
      </c>
      <c r="G352" s="35">
        <v>20.0</v>
      </c>
      <c r="H352" s="37">
        <v>1000.0</v>
      </c>
      <c r="I352" s="21" t="str">
        <f t="shared" si="1"/>
        <v/>
      </c>
      <c r="J352" s="21" t="str">
        <f>IF(OR(L352="entregado",K352="despacho"),"", IF(AND(ELABORACION!F352&lt;&gt;"-",ELABORACION!F352&lt;&gt;"PENDIENTE ELAB"),"en proceso",""))</f>
        <v/>
      </c>
      <c r="K352" s="21" t="str">
        <f>IF(L352="entregado","",IF(EXPEDICION!L352="listo para entregar","despacho",""))</f>
        <v/>
      </c>
      <c r="L352" s="21" t="str">
        <f>IF(EXPEDICION!L352="entregado", "entregado", "")</f>
        <v>entregado</v>
      </c>
      <c r="M352" s="32" t="str">
        <f>EXPEDICION!M352</f>
        <v>J26020</v>
      </c>
    </row>
    <row r="353" ht="15.75" customHeight="1">
      <c r="A353" s="42">
        <v>26130.0</v>
      </c>
      <c r="B353" s="30">
        <v>46183.0</v>
      </c>
      <c r="C353" s="42">
        <v>14463.0</v>
      </c>
      <c r="D353" s="28" t="s">
        <v>57</v>
      </c>
      <c r="E353" s="28" t="s">
        <v>379</v>
      </c>
      <c r="F353" s="29" t="s">
        <v>36</v>
      </c>
      <c r="G353" s="29">
        <v>1500.0</v>
      </c>
      <c r="H353" s="38">
        <v>65.0</v>
      </c>
      <c r="I353" s="21" t="str">
        <f t="shared" si="1"/>
        <v>ingreso</v>
      </c>
      <c r="J353" s="21" t="str">
        <f>IF(OR(L353="entregado",K353="despacho"),"", IF(AND(ELABORACION!F353&lt;&gt;"-",ELABORACION!F353&lt;&gt;"PENDIENTE ELAB"),"en proceso",""))</f>
        <v/>
      </c>
      <c r="K353" s="21" t="str">
        <f>IF(L353="entregado","",IF(EXPEDICION!L353="listo para entregar","despacho",""))</f>
        <v/>
      </c>
      <c r="L353" s="21" t="str">
        <f>IF(EXPEDICION!L353="entregado", "entregado", "")</f>
        <v/>
      </c>
      <c r="M353" s="32" t="str">
        <f>EXPEDICION!M353</f>
        <v/>
      </c>
    </row>
    <row r="354" ht="15.75" customHeight="1">
      <c r="A354" s="41">
        <v>26130.0</v>
      </c>
      <c r="B354" s="33">
        <v>46183.0</v>
      </c>
      <c r="C354" s="43">
        <v>14463.0</v>
      </c>
      <c r="D354" s="36" t="s">
        <v>57</v>
      </c>
      <c r="E354" s="36" t="s">
        <v>380</v>
      </c>
      <c r="F354" s="35" t="s">
        <v>36</v>
      </c>
      <c r="G354" s="35">
        <v>1500.0</v>
      </c>
      <c r="H354" s="37">
        <v>50.0</v>
      </c>
      <c r="I354" s="21" t="str">
        <f t="shared" si="1"/>
        <v>ingreso</v>
      </c>
      <c r="J354" s="21" t="str">
        <f>IF(OR(L354="entregado",K354="despacho"),"", IF(AND(ELABORACION!F354&lt;&gt;"-",ELABORACION!F354&lt;&gt;"PENDIENTE ELAB"),"en proceso",""))</f>
        <v/>
      </c>
      <c r="K354" s="21" t="str">
        <f>IF(L354="entregado","",IF(EXPEDICION!L354="listo para entregar","despacho",""))</f>
        <v/>
      </c>
      <c r="L354" s="21" t="str">
        <f>IF(EXPEDICION!L354="entregado", "entregado", "")</f>
        <v/>
      </c>
      <c r="M354" s="32" t="str">
        <f>EXPEDICION!M354</f>
        <v/>
      </c>
    </row>
    <row r="355" ht="15.75" customHeight="1">
      <c r="A355" s="42">
        <v>26130.0</v>
      </c>
      <c r="B355" s="30">
        <v>46183.0</v>
      </c>
      <c r="C355" s="42">
        <v>14463.0</v>
      </c>
      <c r="D355" s="28" t="s">
        <v>57</v>
      </c>
      <c r="E355" s="28" t="s">
        <v>381</v>
      </c>
      <c r="F355" s="29" t="s">
        <v>36</v>
      </c>
      <c r="G355" s="29">
        <v>1500.0</v>
      </c>
      <c r="H355" s="38">
        <v>50.0</v>
      </c>
      <c r="I355" s="21" t="str">
        <f t="shared" si="1"/>
        <v>ingreso</v>
      </c>
      <c r="J355" s="21" t="str">
        <f>IF(OR(L355="entregado",K355="despacho"),"", IF(AND(ELABORACION!F355&lt;&gt;"-",ELABORACION!F355&lt;&gt;"PENDIENTE ELAB"),"en proceso",""))</f>
        <v/>
      </c>
      <c r="K355" s="21" t="str">
        <f>IF(L355="entregado","",IF(EXPEDICION!L355="listo para entregar","despacho",""))</f>
        <v/>
      </c>
      <c r="L355" s="21" t="str">
        <f>IF(EXPEDICION!L355="entregado", "entregado", "")</f>
        <v/>
      </c>
      <c r="M355" s="32" t="str">
        <f>EXPEDICION!M355</f>
        <v/>
      </c>
    </row>
    <row r="356" ht="15.75" customHeight="1">
      <c r="A356" s="41">
        <v>26130.0</v>
      </c>
      <c r="B356" s="33">
        <v>46183.0</v>
      </c>
      <c r="C356" s="43">
        <v>14463.0</v>
      </c>
      <c r="D356" s="36" t="s">
        <v>57</v>
      </c>
      <c r="E356" s="36" t="s">
        <v>382</v>
      </c>
      <c r="F356" s="35" t="s">
        <v>36</v>
      </c>
      <c r="G356" s="35">
        <v>1500.0</v>
      </c>
      <c r="H356" s="37">
        <v>50.0</v>
      </c>
      <c r="I356" s="21" t="str">
        <f t="shared" si="1"/>
        <v>ingreso</v>
      </c>
      <c r="J356" s="21" t="str">
        <f>IF(OR(L356="entregado",K356="despacho"),"", IF(AND(ELABORACION!F356&lt;&gt;"-",ELABORACION!F356&lt;&gt;"PENDIENTE ELAB"),"en proceso",""))</f>
        <v/>
      </c>
      <c r="K356" s="21" t="str">
        <f>IF(L356="entregado","",IF(EXPEDICION!L356="listo para entregar","despacho",""))</f>
        <v/>
      </c>
      <c r="L356" s="21" t="str">
        <f>IF(EXPEDICION!L356="entregado", "entregado", "")</f>
        <v/>
      </c>
      <c r="M356" s="32" t="str">
        <f>EXPEDICION!M356</f>
        <v/>
      </c>
    </row>
    <row r="357" ht="15.75" customHeight="1">
      <c r="A357" s="42">
        <v>26130.0</v>
      </c>
      <c r="B357" s="30">
        <v>46183.0</v>
      </c>
      <c r="C357" s="42">
        <v>14463.0</v>
      </c>
      <c r="D357" s="28" t="s">
        <v>57</v>
      </c>
      <c r="E357" s="28" t="s">
        <v>383</v>
      </c>
      <c r="F357" s="29" t="s">
        <v>36</v>
      </c>
      <c r="G357" s="29">
        <v>1500.0</v>
      </c>
      <c r="H357" s="38">
        <v>50.0</v>
      </c>
      <c r="I357" s="21" t="str">
        <f t="shared" si="1"/>
        <v>ingreso</v>
      </c>
      <c r="J357" s="21" t="str">
        <f>IF(OR(L357="entregado",K357="despacho"),"", IF(AND(ELABORACION!F357&lt;&gt;"-",ELABORACION!F357&lt;&gt;"PENDIENTE ELAB"),"en proceso",""))</f>
        <v/>
      </c>
      <c r="K357" s="21" t="str">
        <f>IF(L357="entregado","",IF(EXPEDICION!L357="listo para entregar","despacho",""))</f>
        <v/>
      </c>
      <c r="L357" s="21" t="str">
        <f>IF(EXPEDICION!L357="entregado", "entregado", "")</f>
        <v/>
      </c>
      <c r="M357" s="32" t="str">
        <f>EXPEDICION!M357</f>
        <v/>
      </c>
    </row>
    <row r="358" ht="15.75" customHeight="1">
      <c r="A358" s="41">
        <v>26130.0</v>
      </c>
      <c r="B358" s="33">
        <v>46183.0</v>
      </c>
      <c r="C358" s="43">
        <v>14463.0</v>
      </c>
      <c r="D358" s="36" t="s">
        <v>57</v>
      </c>
      <c r="E358" s="36" t="s">
        <v>384</v>
      </c>
      <c r="F358" s="35" t="s">
        <v>36</v>
      </c>
      <c r="G358" s="35">
        <v>1500.0</v>
      </c>
      <c r="H358" s="37">
        <v>50.0</v>
      </c>
      <c r="I358" s="21" t="str">
        <f t="shared" si="1"/>
        <v>ingreso</v>
      </c>
      <c r="J358" s="21" t="str">
        <f>IF(OR(L358="entregado",K358="despacho"),"", IF(AND(ELABORACION!F358&lt;&gt;"-",ELABORACION!F358&lt;&gt;"PENDIENTE ELAB"),"en proceso",""))</f>
        <v/>
      </c>
      <c r="K358" s="21" t="str">
        <f>IF(L358="entregado","",IF(EXPEDICION!L358="listo para entregar","despacho",""))</f>
        <v/>
      </c>
      <c r="L358" s="21" t="str">
        <f>IF(EXPEDICION!L358="entregado", "entregado", "")</f>
        <v/>
      </c>
      <c r="M358" s="32" t="str">
        <f>EXPEDICION!M358</f>
        <v/>
      </c>
    </row>
    <row r="359" ht="15.75" customHeight="1">
      <c r="A359" s="42">
        <v>26130.0</v>
      </c>
      <c r="B359" s="30">
        <v>46183.0</v>
      </c>
      <c r="C359" s="42">
        <v>14463.0</v>
      </c>
      <c r="D359" s="28" t="s">
        <v>57</v>
      </c>
      <c r="E359" s="28" t="s">
        <v>385</v>
      </c>
      <c r="F359" s="29" t="s">
        <v>36</v>
      </c>
      <c r="G359" s="29">
        <v>1500.0</v>
      </c>
      <c r="H359" s="38">
        <v>50.0</v>
      </c>
      <c r="I359" s="21" t="str">
        <f t="shared" si="1"/>
        <v>ingreso</v>
      </c>
      <c r="J359" s="21" t="str">
        <f>IF(OR(L359="entregado",K359="despacho"),"", IF(AND(ELABORACION!F359&lt;&gt;"-",ELABORACION!F359&lt;&gt;"PENDIENTE ELAB"),"en proceso",""))</f>
        <v/>
      </c>
      <c r="K359" s="21" t="str">
        <f>IF(L359="entregado","",IF(EXPEDICION!L359="listo para entregar","despacho",""))</f>
        <v/>
      </c>
      <c r="L359" s="21" t="str">
        <f>IF(EXPEDICION!L359="entregado", "entregado", "")</f>
        <v/>
      </c>
      <c r="M359" s="32" t="str">
        <f>EXPEDICION!M359</f>
        <v/>
      </c>
    </row>
    <row r="360" ht="15.75" customHeight="1">
      <c r="A360" s="41">
        <v>26130.0</v>
      </c>
      <c r="B360" s="33">
        <v>46183.0</v>
      </c>
      <c r="C360" s="43">
        <v>14463.0</v>
      </c>
      <c r="D360" s="36" t="s">
        <v>57</v>
      </c>
      <c r="E360" s="36" t="s">
        <v>386</v>
      </c>
      <c r="F360" s="35" t="s">
        <v>36</v>
      </c>
      <c r="G360" s="35">
        <v>2000.0</v>
      </c>
      <c r="H360" s="37">
        <v>45.0</v>
      </c>
      <c r="I360" s="21" t="str">
        <f t="shared" si="1"/>
        <v>ingreso</v>
      </c>
      <c r="J360" s="21" t="str">
        <f>IF(OR(L360="entregado",K360="despacho"),"", IF(AND(ELABORACION!F360&lt;&gt;"-",ELABORACION!F360&lt;&gt;"PENDIENTE ELAB"),"en proceso",""))</f>
        <v/>
      </c>
      <c r="K360" s="21" t="str">
        <f>IF(L360="entregado","",IF(EXPEDICION!L360="listo para entregar","despacho",""))</f>
        <v/>
      </c>
      <c r="L360" s="21" t="str">
        <f>IF(EXPEDICION!L360="entregado", "entregado", "")</f>
        <v/>
      </c>
      <c r="M360" s="32" t="str">
        <f>EXPEDICION!M360</f>
        <v/>
      </c>
    </row>
    <row r="361" ht="15.75" customHeight="1">
      <c r="A361" s="42">
        <v>26130.0</v>
      </c>
      <c r="B361" s="30">
        <v>46183.0</v>
      </c>
      <c r="C361" s="42">
        <v>14463.0</v>
      </c>
      <c r="D361" s="28" t="s">
        <v>57</v>
      </c>
      <c r="E361" s="28" t="s">
        <v>387</v>
      </c>
      <c r="F361" s="29" t="s">
        <v>36</v>
      </c>
      <c r="G361" s="29">
        <v>1500.0</v>
      </c>
      <c r="H361" s="38">
        <v>50.0</v>
      </c>
      <c r="I361" s="21" t="str">
        <f t="shared" si="1"/>
        <v>ingreso</v>
      </c>
      <c r="J361" s="21" t="str">
        <f>IF(OR(L361="entregado",K361="despacho"),"", IF(AND(ELABORACION!F361&lt;&gt;"-",ELABORACION!F361&lt;&gt;"PENDIENTE ELAB"),"en proceso",""))</f>
        <v/>
      </c>
      <c r="K361" s="21" t="str">
        <f>IF(L361="entregado","",IF(EXPEDICION!L361="listo para entregar","despacho",""))</f>
        <v/>
      </c>
      <c r="L361" s="21" t="str">
        <f>IF(EXPEDICION!L361="entregado", "entregado", "")</f>
        <v/>
      </c>
      <c r="M361" s="32" t="str">
        <f>EXPEDICION!M361</f>
        <v/>
      </c>
    </row>
    <row r="362" ht="15.75" customHeight="1">
      <c r="A362" s="41">
        <v>26130.0</v>
      </c>
      <c r="B362" s="33">
        <v>46183.0</v>
      </c>
      <c r="C362" s="43">
        <v>14463.0</v>
      </c>
      <c r="D362" s="36" t="s">
        <v>57</v>
      </c>
      <c r="E362" s="36" t="s">
        <v>388</v>
      </c>
      <c r="F362" s="35" t="s">
        <v>36</v>
      </c>
      <c r="G362" s="35">
        <v>2000.0</v>
      </c>
      <c r="H362" s="37">
        <v>45.0</v>
      </c>
      <c r="I362" s="21" t="str">
        <f t="shared" si="1"/>
        <v>ingreso</v>
      </c>
      <c r="J362" s="21" t="str">
        <f>IF(OR(L362="entregado",K362="despacho"),"", IF(AND(ELABORACION!F362&lt;&gt;"-",ELABORACION!F362&lt;&gt;"PENDIENTE ELAB"),"en proceso",""))</f>
        <v/>
      </c>
      <c r="K362" s="21" t="str">
        <f>IF(L362="entregado","",IF(EXPEDICION!L362="listo para entregar","despacho",""))</f>
        <v/>
      </c>
      <c r="L362" s="21" t="str">
        <f>IF(EXPEDICION!L362="entregado", "entregado", "")</f>
        <v/>
      </c>
      <c r="M362" s="32" t="str">
        <f>EXPEDICION!M362</f>
        <v/>
      </c>
    </row>
    <row r="363" ht="15.75" customHeight="1">
      <c r="A363" s="42">
        <v>26130.0</v>
      </c>
      <c r="B363" s="30">
        <v>46183.0</v>
      </c>
      <c r="C363" s="42">
        <v>14463.0</v>
      </c>
      <c r="D363" s="28" t="s">
        <v>57</v>
      </c>
      <c r="E363" s="28" t="s">
        <v>389</v>
      </c>
      <c r="F363" s="29" t="s">
        <v>36</v>
      </c>
      <c r="G363" s="29">
        <v>2000.0</v>
      </c>
      <c r="H363" s="38">
        <v>50.0</v>
      </c>
      <c r="I363" s="21" t="str">
        <f t="shared" si="1"/>
        <v>ingreso</v>
      </c>
      <c r="J363" s="21" t="str">
        <f>IF(OR(L363="entregado",K363="despacho"),"", IF(AND(ELABORACION!F363&lt;&gt;"-",ELABORACION!F363&lt;&gt;"PENDIENTE ELAB"),"en proceso",""))</f>
        <v/>
      </c>
      <c r="K363" s="21" t="str">
        <f>IF(L363="entregado","",IF(EXPEDICION!L363="listo para entregar","despacho",""))</f>
        <v/>
      </c>
      <c r="L363" s="21" t="str">
        <f>IF(EXPEDICION!L363="entregado", "entregado", "")</f>
        <v/>
      </c>
      <c r="M363" s="32" t="str">
        <f>EXPEDICION!M363</f>
        <v/>
      </c>
    </row>
    <row r="364" ht="15.75" customHeight="1">
      <c r="A364" s="41">
        <v>26130.0</v>
      </c>
      <c r="B364" s="33">
        <v>46183.0</v>
      </c>
      <c r="C364" s="43">
        <v>14463.0</v>
      </c>
      <c r="D364" s="36" t="s">
        <v>57</v>
      </c>
      <c r="E364" s="36" t="s">
        <v>390</v>
      </c>
      <c r="F364" s="35" t="s">
        <v>36</v>
      </c>
      <c r="G364" s="35">
        <v>3000.0</v>
      </c>
      <c r="H364" s="37">
        <v>65.0</v>
      </c>
      <c r="I364" s="21" t="str">
        <f t="shared" si="1"/>
        <v>ingreso</v>
      </c>
      <c r="J364" s="21" t="str">
        <f>IF(OR(L364="entregado",K364="despacho"),"", IF(AND(ELABORACION!F364&lt;&gt;"-",ELABORACION!F364&lt;&gt;"PENDIENTE ELAB"),"en proceso",""))</f>
        <v/>
      </c>
      <c r="K364" s="21" t="str">
        <f>IF(L364="entregado","",IF(EXPEDICION!L364="listo para entregar","despacho",""))</f>
        <v/>
      </c>
      <c r="L364" s="21" t="str">
        <f>IF(EXPEDICION!L364="entregado", "entregado", "")</f>
        <v/>
      </c>
      <c r="M364" s="32" t="str">
        <f>EXPEDICION!M364</f>
        <v/>
      </c>
    </row>
    <row r="365" ht="15.75" customHeight="1">
      <c r="A365" s="42">
        <v>26130.0</v>
      </c>
      <c r="B365" s="30">
        <v>46183.0</v>
      </c>
      <c r="C365" s="42">
        <v>14463.0</v>
      </c>
      <c r="D365" s="28" t="s">
        <v>57</v>
      </c>
      <c r="E365" s="28" t="s">
        <v>332</v>
      </c>
      <c r="F365" s="29" t="s">
        <v>36</v>
      </c>
      <c r="G365" s="29">
        <v>2000.0</v>
      </c>
      <c r="H365" s="38">
        <v>50.0</v>
      </c>
      <c r="I365" s="21" t="str">
        <f t="shared" si="1"/>
        <v>ingreso</v>
      </c>
      <c r="J365" s="21" t="str">
        <f>IF(OR(L365="entregado",K365="despacho"),"", IF(AND(ELABORACION!F365&lt;&gt;"-",ELABORACION!F365&lt;&gt;"PENDIENTE ELAB"),"en proceso",""))</f>
        <v/>
      </c>
      <c r="K365" s="21" t="str">
        <f>IF(L365="entregado","",IF(EXPEDICION!L365="listo para entregar","despacho",""))</f>
        <v/>
      </c>
      <c r="L365" s="21" t="str">
        <f>IF(EXPEDICION!L365="entregado", "entregado", "")</f>
        <v/>
      </c>
      <c r="M365" s="32" t="str">
        <f>EXPEDICION!M365</f>
        <v/>
      </c>
    </row>
    <row r="366" ht="15.75" customHeight="1">
      <c r="A366" s="41">
        <v>26130.0</v>
      </c>
      <c r="B366" s="33">
        <v>46183.0</v>
      </c>
      <c r="C366" s="43">
        <v>14463.0</v>
      </c>
      <c r="D366" s="36" t="s">
        <v>57</v>
      </c>
      <c r="E366" s="36" t="s">
        <v>391</v>
      </c>
      <c r="F366" s="35" t="s">
        <v>36</v>
      </c>
      <c r="G366" s="35">
        <v>1500.0</v>
      </c>
      <c r="H366" s="37">
        <v>50.0</v>
      </c>
      <c r="I366" s="21" t="str">
        <f t="shared" si="1"/>
        <v>ingreso</v>
      </c>
      <c r="J366" s="21" t="str">
        <f>IF(OR(L366="entregado",K366="despacho"),"", IF(AND(ELABORACION!F366&lt;&gt;"-",ELABORACION!F366&lt;&gt;"PENDIENTE ELAB"),"en proceso",""))</f>
        <v/>
      </c>
      <c r="K366" s="21" t="str">
        <f>IF(L366="entregado","",IF(EXPEDICION!L366="listo para entregar","despacho",""))</f>
        <v/>
      </c>
      <c r="L366" s="21" t="str">
        <f>IF(EXPEDICION!L366="entregado", "entregado", "")</f>
        <v/>
      </c>
      <c r="M366" s="32" t="str">
        <f>EXPEDICION!M366</f>
        <v/>
      </c>
    </row>
    <row r="367" ht="15.75" customHeight="1">
      <c r="A367" s="42">
        <v>26130.0</v>
      </c>
      <c r="B367" s="30">
        <v>46183.0</v>
      </c>
      <c r="C367" s="42">
        <v>14463.0</v>
      </c>
      <c r="D367" s="28" t="s">
        <v>57</v>
      </c>
      <c r="E367" s="28" t="s">
        <v>392</v>
      </c>
      <c r="F367" s="29" t="s">
        <v>36</v>
      </c>
      <c r="G367" s="29">
        <v>1500.0</v>
      </c>
      <c r="H367" s="38">
        <v>50.0</v>
      </c>
      <c r="I367" s="21" t="str">
        <f t="shared" si="1"/>
        <v>ingreso</v>
      </c>
      <c r="J367" s="21" t="str">
        <f>IF(OR(L367="entregado",K367="despacho"),"", IF(AND(ELABORACION!F367&lt;&gt;"-",ELABORACION!F367&lt;&gt;"PENDIENTE ELAB"),"en proceso",""))</f>
        <v/>
      </c>
      <c r="K367" s="21" t="str">
        <f>IF(L367="entregado","",IF(EXPEDICION!L367="listo para entregar","despacho",""))</f>
        <v/>
      </c>
      <c r="L367" s="21" t="str">
        <f>IF(EXPEDICION!L367="entregado", "entregado", "")</f>
        <v/>
      </c>
      <c r="M367" s="32" t="str">
        <f>EXPEDICION!M367</f>
        <v/>
      </c>
    </row>
    <row r="368" ht="15.75" customHeight="1">
      <c r="A368" s="41">
        <v>26130.0</v>
      </c>
      <c r="B368" s="33">
        <v>46183.0</v>
      </c>
      <c r="C368" s="43">
        <v>14463.0</v>
      </c>
      <c r="D368" s="36" t="s">
        <v>57</v>
      </c>
      <c r="E368" s="36" t="s">
        <v>393</v>
      </c>
      <c r="F368" s="35" t="s">
        <v>36</v>
      </c>
      <c r="G368" s="35">
        <v>1500.0</v>
      </c>
      <c r="H368" s="37">
        <v>50.0</v>
      </c>
      <c r="I368" s="21" t="str">
        <f t="shared" si="1"/>
        <v/>
      </c>
      <c r="J368" s="21" t="str">
        <f>IF(OR(L368="entregado",K368="despacho"),"", IF(AND(ELABORACION!F368&lt;&gt;"-",ELABORACION!F368&lt;&gt;"PENDIENTE ELAB"),"en proceso",""))</f>
        <v/>
      </c>
      <c r="K368" s="21" t="str">
        <f>IF(L368="entregado","",IF(EXPEDICION!L368="listo para entregar","despacho",""))</f>
        <v/>
      </c>
      <c r="L368" s="21" t="str">
        <f>IF(EXPEDICION!L368="entregado", "entregado", "")</f>
        <v>entregado</v>
      </c>
      <c r="M368" s="32" t="str">
        <f>EXPEDICION!M368</f>
        <v>J26043</v>
      </c>
    </row>
    <row r="369" ht="15.75" customHeight="1">
      <c r="A369" s="42">
        <v>26130.0</v>
      </c>
      <c r="B369" s="30">
        <v>46183.0</v>
      </c>
      <c r="C369" s="42">
        <v>14463.0</v>
      </c>
      <c r="D369" s="28" t="s">
        <v>57</v>
      </c>
      <c r="E369" s="28" t="s">
        <v>394</v>
      </c>
      <c r="F369" s="29" t="s">
        <v>36</v>
      </c>
      <c r="G369" s="29">
        <v>1500.0</v>
      </c>
      <c r="H369" s="38">
        <v>50.0</v>
      </c>
      <c r="I369" s="21" t="str">
        <f t="shared" si="1"/>
        <v/>
      </c>
      <c r="J369" s="21" t="str">
        <f>IF(OR(L369="entregado",K369="despacho"),"", IF(AND(ELABORACION!F369&lt;&gt;"-",ELABORACION!F369&lt;&gt;"PENDIENTE ELAB"),"en proceso",""))</f>
        <v/>
      </c>
      <c r="K369" s="21" t="str">
        <f>IF(L369="entregado","",IF(EXPEDICION!L369="listo para entregar","despacho",""))</f>
        <v/>
      </c>
      <c r="L369" s="21" t="str">
        <f>IF(EXPEDICION!L369="entregado", "entregado", "")</f>
        <v>entregado</v>
      </c>
      <c r="M369" s="32" t="str">
        <f>EXPEDICION!M369</f>
        <v>J26044</v>
      </c>
    </row>
    <row r="370" ht="15.75" customHeight="1">
      <c r="A370" s="41">
        <v>26130.0</v>
      </c>
      <c r="B370" s="33">
        <v>46183.0</v>
      </c>
      <c r="C370" s="43">
        <v>14463.0</v>
      </c>
      <c r="D370" s="36" t="s">
        <v>57</v>
      </c>
      <c r="E370" s="36" t="s">
        <v>395</v>
      </c>
      <c r="F370" s="35" t="s">
        <v>36</v>
      </c>
      <c r="G370" s="35">
        <v>1500.0</v>
      </c>
      <c r="H370" s="37">
        <v>50.0</v>
      </c>
      <c r="I370" s="21" t="str">
        <f t="shared" si="1"/>
        <v/>
      </c>
      <c r="J370" s="21" t="str">
        <f>IF(OR(L370="entregado",K370="despacho"),"", IF(AND(ELABORACION!F370&lt;&gt;"-",ELABORACION!F370&lt;&gt;"PENDIENTE ELAB"),"en proceso",""))</f>
        <v/>
      </c>
      <c r="K370" s="21" t="str">
        <f>IF(L370="entregado","",IF(EXPEDICION!L370="listo para entregar","despacho",""))</f>
        <v/>
      </c>
      <c r="L370" s="21" t="str">
        <f>IF(EXPEDICION!L370="entregado", "entregado", "")</f>
        <v>entregado</v>
      </c>
      <c r="M370" s="32" t="str">
        <f>EXPEDICION!M370</f>
        <v>J26045</v>
      </c>
    </row>
    <row r="371" ht="15.75" customHeight="1">
      <c r="A371" s="42">
        <v>26130.0</v>
      </c>
      <c r="B371" s="30">
        <v>46183.0</v>
      </c>
      <c r="C371" s="42">
        <v>14463.0</v>
      </c>
      <c r="D371" s="28" t="s">
        <v>57</v>
      </c>
      <c r="E371" s="28" t="s">
        <v>396</v>
      </c>
      <c r="F371" s="29" t="s">
        <v>36</v>
      </c>
      <c r="G371" s="29">
        <v>1500.0</v>
      </c>
      <c r="H371" s="38">
        <v>120.0</v>
      </c>
      <c r="I371" s="21" t="str">
        <f t="shared" si="1"/>
        <v>ingreso</v>
      </c>
      <c r="J371" s="21" t="str">
        <f>IF(OR(L371="entregado",K371="despacho"),"", IF(AND(ELABORACION!F371&lt;&gt;"-",ELABORACION!F371&lt;&gt;"PENDIENTE ELAB"),"en proceso",""))</f>
        <v/>
      </c>
      <c r="K371" s="21" t="str">
        <f>IF(L371="entregado","",IF(EXPEDICION!L371="listo para entregar","despacho",""))</f>
        <v/>
      </c>
      <c r="L371" s="21" t="str">
        <f>IF(EXPEDICION!L371="entregado", "entregado", "")</f>
        <v/>
      </c>
      <c r="M371" s="32" t="str">
        <f>EXPEDICION!M371</f>
        <v/>
      </c>
    </row>
    <row r="372" ht="15.75" customHeight="1">
      <c r="A372" s="41">
        <v>26130.0</v>
      </c>
      <c r="B372" s="33">
        <v>46183.0</v>
      </c>
      <c r="C372" s="43">
        <v>14463.0</v>
      </c>
      <c r="D372" s="36" t="s">
        <v>57</v>
      </c>
      <c r="E372" s="36" t="s">
        <v>397</v>
      </c>
      <c r="F372" s="35" t="s">
        <v>36</v>
      </c>
      <c r="G372" s="35">
        <v>1500.0</v>
      </c>
      <c r="H372" s="37">
        <v>30.0</v>
      </c>
      <c r="I372" s="21" t="str">
        <f t="shared" si="1"/>
        <v>ingreso</v>
      </c>
      <c r="J372" s="21" t="str">
        <f>IF(OR(L372="entregado",K372="despacho"),"", IF(AND(ELABORACION!F372&lt;&gt;"-",ELABORACION!F372&lt;&gt;"PENDIENTE ELAB"),"en proceso",""))</f>
        <v/>
      </c>
      <c r="K372" s="21" t="str">
        <f>IF(L372="entregado","",IF(EXPEDICION!L372="listo para entregar","despacho",""))</f>
        <v/>
      </c>
      <c r="L372" s="21" t="str">
        <f>IF(EXPEDICION!L372="entregado", "entregado", "")</f>
        <v/>
      </c>
      <c r="M372" s="32" t="str">
        <f>EXPEDICION!M372</f>
        <v/>
      </c>
    </row>
    <row r="373" ht="15.75" customHeight="1">
      <c r="A373" s="42">
        <v>26130.0</v>
      </c>
      <c r="B373" s="30">
        <v>46183.0</v>
      </c>
      <c r="C373" s="42">
        <v>14463.0</v>
      </c>
      <c r="D373" s="28" t="s">
        <v>57</v>
      </c>
      <c r="E373" s="28" t="s">
        <v>398</v>
      </c>
      <c r="F373" s="29" t="s">
        <v>36</v>
      </c>
      <c r="G373" s="29">
        <v>1500.0</v>
      </c>
      <c r="H373" s="38">
        <v>65.0</v>
      </c>
      <c r="I373" s="21" t="str">
        <f t="shared" si="1"/>
        <v/>
      </c>
      <c r="J373" s="21" t="str">
        <f>IF(OR(L373="entregado",K373="despacho"),"", IF(AND(ELABORACION!F373&lt;&gt;"-",ELABORACION!F373&lt;&gt;"PENDIENTE ELAB"),"en proceso",""))</f>
        <v/>
      </c>
      <c r="K373" s="21" t="str">
        <f>IF(L373="entregado","",IF(EXPEDICION!L373="listo para entregar","despacho",""))</f>
        <v/>
      </c>
      <c r="L373" s="21" t="str">
        <f>IF(EXPEDICION!L373="entregado", "entregado", "")</f>
        <v>entregado</v>
      </c>
      <c r="M373" s="32" t="str">
        <f>EXPEDICION!M373</f>
        <v>J26052</v>
      </c>
    </row>
    <row r="374" ht="15.75" customHeight="1">
      <c r="A374" s="41">
        <v>26130.0</v>
      </c>
      <c r="B374" s="33">
        <v>46183.0</v>
      </c>
      <c r="C374" s="43">
        <v>14463.0</v>
      </c>
      <c r="D374" s="36" t="s">
        <v>57</v>
      </c>
      <c r="E374" s="36" t="s">
        <v>399</v>
      </c>
      <c r="F374" s="35" t="s">
        <v>36</v>
      </c>
      <c r="G374" s="35">
        <v>1500.0</v>
      </c>
      <c r="H374" s="37">
        <v>50.0</v>
      </c>
      <c r="I374" s="21" t="str">
        <f t="shared" si="1"/>
        <v>ingreso</v>
      </c>
      <c r="J374" s="21" t="str">
        <f>IF(OR(L374="entregado",K374="despacho"),"", IF(AND(ELABORACION!F374&lt;&gt;"-",ELABORACION!F374&lt;&gt;"PENDIENTE ELAB"),"en proceso",""))</f>
        <v/>
      </c>
      <c r="K374" s="21" t="str">
        <f>IF(L374="entregado","",IF(EXPEDICION!L374="listo para entregar","despacho",""))</f>
        <v/>
      </c>
      <c r="L374" s="21" t="str">
        <f>IF(EXPEDICION!L374="entregado", "entregado", "")</f>
        <v/>
      </c>
      <c r="M374" s="32" t="str">
        <f>EXPEDICION!M374</f>
        <v/>
      </c>
    </row>
    <row r="375" ht="15.75" customHeight="1">
      <c r="A375" s="42">
        <v>26130.0</v>
      </c>
      <c r="B375" s="30">
        <v>46183.0</v>
      </c>
      <c r="C375" s="42">
        <v>14463.0</v>
      </c>
      <c r="D375" s="28" t="s">
        <v>57</v>
      </c>
      <c r="E375" s="28" t="s">
        <v>400</v>
      </c>
      <c r="F375" s="29" t="s">
        <v>36</v>
      </c>
      <c r="G375" s="29">
        <v>1500.0</v>
      </c>
      <c r="H375" s="38">
        <v>50.0</v>
      </c>
      <c r="I375" s="21" t="str">
        <f t="shared" si="1"/>
        <v>ingreso</v>
      </c>
      <c r="J375" s="21" t="str">
        <f>IF(OR(L375="entregado",K375="despacho"),"", IF(AND(ELABORACION!F375&lt;&gt;"-",ELABORACION!F375&lt;&gt;"PENDIENTE ELAB"),"en proceso",""))</f>
        <v/>
      </c>
      <c r="K375" s="21" t="str">
        <f>IF(L375="entregado","",IF(EXPEDICION!L375="listo para entregar","despacho",""))</f>
        <v/>
      </c>
      <c r="L375" s="21" t="str">
        <f>IF(EXPEDICION!L375="entregado", "entregado", "")</f>
        <v/>
      </c>
      <c r="M375" s="32" t="str">
        <f>EXPEDICION!M375</f>
        <v/>
      </c>
    </row>
    <row r="376" ht="15.75" customHeight="1">
      <c r="A376" s="41">
        <v>26130.0</v>
      </c>
      <c r="B376" s="33">
        <v>46183.0</v>
      </c>
      <c r="C376" s="43">
        <v>14463.0</v>
      </c>
      <c r="D376" s="36" t="s">
        <v>57</v>
      </c>
      <c r="E376" s="36" t="s">
        <v>401</v>
      </c>
      <c r="F376" s="35" t="s">
        <v>36</v>
      </c>
      <c r="G376" s="35">
        <v>1500.0</v>
      </c>
      <c r="H376" s="37">
        <v>65.0</v>
      </c>
      <c r="I376" s="21" t="str">
        <f t="shared" si="1"/>
        <v>ingreso</v>
      </c>
      <c r="J376" s="21" t="str">
        <f>IF(OR(L376="entregado",K376="despacho"),"", IF(AND(ELABORACION!F376&lt;&gt;"-",ELABORACION!F376&lt;&gt;"PENDIENTE ELAB"),"en proceso",""))</f>
        <v/>
      </c>
      <c r="K376" s="21" t="str">
        <f>IF(L376="entregado","",IF(EXPEDICION!L376="listo para entregar","despacho",""))</f>
        <v/>
      </c>
      <c r="L376" s="21" t="str">
        <f>IF(EXPEDICION!L376="entregado", "entregado", "")</f>
        <v/>
      </c>
      <c r="M376" s="32" t="str">
        <f>EXPEDICION!M376</f>
        <v/>
      </c>
    </row>
    <row r="377" ht="15.75" customHeight="1">
      <c r="A377" s="42">
        <v>26131.0</v>
      </c>
      <c r="B377" s="30">
        <v>46184.0</v>
      </c>
      <c r="C377" s="42"/>
      <c r="D377" s="28" t="s">
        <v>402</v>
      </c>
      <c r="E377" s="28" t="s">
        <v>403</v>
      </c>
      <c r="F377" s="29" t="s">
        <v>36</v>
      </c>
      <c r="G377" s="29">
        <v>300.0</v>
      </c>
      <c r="H377" s="38">
        <v>200.0</v>
      </c>
      <c r="I377" s="21" t="str">
        <f t="shared" si="1"/>
        <v/>
      </c>
      <c r="J377" s="21" t="str">
        <f>IF(OR(L377="entregado",K377="despacho"),"", IF(AND(ELABORACION!F377&lt;&gt;"-",ELABORACION!F377&lt;&gt;"PENDIENTE ELAB"),"en proceso",""))</f>
        <v/>
      </c>
      <c r="K377" s="21" t="str">
        <f>IF(L377="entregado","",IF(EXPEDICION!L377="listo para entregar","despacho",""))</f>
        <v>despacho</v>
      </c>
      <c r="L377" s="21" t="str">
        <f>IF(EXPEDICION!L377="entregado", "entregado", "")</f>
        <v/>
      </c>
      <c r="M377" s="32" t="str">
        <f>EXPEDICION!M377</f>
        <v>J26038</v>
      </c>
    </row>
    <row r="378" ht="15.75" customHeight="1">
      <c r="A378" s="41">
        <v>26132.0</v>
      </c>
      <c r="B378" s="33">
        <v>46189.0</v>
      </c>
      <c r="C378" s="43">
        <v>809.0</v>
      </c>
      <c r="D378" s="36" t="s">
        <v>52</v>
      </c>
      <c r="E378" s="36" t="s">
        <v>404</v>
      </c>
      <c r="F378" s="35" t="s">
        <v>36</v>
      </c>
      <c r="G378" s="35">
        <v>500.0</v>
      </c>
      <c r="H378" s="37">
        <v>150.0</v>
      </c>
      <c r="I378" s="21" t="str">
        <f t="shared" si="1"/>
        <v/>
      </c>
      <c r="J378" s="21" t="str">
        <f>IF(OR(L378="entregado",K378="despacho"),"", IF(AND(ELABORACION!F378&lt;&gt;"-",ELABORACION!F378&lt;&gt;"PENDIENTE ELAB"),"en proceso",""))</f>
        <v>en proceso</v>
      </c>
      <c r="K378" s="21" t="str">
        <f>IF(L378="entregado","",IF(EXPEDICION!L378="listo para entregar","despacho",""))</f>
        <v/>
      </c>
      <c r="L378" s="21" t="str">
        <f>IF(EXPEDICION!L378="entregado", "entregado", "")</f>
        <v/>
      </c>
      <c r="M378" s="32" t="str">
        <f>EXPEDICION!M378</f>
        <v/>
      </c>
    </row>
    <row r="379" ht="15.75" customHeight="1">
      <c r="A379" s="42">
        <v>26132.0</v>
      </c>
      <c r="B379" s="30">
        <v>46189.0</v>
      </c>
      <c r="C379" s="42">
        <v>809.0</v>
      </c>
      <c r="D379" s="28" t="s">
        <v>52</v>
      </c>
      <c r="E379" s="18" t="s">
        <v>53</v>
      </c>
      <c r="F379" s="29" t="s">
        <v>36</v>
      </c>
      <c r="G379" s="29">
        <v>500.0</v>
      </c>
      <c r="H379" s="38">
        <v>400.0</v>
      </c>
      <c r="I379" s="21" t="str">
        <f t="shared" si="1"/>
        <v/>
      </c>
      <c r="J379" s="21" t="str">
        <f>IF(OR(L379="entregado",K379="despacho"),"", IF(AND(ELABORACION!F379&lt;&gt;"-",ELABORACION!F379&lt;&gt;"PENDIENTE ELAB"),"en proceso",""))</f>
        <v/>
      </c>
      <c r="K379" s="21" t="str">
        <f>IF(L379="entregado","",IF(EXPEDICION!L379="listo para entregar","despacho",""))</f>
        <v/>
      </c>
      <c r="L379" s="21" t="str">
        <f>IF(EXPEDICION!L379="entregado", "entregado", "")</f>
        <v>entregado</v>
      </c>
      <c r="M379" s="32" t="str">
        <f>EXPEDICION!M379</f>
        <v>J26050</v>
      </c>
    </row>
    <row r="380" ht="15.75" customHeight="1">
      <c r="A380" s="41">
        <v>26132.0</v>
      </c>
      <c r="B380" s="33">
        <v>46189.0</v>
      </c>
      <c r="C380" s="43">
        <v>809.0</v>
      </c>
      <c r="D380" s="36" t="s">
        <v>52</v>
      </c>
      <c r="E380" s="36" t="s">
        <v>405</v>
      </c>
      <c r="F380" s="35" t="s">
        <v>36</v>
      </c>
      <c r="G380" s="35">
        <v>200.0</v>
      </c>
      <c r="H380" s="37">
        <v>900.0</v>
      </c>
      <c r="I380" s="21" t="str">
        <f t="shared" si="1"/>
        <v/>
      </c>
      <c r="J380" s="21" t="str">
        <f>IF(OR(L380="entregado",K380="despacho"),"", IF(AND(ELABORACION!F380&lt;&gt;"-",ELABORACION!F380&lt;&gt;"PENDIENTE ELAB"),"en proceso",""))</f>
        <v/>
      </c>
      <c r="K380" s="21" t="str">
        <f>IF(L380="entregado","",IF(EXPEDICION!L380="listo para entregar","despacho",""))</f>
        <v/>
      </c>
      <c r="L380" s="21" t="str">
        <f>IF(EXPEDICION!L380="entregado", "entregado", "")</f>
        <v>entregado</v>
      </c>
      <c r="M380" s="32" t="str">
        <f>EXPEDICION!M380</f>
        <v>J26050</v>
      </c>
    </row>
    <row r="381" ht="15.75" customHeight="1">
      <c r="A381" s="42">
        <v>26132.0</v>
      </c>
      <c r="B381" s="30">
        <v>46189.0</v>
      </c>
      <c r="C381" s="42">
        <v>809.0</v>
      </c>
      <c r="D381" s="28" t="s">
        <v>52</v>
      </c>
      <c r="E381" s="18" t="s">
        <v>406</v>
      </c>
      <c r="F381" s="29" t="s">
        <v>36</v>
      </c>
      <c r="G381" s="29">
        <v>500.0</v>
      </c>
      <c r="H381" s="38">
        <v>400.0</v>
      </c>
      <c r="I381" s="21" t="str">
        <f t="shared" si="1"/>
        <v/>
      </c>
      <c r="J381" s="21" t="str">
        <f>IF(OR(L381="entregado",K381="despacho"),"", IF(AND(ELABORACION!F381&lt;&gt;"-",ELABORACION!F381&lt;&gt;"PENDIENTE ELAB"),"en proceso",""))</f>
        <v/>
      </c>
      <c r="K381" s="21" t="str">
        <f>IF(L381="entregado","",IF(EXPEDICION!L381="listo para entregar","despacho",""))</f>
        <v/>
      </c>
      <c r="L381" s="21" t="str">
        <f>IF(EXPEDICION!L381="entregado", "entregado", "")</f>
        <v>entregado</v>
      </c>
      <c r="M381" s="32" t="str">
        <f>EXPEDICION!M381</f>
        <v>J26051</v>
      </c>
    </row>
    <row r="382" ht="15.75" customHeight="1">
      <c r="A382" s="41">
        <v>26132.0</v>
      </c>
      <c r="B382" s="33">
        <v>46189.0</v>
      </c>
      <c r="C382" s="43">
        <v>809.0</v>
      </c>
      <c r="D382" s="36" t="s">
        <v>52</v>
      </c>
      <c r="E382" s="36" t="s">
        <v>407</v>
      </c>
      <c r="F382" s="35" t="s">
        <v>36</v>
      </c>
      <c r="G382" s="35">
        <v>200.0</v>
      </c>
      <c r="H382" s="37">
        <v>900.0</v>
      </c>
      <c r="I382" s="21" t="str">
        <f t="shared" si="1"/>
        <v/>
      </c>
      <c r="J382" s="21" t="str">
        <f>IF(OR(L382="entregado",K382="despacho"),"", IF(AND(ELABORACION!F382&lt;&gt;"-",ELABORACION!F382&lt;&gt;"PENDIENTE ELAB"),"en proceso",""))</f>
        <v>en proceso</v>
      </c>
      <c r="K382" s="21" t="str">
        <f>IF(L382="entregado","",IF(EXPEDICION!L382="listo para entregar","despacho",""))</f>
        <v/>
      </c>
      <c r="L382" s="21" t="str">
        <f>IF(EXPEDICION!L382="entregado", "entregado", "")</f>
        <v/>
      </c>
      <c r="M382" s="32" t="str">
        <f>EXPEDICION!M382</f>
        <v/>
      </c>
    </row>
    <row r="383" ht="15.75" customHeight="1">
      <c r="A383" s="42">
        <v>26132.0</v>
      </c>
      <c r="B383" s="30">
        <v>46189.0</v>
      </c>
      <c r="C383" s="42">
        <v>809.0</v>
      </c>
      <c r="D383" s="28" t="s">
        <v>52</v>
      </c>
      <c r="E383" s="18" t="s">
        <v>291</v>
      </c>
      <c r="F383" s="29" t="s">
        <v>36</v>
      </c>
      <c r="G383" s="29">
        <v>200.0</v>
      </c>
      <c r="H383" s="38">
        <v>900.0</v>
      </c>
      <c r="I383" s="21" t="str">
        <f t="shared" si="1"/>
        <v/>
      </c>
      <c r="J383" s="21" t="str">
        <f>IF(OR(L383="entregado",K383="despacho"),"", IF(AND(ELABORACION!F383&lt;&gt;"-",ELABORACION!F383&lt;&gt;"PENDIENTE ELAB"),"en proceso",""))</f>
        <v>en proceso</v>
      </c>
      <c r="K383" s="21" t="str">
        <f>IF(L383="entregado","",IF(EXPEDICION!L383="listo para entregar","despacho",""))</f>
        <v/>
      </c>
      <c r="L383" s="21" t="str">
        <f>IF(EXPEDICION!L383="entregado", "entregado", "")</f>
        <v/>
      </c>
      <c r="M383" s="32" t="str">
        <f>EXPEDICION!M383</f>
        <v/>
      </c>
    </row>
    <row r="384" ht="15.75" customHeight="1">
      <c r="A384" s="41">
        <v>26132.0</v>
      </c>
      <c r="B384" s="33">
        <v>46189.0</v>
      </c>
      <c r="C384" s="43">
        <v>809.0</v>
      </c>
      <c r="D384" s="36" t="s">
        <v>52</v>
      </c>
      <c r="E384" s="36" t="s">
        <v>292</v>
      </c>
      <c r="F384" s="35" t="s">
        <v>36</v>
      </c>
      <c r="G384" s="35">
        <v>200.0</v>
      </c>
      <c r="H384" s="37">
        <v>900.0</v>
      </c>
      <c r="I384" s="21" t="str">
        <f t="shared" si="1"/>
        <v>ingreso</v>
      </c>
      <c r="J384" s="21" t="str">
        <f>IF(OR(L384="entregado",K384="despacho"),"", IF(AND(ELABORACION!F384&lt;&gt;"-",ELABORACION!F384&lt;&gt;"PENDIENTE ELAB"),"en proceso",""))</f>
        <v/>
      </c>
      <c r="K384" s="21" t="str">
        <f>IF(L384="entregado","",IF(EXPEDICION!L384="listo para entregar","despacho",""))</f>
        <v/>
      </c>
      <c r="L384" s="21" t="str">
        <f>IF(EXPEDICION!L384="entregado", "entregado", "")</f>
        <v/>
      </c>
      <c r="M384" s="32" t="str">
        <f>EXPEDICION!M384</f>
        <v/>
      </c>
    </row>
    <row r="385" ht="15.75" customHeight="1">
      <c r="A385" s="42">
        <v>26132.0</v>
      </c>
      <c r="B385" s="30">
        <v>46189.0</v>
      </c>
      <c r="C385" s="42">
        <v>809.0</v>
      </c>
      <c r="D385" s="28" t="s">
        <v>52</v>
      </c>
      <c r="E385" s="18" t="s">
        <v>408</v>
      </c>
      <c r="F385" s="29" t="s">
        <v>36</v>
      </c>
      <c r="G385" s="29">
        <v>500.0</v>
      </c>
      <c r="H385" s="38">
        <v>150.0</v>
      </c>
      <c r="I385" s="21" t="str">
        <f t="shared" si="1"/>
        <v>ingreso</v>
      </c>
      <c r="J385" s="21" t="str">
        <f>IF(OR(L385="entregado",K385="despacho"),"", IF(AND(ELABORACION!F385&lt;&gt;"-",ELABORACION!F385&lt;&gt;"PENDIENTE ELAB"),"en proceso",""))</f>
        <v/>
      </c>
      <c r="K385" s="21" t="str">
        <f>IF(L385="entregado","",IF(EXPEDICION!L385="listo para entregar","despacho",""))</f>
        <v/>
      </c>
      <c r="L385" s="21" t="str">
        <f>IF(EXPEDICION!L385="entregado", "entregado", "")</f>
        <v/>
      </c>
      <c r="M385" s="32" t="str">
        <f>EXPEDICION!M385</f>
        <v/>
      </c>
    </row>
    <row r="386" ht="15.75" customHeight="1">
      <c r="A386" s="41">
        <v>26132.0</v>
      </c>
      <c r="B386" s="33">
        <v>46189.0</v>
      </c>
      <c r="C386" s="43">
        <v>809.0</v>
      </c>
      <c r="D386" s="36" t="s">
        <v>52</v>
      </c>
      <c r="E386" s="36" t="s">
        <v>220</v>
      </c>
      <c r="F386" s="35" t="s">
        <v>36</v>
      </c>
      <c r="G386" s="35">
        <v>500.0</v>
      </c>
      <c r="H386" s="37">
        <v>400.0</v>
      </c>
      <c r="I386" s="21" t="str">
        <f t="shared" si="1"/>
        <v/>
      </c>
      <c r="J386" s="21" t="str">
        <f>IF(OR(L386="entregado",K386="despacho"),"", IF(AND(ELABORACION!F386&lt;&gt;"-",ELABORACION!F386&lt;&gt;"PENDIENTE ELAB"),"en proceso",""))</f>
        <v>en proceso</v>
      </c>
      <c r="K386" s="21" t="str">
        <f>IF(L386="entregado","",IF(EXPEDICION!L386="listo para entregar","despacho",""))</f>
        <v/>
      </c>
      <c r="L386" s="21" t="str">
        <f>IF(EXPEDICION!L386="entregado", "entregado", "")</f>
        <v/>
      </c>
      <c r="M386" s="32" t="str">
        <f>EXPEDICION!M386</f>
        <v/>
      </c>
    </row>
    <row r="387" ht="15.75" customHeight="1">
      <c r="A387" s="42">
        <v>26132.0</v>
      </c>
      <c r="B387" s="30">
        <v>46189.0</v>
      </c>
      <c r="C387" s="42">
        <v>809.0</v>
      </c>
      <c r="D387" s="28" t="s">
        <v>52</v>
      </c>
      <c r="E387" s="18" t="s">
        <v>221</v>
      </c>
      <c r="F387" s="29" t="s">
        <v>36</v>
      </c>
      <c r="G387" s="29">
        <v>500.0</v>
      </c>
      <c r="H387" s="38">
        <v>400.0</v>
      </c>
      <c r="I387" s="21" t="str">
        <f t="shared" si="1"/>
        <v/>
      </c>
      <c r="J387" s="21" t="str">
        <f>IF(OR(L387="entregado",K387="despacho"),"", IF(AND(ELABORACION!F387&lt;&gt;"-",ELABORACION!F387&lt;&gt;"PENDIENTE ELAB"),"en proceso",""))</f>
        <v>en proceso</v>
      </c>
      <c r="K387" s="21" t="str">
        <f>IF(L387="entregado","",IF(EXPEDICION!L387="listo para entregar","despacho",""))</f>
        <v/>
      </c>
      <c r="L387" s="21" t="str">
        <f>IF(EXPEDICION!L387="entregado", "entregado", "")</f>
        <v/>
      </c>
      <c r="M387" s="32" t="str">
        <f>EXPEDICION!M387</f>
        <v/>
      </c>
    </row>
    <row r="388" ht="15.75" customHeight="1">
      <c r="A388" s="41">
        <v>26132.0</v>
      </c>
      <c r="B388" s="33">
        <v>46189.0</v>
      </c>
      <c r="C388" s="43">
        <v>809.0</v>
      </c>
      <c r="D388" s="36" t="s">
        <v>52</v>
      </c>
      <c r="E388" s="36" t="s">
        <v>344</v>
      </c>
      <c r="F388" s="35" t="s">
        <v>36</v>
      </c>
      <c r="G388" s="35">
        <v>500.0</v>
      </c>
      <c r="H388" s="37">
        <v>300.0</v>
      </c>
      <c r="I388" s="21" t="str">
        <f t="shared" si="1"/>
        <v/>
      </c>
      <c r="J388" s="21" t="str">
        <f>IF(OR(L388="entregado",K388="despacho"),"", IF(AND(ELABORACION!F388&lt;&gt;"-",ELABORACION!F388&lt;&gt;"PENDIENTE ELAB"),"en proceso",""))</f>
        <v>en proceso</v>
      </c>
      <c r="K388" s="21" t="str">
        <f>IF(L388="entregado","",IF(EXPEDICION!L388="listo para entregar","despacho",""))</f>
        <v/>
      </c>
      <c r="L388" s="21" t="str">
        <f>IF(EXPEDICION!L388="entregado", "entregado", "")</f>
        <v/>
      </c>
      <c r="M388" s="32" t="str">
        <f>EXPEDICION!M388</f>
        <v/>
      </c>
    </row>
    <row r="389" ht="15.75" customHeight="1">
      <c r="A389" s="42">
        <v>26133.0</v>
      </c>
      <c r="B389" s="30">
        <v>46189.0</v>
      </c>
      <c r="C389" s="42"/>
      <c r="D389" s="28" t="s">
        <v>133</v>
      </c>
      <c r="E389" s="18" t="s">
        <v>264</v>
      </c>
      <c r="F389" s="29" t="s">
        <v>12</v>
      </c>
      <c r="G389" s="29">
        <v>1000.0</v>
      </c>
      <c r="H389" s="38">
        <v>30.0</v>
      </c>
      <c r="I389" s="21" t="str">
        <f t="shared" si="1"/>
        <v/>
      </c>
      <c r="J389" s="21" t="str">
        <f>IF(OR(L389="entregado",K389="despacho"),"", IF(AND(ELABORACION!F389&lt;&gt;"-",ELABORACION!F389&lt;&gt;"PENDIENTE ELAB"),"en proceso",""))</f>
        <v/>
      </c>
      <c r="K389" s="21" t="str">
        <f>IF(L389="entregado","",IF(EXPEDICION!L389="listo para entregar","despacho",""))</f>
        <v/>
      </c>
      <c r="L389" s="21" t="str">
        <f>IF(EXPEDICION!L389="entregado", "entregado", "")</f>
        <v>entregado</v>
      </c>
      <c r="M389" s="32" t="str">
        <f>EXPEDICION!M389</f>
        <v>J26028</v>
      </c>
    </row>
    <row r="390" ht="15.75" customHeight="1">
      <c r="A390" s="41">
        <v>26134.0</v>
      </c>
      <c r="B390" s="33">
        <v>46189.0</v>
      </c>
      <c r="C390" s="43"/>
      <c r="D390" s="36" t="s">
        <v>409</v>
      </c>
      <c r="E390" s="36" t="s">
        <v>264</v>
      </c>
      <c r="F390" s="35" t="s">
        <v>12</v>
      </c>
      <c r="G390" s="35">
        <v>500.0</v>
      </c>
      <c r="H390" s="37">
        <v>30.0</v>
      </c>
      <c r="I390" s="21" t="str">
        <f t="shared" si="1"/>
        <v/>
      </c>
      <c r="J390" s="21" t="str">
        <f>IF(OR(L390="entregado",K390="despacho"),"", IF(AND(ELABORACION!F390&lt;&gt;"-",ELABORACION!F390&lt;&gt;"PENDIENTE ELAB"),"en proceso",""))</f>
        <v>en proceso</v>
      </c>
      <c r="K390" s="21" t="str">
        <f>IF(L390="entregado","",IF(EXPEDICION!L390="listo para entregar","despacho",""))</f>
        <v/>
      </c>
      <c r="L390" s="21" t="str">
        <f>IF(EXPEDICION!L390="entregado", "entregado", "")</f>
        <v/>
      </c>
      <c r="M390" s="32" t="str">
        <f>EXPEDICION!M390</f>
        <v/>
      </c>
    </row>
    <row r="391" ht="15.75" customHeight="1">
      <c r="A391" s="42">
        <v>26134.0</v>
      </c>
      <c r="B391" s="30">
        <v>46189.0</v>
      </c>
      <c r="C391" s="42"/>
      <c r="D391" s="28" t="s">
        <v>409</v>
      </c>
      <c r="E391" s="18" t="s">
        <v>410</v>
      </c>
      <c r="F391" s="29" t="s">
        <v>12</v>
      </c>
      <c r="G391" s="29">
        <v>500.0</v>
      </c>
      <c r="H391" s="38">
        <v>50.0</v>
      </c>
      <c r="I391" s="21" t="str">
        <f t="shared" si="1"/>
        <v/>
      </c>
      <c r="J391" s="21" t="str">
        <f>IF(OR(L391="entregado",K391="despacho"),"", IF(AND(ELABORACION!F391&lt;&gt;"-",ELABORACION!F391&lt;&gt;"PENDIENTE ELAB"),"en proceso",""))</f>
        <v>en proceso</v>
      </c>
      <c r="K391" s="21" t="str">
        <f>IF(L391="entregado","",IF(EXPEDICION!L391="listo para entregar","despacho",""))</f>
        <v/>
      </c>
      <c r="L391" s="21" t="str">
        <f>IF(EXPEDICION!L391="entregado", "entregado", "")</f>
        <v/>
      </c>
      <c r="M391" s="32" t="str">
        <f>EXPEDICION!M391</f>
        <v/>
      </c>
    </row>
    <row r="392" ht="15.75" customHeight="1">
      <c r="A392" s="41">
        <v>26135.0</v>
      </c>
      <c r="B392" s="33">
        <v>46184.0</v>
      </c>
      <c r="C392" s="43"/>
      <c r="D392" s="36" t="s">
        <v>198</v>
      </c>
      <c r="E392" s="36" t="s">
        <v>194</v>
      </c>
      <c r="F392" s="35" t="s">
        <v>12</v>
      </c>
      <c r="G392" s="35">
        <v>1000.0</v>
      </c>
      <c r="H392" s="37">
        <v>10.0</v>
      </c>
      <c r="I392" s="21" t="str">
        <f t="shared" si="1"/>
        <v/>
      </c>
      <c r="J392" s="21" t="str">
        <f>IF(OR(L392="entregado",K392="despacho"),"", IF(AND(ELABORACION!F392&lt;&gt;"-",ELABORACION!F392&lt;&gt;"PENDIENTE ELAB"),"en proceso",""))</f>
        <v/>
      </c>
      <c r="K392" s="21" t="str">
        <f>IF(L392="entregado","",IF(EXPEDICION!L392="listo para entregar","despacho",""))</f>
        <v/>
      </c>
      <c r="L392" s="21" t="str">
        <f>IF(EXPEDICION!L392="entregado", "entregado", "")</f>
        <v>entregado</v>
      </c>
      <c r="M392" s="32" t="str">
        <f>EXPEDICION!M392</f>
        <v>J26024</v>
      </c>
    </row>
    <row r="393" ht="15.75" customHeight="1">
      <c r="A393" s="42">
        <v>26136.0</v>
      </c>
      <c r="B393" s="30">
        <v>46184.0</v>
      </c>
      <c r="C393" s="42"/>
      <c r="D393" s="28" t="s">
        <v>60</v>
      </c>
      <c r="E393" s="18" t="s">
        <v>411</v>
      </c>
      <c r="F393" s="29" t="s">
        <v>36</v>
      </c>
      <c r="G393" s="29">
        <v>3000.0</v>
      </c>
      <c r="H393" s="38">
        <v>300.0</v>
      </c>
      <c r="I393" s="21" t="str">
        <f t="shared" si="1"/>
        <v/>
      </c>
      <c r="J393" s="21" t="str">
        <f>IF(OR(L393="entregado",K393="despacho"),"", IF(AND(ELABORACION!F393&lt;&gt;"-",ELABORACION!F393&lt;&gt;"PENDIENTE ELAB"),"en proceso",""))</f>
        <v>en proceso</v>
      </c>
      <c r="K393" s="21" t="str">
        <f>IF(L393="entregado","",IF(EXPEDICION!L393="listo para entregar","despacho",""))</f>
        <v/>
      </c>
      <c r="L393" s="21" t="str">
        <f>IF(EXPEDICION!L393="entregado", "entregado", "")</f>
        <v/>
      </c>
      <c r="M393" s="32" t="str">
        <f>EXPEDICION!M393</f>
        <v/>
      </c>
    </row>
    <row r="394" ht="15.75" customHeight="1">
      <c r="A394" s="41">
        <v>26136.0</v>
      </c>
      <c r="B394" s="33">
        <v>46184.0</v>
      </c>
      <c r="C394" s="43"/>
      <c r="D394" s="36" t="s">
        <v>60</v>
      </c>
      <c r="E394" s="36" t="s">
        <v>412</v>
      </c>
      <c r="F394" s="35" t="s">
        <v>36</v>
      </c>
      <c r="G394" s="35">
        <v>800.0</v>
      </c>
      <c r="H394" s="37">
        <v>1000.0</v>
      </c>
      <c r="I394" s="21" t="str">
        <f t="shared" si="1"/>
        <v/>
      </c>
      <c r="J394" s="21" t="str">
        <f>IF(OR(L394="entregado",K394="despacho"),"", IF(AND(ELABORACION!F394&lt;&gt;"-",ELABORACION!F394&lt;&gt;"PENDIENTE ELAB"),"en proceso",""))</f>
        <v>en proceso</v>
      </c>
      <c r="K394" s="21" t="str">
        <f>IF(L394="entregado","",IF(EXPEDICION!L394="listo para entregar","despacho",""))</f>
        <v/>
      </c>
      <c r="L394" s="21" t="str">
        <f>IF(EXPEDICION!L394="entregado", "entregado", "")</f>
        <v/>
      </c>
      <c r="M394" s="32" t="str">
        <f>EXPEDICION!M394</f>
        <v/>
      </c>
    </row>
    <row r="395" ht="15.75" customHeight="1">
      <c r="A395" s="42">
        <v>26137.0</v>
      </c>
      <c r="B395" s="30">
        <v>46196.0</v>
      </c>
      <c r="C395" s="42"/>
      <c r="D395" s="28" t="s">
        <v>181</v>
      </c>
      <c r="E395" s="18" t="s">
        <v>413</v>
      </c>
      <c r="F395" s="29" t="s">
        <v>12</v>
      </c>
      <c r="G395" s="29">
        <v>1200.0</v>
      </c>
      <c r="H395" s="38">
        <v>75.0</v>
      </c>
      <c r="I395" s="21" t="str">
        <f t="shared" si="1"/>
        <v>ingreso</v>
      </c>
      <c r="J395" s="21" t="str">
        <f>IF(OR(L395="entregado",K395="despacho"),"", IF(AND(ELABORACION!F395&lt;&gt;"-",ELABORACION!F395&lt;&gt;"PENDIENTE ELAB"),"en proceso",""))</f>
        <v/>
      </c>
      <c r="K395" s="21" t="str">
        <f>IF(L395="entregado","",IF(EXPEDICION!L395="listo para entregar","despacho",""))</f>
        <v/>
      </c>
      <c r="L395" s="21" t="str">
        <f>IF(EXPEDICION!L395="entregado", "entregado", "")</f>
        <v/>
      </c>
      <c r="M395" s="32" t="str">
        <f>EXPEDICION!M395</f>
        <v/>
      </c>
    </row>
    <row r="396" ht="15.75" customHeight="1">
      <c r="A396" s="41">
        <v>26138.0</v>
      </c>
      <c r="B396" s="33">
        <v>46197.0</v>
      </c>
      <c r="C396" s="43"/>
      <c r="D396" s="36" t="s">
        <v>79</v>
      </c>
      <c r="E396" s="36" t="s">
        <v>414</v>
      </c>
      <c r="F396" s="35" t="s">
        <v>36</v>
      </c>
      <c r="G396" s="35">
        <v>2000.0</v>
      </c>
      <c r="H396" s="37">
        <v>15.0</v>
      </c>
      <c r="I396" s="21" t="str">
        <f t="shared" si="1"/>
        <v/>
      </c>
      <c r="J396" s="21" t="str">
        <f>IF(OR(L396="entregado",K396="despacho"),"", IF(AND(ELABORACION!F396&lt;&gt;"-",ELABORACION!F396&lt;&gt;"PENDIENTE ELAB"),"en proceso",""))</f>
        <v>en proceso</v>
      </c>
      <c r="K396" s="21" t="str">
        <f>IF(L396="entregado","",IF(EXPEDICION!L396="listo para entregar","despacho",""))</f>
        <v/>
      </c>
      <c r="L396" s="21" t="str">
        <f>IF(EXPEDICION!L396="entregado", "entregado", "")</f>
        <v/>
      </c>
      <c r="M396" s="32" t="str">
        <f>EXPEDICION!M396</f>
        <v/>
      </c>
    </row>
    <row r="397" ht="15.75" customHeight="1">
      <c r="A397" s="42">
        <v>26138.0</v>
      </c>
      <c r="B397" s="30">
        <v>46197.0</v>
      </c>
      <c r="C397" s="42"/>
      <c r="D397" s="28" t="s">
        <v>79</v>
      </c>
      <c r="E397" s="18" t="s">
        <v>415</v>
      </c>
      <c r="F397" s="29" t="s">
        <v>36</v>
      </c>
      <c r="G397" s="29">
        <v>2000.0</v>
      </c>
      <c r="H397" s="38">
        <v>15.0</v>
      </c>
      <c r="I397" s="21" t="str">
        <f t="shared" si="1"/>
        <v/>
      </c>
      <c r="J397" s="21" t="str">
        <f>IF(OR(L397="entregado",K397="despacho"),"", IF(AND(ELABORACION!F397&lt;&gt;"-",ELABORACION!F397&lt;&gt;"PENDIENTE ELAB"),"en proceso",""))</f>
        <v>en proceso</v>
      </c>
      <c r="K397" s="21" t="str">
        <f>IF(L397="entregado","",IF(EXPEDICION!L397="listo para entregar","despacho",""))</f>
        <v/>
      </c>
      <c r="L397" s="21" t="str">
        <f>IF(EXPEDICION!L397="entregado", "entregado", "")</f>
        <v/>
      </c>
      <c r="M397" s="32" t="str">
        <f>EXPEDICION!M397</f>
        <v/>
      </c>
    </row>
    <row r="398" ht="15.75" customHeight="1">
      <c r="A398" s="41">
        <v>26139.0</v>
      </c>
      <c r="B398" s="33">
        <v>46197.0</v>
      </c>
      <c r="C398" s="43">
        <v>149.0</v>
      </c>
      <c r="D398" s="36" t="s">
        <v>150</v>
      </c>
      <c r="E398" s="36" t="s">
        <v>416</v>
      </c>
      <c r="F398" s="35" t="s">
        <v>36</v>
      </c>
      <c r="G398" s="35">
        <v>2000.0</v>
      </c>
      <c r="H398" s="37">
        <v>250.0</v>
      </c>
      <c r="I398" s="21" t="str">
        <f t="shared" si="1"/>
        <v/>
      </c>
      <c r="J398" s="21" t="str">
        <f>IF(OR(L398="entregado",K398="despacho"),"", IF(AND(ELABORACION!F398&lt;&gt;"-",ELABORACION!F398&lt;&gt;"PENDIENTE ELAB"),"en proceso",""))</f>
        <v>en proceso</v>
      </c>
      <c r="K398" s="21" t="str">
        <f>IF(L398="entregado","",IF(EXPEDICION!L398="listo para entregar","despacho",""))</f>
        <v/>
      </c>
      <c r="L398" s="21" t="str">
        <f>IF(EXPEDICION!L398="entregado", "entregado", "")</f>
        <v/>
      </c>
      <c r="M398" s="32" t="str">
        <f>EXPEDICION!M398</f>
        <v/>
      </c>
    </row>
    <row r="399" ht="15.75" customHeight="1">
      <c r="A399" s="42">
        <v>26140.0</v>
      </c>
      <c r="B399" s="30">
        <v>46164.0</v>
      </c>
      <c r="C399" s="42"/>
      <c r="D399" s="28" t="s">
        <v>198</v>
      </c>
      <c r="E399" s="18" t="s">
        <v>417</v>
      </c>
      <c r="F399" s="29" t="s">
        <v>12</v>
      </c>
      <c r="G399" s="29">
        <v>500.0</v>
      </c>
      <c r="H399" s="38">
        <v>10.0</v>
      </c>
      <c r="I399" s="21" t="str">
        <f t="shared" si="1"/>
        <v/>
      </c>
      <c r="J399" s="21" t="str">
        <f>IF(OR(L399="entregado",K399="despacho"),"", IF(AND(ELABORACION!F399&lt;&gt;"-",ELABORACION!F399&lt;&gt;"PENDIENTE ELAB"),"en proceso",""))</f>
        <v/>
      </c>
      <c r="K399" s="21" t="str">
        <f>IF(L399="entregado","",IF(EXPEDICION!L399="listo para entregar","despacho",""))</f>
        <v/>
      </c>
      <c r="L399" s="21" t="str">
        <f>IF(EXPEDICION!L399="entregado", "entregado", "")</f>
        <v>entregado</v>
      </c>
      <c r="M399" s="32" t="str">
        <f>EXPEDICION!M399</f>
        <v>J26031</v>
      </c>
    </row>
    <row r="400" ht="15.75" customHeight="1">
      <c r="A400" s="41">
        <v>26140.0</v>
      </c>
      <c r="B400" s="33">
        <v>46164.0</v>
      </c>
      <c r="C400" s="43"/>
      <c r="D400" s="36" t="s">
        <v>198</v>
      </c>
      <c r="E400" s="36" t="s">
        <v>418</v>
      </c>
      <c r="F400" s="35" t="s">
        <v>12</v>
      </c>
      <c r="G400" s="35">
        <v>500.0</v>
      </c>
      <c r="H400" s="37">
        <v>10.0</v>
      </c>
      <c r="I400" s="21" t="str">
        <f t="shared" si="1"/>
        <v/>
      </c>
      <c r="J400" s="21" t="str">
        <f>IF(OR(L400="entregado",K400="despacho"),"", IF(AND(ELABORACION!F400&lt;&gt;"-",ELABORACION!F400&lt;&gt;"PENDIENTE ELAB"),"en proceso",""))</f>
        <v/>
      </c>
      <c r="K400" s="21" t="str">
        <f>IF(L400="entregado","",IF(EXPEDICION!L400="listo para entregar","despacho",""))</f>
        <v/>
      </c>
      <c r="L400" s="21" t="str">
        <f>IF(EXPEDICION!L400="entregado", "entregado", "")</f>
        <v>entregado</v>
      </c>
      <c r="M400" s="32" t="str">
        <f>EXPEDICION!M400</f>
        <v>J26032</v>
      </c>
    </row>
    <row r="401" ht="15.75" customHeight="1">
      <c r="A401" s="42">
        <v>26141.0</v>
      </c>
      <c r="B401" s="30">
        <v>46192.0</v>
      </c>
      <c r="C401" s="42">
        <v>15329.0</v>
      </c>
      <c r="D401" s="28" t="s">
        <v>15</v>
      </c>
      <c r="E401" s="18" t="s">
        <v>419</v>
      </c>
      <c r="F401" s="29" t="s">
        <v>36</v>
      </c>
      <c r="G401" s="29">
        <v>3300.0</v>
      </c>
      <c r="H401" s="38">
        <v>160.0</v>
      </c>
      <c r="I401" s="21" t="str">
        <f t="shared" si="1"/>
        <v/>
      </c>
      <c r="J401" s="21" t="str">
        <f>IF(OR(L401="entregado",K401="despacho"),"", IF(AND(ELABORACION!F401&lt;&gt;"-",ELABORACION!F401&lt;&gt;"PENDIENTE ELAB"),"en proceso",""))</f>
        <v/>
      </c>
      <c r="K401" s="21" t="str">
        <f>IF(L401="entregado","",IF(EXPEDICION!L401="listo para entregar","despacho",""))</f>
        <v/>
      </c>
      <c r="L401" s="21" t="str">
        <f>IF(EXPEDICION!L401="entregado", "entregado", "")</f>
        <v>entregado</v>
      </c>
      <c r="M401" s="32" t="str">
        <f>EXPEDICION!M401</f>
        <v>J26026</v>
      </c>
    </row>
    <row r="402" ht="15.75" customHeight="1">
      <c r="A402" s="41">
        <v>26142.0</v>
      </c>
      <c r="B402" s="33">
        <v>46192.0</v>
      </c>
      <c r="C402" s="43">
        <v>15330.0</v>
      </c>
      <c r="D402" s="36" t="s">
        <v>15</v>
      </c>
      <c r="E402" s="36" t="s">
        <v>420</v>
      </c>
      <c r="F402" s="35" t="s">
        <v>36</v>
      </c>
      <c r="G402" s="35">
        <v>3640.0</v>
      </c>
      <c r="H402" s="37">
        <v>160.0</v>
      </c>
      <c r="I402" s="21" t="str">
        <f t="shared" si="1"/>
        <v/>
      </c>
      <c r="J402" s="21" t="str">
        <f>IF(OR(L402="entregado",K402="despacho"),"", IF(AND(ELABORACION!F402&lt;&gt;"-",ELABORACION!F402&lt;&gt;"PENDIENTE ELAB"),"en proceso",""))</f>
        <v>en proceso</v>
      </c>
      <c r="K402" s="21" t="str">
        <f>IF(L402="entregado","",IF(EXPEDICION!L402="listo para entregar","despacho",""))</f>
        <v/>
      </c>
      <c r="L402" s="21" t="str">
        <f>IF(EXPEDICION!L402="entregado", "entregado", "")</f>
        <v/>
      </c>
      <c r="M402" s="32" t="str">
        <f>EXPEDICION!M402</f>
        <v/>
      </c>
    </row>
    <row r="403" ht="15.75" customHeight="1">
      <c r="A403" s="42">
        <v>26143.0</v>
      </c>
      <c r="B403" s="30">
        <v>46198.0</v>
      </c>
      <c r="C403" s="42">
        <v>15334.0</v>
      </c>
      <c r="D403" s="28" t="s">
        <v>15</v>
      </c>
      <c r="E403" s="18" t="s">
        <v>421</v>
      </c>
      <c r="F403" s="29" t="s">
        <v>36</v>
      </c>
      <c r="G403" s="29">
        <v>450.0</v>
      </c>
      <c r="H403" s="38">
        <v>20.0</v>
      </c>
      <c r="I403" s="21" t="str">
        <f t="shared" si="1"/>
        <v>ingreso</v>
      </c>
      <c r="J403" s="21" t="str">
        <f>IF(OR(L403="entregado",K403="despacho"),"", IF(AND(ELABORACION!F403&lt;&gt;"-",ELABORACION!F403&lt;&gt;"PENDIENTE ELAB"),"en proceso",""))</f>
        <v/>
      </c>
      <c r="K403" s="21" t="str">
        <f>IF(L403="entregado","",IF(EXPEDICION!L403="listo para entregar","despacho",""))</f>
        <v/>
      </c>
      <c r="L403" s="21" t="str">
        <f>IF(EXPEDICION!L403="entregado", "entregado", "")</f>
        <v/>
      </c>
      <c r="M403" s="32" t="str">
        <f>EXPEDICION!M403</f>
        <v/>
      </c>
    </row>
    <row r="404" ht="15.75" customHeight="1">
      <c r="A404" s="41">
        <v>26143.0</v>
      </c>
      <c r="B404" s="33">
        <v>46198.0</v>
      </c>
      <c r="C404" s="43">
        <v>15334.0</v>
      </c>
      <c r="D404" s="36" t="s">
        <v>15</v>
      </c>
      <c r="E404" s="36" t="s">
        <v>422</v>
      </c>
      <c r="F404" s="35" t="s">
        <v>36</v>
      </c>
      <c r="G404" s="35">
        <v>1000.0</v>
      </c>
      <c r="H404" s="37">
        <v>20.0</v>
      </c>
      <c r="I404" s="21" t="str">
        <f t="shared" si="1"/>
        <v>ingreso</v>
      </c>
      <c r="J404" s="21" t="str">
        <f>IF(OR(L404="entregado",K404="despacho"),"", IF(AND(ELABORACION!F404&lt;&gt;"-",ELABORACION!F404&lt;&gt;"PENDIENTE ELAB"),"en proceso",""))</f>
        <v/>
      </c>
      <c r="K404" s="21" t="str">
        <f>IF(L404="entregado","",IF(EXPEDICION!L404="listo para entregar","despacho",""))</f>
        <v/>
      </c>
      <c r="L404" s="21" t="str">
        <f>IF(EXPEDICION!L404="entregado", "entregado", "")</f>
        <v/>
      </c>
      <c r="M404" s="32" t="str">
        <f>EXPEDICION!M404</f>
        <v/>
      </c>
    </row>
    <row r="405" ht="15.75" customHeight="1">
      <c r="A405" s="42">
        <v>26143.0</v>
      </c>
      <c r="B405" s="30">
        <v>46198.0</v>
      </c>
      <c r="C405" s="42">
        <v>15334.0</v>
      </c>
      <c r="D405" s="28" t="s">
        <v>15</v>
      </c>
      <c r="E405" s="18" t="s">
        <v>423</v>
      </c>
      <c r="F405" s="29" t="s">
        <v>36</v>
      </c>
      <c r="G405" s="29">
        <v>2500.0</v>
      </c>
      <c r="H405" s="38">
        <v>20.0</v>
      </c>
      <c r="I405" s="21" t="str">
        <f t="shared" si="1"/>
        <v/>
      </c>
      <c r="J405" s="21" t="str">
        <f>IF(OR(L405="entregado",K405="despacho"),"", IF(AND(ELABORACION!F405&lt;&gt;"-",ELABORACION!F405&lt;&gt;"PENDIENTE ELAB"),"en proceso",""))</f>
        <v>en proceso</v>
      </c>
      <c r="K405" s="21" t="str">
        <f>IF(L405="entregado","",IF(EXPEDICION!L405="listo para entregar","despacho",""))</f>
        <v/>
      </c>
      <c r="L405" s="21" t="str">
        <f>IF(EXPEDICION!L405="entregado", "entregado", "")</f>
        <v/>
      </c>
      <c r="M405" s="32" t="str">
        <f>EXPEDICION!M405</f>
        <v/>
      </c>
    </row>
    <row r="406" ht="15.75" customHeight="1">
      <c r="A406" s="41">
        <v>26143.0</v>
      </c>
      <c r="B406" s="33">
        <v>46198.0</v>
      </c>
      <c r="C406" s="43">
        <v>15334.0</v>
      </c>
      <c r="D406" s="36" t="s">
        <v>15</v>
      </c>
      <c r="E406" s="36" t="s">
        <v>424</v>
      </c>
      <c r="F406" s="35" t="s">
        <v>36</v>
      </c>
      <c r="G406" s="35">
        <v>3050.0</v>
      </c>
      <c r="H406" s="37">
        <v>20.0</v>
      </c>
      <c r="I406" s="21" t="str">
        <f t="shared" si="1"/>
        <v/>
      </c>
      <c r="J406" s="21" t="str">
        <f>IF(OR(L406="entregado",K406="despacho"),"", IF(AND(ELABORACION!F406&lt;&gt;"-",ELABORACION!F406&lt;&gt;"PENDIENTE ELAB"),"en proceso",""))</f>
        <v>en proceso</v>
      </c>
      <c r="K406" s="21" t="str">
        <f>IF(L406="entregado","",IF(EXPEDICION!L406="listo para entregar","despacho",""))</f>
        <v/>
      </c>
      <c r="L406" s="21" t="str">
        <f>IF(EXPEDICION!L406="entregado", "entregado", "")</f>
        <v/>
      </c>
      <c r="M406" s="32" t="str">
        <f>EXPEDICION!M406</f>
        <v/>
      </c>
    </row>
    <row r="407" ht="15.75" customHeight="1">
      <c r="A407" s="42">
        <v>26144.0</v>
      </c>
      <c r="B407" s="30">
        <v>46199.0</v>
      </c>
      <c r="C407" s="42"/>
      <c r="D407" s="28" t="s">
        <v>46</v>
      </c>
      <c r="E407" s="18" t="s">
        <v>425</v>
      </c>
      <c r="F407" s="29" t="s">
        <v>36</v>
      </c>
      <c r="G407" s="29">
        <v>500.0</v>
      </c>
      <c r="H407" s="38">
        <v>300.0</v>
      </c>
      <c r="I407" s="21" t="str">
        <f t="shared" si="1"/>
        <v/>
      </c>
      <c r="J407" s="21" t="str">
        <f>IF(OR(L407="entregado",K407="despacho"),"", IF(AND(ELABORACION!F407&lt;&gt;"-",ELABORACION!F407&lt;&gt;"PENDIENTE ELAB"),"en proceso",""))</f>
        <v>en proceso</v>
      </c>
      <c r="K407" s="21" t="str">
        <f>IF(L407="entregado","",IF(EXPEDICION!L407="listo para entregar","despacho",""))</f>
        <v/>
      </c>
      <c r="L407" s="21" t="str">
        <f>IF(EXPEDICION!L407="entregado", "entregado", "")</f>
        <v/>
      </c>
      <c r="M407" s="32" t="str">
        <f>EXPEDICION!M407</f>
        <v/>
      </c>
    </row>
    <row r="408" ht="15.75" customHeight="1">
      <c r="A408" s="41">
        <v>26145.0</v>
      </c>
      <c r="B408" s="33">
        <v>46199.0</v>
      </c>
      <c r="C408" s="43"/>
      <c r="D408" s="36" t="s">
        <v>198</v>
      </c>
      <c r="E408" s="36" t="s">
        <v>426</v>
      </c>
      <c r="F408" s="35" t="s">
        <v>12</v>
      </c>
      <c r="G408" s="35">
        <v>1000.0</v>
      </c>
      <c r="H408" s="37">
        <v>10.0</v>
      </c>
      <c r="I408" s="21" t="str">
        <f t="shared" si="1"/>
        <v>ingreso</v>
      </c>
      <c r="J408" s="21" t="str">
        <f>IF(OR(L408="entregado",K408="despacho"),"", IF(AND(ELABORACION!F408&lt;&gt;"-",ELABORACION!F408&lt;&gt;"PENDIENTE ELAB"),"en proceso",""))</f>
        <v/>
      </c>
      <c r="K408" s="21" t="str">
        <f>IF(L408="entregado","",IF(EXPEDICION!L408="listo para entregar","despacho",""))</f>
        <v/>
      </c>
      <c r="L408" s="21" t="str">
        <f>IF(EXPEDICION!L408="entregado", "entregado", "")</f>
        <v/>
      </c>
      <c r="M408" s="32" t="str">
        <f>EXPEDICION!M408</f>
        <v/>
      </c>
    </row>
    <row r="409" ht="15.75" customHeight="1">
      <c r="A409" s="42">
        <v>26147.0</v>
      </c>
      <c r="B409" s="30">
        <v>46199.0</v>
      </c>
      <c r="C409" s="42">
        <v>147.0</v>
      </c>
      <c r="D409" s="28" t="s">
        <v>158</v>
      </c>
      <c r="E409" s="18" t="s">
        <v>427</v>
      </c>
      <c r="F409" s="29" t="s">
        <v>12</v>
      </c>
      <c r="G409" s="29">
        <v>500.0</v>
      </c>
      <c r="H409" s="38">
        <v>10.0</v>
      </c>
      <c r="I409" s="21" t="str">
        <f t="shared" si="1"/>
        <v/>
      </c>
      <c r="J409" s="21" t="str">
        <f>IF(OR(L409="entregado",K409="despacho"),"", IF(AND(ELABORACION!F409&lt;&gt;"-",ELABORACION!F409&lt;&gt;"PENDIENTE ELAB"),"en proceso",""))</f>
        <v>en proceso</v>
      </c>
      <c r="K409" s="21" t="str">
        <f>IF(L409="entregado","",IF(EXPEDICION!L409="listo para entregar","despacho",""))</f>
        <v/>
      </c>
      <c r="L409" s="21" t="str">
        <f>IF(EXPEDICION!L409="entregado", "entregado", "")</f>
        <v/>
      </c>
      <c r="M409" s="32" t="str">
        <f>EXPEDICION!M409</f>
        <v/>
      </c>
    </row>
    <row r="410" ht="15.75" customHeight="1">
      <c r="A410" s="41">
        <v>26147.0</v>
      </c>
      <c r="B410" s="33">
        <v>46199.0</v>
      </c>
      <c r="C410" s="43">
        <v>147.0</v>
      </c>
      <c r="D410" s="36" t="s">
        <v>158</v>
      </c>
      <c r="E410" s="36" t="s">
        <v>428</v>
      </c>
      <c r="F410" s="35" t="s">
        <v>12</v>
      </c>
      <c r="G410" s="35">
        <v>500.0</v>
      </c>
      <c r="H410" s="37">
        <v>10.0</v>
      </c>
      <c r="I410" s="21" t="str">
        <f t="shared" si="1"/>
        <v/>
      </c>
      <c r="J410" s="21" t="str">
        <f>IF(OR(L410="entregado",K410="despacho"),"", IF(AND(ELABORACION!F410&lt;&gt;"-",ELABORACION!F410&lt;&gt;"PENDIENTE ELAB"),"en proceso",""))</f>
        <v>en proceso</v>
      </c>
      <c r="K410" s="21" t="str">
        <f>IF(L410="entregado","",IF(EXPEDICION!L410="listo para entregar","despacho",""))</f>
        <v/>
      </c>
      <c r="L410" s="21" t="str">
        <f>IF(EXPEDICION!L410="entregado", "entregado", "")</f>
        <v/>
      </c>
      <c r="M410" s="32" t="str">
        <f>EXPEDICION!M410</f>
        <v/>
      </c>
    </row>
    <row r="411" ht="15.75" customHeight="1">
      <c r="A411" s="42">
        <v>26148.0</v>
      </c>
      <c r="B411" s="30">
        <v>46199.0</v>
      </c>
      <c r="C411" s="42">
        <v>14491.0</v>
      </c>
      <c r="D411" s="28" t="s">
        <v>57</v>
      </c>
      <c r="E411" s="18" t="s">
        <v>429</v>
      </c>
      <c r="F411" s="29" t="s">
        <v>36</v>
      </c>
      <c r="G411" s="29">
        <v>20.0</v>
      </c>
      <c r="H411" s="38">
        <v>1000.0</v>
      </c>
      <c r="I411" s="21" t="str">
        <f t="shared" si="1"/>
        <v>ingreso</v>
      </c>
      <c r="J411" s="21" t="str">
        <f>IF(OR(L411="entregado",K411="despacho"),"", IF(AND(ELABORACION!F411&lt;&gt;"-",ELABORACION!F411&lt;&gt;"PENDIENTE ELAB"),"en proceso",""))</f>
        <v/>
      </c>
      <c r="K411" s="21" t="str">
        <f>IF(L411="entregado","",IF(EXPEDICION!L411="listo para entregar","despacho",""))</f>
        <v/>
      </c>
      <c r="L411" s="21" t="str">
        <f>IF(EXPEDICION!L411="entregado", "entregado", "")</f>
        <v/>
      </c>
      <c r="M411" s="32" t="str">
        <f>EXPEDICION!M411</f>
        <v/>
      </c>
    </row>
    <row r="412" ht="15.75" customHeight="1">
      <c r="A412" s="41">
        <v>26148.0</v>
      </c>
      <c r="B412" s="33">
        <v>46199.0</v>
      </c>
      <c r="C412" s="43">
        <v>14491.0</v>
      </c>
      <c r="D412" s="36" t="s">
        <v>57</v>
      </c>
      <c r="E412" s="36" t="s">
        <v>430</v>
      </c>
      <c r="F412" s="35" t="s">
        <v>36</v>
      </c>
      <c r="G412" s="35">
        <v>10.0</v>
      </c>
      <c r="H412" s="37">
        <v>1000.0</v>
      </c>
      <c r="I412" s="21" t="str">
        <f t="shared" si="1"/>
        <v>ingreso</v>
      </c>
      <c r="J412" s="21" t="str">
        <f>IF(OR(L412="entregado",K412="despacho"),"", IF(AND(ELABORACION!F412&lt;&gt;"-",ELABORACION!F412&lt;&gt;"PENDIENTE ELAB"),"en proceso",""))</f>
        <v/>
      </c>
      <c r="K412" s="21" t="str">
        <f>IF(L412="entregado","",IF(EXPEDICION!L412="listo para entregar","despacho",""))</f>
        <v/>
      </c>
      <c r="L412" s="21" t="str">
        <f>IF(EXPEDICION!L412="entregado", "entregado", "")</f>
        <v/>
      </c>
      <c r="M412" s="32" t="str">
        <f>EXPEDICION!M412</f>
        <v/>
      </c>
    </row>
    <row r="413" ht="15.75" customHeight="1">
      <c r="A413" s="42">
        <v>26149.0</v>
      </c>
      <c r="B413" s="30">
        <v>46202.0</v>
      </c>
      <c r="C413" s="42"/>
      <c r="D413" s="28" t="s">
        <v>431</v>
      </c>
      <c r="E413" s="18" t="s">
        <v>432</v>
      </c>
      <c r="F413" s="29" t="s">
        <v>12</v>
      </c>
      <c r="G413" s="29">
        <v>500.0</v>
      </c>
      <c r="H413" s="38">
        <v>250.0</v>
      </c>
      <c r="I413" s="21" t="str">
        <f t="shared" si="1"/>
        <v/>
      </c>
      <c r="J413" s="21" t="str">
        <f>IF(OR(L413="entregado",K413="despacho"),"", IF(AND(ELABORACION!F413&lt;&gt;"-",ELABORACION!F413&lt;&gt;"PENDIENTE ELAB"),"en proceso",""))</f>
        <v>en proceso</v>
      </c>
      <c r="K413" s="21" t="str">
        <f>IF(L413="entregado","",IF(EXPEDICION!L413="listo para entregar","despacho",""))</f>
        <v/>
      </c>
      <c r="L413" s="21" t="str">
        <f>IF(EXPEDICION!L413="entregado", "entregado", "")</f>
        <v/>
      </c>
      <c r="M413" s="32" t="str">
        <f>EXPEDICION!M413</f>
        <v/>
      </c>
    </row>
    <row r="414" ht="15.75" customHeight="1">
      <c r="A414" s="41">
        <v>26150.0</v>
      </c>
      <c r="B414" s="33">
        <v>46202.0</v>
      </c>
      <c r="C414" s="43"/>
      <c r="D414" s="36" t="s">
        <v>68</v>
      </c>
      <c r="E414" s="36" t="s">
        <v>433</v>
      </c>
      <c r="F414" s="35" t="s">
        <v>12</v>
      </c>
      <c r="G414" s="35">
        <v>1200.0</v>
      </c>
      <c r="H414" s="37">
        <v>15.0</v>
      </c>
      <c r="I414" s="21" t="str">
        <f t="shared" si="1"/>
        <v>ingreso</v>
      </c>
      <c r="J414" s="21" t="str">
        <f>IF(OR(L414="entregado",K414="despacho"),"", IF(AND(ELABORACION!F414&lt;&gt;"-",ELABORACION!F414&lt;&gt;"PENDIENTE ELAB"),"en proceso",""))</f>
        <v/>
      </c>
      <c r="K414" s="21" t="str">
        <f>IF(L414="entregado","",IF(EXPEDICION!L414="listo para entregar","despacho",""))</f>
        <v/>
      </c>
      <c r="L414" s="21" t="str">
        <f>IF(EXPEDICION!L414="entregado", "entregado", "")</f>
        <v/>
      </c>
      <c r="M414" s="32" t="str">
        <f>EXPEDICION!M414</f>
        <v/>
      </c>
    </row>
    <row r="415" ht="15.75" customHeight="1">
      <c r="A415" s="42">
        <v>26150.0</v>
      </c>
      <c r="B415" s="30">
        <v>46202.0</v>
      </c>
      <c r="C415" s="42"/>
      <c r="D415" s="28" t="s">
        <v>68</v>
      </c>
      <c r="E415" s="18" t="s">
        <v>77</v>
      </c>
      <c r="F415" s="29" t="s">
        <v>12</v>
      </c>
      <c r="G415" s="29">
        <v>800.0</v>
      </c>
      <c r="H415" s="38">
        <v>30.0</v>
      </c>
      <c r="I415" s="21" t="str">
        <f t="shared" si="1"/>
        <v>ingreso</v>
      </c>
      <c r="J415" s="21" t="str">
        <f>IF(OR(L415="entregado",K415="despacho"),"", IF(AND(ELABORACION!F415&lt;&gt;"-",ELABORACION!F415&lt;&gt;"PENDIENTE ELAB"),"en proceso",""))</f>
        <v/>
      </c>
      <c r="K415" s="21" t="str">
        <f>IF(L415="entregado","",IF(EXPEDICION!L415="listo para entregar","despacho",""))</f>
        <v/>
      </c>
      <c r="L415" s="21" t="str">
        <f>IF(EXPEDICION!L415="entregado", "entregado", "")</f>
        <v/>
      </c>
      <c r="M415" s="32" t="str">
        <f>EXPEDICION!M415</f>
        <v/>
      </c>
    </row>
    <row r="416" ht="15.75" customHeight="1">
      <c r="A416" s="41">
        <v>26151.0</v>
      </c>
      <c r="B416" s="33">
        <v>46203.0</v>
      </c>
      <c r="C416" s="43">
        <v>1093.0</v>
      </c>
      <c r="D416" s="36" t="s">
        <v>140</v>
      </c>
      <c r="E416" s="36" t="s">
        <v>434</v>
      </c>
      <c r="F416" s="35" t="s">
        <v>12</v>
      </c>
      <c r="G416" s="35">
        <v>300.0</v>
      </c>
      <c r="H416" s="37">
        <v>50.0</v>
      </c>
      <c r="I416" s="21" t="str">
        <f t="shared" si="1"/>
        <v>ingreso</v>
      </c>
      <c r="J416" s="21" t="str">
        <f>IF(OR(L416="entregado",K416="despacho"),"", IF(AND(ELABORACION!F416&lt;&gt;"-",ELABORACION!F416&lt;&gt;"PENDIENTE ELAB"),"en proceso",""))</f>
        <v/>
      </c>
      <c r="K416" s="21" t="str">
        <f>IF(L416="entregado","",IF(EXPEDICION!L416="listo para entregar","despacho",""))</f>
        <v/>
      </c>
      <c r="L416" s="21" t="str">
        <f>IF(EXPEDICION!L416="entregado", "entregado", "")</f>
        <v/>
      </c>
      <c r="M416" s="32" t="str">
        <f>EXPEDICION!M416</f>
        <v/>
      </c>
    </row>
    <row r="417" ht="15.75" customHeight="1">
      <c r="A417" s="42">
        <v>26151.0</v>
      </c>
      <c r="B417" s="30">
        <v>46203.0</v>
      </c>
      <c r="C417" s="42">
        <v>1093.0</v>
      </c>
      <c r="D417" s="28" t="s">
        <v>140</v>
      </c>
      <c r="E417" s="18" t="s">
        <v>435</v>
      </c>
      <c r="F417" s="29" t="s">
        <v>12</v>
      </c>
      <c r="G417" s="29">
        <v>300.0</v>
      </c>
      <c r="H417" s="38">
        <v>100.0</v>
      </c>
      <c r="I417" s="21" t="str">
        <f t="shared" si="1"/>
        <v>ingreso</v>
      </c>
      <c r="J417" s="21" t="str">
        <f>IF(OR(L417="entregado",K417="despacho"),"", IF(AND(ELABORACION!F417&lt;&gt;"-",ELABORACION!F417&lt;&gt;"PENDIENTE ELAB"),"en proceso",""))</f>
        <v/>
      </c>
      <c r="K417" s="21" t="str">
        <f>IF(L417="entregado","",IF(EXPEDICION!L417="listo para entregar","despacho",""))</f>
        <v/>
      </c>
      <c r="L417" s="21" t="str">
        <f>IF(EXPEDICION!L417="entregado", "entregado", "")</f>
        <v/>
      </c>
      <c r="M417" s="32" t="str">
        <f>EXPEDICION!M417</f>
        <v/>
      </c>
    </row>
    <row r="418" ht="15.75" customHeight="1">
      <c r="A418" s="41">
        <v>26152.0</v>
      </c>
      <c r="B418" s="33">
        <v>46203.0</v>
      </c>
      <c r="C418" s="43"/>
      <c r="D418" s="36" t="s">
        <v>436</v>
      </c>
      <c r="E418" s="36" t="s">
        <v>374</v>
      </c>
      <c r="F418" s="35" t="s">
        <v>36</v>
      </c>
      <c r="G418" s="35">
        <v>1500.0</v>
      </c>
      <c r="H418" s="37">
        <v>100.0</v>
      </c>
      <c r="I418" s="21" t="str">
        <f t="shared" si="1"/>
        <v>ingreso</v>
      </c>
      <c r="J418" s="21" t="str">
        <f>IF(OR(L418="entregado",K418="despacho"),"", IF(AND(ELABORACION!F418&lt;&gt;"-",ELABORACION!F418&lt;&gt;"PENDIENTE ELAB"),"en proceso",""))</f>
        <v/>
      </c>
      <c r="K418" s="21" t="str">
        <f>IF(L418="entregado","",IF(EXPEDICION!L418="listo para entregar","despacho",""))</f>
        <v/>
      </c>
      <c r="L418" s="21" t="str">
        <f>IF(EXPEDICION!L418="entregado", "entregado", "")</f>
        <v/>
      </c>
      <c r="M418" s="32" t="str">
        <f>EXPEDICION!M418</f>
        <v/>
      </c>
    </row>
    <row r="419" ht="15.75" customHeight="1">
      <c r="A419" s="42">
        <v>26153.0</v>
      </c>
      <c r="B419" s="30">
        <v>46204.0</v>
      </c>
      <c r="C419" s="42"/>
      <c r="D419" s="28" t="s">
        <v>402</v>
      </c>
      <c r="E419" s="18" t="s">
        <v>437</v>
      </c>
      <c r="F419" s="29" t="s">
        <v>36</v>
      </c>
      <c r="G419" s="29">
        <v>200.0</v>
      </c>
      <c r="H419" s="38">
        <v>150.0</v>
      </c>
      <c r="I419" s="21" t="str">
        <f t="shared" si="1"/>
        <v>ingreso</v>
      </c>
      <c r="J419" s="21" t="str">
        <f>IF(OR(L419="entregado",K419="despacho"),"", IF(AND(ELABORACION!F419&lt;&gt;"-",ELABORACION!F419&lt;&gt;"PENDIENTE ELAB"),"en proceso",""))</f>
        <v/>
      </c>
      <c r="K419" s="21" t="str">
        <f>IF(L419="entregado","",IF(EXPEDICION!L419="listo para entregar","despacho",""))</f>
        <v/>
      </c>
      <c r="L419" s="21" t="str">
        <f>IF(EXPEDICION!L419="entregado", "entregado", "")</f>
        <v/>
      </c>
      <c r="M419" s="32" t="str">
        <f>EXPEDICION!M419</f>
        <v/>
      </c>
    </row>
    <row r="420" ht="15.75" customHeight="1">
      <c r="A420" s="41">
        <v>26153.0</v>
      </c>
      <c r="B420" s="33">
        <v>46204.0</v>
      </c>
      <c r="C420" s="43"/>
      <c r="D420" s="36" t="s">
        <v>402</v>
      </c>
      <c r="E420" s="36" t="s">
        <v>438</v>
      </c>
      <c r="F420" s="35" t="s">
        <v>36</v>
      </c>
      <c r="G420" s="35">
        <v>200.0</v>
      </c>
      <c r="H420" s="37">
        <v>150.0</v>
      </c>
      <c r="I420" s="21" t="str">
        <f t="shared" si="1"/>
        <v>ingreso</v>
      </c>
      <c r="J420" s="21" t="str">
        <f>IF(OR(L420="entregado",K420="despacho"),"", IF(AND(ELABORACION!F420&lt;&gt;"-",ELABORACION!F420&lt;&gt;"PENDIENTE ELAB"),"en proceso",""))</f>
        <v/>
      </c>
      <c r="K420" s="21" t="str">
        <f>IF(L420="entregado","",IF(EXPEDICION!L420="listo para entregar","despacho",""))</f>
        <v/>
      </c>
      <c r="L420" s="21" t="str">
        <f>IF(EXPEDICION!L420="entregado", "entregado", "")</f>
        <v/>
      </c>
      <c r="M420" s="32" t="str">
        <f>EXPEDICION!M420</f>
        <v/>
      </c>
    </row>
    <row r="421" ht="15.75" customHeight="1">
      <c r="A421" s="42">
        <v>26153.0</v>
      </c>
      <c r="B421" s="30">
        <v>46204.0</v>
      </c>
      <c r="C421" s="42"/>
      <c r="D421" s="28" t="s">
        <v>402</v>
      </c>
      <c r="E421" s="18" t="s">
        <v>439</v>
      </c>
      <c r="F421" s="29" t="s">
        <v>36</v>
      </c>
      <c r="G421" s="29">
        <v>200.0</v>
      </c>
      <c r="H421" s="38">
        <v>150.0</v>
      </c>
      <c r="I421" s="21" t="str">
        <f t="shared" si="1"/>
        <v>ingreso</v>
      </c>
      <c r="J421" s="21" t="str">
        <f>IF(OR(L421="entregado",K421="despacho"),"", IF(AND(ELABORACION!F421&lt;&gt;"-",ELABORACION!F421&lt;&gt;"PENDIENTE ELAB"),"en proceso",""))</f>
        <v/>
      </c>
      <c r="K421" s="21" t="str">
        <f>IF(L421="entregado","",IF(EXPEDICION!L421="listo para entregar","despacho",""))</f>
        <v/>
      </c>
      <c r="L421" s="21" t="str">
        <f>IF(EXPEDICION!L421="entregado", "entregado", "")</f>
        <v/>
      </c>
      <c r="M421" s="32" t="str">
        <f>EXPEDICION!M421</f>
        <v/>
      </c>
    </row>
    <row r="422" ht="15.75" customHeight="1">
      <c r="A422" s="41"/>
      <c r="B422" s="33"/>
      <c r="C422" s="43"/>
      <c r="D422" s="36"/>
      <c r="E422" s="36"/>
      <c r="F422" s="35"/>
      <c r="G422" s="35"/>
      <c r="H422" s="37"/>
      <c r="I422" s="21"/>
      <c r="J422" s="31"/>
      <c r="K422" s="31"/>
      <c r="L422" s="31"/>
      <c r="M422" s="44"/>
    </row>
    <row r="423" ht="15.75" customHeight="1">
      <c r="A423" s="42"/>
      <c r="B423" s="30"/>
      <c r="C423" s="42"/>
      <c r="D423" s="28"/>
      <c r="E423" s="18"/>
      <c r="F423" s="29"/>
      <c r="G423" s="29"/>
      <c r="H423" s="38"/>
      <c r="I423" s="45"/>
      <c r="J423" s="46"/>
      <c r="K423" s="46"/>
      <c r="L423" s="46"/>
      <c r="M423" s="44"/>
    </row>
    <row r="424" ht="15.75" customHeight="1">
      <c r="A424" s="41"/>
      <c r="B424" s="33"/>
      <c r="C424" s="43"/>
      <c r="D424" s="36"/>
      <c r="E424" s="36"/>
      <c r="F424" s="35"/>
      <c r="G424" s="35"/>
      <c r="H424" s="37"/>
      <c r="I424" s="21"/>
      <c r="J424" s="31"/>
      <c r="K424" s="31"/>
      <c r="L424" s="31"/>
      <c r="M424" s="44"/>
    </row>
    <row r="425" ht="15.75" customHeight="1">
      <c r="A425" s="42"/>
      <c r="B425" s="30"/>
      <c r="C425" s="42"/>
      <c r="D425" s="28"/>
      <c r="E425" s="18"/>
      <c r="F425" s="29"/>
      <c r="G425" s="29"/>
      <c r="H425" s="38"/>
      <c r="I425" s="45"/>
      <c r="J425" s="46"/>
      <c r="K425" s="46"/>
      <c r="L425" s="46"/>
      <c r="M425" s="44"/>
    </row>
    <row r="426" ht="15.75" customHeight="1">
      <c r="A426" s="41"/>
      <c r="B426" s="33"/>
      <c r="C426" s="43"/>
      <c r="D426" s="36"/>
      <c r="E426" s="36"/>
      <c r="F426" s="35"/>
      <c r="G426" s="35"/>
      <c r="H426" s="37"/>
      <c r="I426" s="21"/>
      <c r="J426" s="31"/>
      <c r="K426" s="31"/>
      <c r="L426" s="31"/>
      <c r="M426" s="44"/>
    </row>
    <row r="427" ht="15.75" customHeight="1">
      <c r="A427" s="42"/>
      <c r="B427" s="30"/>
      <c r="C427" s="42"/>
      <c r="D427" s="28"/>
      <c r="E427" s="18"/>
      <c r="F427" s="29"/>
      <c r="G427" s="29"/>
      <c r="H427" s="38"/>
      <c r="I427" s="45"/>
      <c r="J427" s="46"/>
      <c r="K427" s="46"/>
      <c r="L427" s="46"/>
      <c r="M427" s="44"/>
    </row>
    <row r="428" ht="15.75" customHeight="1">
      <c r="A428" s="41"/>
      <c r="B428" s="33"/>
      <c r="C428" s="43"/>
      <c r="D428" s="36"/>
      <c r="E428" s="36"/>
      <c r="F428" s="35"/>
      <c r="G428" s="35"/>
      <c r="H428" s="37"/>
      <c r="I428" s="21"/>
      <c r="J428" s="31"/>
      <c r="K428" s="31"/>
      <c r="L428" s="31"/>
      <c r="M428" s="44"/>
    </row>
    <row r="429" ht="15.75" customHeight="1">
      <c r="A429" s="42"/>
      <c r="B429" s="30"/>
      <c r="C429" s="42"/>
      <c r="D429" s="28"/>
      <c r="E429" s="18"/>
      <c r="F429" s="29"/>
      <c r="G429" s="29"/>
      <c r="H429" s="38"/>
      <c r="I429" s="45"/>
      <c r="J429" s="46"/>
      <c r="K429" s="46"/>
      <c r="L429" s="46"/>
      <c r="M429" s="44"/>
    </row>
    <row r="430" ht="15.75" customHeight="1">
      <c r="A430" s="47"/>
      <c r="B430" s="48"/>
      <c r="C430" s="49"/>
      <c r="D430" s="49"/>
      <c r="E430" s="50"/>
      <c r="F430" s="49"/>
      <c r="G430" s="49"/>
      <c r="H430" s="49"/>
      <c r="I430" s="21"/>
      <c r="J430" s="31"/>
      <c r="K430" s="31"/>
      <c r="L430" s="31"/>
      <c r="M430" s="44"/>
    </row>
    <row r="431" ht="15.75" customHeight="1">
      <c r="A431" s="51"/>
      <c r="B431" s="52"/>
      <c r="C431" s="53"/>
      <c r="D431" s="53"/>
      <c r="E431" s="54"/>
      <c r="F431" s="53"/>
      <c r="G431" s="53"/>
      <c r="H431" s="53"/>
      <c r="I431" s="45"/>
      <c r="J431" s="46"/>
      <c r="K431" s="46"/>
      <c r="L431" s="46"/>
      <c r="M431" s="44"/>
    </row>
    <row r="432" ht="15.75" customHeight="1">
      <c r="A432" s="47"/>
      <c r="B432" s="48"/>
      <c r="C432" s="49"/>
      <c r="D432" s="49"/>
      <c r="E432" s="50"/>
      <c r="F432" s="49"/>
      <c r="G432" s="49"/>
      <c r="H432" s="49"/>
      <c r="I432" s="21"/>
      <c r="J432" s="31"/>
      <c r="K432" s="31"/>
      <c r="L432" s="31"/>
      <c r="M432" s="44"/>
    </row>
    <row r="433" ht="15.75" customHeight="1">
      <c r="A433" s="51"/>
      <c r="B433" s="52"/>
      <c r="C433" s="53"/>
      <c r="D433" s="53"/>
      <c r="E433" s="54"/>
      <c r="F433" s="53"/>
      <c r="G433" s="53"/>
      <c r="H433" s="53"/>
      <c r="I433" s="45"/>
      <c r="J433" s="46"/>
      <c r="K433" s="46"/>
      <c r="L433" s="46"/>
      <c r="M433" s="44"/>
    </row>
    <row r="434" ht="15.75" customHeight="1">
      <c r="A434" s="47"/>
      <c r="B434" s="48"/>
      <c r="C434" s="49"/>
      <c r="D434" s="49"/>
      <c r="E434" s="50"/>
      <c r="F434" s="49"/>
      <c r="G434" s="49"/>
      <c r="H434" s="49"/>
      <c r="I434" s="21"/>
      <c r="J434" s="31"/>
      <c r="K434" s="31"/>
      <c r="L434" s="31"/>
      <c r="M434" s="44"/>
    </row>
    <row r="435" ht="15.75" customHeight="1">
      <c r="A435" s="51"/>
      <c r="B435" s="52"/>
      <c r="C435" s="53"/>
      <c r="D435" s="53"/>
      <c r="E435" s="54"/>
      <c r="F435" s="53"/>
      <c r="G435" s="53"/>
      <c r="H435" s="53"/>
      <c r="I435" s="45"/>
      <c r="J435" s="46"/>
      <c r="K435" s="46"/>
      <c r="L435" s="46"/>
      <c r="M435" s="44"/>
    </row>
    <row r="436" ht="15.75" customHeight="1">
      <c r="A436" s="47"/>
      <c r="B436" s="48"/>
      <c r="C436" s="49"/>
      <c r="D436" s="49"/>
      <c r="E436" s="50"/>
      <c r="F436" s="49"/>
      <c r="G436" s="49"/>
      <c r="H436" s="49"/>
      <c r="I436" s="21"/>
      <c r="J436" s="31"/>
      <c r="K436" s="31"/>
      <c r="L436" s="31"/>
      <c r="M436" s="44"/>
    </row>
    <row r="437" ht="15.75" customHeight="1">
      <c r="A437" s="51"/>
      <c r="B437" s="52"/>
      <c r="C437" s="53"/>
      <c r="D437" s="53"/>
      <c r="E437" s="54"/>
      <c r="F437" s="53"/>
      <c r="G437" s="53"/>
      <c r="H437" s="53"/>
      <c r="I437" s="45"/>
      <c r="J437" s="46"/>
      <c r="K437" s="46"/>
      <c r="L437" s="46"/>
      <c r="M437" s="44"/>
    </row>
    <row r="438" ht="15.75" customHeight="1">
      <c r="A438" s="47"/>
      <c r="B438" s="48"/>
      <c r="C438" s="49"/>
      <c r="D438" s="49"/>
      <c r="E438" s="50"/>
      <c r="F438" s="49"/>
      <c r="G438" s="49"/>
      <c r="H438" s="49"/>
      <c r="I438" s="21"/>
      <c r="J438" s="31"/>
      <c r="K438" s="31"/>
      <c r="L438" s="31"/>
      <c r="M438" s="44"/>
    </row>
    <row r="439" ht="15.75" customHeight="1">
      <c r="A439" s="51"/>
      <c r="B439" s="52"/>
      <c r="C439" s="53"/>
      <c r="D439" s="53"/>
      <c r="E439" s="54"/>
      <c r="F439" s="53"/>
      <c r="G439" s="53"/>
      <c r="H439" s="53"/>
      <c r="I439" s="45"/>
      <c r="J439" s="46"/>
      <c r="K439" s="46"/>
      <c r="L439" s="46"/>
      <c r="M439" s="44"/>
    </row>
    <row r="440" ht="15.75" customHeight="1">
      <c r="A440" s="47"/>
      <c r="B440" s="48"/>
      <c r="C440" s="49"/>
      <c r="D440" s="49"/>
      <c r="E440" s="50"/>
      <c r="F440" s="49"/>
      <c r="G440" s="49"/>
      <c r="H440" s="49"/>
      <c r="I440" s="21"/>
      <c r="J440" s="31"/>
      <c r="K440" s="31"/>
      <c r="L440" s="31"/>
      <c r="M440" s="44"/>
    </row>
    <row r="441" ht="15.75" customHeight="1">
      <c r="A441" s="51"/>
      <c r="B441" s="52"/>
      <c r="C441" s="53"/>
      <c r="D441" s="53"/>
      <c r="E441" s="54"/>
      <c r="F441" s="53"/>
      <c r="G441" s="53"/>
      <c r="H441" s="53"/>
      <c r="I441" s="45"/>
      <c r="J441" s="46"/>
      <c r="K441" s="46"/>
      <c r="L441" s="46"/>
      <c r="M441" s="44"/>
    </row>
    <row r="442" ht="15.75" customHeight="1">
      <c r="A442" s="47"/>
      <c r="B442" s="48"/>
      <c r="C442" s="49"/>
      <c r="D442" s="49"/>
      <c r="E442" s="50"/>
      <c r="F442" s="49"/>
      <c r="G442" s="49"/>
      <c r="H442" s="49"/>
      <c r="I442" s="21"/>
      <c r="J442" s="31"/>
      <c r="K442" s="31"/>
      <c r="L442" s="31"/>
      <c r="M442" s="44"/>
    </row>
    <row r="443" ht="15.75" customHeight="1">
      <c r="A443" s="51"/>
      <c r="B443" s="52"/>
      <c r="C443" s="53"/>
      <c r="D443" s="53"/>
      <c r="E443" s="54"/>
      <c r="F443" s="53"/>
      <c r="G443" s="53"/>
      <c r="H443" s="53"/>
      <c r="I443" s="45"/>
      <c r="J443" s="46"/>
      <c r="K443" s="46"/>
      <c r="L443" s="46"/>
      <c r="M443" s="44"/>
    </row>
    <row r="444" ht="15.75" customHeight="1">
      <c r="A444" s="47"/>
      <c r="B444" s="48"/>
      <c r="C444" s="49"/>
      <c r="D444" s="49"/>
      <c r="E444" s="50"/>
      <c r="F444" s="49"/>
      <c r="G444" s="49"/>
      <c r="H444" s="49"/>
      <c r="I444" s="21"/>
      <c r="J444" s="31"/>
      <c r="K444" s="31"/>
      <c r="L444" s="31"/>
      <c r="M444" s="44"/>
    </row>
    <row r="445" ht="15.75" customHeight="1">
      <c r="A445" s="51"/>
      <c r="B445" s="52"/>
      <c r="C445" s="53"/>
      <c r="D445" s="53"/>
      <c r="E445" s="54"/>
      <c r="F445" s="53"/>
      <c r="G445" s="53"/>
      <c r="H445" s="53"/>
      <c r="I445" s="45"/>
      <c r="J445" s="46"/>
      <c r="K445" s="46"/>
      <c r="L445" s="46"/>
      <c r="M445" s="44"/>
    </row>
    <row r="446" ht="15.75" customHeight="1">
      <c r="A446" s="47"/>
      <c r="B446" s="48"/>
      <c r="C446" s="49"/>
      <c r="D446" s="49"/>
      <c r="E446" s="50"/>
      <c r="F446" s="49"/>
      <c r="G446" s="49"/>
      <c r="H446" s="49"/>
      <c r="I446" s="21"/>
      <c r="J446" s="31"/>
      <c r="K446" s="31"/>
      <c r="L446" s="31"/>
      <c r="M446" s="44"/>
    </row>
    <row r="447" ht="15.75" customHeight="1">
      <c r="A447" s="51"/>
      <c r="B447" s="52"/>
      <c r="C447" s="53"/>
      <c r="D447" s="53"/>
      <c r="E447" s="54"/>
      <c r="F447" s="53"/>
      <c r="G447" s="53"/>
      <c r="H447" s="53"/>
      <c r="I447" s="45"/>
      <c r="J447" s="46"/>
      <c r="K447" s="46"/>
      <c r="L447" s="46"/>
      <c r="M447" s="44"/>
    </row>
    <row r="448" ht="15.75" customHeight="1">
      <c r="A448" s="47"/>
      <c r="B448" s="48"/>
      <c r="C448" s="49"/>
      <c r="D448" s="49"/>
      <c r="E448" s="50"/>
      <c r="F448" s="49"/>
      <c r="G448" s="49"/>
      <c r="H448" s="49"/>
      <c r="I448" s="21"/>
      <c r="J448" s="31"/>
      <c r="K448" s="31"/>
      <c r="L448" s="31"/>
      <c r="M448" s="44"/>
    </row>
    <row r="449" ht="15.75" customHeight="1">
      <c r="A449" s="51"/>
      <c r="B449" s="52"/>
      <c r="C449" s="53"/>
      <c r="D449" s="53"/>
      <c r="E449" s="54"/>
      <c r="F449" s="53"/>
      <c r="G449" s="53"/>
      <c r="H449" s="53"/>
      <c r="I449" s="45"/>
      <c r="J449" s="46"/>
      <c r="K449" s="46"/>
      <c r="L449" s="46"/>
      <c r="M449" s="44"/>
    </row>
    <row r="450" ht="15.75" customHeight="1">
      <c r="A450" s="47"/>
      <c r="B450" s="48"/>
      <c r="C450" s="49"/>
      <c r="D450" s="49"/>
      <c r="E450" s="50"/>
      <c r="F450" s="49"/>
      <c r="G450" s="49"/>
      <c r="H450" s="49"/>
      <c r="I450" s="21"/>
      <c r="J450" s="31"/>
      <c r="K450" s="31"/>
      <c r="L450" s="31"/>
      <c r="M450" s="44"/>
    </row>
    <row r="451" ht="15.75" customHeight="1">
      <c r="A451" s="51"/>
      <c r="B451" s="52"/>
      <c r="C451" s="53"/>
      <c r="D451" s="53"/>
      <c r="E451" s="54"/>
      <c r="F451" s="53"/>
      <c r="G451" s="53"/>
      <c r="H451" s="53"/>
      <c r="I451" s="45"/>
      <c r="J451" s="46"/>
      <c r="K451" s="46"/>
      <c r="L451" s="46"/>
      <c r="M451" s="44"/>
    </row>
    <row r="452" ht="15.75" customHeight="1">
      <c r="A452" s="47"/>
      <c r="B452" s="48"/>
      <c r="C452" s="49"/>
      <c r="D452" s="49"/>
      <c r="E452" s="50"/>
      <c r="F452" s="49"/>
      <c r="G452" s="49"/>
      <c r="H452" s="49"/>
      <c r="I452" s="21"/>
      <c r="J452" s="31"/>
      <c r="K452" s="31"/>
      <c r="L452" s="31"/>
      <c r="M452" s="44"/>
    </row>
    <row r="453" ht="15.75" customHeight="1">
      <c r="A453" s="51"/>
      <c r="B453" s="52"/>
      <c r="C453" s="53"/>
      <c r="D453" s="53"/>
      <c r="E453" s="54"/>
      <c r="F453" s="53"/>
      <c r="G453" s="53"/>
      <c r="H453" s="53"/>
      <c r="I453" s="45"/>
      <c r="J453" s="46"/>
      <c r="K453" s="46"/>
      <c r="L453" s="46"/>
      <c r="M453" s="44"/>
    </row>
    <row r="454" ht="15.75" customHeight="1">
      <c r="A454" s="47"/>
      <c r="B454" s="48"/>
      <c r="C454" s="49"/>
      <c r="D454" s="49"/>
      <c r="E454" s="50"/>
      <c r="F454" s="49"/>
      <c r="G454" s="49"/>
      <c r="H454" s="49"/>
      <c r="I454" s="21"/>
      <c r="J454" s="31"/>
      <c r="K454" s="31"/>
      <c r="L454" s="31"/>
      <c r="M454" s="44"/>
    </row>
    <row r="455" ht="15.75" customHeight="1">
      <c r="A455" s="51"/>
      <c r="B455" s="52"/>
      <c r="C455" s="53"/>
      <c r="D455" s="53"/>
      <c r="E455" s="54"/>
      <c r="F455" s="53"/>
      <c r="G455" s="53"/>
      <c r="H455" s="53"/>
      <c r="I455" s="45"/>
      <c r="J455" s="46"/>
      <c r="K455" s="46"/>
      <c r="L455" s="46"/>
      <c r="M455" s="44"/>
    </row>
    <row r="456" ht="15.75" customHeight="1">
      <c r="A456" s="47"/>
      <c r="B456" s="48"/>
      <c r="C456" s="49"/>
      <c r="D456" s="49"/>
      <c r="E456" s="50"/>
      <c r="F456" s="49"/>
      <c r="G456" s="49"/>
      <c r="H456" s="49"/>
      <c r="I456" s="21"/>
      <c r="J456" s="31"/>
      <c r="K456" s="31"/>
      <c r="L456" s="31"/>
      <c r="M456" s="44"/>
    </row>
    <row r="457" ht="15.75" customHeight="1">
      <c r="A457" s="51"/>
      <c r="B457" s="52"/>
      <c r="C457" s="53"/>
      <c r="D457" s="53"/>
      <c r="E457" s="54"/>
      <c r="F457" s="53"/>
      <c r="G457" s="53"/>
      <c r="H457" s="53"/>
      <c r="I457" s="45"/>
      <c r="J457" s="46"/>
      <c r="K457" s="46"/>
      <c r="L457" s="46"/>
      <c r="M457" s="44"/>
    </row>
    <row r="458" ht="15.75" customHeight="1">
      <c r="A458" s="47"/>
      <c r="B458" s="48"/>
      <c r="C458" s="49"/>
      <c r="D458" s="49"/>
      <c r="E458" s="50"/>
      <c r="F458" s="49"/>
      <c r="G458" s="49"/>
      <c r="H458" s="49"/>
      <c r="I458" s="21"/>
      <c r="J458" s="31"/>
      <c r="K458" s="31"/>
      <c r="L458" s="31"/>
      <c r="M458" s="44"/>
    </row>
    <row r="459" ht="15.75" customHeight="1">
      <c r="A459" s="51"/>
      <c r="B459" s="52"/>
      <c r="C459" s="53"/>
      <c r="D459" s="53"/>
      <c r="E459" s="54"/>
      <c r="F459" s="53"/>
      <c r="G459" s="53"/>
      <c r="H459" s="53"/>
      <c r="I459" s="45"/>
      <c r="J459" s="46"/>
      <c r="K459" s="46"/>
      <c r="L459" s="46"/>
      <c r="M459" s="44"/>
    </row>
    <row r="460" ht="15.75" customHeight="1">
      <c r="A460" s="47"/>
      <c r="B460" s="48"/>
      <c r="C460" s="49"/>
      <c r="D460" s="49"/>
      <c r="E460" s="50"/>
      <c r="F460" s="49"/>
      <c r="G460" s="49"/>
      <c r="H460" s="49"/>
      <c r="I460" s="21"/>
      <c r="J460" s="31"/>
      <c r="K460" s="31"/>
      <c r="L460" s="31"/>
      <c r="M460" s="44"/>
    </row>
    <row r="461" ht="15.75" customHeight="1">
      <c r="A461" s="51"/>
      <c r="B461" s="52"/>
      <c r="C461" s="53"/>
      <c r="D461" s="53"/>
      <c r="E461" s="54"/>
      <c r="F461" s="53"/>
      <c r="G461" s="53"/>
      <c r="H461" s="53"/>
      <c r="I461" s="45"/>
      <c r="J461" s="46"/>
      <c r="K461" s="46"/>
      <c r="L461" s="46"/>
      <c r="M461" s="44"/>
    </row>
    <row r="462" ht="15.75" customHeight="1">
      <c r="A462" s="47"/>
      <c r="B462" s="48"/>
      <c r="C462" s="49"/>
      <c r="D462" s="49"/>
      <c r="E462" s="50"/>
      <c r="F462" s="49"/>
      <c r="G462" s="49"/>
      <c r="H462" s="49"/>
      <c r="I462" s="21"/>
      <c r="J462" s="31"/>
      <c r="K462" s="31"/>
      <c r="L462" s="31"/>
      <c r="M462" s="44"/>
    </row>
    <row r="463" ht="15.75" customHeight="1">
      <c r="A463" s="51"/>
      <c r="B463" s="52"/>
      <c r="C463" s="53"/>
      <c r="D463" s="53"/>
      <c r="E463" s="54"/>
      <c r="F463" s="53"/>
      <c r="G463" s="53"/>
      <c r="H463" s="53"/>
      <c r="I463" s="45"/>
      <c r="J463" s="46"/>
      <c r="K463" s="46"/>
      <c r="L463" s="46"/>
      <c r="M463" s="44"/>
    </row>
    <row r="464" ht="15.75" customHeight="1">
      <c r="A464" s="47"/>
      <c r="B464" s="48"/>
      <c r="C464" s="49"/>
      <c r="D464" s="49"/>
      <c r="E464" s="50"/>
      <c r="F464" s="49"/>
      <c r="G464" s="49"/>
      <c r="H464" s="49"/>
      <c r="I464" s="21"/>
      <c r="J464" s="31"/>
      <c r="K464" s="31"/>
      <c r="L464" s="31"/>
      <c r="M464" s="44"/>
    </row>
    <row r="465" ht="15.75" customHeight="1">
      <c r="A465" s="51"/>
      <c r="B465" s="52"/>
      <c r="C465" s="53"/>
      <c r="D465" s="53"/>
      <c r="E465" s="54"/>
      <c r="F465" s="53"/>
      <c r="G465" s="53"/>
      <c r="H465" s="53"/>
      <c r="I465" s="45"/>
      <c r="J465" s="46"/>
      <c r="K465" s="46"/>
      <c r="L465" s="46"/>
      <c r="M465" s="44"/>
    </row>
    <row r="466" ht="15.75" customHeight="1">
      <c r="A466" s="47"/>
      <c r="B466" s="48"/>
      <c r="C466" s="49"/>
      <c r="D466" s="49"/>
      <c r="E466" s="50"/>
      <c r="F466" s="49"/>
      <c r="G466" s="49"/>
      <c r="H466" s="49"/>
      <c r="I466" s="21"/>
      <c r="J466" s="31"/>
      <c r="K466" s="31"/>
      <c r="L466" s="31"/>
      <c r="M466" s="44"/>
    </row>
    <row r="467" ht="15.75" customHeight="1">
      <c r="A467" s="51"/>
      <c r="B467" s="52"/>
      <c r="C467" s="53"/>
      <c r="D467" s="53"/>
      <c r="E467" s="54"/>
      <c r="F467" s="53"/>
      <c r="G467" s="53"/>
      <c r="H467" s="53"/>
      <c r="I467" s="45"/>
      <c r="J467" s="46"/>
      <c r="K467" s="46"/>
      <c r="L467" s="46"/>
      <c r="M467" s="44"/>
    </row>
    <row r="468" ht="15.75" customHeight="1">
      <c r="A468" s="47"/>
      <c r="B468" s="48"/>
      <c r="C468" s="49"/>
      <c r="D468" s="49"/>
      <c r="E468" s="50"/>
      <c r="F468" s="49"/>
      <c r="G468" s="49"/>
      <c r="H468" s="49"/>
      <c r="I468" s="21"/>
      <c r="J468" s="31"/>
      <c r="K468" s="31"/>
      <c r="L468" s="31"/>
      <c r="M468" s="44"/>
    </row>
    <row r="469" ht="15.75" customHeight="1">
      <c r="A469" s="51"/>
      <c r="B469" s="52"/>
      <c r="C469" s="53"/>
      <c r="D469" s="53"/>
      <c r="E469" s="54"/>
      <c r="F469" s="53"/>
      <c r="G469" s="53"/>
      <c r="H469" s="53"/>
      <c r="I469" s="45"/>
      <c r="J469" s="46"/>
      <c r="K469" s="46"/>
      <c r="L469" s="46"/>
      <c r="M469" s="44"/>
    </row>
    <row r="470" ht="15.75" customHeight="1">
      <c r="A470" s="47"/>
      <c r="B470" s="48"/>
      <c r="C470" s="49"/>
      <c r="D470" s="49"/>
      <c r="E470" s="50"/>
      <c r="F470" s="49"/>
      <c r="G470" s="49"/>
      <c r="H470" s="49"/>
      <c r="I470" s="21"/>
      <c r="J470" s="31"/>
      <c r="K470" s="31"/>
      <c r="L470" s="31"/>
      <c r="M470" s="44"/>
    </row>
    <row r="471" ht="15.75" customHeight="1">
      <c r="A471" s="51"/>
      <c r="B471" s="52"/>
      <c r="C471" s="53"/>
      <c r="D471" s="53"/>
      <c r="E471" s="54"/>
      <c r="F471" s="53"/>
      <c r="G471" s="53"/>
      <c r="H471" s="53"/>
      <c r="I471" s="45"/>
      <c r="J471" s="46"/>
      <c r="K471" s="46"/>
      <c r="L471" s="46"/>
      <c r="M471" s="44"/>
    </row>
    <row r="472" ht="15.75" customHeight="1">
      <c r="A472" s="47"/>
      <c r="B472" s="48"/>
      <c r="C472" s="49"/>
      <c r="D472" s="49"/>
      <c r="E472" s="50"/>
      <c r="F472" s="49"/>
      <c r="G472" s="49"/>
      <c r="H472" s="49"/>
      <c r="I472" s="21"/>
      <c r="J472" s="31"/>
      <c r="K472" s="31"/>
      <c r="L472" s="31"/>
      <c r="M472" s="44"/>
    </row>
    <row r="473" ht="15.75" customHeight="1">
      <c r="A473" s="51"/>
      <c r="B473" s="52"/>
      <c r="C473" s="53"/>
      <c r="D473" s="53"/>
      <c r="E473" s="54"/>
      <c r="F473" s="53"/>
      <c r="G473" s="53"/>
      <c r="H473" s="53"/>
      <c r="I473" s="45"/>
      <c r="J473" s="46"/>
      <c r="K473" s="46"/>
      <c r="L473" s="46"/>
      <c r="M473" s="44"/>
    </row>
    <row r="474" ht="15.75" customHeight="1">
      <c r="A474" s="47"/>
      <c r="B474" s="48"/>
      <c r="C474" s="49"/>
      <c r="D474" s="49"/>
      <c r="E474" s="50"/>
      <c r="F474" s="49"/>
      <c r="G474" s="49"/>
      <c r="H474" s="49"/>
      <c r="I474" s="21"/>
      <c r="J474" s="31"/>
      <c r="K474" s="31"/>
      <c r="L474" s="31"/>
      <c r="M474" s="44"/>
    </row>
    <row r="475" ht="15.75" customHeight="1">
      <c r="A475" s="51"/>
      <c r="B475" s="52"/>
      <c r="C475" s="53"/>
      <c r="D475" s="53"/>
      <c r="E475" s="54"/>
      <c r="F475" s="53"/>
      <c r="G475" s="53"/>
      <c r="H475" s="53"/>
      <c r="I475" s="45"/>
      <c r="J475" s="46"/>
      <c r="K475" s="46"/>
      <c r="L475" s="46"/>
      <c r="M475" s="44"/>
    </row>
    <row r="476" ht="15.75" customHeight="1">
      <c r="A476" s="47"/>
      <c r="B476" s="48"/>
      <c r="C476" s="49"/>
      <c r="D476" s="49"/>
      <c r="E476" s="50"/>
      <c r="F476" s="49"/>
      <c r="G476" s="49"/>
      <c r="H476" s="49"/>
      <c r="I476" s="21"/>
      <c r="J476" s="31"/>
      <c r="K476" s="31"/>
      <c r="L476" s="31"/>
      <c r="M476" s="44"/>
    </row>
    <row r="477" ht="15.75" customHeight="1">
      <c r="A477" s="51"/>
      <c r="B477" s="52"/>
      <c r="C477" s="53"/>
      <c r="D477" s="53"/>
      <c r="E477" s="54"/>
      <c r="F477" s="53"/>
      <c r="G477" s="53"/>
      <c r="H477" s="53"/>
      <c r="I477" s="45"/>
      <c r="J477" s="46"/>
      <c r="K477" s="46"/>
      <c r="L477" s="46"/>
      <c r="M477" s="44"/>
    </row>
    <row r="478" ht="15.75" customHeight="1">
      <c r="A478" s="47"/>
      <c r="B478" s="48"/>
      <c r="C478" s="49"/>
      <c r="D478" s="49"/>
      <c r="E478" s="50"/>
      <c r="F478" s="49"/>
      <c r="G478" s="49"/>
      <c r="H478" s="49"/>
      <c r="I478" s="21"/>
      <c r="J478" s="31"/>
      <c r="K478" s="31"/>
      <c r="L478" s="31"/>
      <c r="M478" s="44"/>
    </row>
    <row r="479" ht="15.75" customHeight="1">
      <c r="A479" s="51"/>
      <c r="B479" s="52"/>
      <c r="C479" s="53"/>
      <c r="D479" s="53"/>
      <c r="E479" s="54"/>
      <c r="F479" s="53"/>
      <c r="G479" s="53"/>
      <c r="H479" s="53"/>
      <c r="I479" s="45"/>
      <c r="J479" s="46"/>
      <c r="K479" s="46"/>
      <c r="L479" s="46"/>
      <c r="M479" s="44"/>
    </row>
    <row r="480" ht="15.75" customHeight="1">
      <c r="A480" s="47"/>
      <c r="B480" s="48"/>
      <c r="C480" s="49"/>
      <c r="D480" s="49"/>
      <c r="E480" s="50"/>
      <c r="F480" s="49"/>
      <c r="G480" s="49"/>
      <c r="H480" s="49"/>
      <c r="I480" s="21"/>
      <c r="J480" s="31"/>
      <c r="K480" s="31"/>
      <c r="L480" s="31"/>
      <c r="M480" s="44"/>
    </row>
    <row r="481" ht="15.75" customHeight="1">
      <c r="A481" s="51"/>
      <c r="B481" s="52"/>
      <c r="C481" s="53"/>
      <c r="D481" s="53"/>
      <c r="E481" s="54"/>
      <c r="F481" s="53"/>
      <c r="G481" s="53"/>
      <c r="H481" s="53"/>
      <c r="I481" s="45"/>
      <c r="J481" s="46"/>
      <c r="K481" s="46"/>
      <c r="L481" s="46"/>
      <c r="M481" s="44"/>
    </row>
    <row r="482" ht="15.75" customHeight="1">
      <c r="A482" s="47"/>
      <c r="B482" s="48"/>
      <c r="C482" s="49"/>
      <c r="D482" s="49"/>
      <c r="E482" s="50"/>
      <c r="F482" s="49"/>
      <c r="G482" s="49"/>
      <c r="H482" s="49"/>
      <c r="I482" s="21"/>
      <c r="J482" s="31"/>
      <c r="K482" s="31"/>
      <c r="L482" s="31"/>
      <c r="M482" s="44"/>
    </row>
    <row r="483" ht="15.75" customHeight="1">
      <c r="A483" s="51"/>
      <c r="B483" s="52"/>
      <c r="C483" s="53"/>
      <c r="D483" s="53"/>
      <c r="E483" s="54"/>
      <c r="F483" s="53"/>
      <c r="G483" s="53"/>
      <c r="H483" s="53"/>
      <c r="I483" s="45"/>
      <c r="J483" s="46"/>
      <c r="K483" s="46"/>
      <c r="L483" s="46"/>
      <c r="M483" s="44"/>
    </row>
    <row r="484" ht="15.75" customHeight="1">
      <c r="A484" s="47"/>
      <c r="B484" s="48"/>
      <c r="C484" s="49"/>
      <c r="D484" s="49"/>
      <c r="E484" s="50"/>
      <c r="F484" s="49"/>
      <c r="G484" s="49"/>
      <c r="H484" s="49"/>
      <c r="I484" s="21"/>
      <c r="J484" s="31"/>
      <c r="K484" s="31"/>
      <c r="L484" s="31"/>
      <c r="M484" s="44"/>
    </row>
    <row r="485" ht="15.75" customHeight="1">
      <c r="A485" s="51"/>
      <c r="B485" s="52"/>
      <c r="C485" s="53"/>
      <c r="D485" s="53"/>
      <c r="E485" s="54"/>
      <c r="F485" s="53"/>
      <c r="G485" s="53"/>
      <c r="H485" s="53"/>
      <c r="I485" s="45"/>
      <c r="J485" s="46"/>
      <c r="K485" s="46"/>
      <c r="L485" s="46"/>
      <c r="M485" s="44"/>
    </row>
    <row r="486" ht="15.75" customHeight="1">
      <c r="A486" s="47"/>
      <c r="B486" s="48"/>
      <c r="C486" s="49"/>
      <c r="D486" s="49"/>
      <c r="E486" s="50"/>
      <c r="F486" s="49"/>
      <c r="G486" s="49"/>
      <c r="H486" s="49"/>
      <c r="I486" s="21"/>
      <c r="J486" s="31"/>
      <c r="K486" s="31"/>
      <c r="L486" s="31"/>
      <c r="M486" s="44"/>
    </row>
    <row r="487" ht="15.75" customHeight="1">
      <c r="A487" s="51"/>
      <c r="B487" s="52"/>
      <c r="C487" s="53"/>
      <c r="D487" s="53"/>
      <c r="E487" s="54"/>
      <c r="F487" s="53"/>
      <c r="G487" s="53"/>
      <c r="H487" s="53"/>
      <c r="I487" s="45"/>
      <c r="J487" s="46"/>
      <c r="K487" s="46"/>
      <c r="L487" s="46"/>
      <c r="M487" s="44"/>
    </row>
    <row r="488" ht="15.75" customHeight="1">
      <c r="A488" s="47"/>
      <c r="B488" s="48"/>
      <c r="C488" s="49"/>
      <c r="D488" s="49"/>
      <c r="E488" s="50"/>
      <c r="F488" s="49"/>
      <c r="G488" s="49"/>
      <c r="H488" s="49"/>
      <c r="I488" s="21"/>
      <c r="J488" s="31"/>
      <c r="K488" s="31"/>
      <c r="L488" s="31"/>
      <c r="M488" s="44"/>
    </row>
    <row r="489" ht="15.75" customHeight="1">
      <c r="A489" s="51"/>
      <c r="B489" s="52"/>
      <c r="C489" s="53"/>
      <c r="D489" s="53"/>
      <c r="E489" s="54"/>
      <c r="F489" s="53"/>
      <c r="G489" s="53"/>
      <c r="H489" s="53"/>
      <c r="I489" s="45"/>
      <c r="J489" s="46"/>
      <c r="K489" s="46"/>
      <c r="L489" s="46"/>
      <c r="M489" s="44"/>
    </row>
    <row r="490" ht="15.75" customHeight="1">
      <c r="A490" s="47"/>
      <c r="B490" s="48"/>
      <c r="C490" s="49"/>
      <c r="D490" s="49"/>
      <c r="E490" s="50"/>
      <c r="F490" s="49"/>
      <c r="G490" s="49"/>
      <c r="H490" s="49"/>
      <c r="I490" s="21"/>
      <c r="J490" s="31"/>
      <c r="K490" s="31"/>
      <c r="L490" s="31"/>
      <c r="M490" s="44"/>
    </row>
    <row r="491" ht="15.75" customHeight="1">
      <c r="A491" s="51"/>
      <c r="B491" s="52"/>
      <c r="C491" s="53"/>
      <c r="D491" s="53"/>
      <c r="E491" s="54"/>
      <c r="F491" s="53"/>
      <c r="G491" s="53"/>
      <c r="H491" s="53"/>
      <c r="I491" s="45"/>
      <c r="J491" s="46"/>
      <c r="K491" s="46"/>
      <c r="L491" s="46"/>
      <c r="M491" s="44"/>
    </row>
    <row r="492" ht="15.75" customHeight="1">
      <c r="A492" s="47"/>
      <c r="B492" s="48"/>
      <c r="C492" s="49"/>
      <c r="D492" s="49"/>
      <c r="E492" s="50"/>
      <c r="F492" s="49"/>
      <c r="G492" s="49"/>
      <c r="H492" s="49"/>
      <c r="I492" s="21"/>
      <c r="J492" s="31"/>
      <c r="K492" s="31"/>
      <c r="L492" s="31"/>
      <c r="M492" s="44"/>
    </row>
    <row r="493" ht="15.75" customHeight="1">
      <c r="A493" s="51"/>
      <c r="B493" s="52"/>
      <c r="C493" s="53"/>
      <c r="D493" s="53"/>
      <c r="E493" s="54"/>
      <c r="F493" s="53"/>
      <c r="G493" s="53"/>
      <c r="H493" s="53"/>
      <c r="I493" s="45"/>
      <c r="J493" s="46"/>
      <c r="K493" s="46"/>
      <c r="L493" s="46"/>
      <c r="M493" s="44"/>
    </row>
    <row r="494" ht="15.75" customHeight="1">
      <c r="A494" s="47"/>
      <c r="B494" s="48"/>
      <c r="C494" s="49"/>
      <c r="D494" s="49"/>
      <c r="E494" s="50"/>
      <c r="F494" s="49"/>
      <c r="G494" s="49"/>
      <c r="H494" s="49"/>
      <c r="I494" s="21"/>
      <c r="J494" s="31"/>
      <c r="K494" s="31"/>
      <c r="L494" s="31"/>
      <c r="M494" s="44"/>
    </row>
    <row r="495" ht="15.75" customHeight="1">
      <c r="A495" s="51"/>
      <c r="B495" s="52"/>
      <c r="C495" s="53"/>
      <c r="D495" s="53"/>
      <c r="E495" s="54"/>
      <c r="F495" s="53"/>
      <c r="G495" s="53"/>
      <c r="H495" s="53"/>
      <c r="I495" s="45"/>
      <c r="J495" s="46"/>
      <c r="K495" s="46"/>
      <c r="L495" s="46"/>
      <c r="M495" s="44"/>
    </row>
    <row r="496" ht="15.75" customHeight="1">
      <c r="A496" s="47"/>
      <c r="B496" s="48"/>
      <c r="C496" s="49"/>
      <c r="D496" s="49"/>
      <c r="E496" s="50"/>
      <c r="F496" s="49"/>
      <c r="G496" s="49"/>
      <c r="H496" s="49"/>
      <c r="I496" s="21"/>
      <c r="J496" s="31"/>
      <c r="K496" s="31"/>
      <c r="L496" s="31"/>
      <c r="M496" s="44"/>
    </row>
    <row r="497" ht="15.75" customHeight="1">
      <c r="A497" s="51"/>
      <c r="B497" s="52"/>
      <c r="C497" s="53"/>
      <c r="D497" s="53"/>
      <c r="E497" s="54"/>
      <c r="F497" s="53"/>
      <c r="G497" s="53"/>
      <c r="H497" s="53"/>
      <c r="I497" s="45"/>
      <c r="J497" s="46"/>
      <c r="K497" s="46"/>
      <c r="L497" s="46"/>
      <c r="M497" s="44"/>
    </row>
    <row r="498" ht="15.75" customHeight="1">
      <c r="A498" s="47"/>
      <c r="B498" s="48"/>
      <c r="C498" s="49"/>
      <c r="D498" s="49"/>
      <c r="E498" s="50"/>
      <c r="F498" s="49"/>
      <c r="G498" s="49"/>
      <c r="H498" s="49"/>
      <c r="I498" s="21"/>
      <c r="J498" s="31"/>
      <c r="K498" s="31"/>
      <c r="L498" s="31"/>
      <c r="M498" s="44"/>
    </row>
    <row r="499" ht="15.75" customHeight="1">
      <c r="A499" s="51"/>
      <c r="B499" s="52"/>
      <c r="C499" s="53"/>
      <c r="D499" s="53"/>
      <c r="E499" s="54"/>
      <c r="F499" s="53"/>
      <c r="G499" s="53"/>
      <c r="H499" s="53"/>
      <c r="I499" s="45"/>
      <c r="J499" s="46"/>
      <c r="K499" s="46"/>
      <c r="L499" s="46"/>
      <c r="M499" s="44"/>
    </row>
    <row r="500" ht="15.75" customHeight="1">
      <c r="A500" s="47"/>
      <c r="B500" s="48"/>
      <c r="C500" s="49"/>
      <c r="D500" s="49"/>
      <c r="E500" s="50"/>
      <c r="F500" s="49"/>
      <c r="G500" s="49"/>
      <c r="H500" s="49"/>
      <c r="I500" s="21"/>
      <c r="J500" s="31"/>
      <c r="K500" s="31"/>
      <c r="L500" s="31"/>
      <c r="M500" s="44"/>
    </row>
    <row r="501" ht="15.75" customHeight="1">
      <c r="A501" s="51"/>
      <c r="B501" s="52"/>
      <c r="C501" s="53"/>
      <c r="D501" s="53"/>
      <c r="E501" s="54"/>
      <c r="F501" s="53"/>
      <c r="G501" s="53"/>
      <c r="H501" s="53"/>
      <c r="I501" s="45"/>
      <c r="J501" s="46"/>
      <c r="K501" s="46"/>
      <c r="L501" s="46"/>
      <c r="M501" s="44"/>
    </row>
    <row r="502" ht="15.75" customHeight="1">
      <c r="A502" s="47"/>
      <c r="B502" s="48"/>
      <c r="C502" s="49"/>
      <c r="D502" s="49"/>
      <c r="E502" s="50"/>
      <c r="F502" s="49"/>
      <c r="G502" s="49"/>
      <c r="H502" s="49"/>
      <c r="I502" s="21"/>
      <c r="J502" s="31"/>
      <c r="K502" s="31"/>
      <c r="L502" s="31"/>
      <c r="M502" s="44"/>
    </row>
    <row r="503" ht="15.75" customHeight="1">
      <c r="A503" s="51"/>
      <c r="B503" s="52"/>
      <c r="C503" s="53"/>
      <c r="D503" s="53"/>
      <c r="E503" s="54"/>
      <c r="F503" s="53"/>
      <c r="G503" s="53"/>
      <c r="H503" s="53"/>
      <c r="I503" s="45"/>
      <c r="J503" s="46"/>
      <c r="K503" s="46"/>
      <c r="L503" s="46"/>
      <c r="M503" s="44"/>
    </row>
    <row r="504" ht="15.75" customHeight="1">
      <c r="A504" s="47"/>
      <c r="B504" s="48"/>
      <c r="C504" s="49"/>
      <c r="D504" s="49"/>
      <c r="E504" s="50"/>
      <c r="F504" s="49"/>
      <c r="G504" s="49"/>
      <c r="H504" s="49"/>
      <c r="I504" s="21"/>
      <c r="J504" s="31"/>
      <c r="K504" s="31"/>
      <c r="L504" s="31"/>
      <c r="M504" s="44"/>
    </row>
    <row r="505" ht="15.75" customHeight="1">
      <c r="A505" s="51"/>
      <c r="B505" s="52"/>
      <c r="C505" s="53"/>
      <c r="D505" s="53"/>
      <c r="E505" s="54"/>
      <c r="F505" s="53"/>
      <c r="G505" s="53"/>
      <c r="H505" s="53"/>
      <c r="I505" s="45"/>
      <c r="J505" s="46"/>
      <c r="K505" s="46"/>
      <c r="L505" s="46"/>
      <c r="M505" s="44"/>
    </row>
    <row r="506" ht="15.75" customHeight="1">
      <c r="A506" s="47"/>
      <c r="B506" s="48"/>
      <c r="C506" s="49"/>
      <c r="D506" s="49"/>
      <c r="E506" s="50"/>
      <c r="F506" s="49"/>
      <c r="G506" s="49"/>
      <c r="H506" s="49"/>
      <c r="I506" s="21"/>
      <c r="J506" s="31"/>
      <c r="K506" s="31"/>
      <c r="L506" s="31"/>
      <c r="M506" s="44"/>
    </row>
    <row r="507" ht="15.75" customHeight="1">
      <c r="A507" s="51"/>
      <c r="B507" s="52"/>
      <c r="C507" s="53"/>
      <c r="D507" s="53"/>
      <c r="E507" s="54"/>
      <c r="F507" s="53"/>
      <c r="G507" s="53"/>
      <c r="H507" s="53"/>
      <c r="I507" s="45"/>
      <c r="J507" s="46"/>
      <c r="K507" s="46"/>
      <c r="L507" s="46"/>
      <c r="M507" s="44"/>
    </row>
    <row r="508" ht="15.75" customHeight="1">
      <c r="A508" s="47"/>
      <c r="B508" s="48"/>
      <c r="C508" s="49"/>
      <c r="D508" s="49"/>
      <c r="E508" s="50"/>
      <c r="F508" s="49"/>
      <c r="G508" s="49"/>
      <c r="H508" s="49"/>
      <c r="I508" s="21"/>
      <c r="J508" s="31"/>
      <c r="K508" s="31"/>
      <c r="L508" s="31"/>
      <c r="M508" s="44"/>
    </row>
    <row r="509" ht="15.75" customHeight="1">
      <c r="A509" s="51"/>
      <c r="B509" s="52"/>
      <c r="C509" s="53"/>
      <c r="D509" s="53"/>
      <c r="E509" s="54"/>
      <c r="F509" s="53"/>
      <c r="G509" s="53"/>
      <c r="H509" s="53"/>
      <c r="I509" s="45"/>
      <c r="J509" s="46"/>
      <c r="K509" s="46"/>
      <c r="L509" s="46"/>
      <c r="M509" s="44"/>
    </row>
    <row r="510" ht="15.75" customHeight="1">
      <c r="A510" s="47"/>
      <c r="B510" s="48"/>
      <c r="C510" s="49"/>
      <c r="D510" s="49"/>
      <c r="E510" s="50"/>
      <c r="F510" s="49"/>
      <c r="G510" s="49"/>
      <c r="H510" s="49"/>
      <c r="I510" s="21"/>
      <c r="J510" s="31"/>
      <c r="K510" s="31"/>
      <c r="L510" s="31"/>
      <c r="M510" s="44"/>
    </row>
    <row r="511" ht="15.75" customHeight="1">
      <c r="A511" s="51"/>
      <c r="B511" s="52"/>
      <c r="C511" s="53"/>
      <c r="D511" s="53"/>
      <c r="E511" s="54"/>
      <c r="F511" s="53"/>
      <c r="G511" s="53"/>
      <c r="H511" s="53"/>
      <c r="I511" s="45"/>
      <c r="J511" s="46"/>
      <c r="K511" s="46"/>
      <c r="L511" s="46"/>
      <c r="M511" s="44"/>
    </row>
    <row r="512" ht="15.75" customHeight="1">
      <c r="A512" s="47"/>
      <c r="B512" s="48"/>
      <c r="C512" s="49"/>
      <c r="D512" s="49"/>
      <c r="E512" s="50"/>
      <c r="F512" s="49"/>
      <c r="G512" s="49"/>
      <c r="H512" s="49"/>
      <c r="I512" s="21"/>
      <c r="J512" s="31"/>
      <c r="K512" s="31"/>
      <c r="L512" s="31"/>
      <c r="M512" s="44"/>
    </row>
    <row r="513" ht="15.75" customHeight="1">
      <c r="A513" s="51"/>
      <c r="B513" s="52"/>
      <c r="C513" s="53"/>
      <c r="D513" s="53"/>
      <c r="E513" s="54"/>
      <c r="F513" s="53"/>
      <c r="G513" s="53"/>
      <c r="H513" s="53"/>
      <c r="I513" s="45"/>
      <c r="J513" s="46"/>
      <c r="K513" s="46"/>
      <c r="L513" s="46"/>
      <c r="M513" s="44"/>
    </row>
    <row r="514" ht="15.75" customHeight="1">
      <c r="A514" s="47"/>
      <c r="B514" s="48"/>
      <c r="C514" s="49"/>
      <c r="D514" s="49"/>
      <c r="E514" s="50"/>
      <c r="F514" s="49"/>
      <c r="G514" s="49"/>
      <c r="H514" s="49"/>
      <c r="I514" s="21"/>
      <c r="J514" s="31"/>
      <c r="K514" s="31"/>
      <c r="L514" s="31"/>
      <c r="M514" s="44"/>
    </row>
    <row r="515" ht="15.75" customHeight="1">
      <c r="A515" s="51"/>
      <c r="B515" s="52"/>
      <c r="C515" s="53"/>
      <c r="D515" s="53"/>
      <c r="E515" s="54"/>
      <c r="F515" s="53"/>
      <c r="G515" s="53"/>
      <c r="H515" s="53"/>
      <c r="I515" s="45"/>
      <c r="J515" s="46"/>
      <c r="K515" s="46"/>
      <c r="L515" s="46"/>
      <c r="M515" s="44"/>
    </row>
    <row r="516" ht="15.75" customHeight="1">
      <c r="A516" s="47"/>
      <c r="B516" s="48"/>
      <c r="C516" s="49"/>
      <c r="D516" s="49"/>
      <c r="E516" s="50"/>
      <c r="F516" s="49"/>
      <c r="G516" s="49"/>
      <c r="H516" s="49"/>
      <c r="I516" s="21"/>
      <c r="J516" s="31"/>
      <c r="K516" s="31"/>
      <c r="L516" s="31"/>
      <c r="M516" s="44"/>
    </row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405"/>
  <mergeCells count="1">
    <mergeCell ref="I1:L1"/>
  </mergeCells>
  <conditionalFormatting sqref="L1:L1000">
    <cfRule type="containsText" dxfId="0" priority="1" operator="containsText" text="entregado">
      <formula>NOT(ISERROR(SEARCH(("entregado"),(L1))))</formula>
    </cfRule>
  </conditionalFormatting>
  <conditionalFormatting sqref="K1:K1000">
    <cfRule type="containsText" dxfId="1" priority="2" operator="containsText" text="despacho">
      <formula>NOT(ISERROR(SEARCH(("despacho"),(K1))))</formula>
    </cfRule>
  </conditionalFormatting>
  <conditionalFormatting sqref="J1:J1000">
    <cfRule type="containsText" dxfId="2" priority="3" operator="containsText" text="en proceso">
      <formula>NOT(ISERROR(SEARCH(("en proceso"),(J1))))</formula>
    </cfRule>
  </conditionalFormatting>
  <conditionalFormatting sqref="I1:I1000">
    <cfRule type="containsText" dxfId="3" priority="4" operator="containsText" text="ingreso">
      <formula>NOT(ISERROR(SEARCH(("ingreso"),(I1))))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8.14"/>
    <col customWidth="1" min="3" max="3" width="22.57"/>
    <col customWidth="1" min="4" max="4" width="67.14"/>
    <col customWidth="1" min="5" max="5" width="11.57"/>
    <col customWidth="1" min="6" max="6" width="15.57"/>
    <col customWidth="1" min="7" max="8" width="21.43"/>
    <col customWidth="1" min="9" max="9" width="15.71"/>
    <col customWidth="1" min="10" max="10" width="11.43"/>
    <col customWidth="1" min="11" max="11" width="27.86"/>
  </cols>
  <sheetData>
    <row r="1" ht="33.75" customHeight="1">
      <c r="A1" s="55" t="s">
        <v>1</v>
      </c>
      <c r="B1" s="55" t="s">
        <v>2</v>
      </c>
      <c r="C1" s="55" t="s">
        <v>3</v>
      </c>
      <c r="D1" s="56" t="s">
        <v>4</v>
      </c>
      <c r="E1" s="57" t="s">
        <v>440</v>
      </c>
      <c r="F1" s="58" t="s">
        <v>8</v>
      </c>
      <c r="G1" s="59" t="s">
        <v>441</v>
      </c>
      <c r="H1" s="55" t="s">
        <v>442</v>
      </c>
      <c r="I1" s="55" t="s">
        <v>443</v>
      </c>
      <c r="J1" s="55" t="s">
        <v>444</v>
      </c>
      <c r="K1" s="55" t="s">
        <v>445</v>
      </c>
    </row>
    <row r="2" ht="22.5" customHeight="1">
      <c r="A2" s="47">
        <f>PEDIDOS!B2</f>
        <v>46035</v>
      </c>
      <c r="B2" s="23">
        <f>PEDIDOS!C2</f>
        <v>163</v>
      </c>
      <c r="C2" s="23" t="str">
        <f>PEDIDOS!D2</f>
        <v>THE MINIMAL CO</v>
      </c>
      <c r="D2" s="60" t="str">
        <f>PEDIDOS!E2</f>
        <v>MILKY TONER</v>
      </c>
      <c r="E2" s="61">
        <f>PEDIDOS!G2*PEDIDOS!H2/1000</f>
        <v>90</v>
      </c>
      <c r="F2" s="23" t="s">
        <v>446</v>
      </c>
      <c r="G2" s="23"/>
      <c r="H2" s="23" t="s">
        <v>447</v>
      </c>
      <c r="I2" s="62">
        <f>EXPEDICION!K2-7</f>
        <v>46069</v>
      </c>
      <c r="J2" s="63" t="str">
        <f>PEDIDOS!M2</f>
        <v>F26021</v>
      </c>
      <c r="K2" s="23"/>
    </row>
    <row r="3" ht="22.5" customHeight="1">
      <c r="A3" s="64">
        <f>PEDIDOS!B3</f>
        <v>46035</v>
      </c>
      <c r="B3" s="65">
        <f>PEDIDOS!C3</f>
        <v>14297</v>
      </c>
      <c r="C3" s="65" t="str">
        <f>PEDIDOS!D3</f>
        <v>JACTANS</v>
      </c>
      <c r="D3" s="66" t="str">
        <f>PEDIDOS!E3</f>
        <v>JS-941 AGUA MICELAR BIFASCIA</v>
      </c>
      <c r="E3" s="67">
        <f>PEDIDOS!G3*PEDIDOS!H3/1000</f>
        <v>105</v>
      </c>
      <c r="F3" s="65" t="s">
        <v>446</v>
      </c>
      <c r="G3" s="65"/>
      <c r="H3" s="65" t="s">
        <v>448</v>
      </c>
      <c r="I3" s="68">
        <f>EXPEDICION!K3-7</f>
        <v>46073</v>
      </c>
      <c r="J3" s="69" t="str">
        <f>PEDIDOS!M3</f>
        <v>F26031</v>
      </c>
      <c r="K3" s="65"/>
    </row>
    <row r="4" ht="22.5" customHeight="1">
      <c r="A4" s="47">
        <f>PEDIDOS!B4</f>
        <v>46035</v>
      </c>
      <c r="B4" s="23">
        <f>PEDIDOS!C4</f>
        <v>15074</v>
      </c>
      <c r="C4" s="23" t="str">
        <f>PEDIDOS!D4</f>
        <v>THELMA Y LOUISE</v>
      </c>
      <c r="D4" s="60" t="str">
        <f>PEDIDOS!E4</f>
        <v>AGUA TERMAL</v>
      </c>
      <c r="E4" s="61">
        <f>PEDIDOS!G4*PEDIDOS!H4/1000</f>
        <v>294</v>
      </c>
      <c r="F4" s="23" t="s">
        <v>446</v>
      </c>
      <c r="G4" s="23"/>
      <c r="H4" s="23" t="s">
        <v>449</v>
      </c>
      <c r="I4" s="70">
        <f>EXPEDICION!K4-7</f>
        <v>46076</v>
      </c>
      <c r="J4" s="63" t="str">
        <f>PEDIDOS!M4</f>
        <v>F26041</v>
      </c>
      <c r="K4" s="23"/>
    </row>
    <row r="5" ht="22.5" customHeight="1">
      <c r="A5" s="64">
        <f>PEDIDOS!B5</f>
        <v>46035</v>
      </c>
      <c r="B5" s="65" t="str">
        <f>PEDIDOS!C5</f>
        <v/>
      </c>
      <c r="C5" s="65" t="str">
        <f>PEDIDOS!D5</f>
        <v>LIORA</v>
      </c>
      <c r="D5" s="66" t="str">
        <f>PEDIDOS!E5</f>
        <v>CREMA PARA PEINAR RULOS</v>
      </c>
      <c r="E5" s="67">
        <f>PEDIDOS!G5*PEDIDOS!H5/1000</f>
        <v>51</v>
      </c>
      <c r="F5" s="71" t="s">
        <v>446</v>
      </c>
      <c r="G5" s="65"/>
      <c r="H5" s="65" t="s">
        <v>449</v>
      </c>
      <c r="I5" s="72">
        <f>EXPEDICION!K5-7</f>
        <v>46154</v>
      </c>
      <c r="J5" s="69" t="str">
        <f>PEDIDOS!M5</f>
        <v>Y26039</v>
      </c>
      <c r="K5" s="65" t="s">
        <v>450</v>
      </c>
    </row>
    <row r="6" ht="22.5" customHeight="1">
      <c r="A6" s="47">
        <f>PEDIDOS!B6</f>
        <v>46042</v>
      </c>
      <c r="B6" s="23" t="str">
        <f>PEDIDOS!C6</f>
        <v>P01203</v>
      </c>
      <c r="C6" s="23" t="str">
        <f>PEDIDOS!D6</f>
        <v>BIOESENCIA</v>
      </c>
      <c r="D6" s="60" t="str">
        <f>PEDIDOS!E6</f>
        <v>SERUM ORIGENES</v>
      </c>
      <c r="E6" s="61">
        <f>PEDIDOS!G6*PEDIDOS!H6/1000</f>
        <v>48</v>
      </c>
      <c r="F6" s="23" t="s">
        <v>446</v>
      </c>
      <c r="G6" s="23"/>
      <c r="H6" s="23" t="s">
        <v>451</v>
      </c>
      <c r="I6" s="62">
        <f>EXPEDICION!K6-7</f>
        <v>46070</v>
      </c>
      <c r="J6" s="63">
        <f>PEDIDOS!M6</f>
        <v>240201</v>
      </c>
      <c r="K6" s="23"/>
    </row>
    <row r="7" ht="22.5" customHeight="1">
      <c r="A7" s="64">
        <f>PEDIDOS!B7</f>
        <v>46042</v>
      </c>
      <c r="B7" s="65" t="str">
        <f>PEDIDOS!C7</f>
        <v/>
      </c>
      <c r="C7" s="65" t="str">
        <f>PEDIDOS!D7</f>
        <v>WSABI</v>
      </c>
      <c r="D7" s="66" t="str">
        <f>PEDIDOS!E7</f>
        <v>SERUM INTIMO</v>
      </c>
      <c r="E7" s="67">
        <f>PEDIDOS!G7*PEDIDOS!H7/1000</f>
        <v>9</v>
      </c>
      <c r="F7" s="65" t="s">
        <v>446</v>
      </c>
      <c r="G7" s="65"/>
      <c r="H7" s="65" t="s">
        <v>452</v>
      </c>
      <c r="I7" s="73">
        <f>EXPEDICION!K7-7</f>
        <v>46080</v>
      </c>
      <c r="J7" s="69" t="str">
        <f>PEDIDOS!M7</f>
        <v>F26049</v>
      </c>
      <c r="K7" s="65"/>
    </row>
    <row r="8" ht="22.5" customHeight="1">
      <c r="A8" s="47">
        <f>PEDIDOS!B8</f>
        <v>46042</v>
      </c>
      <c r="B8" s="23" t="str">
        <f>PEDIDOS!C8</f>
        <v/>
      </c>
      <c r="C8" s="23" t="str">
        <f>PEDIDOS!D8</f>
        <v>MERMER</v>
      </c>
      <c r="D8" s="60" t="str">
        <f>PEDIDOS!E8</f>
        <v>ACEITE CORPORAL LAVANDA</v>
      </c>
      <c r="E8" s="61">
        <f>PEDIDOS!G8*PEDIDOS!H8/1000</f>
        <v>60</v>
      </c>
      <c r="F8" s="23" t="s">
        <v>446</v>
      </c>
      <c r="G8" s="23"/>
      <c r="H8" s="23" t="s">
        <v>447</v>
      </c>
      <c r="I8" s="74">
        <f>EXPEDICION!K8-7</f>
        <v>46043</v>
      </c>
      <c r="J8" s="63" t="str">
        <f>PEDIDOS!M8</f>
        <v>E26087</v>
      </c>
      <c r="K8" s="23"/>
    </row>
    <row r="9" ht="22.5" customHeight="1">
      <c r="A9" s="64">
        <f>PEDIDOS!B9</f>
        <v>46042</v>
      </c>
      <c r="B9" s="65" t="str">
        <f>PEDIDOS!C9</f>
        <v/>
      </c>
      <c r="C9" s="65" t="str">
        <f>PEDIDOS!D9</f>
        <v>MERMER</v>
      </c>
      <c r="D9" s="66" t="str">
        <f>PEDIDOS!E9</f>
        <v>ACEITE CORPORAL ALMENDRA</v>
      </c>
      <c r="E9" s="67">
        <f>PEDIDOS!G9*PEDIDOS!H9/1000</f>
        <v>60</v>
      </c>
      <c r="F9" s="65" t="s">
        <v>446</v>
      </c>
      <c r="G9" s="65"/>
      <c r="H9" s="65" t="s">
        <v>447</v>
      </c>
      <c r="I9" s="73">
        <f>EXPEDICION!K9-7</f>
        <v>46043</v>
      </c>
      <c r="J9" s="69" t="str">
        <f>PEDIDOS!M9</f>
        <v>E26088</v>
      </c>
      <c r="K9" s="65"/>
    </row>
    <row r="10" ht="22.5" customHeight="1">
      <c r="A10" s="47">
        <f>PEDIDOS!B10</f>
        <v>46042</v>
      </c>
      <c r="B10" s="23" t="str">
        <f>PEDIDOS!C10</f>
        <v/>
      </c>
      <c r="C10" s="23" t="str">
        <f>PEDIDOS!D10</f>
        <v>MERMER</v>
      </c>
      <c r="D10" s="60" t="str">
        <f>PEDIDOS!E10</f>
        <v>ACEITE CORPORAL ROSAS</v>
      </c>
      <c r="E10" s="61">
        <f>PEDIDOS!G10*PEDIDOS!H10/1000</f>
        <v>60</v>
      </c>
      <c r="F10" s="23" t="s">
        <v>446</v>
      </c>
      <c r="G10" s="23"/>
      <c r="H10" s="23" t="s">
        <v>453</v>
      </c>
      <c r="I10" s="74">
        <f>EXPEDICION!K10-7</f>
        <v>46043</v>
      </c>
      <c r="J10" s="63" t="str">
        <f>PEDIDOS!M10</f>
        <v>E26089</v>
      </c>
      <c r="K10" s="23"/>
    </row>
    <row r="11" ht="22.5" customHeight="1">
      <c r="A11" s="64">
        <f>PEDIDOS!B11</f>
        <v>46042</v>
      </c>
      <c r="B11" s="65" t="str">
        <f>PEDIDOS!C11</f>
        <v/>
      </c>
      <c r="C11" s="65" t="str">
        <f>PEDIDOS!D11</f>
        <v>MERMER</v>
      </c>
      <c r="D11" s="66" t="str">
        <f>PEDIDOS!E11</f>
        <v>ACEITE CORPORAL SESAMO</v>
      </c>
      <c r="E11" s="67">
        <f>PEDIDOS!G11*PEDIDOS!H11/1000</f>
        <v>60</v>
      </c>
      <c r="F11" s="65" t="s">
        <v>446</v>
      </c>
      <c r="G11" s="65"/>
      <c r="H11" s="65" t="s">
        <v>453</v>
      </c>
      <c r="I11" s="73">
        <f>EXPEDICION!K11-7</f>
        <v>46043</v>
      </c>
      <c r="J11" s="69" t="str">
        <f>PEDIDOS!M11</f>
        <v>E26090</v>
      </c>
      <c r="K11" s="65"/>
    </row>
    <row r="12" ht="22.5" customHeight="1">
      <c r="A12" s="47">
        <f>PEDIDOS!B12</f>
        <v>46042</v>
      </c>
      <c r="B12" s="23" t="str">
        <f>PEDIDOS!C12</f>
        <v/>
      </c>
      <c r="C12" s="23" t="str">
        <f>PEDIDOS!D12</f>
        <v>MERMER</v>
      </c>
      <c r="D12" s="60" t="str">
        <f>PEDIDOS!E12</f>
        <v>ACEITE CORPORAL INCIENSO</v>
      </c>
      <c r="E12" s="61">
        <f>PEDIDOS!G12*PEDIDOS!H12/1000</f>
        <v>60</v>
      </c>
      <c r="F12" s="23" t="s">
        <v>446</v>
      </c>
      <c r="G12" s="23"/>
      <c r="H12" s="23" t="s">
        <v>453</v>
      </c>
      <c r="I12" s="74">
        <f>EXPEDICION!K12-7</f>
        <v>46043</v>
      </c>
      <c r="J12" s="63" t="str">
        <f>PEDIDOS!M12</f>
        <v>E26091</v>
      </c>
      <c r="K12" s="23"/>
    </row>
    <row r="13" ht="22.5" customHeight="1">
      <c r="A13" s="64">
        <f>PEDIDOS!B13</f>
        <v>46042</v>
      </c>
      <c r="B13" s="65" t="str">
        <f>PEDIDOS!C13</f>
        <v/>
      </c>
      <c r="C13" s="65" t="str">
        <f>PEDIDOS!D13</f>
        <v>MERMER</v>
      </c>
      <c r="D13" s="66" t="str">
        <f>PEDIDOS!E13</f>
        <v>ACEITE CORPORAL ARNICA</v>
      </c>
      <c r="E13" s="67">
        <f>PEDIDOS!G13*PEDIDOS!H13/1000</f>
        <v>60</v>
      </c>
      <c r="F13" s="65" t="s">
        <v>446</v>
      </c>
      <c r="G13" s="65"/>
      <c r="H13" s="65" t="s">
        <v>447</v>
      </c>
      <c r="I13" s="73">
        <f>EXPEDICION!K13-7</f>
        <v>46043</v>
      </c>
      <c r="J13" s="69" t="str">
        <f>PEDIDOS!M13</f>
        <v>E26092</v>
      </c>
      <c r="K13" s="65"/>
    </row>
    <row r="14" ht="22.5" customHeight="1">
      <c r="A14" s="47">
        <f>PEDIDOS!B14</f>
        <v>46042</v>
      </c>
      <c r="B14" s="23" t="str">
        <f>PEDIDOS!C14</f>
        <v/>
      </c>
      <c r="C14" s="23" t="str">
        <f>PEDIDOS!D14</f>
        <v>MERMER</v>
      </c>
      <c r="D14" s="60" t="str">
        <f>PEDIDOS!E14</f>
        <v>LOCION CAPILAR</v>
      </c>
      <c r="E14" s="61">
        <f>PEDIDOS!G14*PEDIDOS!H14/1000</f>
        <v>40</v>
      </c>
      <c r="F14" s="23" t="s">
        <v>446</v>
      </c>
      <c r="G14" s="23"/>
      <c r="H14" s="23" t="s">
        <v>451</v>
      </c>
      <c r="I14" s="62">
        <f>EXPEDICION!K14-7</f>
        <v>46104</v>
      </c>
      <c r="J14" s="63" t="str">
        <f>PEDIDOS!M14</f>
        <v>M26042</v>
      </c>
      <c r="K14" s="23"/>
    </row>
    <row r="15" ht="22.5" customHeight="1">
      <c r="A15" s="64">
        <f>PEDIDOS!B15</f>
        <v>46042</v>
      </c>
      <c r="B15" s="65" t="str">
        <f>PEDIDOS!C15</f>
        <v/>
      </c>
      <c r="C15" s="65" t="str">
        <f>PEDIDOS!D15</f>
        <v>MERMER</v>
      </c>
      <c r="D15" s="66" t="str">
        <f>PEDIDOS!E15</f>
        <v>SERUM CAPILAR</v>
      </c>
      <c r="E15" s="67">
        <f>PEDIDOS!G15*PEDIDOS!H15/1000</f>
        <v>40</v>
      </c>
      <c r="F15" s="65" t="s">
        <v>446</v>
      </c>
      <c r="G15" s="65"/>
      <c r="H15" s="65" t="s">
        <v>452</v>
      </c>
      <c r="I15" s="72">
        <f>EXPEDICION!K15-7</f>
        <v>46105</v>
      </c>
      <c r="J15" s="69" t="str">
        <f>PEDIDOS!M15</f>
        <v>M26030</v>
      </c>
      <c r="K15" s="65"/>
    </row>
    <row r="16" ht="22.5" customHeight="1">
      <c r="A16" s="47">
        <f>PEDIDOS!B16</f>
        <v>46049</v>
      </c>
      <c r="B16" s="23">
        <f>PEDIDOS!C16</f>
        <v>1708</v>
      </c>
      <c r="C16" s="23" t="str">
        <f>PEDIDOS!D16</f>
        <v>LABORATORIO ONCE</v>
      </c>
      <c r="D16" s="60" t="str">
        <f>PEDIDOS!E16</f>
        <v>SERUM ACIDO HIALURONICO + NIACINAMIDA</v>
      </c>
      <c r="E16" s="61">
        <f>PEDIDOS!G16*PEDIDOS!H16/1000</f>
        <v>49.59</v>
      </c>
      <c r="F16" s="23" t="s">
        <v>446</v>
      </c>
      <c r="G16" s="23"/>
      <c r="H16" s="23" t="s">
        <v>449</v>
      </c>
      <c r="I16" s="62">
        <f>EXPEDICION!K16-7</f>
        <v>46076</v>
      </c>
      <c r="J16" s="63" t="str">
        <f>PEDIDOS!M16</f>
        <v>F26048</v>
      </c>
      <c r="K16" s="23"/>
    </row>
    <row r="17" ht="22.5" customHeight="1">
      <c r="A17" s="64">
        <f>PEDIDOS!B17</f>
        <v>46050</v>
      </c>
      <c r="B17" s="65">
        <f>PEDIDOS!C17</f>
        <v>15098</v>
      </c>
      <c r="C17" s="65" t="str">
        <f>PEDIDOS!D17</f>
        <v>THELMA Y LOUISE</v>
      </c>
      <c r="D17" s="66" t="str">
        <f>PEDIDOS!E17</f>
        <v>CREMA BIFASICA CHERRY</v>
      </c>
      <c r="E17" s="67">
        <f>PEDIDOS!G17*PEDIDOS!H17/1000</f>
        <v>262.4</v>
      </c>
      <c r="F17" s="65" t="s">
        <v>446</v>
      </c>
      <c r="G17" s="65"/>
      <c r="H17" s="65" t="s">
        <v>449</v>
      </c>
      <c r="I17" s="65">
        <f>EXPEDICION!K17-7</f>
        <v>-7</v>
      </c>
      <c r="J17" s="69" t="str">
        <f>PEDIDOS!M17</f>
        <v/>
      </c>
      <c r="K17" s="65"/>
    </row>
    <row r="18" ht="22.5" customHeight="1">
      <c r="A18" s="47">
        <f>PEDIDOS!B18</f>
        <v>46052</v>
      </c>
      <c r="B18" s="23" t="str">
        <f>PEDIDOS!C18</f>
        <v/>
      </c>
      <c r="C18" s="23" t="str">
        <f>PEDIDOS!D18</f>
        <v>ALL BEAUTY</v>
      </c>
      <c r="D18" s="60" t="str">
        <f>PEDIDOS!E18</f>
        <v>SERUM ACIDO HIALURONICO</v>
      </c>
      <c r="E18" s="61">
        <f>PEDIDOS!G18*PEDIDOS!H18/1000</f>
        <v>30</v>
      </c>
      <c r="F18" s="23" t="s">
        <v>446</v>
      </c>
      <c r="G18" s="23"/>
      <c r="H18" s="23" t="s">
        <v>449</v>
      </c>
      <c r="I18" s="62">
        <f>EXPEDICION!K18-7</f>
        <v>46070</v>
      </c>
      <c r="J18" s="63" t="str">
        <f>PEDIDOS!M18</f>
        <v>E26083</v>
      </c>
      <c r="K18" s="23"/>
    </row>
    <row r="19" ht="22.5" customHeight="1">
      <c r="A19" s="64">
        <f>PEDIDOS!B19</f>
        <v>46044</v>
      </c>
      <c r="B19" s="65" t="str">
        <f>PEDIDOS!C19</f>
        <v/>
      </c>
      <c r="C19" s="65" t="str">
        <f>PEDIDOS!D19</f>
        <v>DWUAM</v>
      </c>
      <c r="D19" s="66" t="str">
        <f>PEDIDOS!E19</f>
        <v>BASE DE MAQUILLAJE TONO 1</v>
      </c>
      <c r="E19" s="67">
        <f>PEDIDOS!G19*PEDIDOS!H19/1000</f>
        <v>17.5</v>
      </c>
      <c r="F19" s="65" t="s">
        <v>446</v>
      </c>
      <c r="G19" s="65"/>
      <c r="H19" s="65" t="s">
        <v>451</v>
      </c>
      <c r="I19" s="73">
        <f>EXPEDICION!K19-7</f>
        <v>46044</v>
      </c>
      <c r="J19" s="69" t="str">
        <f>PEDIDOS!M19</f>
        <v>E26104</v>
      </c>
      <c r="K19" s="65"/>
    </row>
    <row r="20" ht="22.5" customHeight="1">
      <c r="A20" s="47">
        <f>PEDIDOS!B20</f>
        <v>46071</v>
      </c>
      <c r="B20" s="23">
        <f>PEDIDOS!C20</f>
        <v>6433</v>
      </c>
      <c r="C20" s="23" t="str">
        <f>PEDIDOS!D20</f>
        <v>HEBURN</v>
      </c>
      <c r="D20" s="60" t="str">
        <f>PEDIDOS!E20</f>
        <v>BRUMA FIJADORA de MAQUILLAJE x 125 cc</v>
      </c>
      <c r="E20" s="61">
        <f>PEDIDOS!G20*PEDIDOS!H20/1000</f>
        <v>75</v>
      </c>
      <c r="F20" s="23" t="s">
        <v>446</v>
      </c>
      <c r="G20" s="23"/>
      <c r="H20" s="23" t="s">
        <v>448</v>
      </c>
      <c r="I20" s="70">
        <f>EXPEDICION!K20-7</f>
        <v>46079</v>
      </c>
      <c r="J20" s="63" t="str">
        <f>PEDIDOS!M20</f>
        <v>M26003</v>
      </c>
      <c r="K20" s="23"/>
    </row>
    <row r="21" ht="22.5" customHeight="1">
      <c r="A21" s="64">
        <f>PEDIDOS!B21</f>
        <v>46052</v>
      </c>
      <c r="B21" s="65" t="str">
        <f>PEDIDOS!C21</f>
        <v/>
      </c>
      <c r="C21" s="65" t="str">
        <f>PEDIDOS!D21</f>
        <v>ALL BEAUTY</v>
      </c>
      <c r="D21" s="66" t="str">
        <f>PEDIDOS!E21</f>
        <v>CREMA FACIAL HIDRATANTE X 50gr (DIA)</v>
      </c>
      <c r="E21" s="67">
        <f>PEDIDOS!G21*PEDIDOS!H21/1000</f>
        <v>50</v>
      </c>
      <c r="F21" s="65" t="s">
        <v>446</v>
      </c>
      <c r="G21" s="65"/>
      <c r="H21" s="65" t="s">
        <v>449</v>
      </c>
      <c r="I21" s="72">
        <f>EXPEDICION!K21-7</f>
        <v>46072</v>
      </c>
      <c r="J21" s="69" t="str">
        <f>PEDIDOS!M21</f>
        <v>F26040</v>
      </c>
      <c r="K21" s="65"/>
    </row>
    <row r="22" ht="22.5" customHeight="1">
      <c r="A22" s="47">
        <f>PEDIDOS!B22</f>
        <v>46052</v>
      </c>
      <c r="B22" s="23" t="str">
        <f>PEDIDOS!C22</f>
        <v/>
      </c>
      <c r="C22" s="23" t="str">
        <f>PEDIDOS!D22</f>
        <v>ALL BEAUTY</v>
      </c>
      <c r="D22" s="60" t="str">
        <f>PEDIDOS!E22</f>
        <v>UNGÜENTO POMADA OLEO 30 + 1 X 10gr</v>
      </c>
      <c r="E22" s="61">
        <f>PEDIDOS!G22*PEDIDOS!H22/1000</f>
        <v>10</v>
      </c>
      <c r="F22" s="23" t="s">
        <v>446</v>
      </c>
      <c r="G22" s="23"/>
      <c r="H22" s="23" t="s">
        <v>448</v>
      </c>
      <c r="I22" s="62">
        <f>EXPEDICION!K22-7</f>
        <v>46078</v>
      </c>
      <c r="J22" s="63" t="str">
        <f>PEDIDOS!M22</f>
        <v>F26045</v>
      </c>
      <c r="K22" s="23"/>
    </row>
    <row r="23" ht="22.5" customHeight="1">
      <c r="A23" s="64">
        <f>PEDIDOS!B23</f>
        <v>46052</v>
      </c>
      <c r="B23" s="65" t="str">
        <f>PEDIDOS!C23</f>
        <v/>
      </c>
      <c r="C23" s="65" t="str">
        <f>PEDIDOS!D23</f>
        <v>ALL BEAUTY</v>
      </c>
      <c r="D23" s="66" t="str">
        <f>PEDIDOS!E23</f>
        <v>CREMA DE ORDEÑE X 300gr</v>
      </c>
      <c r="E23" s="67">
        <f>PEDIDOS!G23*PEDIDOS!H23/1000</f>
        <v>450</v>
      </c>
      <c r="F23" s="65" t="s">
        <v>446</v>
      </c>
      <c r="G23" s="65"/>
      <c r="H23" s="65" t="s">
        <v>451</v>
      </c>
      <c r="I23" s="68">
        <f>EXPEDICION!K23-7</f>
        <v>46073</v>
      </c>
      <c r="J23" s="69" t="str">
        <f>PEDIDOS!M23</f>
        <v>F26039</v>
      </c>
      <c r="K23" s="65"/>
    </row>
    <row r="24" ht="22.5" customHeight="1">
      <c r="A24" s="47">
        <f>PEDIDOS!B24</f>
        <v>46043</v>
      </c>
      <c r="B24" s="23">
        <f>PEDIDOS!C24</f>
        <v>103</v>
      </c>
      <c r="C24" s="23" t="str">
        <f>PEDIDOS!D24</f>
        <v>UNICA</v>
      </c>
      <c r="D24" s="60" t="str">
        <f>PEDIDOS!E24</f>
        <v>CREMA ENEBRO</v>
      </c>
      <c r="E24" s="61">
        <f>PEDIDOS!G24*PEDIDOS!H24/1000</f>
        <v>45</v>
      </c>
      <c r="F24" s="23" t="s">
        <v>446</v>
      </c>
      <c r="G24" s="23"/>
      <c r="H24" s="23" t="s">
        <v>451</v>
      </c>
      <c r="I24" s="62">
        <f>EXPEDICION!K24-7</f>
        <v>46094</v>
      </c>
      <c r="J24" s="63">
        <f>PEDIDOS!M24</f>
        <v>200301</v>
      </c>
      <c r="K24" s="23"/>
    </row>
    <row r="25" ht="22.5" customHeight="1">
      <c r="A25" s="64">
        <f>PEDIDOS!B25</f>
        <v>46066</v>
      </c>
      <c r="B25" s="65">
        <f>PEDIDOS!C25</f>
        <v>15114</v>
      </c>
      <c r="C25" s="65" t="str">
        <f>PEDIDOS!D25</f>
        <v>THELMA Y LOUISE</v>
      </c>
      <c r="D25" s="66" t="str">
        <f>PEDIDOS!E25</f>
        <v>SERUM BIFASICO JOJOBA-POMELO</v>
      </c>
      <c r="E25" s="67">
        <f>PEDIDOS!G25*PEDIDOS!H25/1000</f>
        <v>90.72</v>
      </c>
      <c r="F25" s="65" t="s">
        <v>446</v>
      </c>
      <c r="G25" s="65"/>
      <c r="H25" s="65" t="s">
        <v>454</v>
      </c>
      <c r="I25" s="73">
        <v>46087.0</v>
      </c>
      <c r="J25" s="69" t="str">
        <f>PEDIDOS!M25</f>
        <v>M26024</v>
      </c>
      <c r="K25" s="65"/>
    </row>
    <row r="26" ht="22.5" customHeight="1">
      <c r="A26" s="47">
        <f>PEDIDOS!B26</f>
        <v>46066</v>
      </c>
      <c r="B26" s="23">
        <f>PEDIDOS!C26</f>
        <v>15114</v>
      </c>
      <c r="C26" s="23" t="str">
        <f>PEDIDOS!D26</f>
        <v>THELMA Y LOUISE</v>
      </c>
      <c r="D26" s="60" t="str">
        <f>PEDIDOS!E26</f>
        <v>SERUM BIFASICO PEPINO-HAMAMELIS</v>
      </c>
      <c r="E26" s="61">
        <f>PEDIDOS!G26*PEDIDOS!H26/1000</f>
        <v>90.72</v>
      </c>
      <c r="F26" s="23" t="s">
        <v>446</v>
      </c>
      <c r="G26" s="23"/>
      <c r="H26" s="23" t="s">
        <v>451</v>
      </c>
      <c r="I26" s="62">
        <f>EXPEDICION!K26-7</f>
        <v>46100</v>
      </c>
      <c r="J26" s="63" t="str">
        <f>PEDIDOS!M26</f>
        <v>M26083</v>
      </c>
      <c r="K26" s="23"/>
    </row>
    <row r="27" ht="22.5" customHeight="1">
      <c r="A27" s="64">
        <f>PEDIDOS!B27</f>
        <v>46066</v>
      </c>
      <c r="B27" s="65">
        <f>PEDIDOS!C27</f>
        <v>15114</v>
      </c>
      <c r="C27" s="65" t="str">
        <f>PEDIDOS!D27</f>
        <v>THELMA Y LOUISE</v>
      </c>
      <c r="D27" s="66" t="str">
        <f>PEDIDOS!E27</f>
        <v>SERUM BIFASICO LAVANDA-BLUEBERRY</v>
      </c>
      <c r="E27" s="67">
        <f>PEDIDOS!G27*PEDIDOS!H27/1000</f>
        <v>90.72</v>
      </c>
      <c r="F27" s="65" t="s">
        <v>446</v>
      </c>
      <c r="G27" s="65"/>
      <c r="H27" s="65" t="s">
        <v>455</v>
      </c>
      <c r="I27" s="72">
        <f>EXPEDICION!K27-7</f>
        <v>46086</v>
      </c>
      <c r="J27" s="69" t="str">
        <f>PEDIDOS!M27</f>
        <v>M26022</v>
      </c>
      <c r="K27" s="65"/>
    </row>
    <row r="28" ht="22.5" customHeight="1">
      <c r="A28" s="47">
        <f>PEDIDOS!B28</f>
        <v>46066</v>
      </c>
      <c r="B28" s="23">
        <f>PEDIDOS!C28</f>
        <v>15114</v>
      </c>
      <c r="C28" s="23" t="str">
        <f>PEDIDOS!D28</f>
        <v>THELMA Y LOUISE</v>
      </c>
      <c r="D28" s="60" t="str">
        <f>PEDIDOS!E28</f>
        <v>SERUM BIFASICO ROSA MOSQUETA-ROSAS</v>
      </c>
      <c r="E28" s="61">
        <f>PEDIDOS!G28*PEDIDOS!H28/1000</f>
        <v>90.72</v>
      </c>
      <c r="F28" s="23" t="s">
        <v>446</v>
      </c>
      <c r="G28" s="23"/>
      <c r="H28" s="23" t="s">
        <v>448</v>
      </c>
      <c r="I28" s="62">
        <f>EXPEDICION!K28-7</f>
        <v>46101</v>
      </c>
      <c r="J28" s="63" t="str">
        <f>PEDIDOS!M28</f>
        <v>M26084</v>
      </c>
      <c r="K28" s="23"/>
    </row>
    <row r="29" ht="22.5" customHeight="1">
      <c r="A29" s="64">
        <f>PEDIDOS!B29</f>
        <v>46071</v>
      </c>
      <c r="B29" s="65">
        <f>PEDIDOS!C29</f>
        <v>772</v>
      </c>
      <c r="C29" s="65" t="str">
        <f>PEDIDOS!D29</f>
        <v>CAV</v>
      </c>
      <c r="D29" s="66" t="str">
        <f>PEDIDOS!E29</f>
        <v>SHAMPOO BIO MOLECULAR X400ML VITAMIN SHOCK</v>
      </c>
      <c r="E29" s="67">
        <f>PEDIDOS!G29*PEDIDOS!H29/1000</f>
        <v>280</v>
      </c>
      <c r="F29" s="65" t="s">
        <v>446</v>
      </c>
      <c r="G29" s="65"/>
      <c r="H29" s="65" t="s">
        <v>449</v>
      </c>
      <c r="I29" s="72">
        <f>EXPEDICION!K29-7</f>
        <v>46080</v>
      </c>
      <c r="J29" s="69" t="str">
        <f>PEDIDOS!M29</f>
        <v>E26064</v>
      </c>
      <c r="K29" s="65"/>
    </row>
    <row r="30" ht="22.5" customHeight="1">
      <c r="A30" s="47">
        <f>PEDIDOS!B30</f>
        <v>46071</v>
      </c>
      <c r="B30" s="23">
        <f>PEDIDOS!C30</f>
        <v>772</v>
      </c>
      <c r="C30" s="23" t="str">
        <f>PEDIDOS!D30</f>
        <v>CAV</v>
      </c>
      <c r="D30" s="60" t="str">
        <f>PEDIDOS!E30</f>
        <v>SERUM BIO MOLUECULAR X30ML VITAMIN SHOCK</v>
      </c>
      <c r="E30" s="61">
        <f>PEDIDOS!G30*PEDIDOS!H30/1000</f>
        <v>9</v>
      </c>
      <c r="F30" s="23" t="s">
        <v>446</v>
      </c>
      <c r="G30" s="23"/>
      <c r="H30" s="23" t="s">
        <v>451</v>
      </c>
      <c r="I30" s="62">
        <f>EXPEDICION!K30-7</f>
        <v>46087</v>
      </c>
      <c r="J30" s="63" t="str">
        <f>PEDIDOS!M30</f>
        <v>M26009</v>
      </c>
      <c r="K30" s="23"/>
    </row>
    <row r="31" ht="22.5" customHeight="1">
      <c r="A31" s="64">
        <f>PEDIDOS!B31</f>
        <v>46071</v>
      </c>
      <c r="B31" s="65">
        <f>PEDIDOS!C31</f>
        <v>772</v>
      </c>
      <c r="C31" s="65" t="str">
        <f>PEDIDOS!D31</f>
        <v>CAV</v>
      </c>
      <c r="D31" s="66" t="str">
        <f>PEDIDOS!E31</f>
        <v>BALSAMO X400ML BIOMIC C/ ACIDO HIAL + CAPIMAX</v>
      </c>
      <c r="E31" s="67">
        <f>PEDIDOS!G31*PEDIDOS!H31/1000</f>
        <v>160</v>
      </c>
      <c r="F31" s="65" t="s">
        <v>446</v>
      </c>
      <c r="G31" s="65"/>
      <c r="H31" s="65" t="s">
        <v>449</v>
      </c>
      <c r="I31" s="65">
        <f>EXPEDICION!K31-7</f>
        <v>-7</v>
      </c>
      <c r="J31" s="69" t="str">
        <f>PEDIDOS!M31</f>
        <v/>
      </c>
      <c r="K31" s="65"/>
    </row>
    <row r="32" ht="22.5" customHeight="1">
      <c r="A32" s="47">
        <f>PEDIDOS!B32</f>
        <v>46071</v>
      </c>
      <c r="B32" s="23">
        <f>PEDIDOS!C32</f>
        <v>772</v>
      </c>
      <c r="C32" s="23" t="str">
        <f>PEDIDOS!D32</f>
        <v>CAV</v>
      </c>
      <c r="D32" s="60" t="str">
        <f>PEDIDOS!E32</f>
        <v>MASCARA BIO MOLECULAR VITAMIN SHOCK X300ML</v>
      </c>
      <c r="E32" s="61">
        <f>PEDIDOS!G32*PEDIDOS!H32/1000</f>
        <v>210</v>
      </c>
      <c r="F32" s="23" t="s">
        <v>446</v>
      </c>
      <c r="G32" s="23"/>
      <c r="H32" s="23" t="s">
        <v>449</v>
      </c>
      <c r="I32" s="62">
        <f>EXPEDICION!K32-7</f>
        <v>46090</v>
      </c>
      <c r="J32" s="63" t="str">
        <f>PEDIDOS!M32</f>
        <v>M26045</v>
      </c>
      <c r="K32" s="23"/>
    </row>
    <row r="33" ht="22.5" customHeight="1">
      <c r="A33" s="64">
        <f>PEDIDOS!B33</f>
        <v>46071</v>
      </c>
      <c r="B33" s="65">
        <f>PEDIDOS!C33</f>
        <v>14329</v>
      </c>
      <c r="C33" s="65" t="str">
        <f>PEDIDOS!D33</f>
        <v>JACTANS - DISNEY</v>
      </c>
      <c r="D33" s="66" t="str">
        <f>PEDIDOS!E33</f>
        <v>DSH-41823-Shampoo infantil fco pvc x45ml</v>
      </c>
      <c r="E33" s="67">
        <f>PEDIDOS!G33*PEDIDOS!H33/1000</f>
        <v>135</v>
      </c>
      <c r="F33" s="65" t="s">
        <v>446</v>
      </c>
      <c r="G33" s="65"/>
      <c r="H33" s="65" t="s">
        <v>452</v>
      </c>
      <c r="I33" s="68">
        <f>EXPEDICION!K33-7</f>
        <v>46079</v>
      </c>
      <c r="J33" s="69" t="str">
        <f>PEDIDOS!M33</f>
        <v>M26002</v>
      </c>
      <c r="K33" s="65"/>
    </row>
    <row r="34" ht="22.5" customHeight="1">
      <c r="A34" s="47">
        <f>PEDIDOS!B34</f>
        <v>46071</v>
      </c>
      <c r="B34" s="23">
        <f>PEDIDOS!C34</f>
        <v>14329</v>
      </c>
      <c r="C34" s="23" t="str">
        <f>PEDIDOS!D34</f>
        <v>JACTANS - DISNEY</v>
      </c>
      <c r="D34" s="60" t="str">
        <f>PEDIDOS!E34</f>
        <v>DES-41823-Espuma de Baño infantil fco pvc x45ml</v>
      </c>
      <c r="E34" s="61">
        <f>PEDIDOS!G34*PEDIDOS!H34/1000</f>
        <v>135</v>
      </c>
      <c r="F34" s="23" t="s">
        <v>446</v>
      </c>
      <c r="G34" s="23"/>
      <c r="H34" s="23" t="s">
        <v>452</v>
      </c>
      <c r="I34" s="70">
        <f>EXPEDICION!K34-7</f>
        <v>46078</v>
      </c>
      <c r="J34" s="63" t="str">
        <f>PEDIDOS!M34</f>
        <v>M26001</v>
      </c>
      <c r="K34" s="23"/>
    </row>
    <row r="35" ht="22.5" customHeight="1">
      <c r="A35" s="64">
        <f>PEDIDOS!B35</f>
        <v>46071</v>
      </c>
      <c r="B35" s="65" t="str">
        <f>PEDIDOS!C35</f>
        <v/>
      </c>
      <c r="C35" s="65" t="str">
        <f>PEDIDOS!D35</f>
        <v>BL COSMETICS</v>
      </c>
      <c r="D35" s="66" t="str">
        <f>PEDIDOS!E35</f>
        <v>ALISADO EXPERT</v>
      </c>
      <c r="E35" s="67">
        <f>PEDIDOS!G35*PEDIDOS!H35/1000</f>
        <v>150</v>
      </c>
      <c r="F35" s="65" t="s">
        <v>446</v>
      </c>
      <c r="G35" s="65"/>
      <c r="H35" s="65" t="s">
        <v>449</v>
      </c>
      <c r="I35" s="68">
        <f>EXPEDICION!K35-7</f>
        <v>46078</v>
      </c>
      <c r="J35" s="69" t="str">
        <f>PEDIDOS!M35</f>
        <v>M26007</v>
      </c>
      <c r="K35" s="65"/>
    </row>
    <row r="36" ht="22.5" customHeight="1">
      <c r="A36" s="47">
        <f>PEDIDOS!B36</f>
        <v>46071</v>
      </c>
      <c r="B36" s="23" t="str">
        <f>PEDIDOS!C36</f>
        <v/>
      </c>
      <c r="C36" s="23" t="str">
        <f>PEDIDOS!D36</f>
        <v>BL COSMETICS</v>
      </c>
      <c r="D36" s="60" t="str">
        <f>PEDIDOS!E36</f>
        <v>ALISADO EXPERT X1KG</v>
      </c>
      <c r="E36" s="61">
        <f>PEDIDOS!G36*PEDIDOS!H36/1000</f>
        <v>500</v>
      </c>
      <c r="F36" s="23" t="s">
        <v>446</v>
      </c>
      <c r="G36" s="23"/>
      <c r="H36" s="23" t="s">
        <v>449</v>
      </c>
      <c r="I36" s="70">
        <f>EXPEDICION!K36-7</f>
        <v>46080</v>
      </c>
      <c r="J36" s="63" t="str">
        <f>PEDIDOS!M36</f>
        <v>M26007</v>
      </c>
      <c r="K36" s="23"/>
    </row>
    <row r="37" ht="22.5" customHeight="1">
      <c r="A37" s="64">
        <f>PEDIDOS!B37</f>
        <v>46071</v>
      </c>
      <c r="B37" s="65" t="str">
        <f>PEDIDOS!C37</f>
        <v/>
      </c>
      <c r="C37" s="65" t="str">
        <f>PEDIDOS!D37</f>
        <v>BL COSMETICS</v>
      </c>
      <c r="D37" s="66" t="str">
        <f>PEDIDOS!E37</f>
        <v>ALISADO KERATIN</v>
      </c>
      <c r="E37" s="67">
        <f>PEDIDOS!G37*PEDIDOS!H37/1000</f>
        <v>300</v>
      </c>
      <c r="F37" s="65" t="s">
        <v>446</v>
      </c>
      <c r="G37" s="65"/>
      <c r="H37" s="65" t="s">
        <v>456</v>
      </c>
      <c r="I37" s="68">
        <f>EXPEDICION!K37-7</f>
        <v>46083</v>
      </c>
      <c r="J37" s="69" t="str">
        <f>PEDIDOS!M37</f>
        <v>M26008</v>
      </c>
      <c r="K37" s="65"/>
    </row>
    <row r="38" ht="22.5" customHeight="1">
      <c r="A38" s="47">
        <f>PEDIDOS!B38</f>
        <v>46071</v>
      </c>
      <c r="B38" s="23" t="str">
        <f>PEDIDOS!C38</f>
        <v>P00147</v>
      </c>
      <c r="C38" s="23" t="str">
        <f>PEDIDOS!D38</f>
        <v>LURE</v>
      </c>
      <c r="D38" s="60" t="str">
        <f>PEDIDOS!E38</f>
        <v>GOLD MASK</v>
      </c>
      <c r="E38" s="61">
        <f>PEDIDOS!G38*PEDIDOS!H38/1000</f>
        <v>60</v>
      </c>
      <c r="F38" s="23" t="s">
        <v>446</v>
      </c>
      <c r="G38" s="23"/>
      <c r="H38" s="23" t="s">
        <v>448</v>
      </c>
      <c r="I38" s="70">
        <f>EXPEDICION!K38-7</f>
        <v>46073</v>
      </c>
      <c r="J38" s="63" t="str">
        <f>PEDIDOS!M38</f>
        <v>F26025</v>
      </c>
      <c r="K38" s="23"/>
    </row>
    <row r="39" ht="22.5" customHeight="1">
      <c r="A39" s="64">
        <f>PEDIDOS!B39</f>
        <v>46071</v>
      </c>
      <c r="B39" s="65" t="str">
        <f>PEDIDOS!C39</f>
        <v>TCL 2025-02-28</v>
      </c>
      <c r="C39" s="65" t="str">
        <f>PEDIDOS!D39</f>
        <v>THE CHEMIST LOOK</v>
      </c>
      <c r="D39" s="66" t="str">
        <f>PEDIDOS!E39</f>
        <v>MANCHAS 5ML - PIGMENT PROTOCOL</v>
      </c>
      <c r="E39" s="67">
        <f>PEDIDOS!G39*PEDIDOS!H39/1000</f>
        <v>5</v>
      </c>
      <c r="F39" s="65" t="s">
        <v>446</v>
      </c>
      <c r="G39" s="65"/>
      <c r="H39" s="65" t="s">
        <v>452</v>
      </c>
      <c r="I39" s="72">
        <f>EXPEDICION!K39-7</f>
        <v>46093</v>
      </c>
      <c r="J39" s="69" t="str">
        <f>PEDIDOS!M39</f>
        <v>M26015</v>
      </c>
      <c r="K39" s="65"/>
    </row>
    <row r="40" ht="22.5" customHeight="1">
      <c r="A40" s="47">
        <f>PEDIDOS!B40</f>
        <v>46071</v>
      </c>
      <c r="B40" s="23" t="str">
        <f>PEDIDOS!C40</f>
        <v>TCL 2025-02-28</v>
      </c>
      <c r="C40" s="23" t="str">
        <f>PEDIDOS!D40</f>
        <v>THE CHEMIST LOOK</v>
      </c>
      <c r="D40" s="60" t="str">
        <f>PEDIDOS!E40</f>
        <v>MANCHAS 30ML - PIGMENT PROTOCOL</v>
      </c>
      <c r="E40" s="61">
        <f>PEDIDOS!G40*PEDIDOS!H40/1000</f>
        <v>60</v>
      </c>
      <c r="F40" s="23" t="s">
        <v>446</v>
      </c>
      <c r="G40" s="23"/>
      <c r="H40" s="23" t="s">
        <v>452</v>
      </c>
      <c r="I40" s="62">
        <f>EXPEDICION!K40-7</f>
        <v>46093</v>
      </c>
      <c r="J40" s="63" t="str">
        <f>PEDIDOS!M40</f>
        <v>M26015</v>
      </c>
      <c r="K40" s="23"/>
    </row>
    <row r="41" ht="22.5" customHeight="1">
      <c r="A41" s="64">
        <f>PEDIDOS!B41</f>
        <v>46071</v>
      </c>
      <c r="B41" s="65" t="str">
        <f>PEDIDOS!C41</f>
        <v>TCL 2025-02-28</v>
      </c>
      <c r="C41" s="65" t="str">
        <f>PEDIDOS!D41</f>
        <v>THE CHEMIST LOOK</v>
      </c>
      <c r="D41" s="66" t="str">
        <f>PEDIDOS!E41</f>
        <v>BOOSTER VIT C/GLUT</v>
      </c>
      <c r="E41" s="67">
        <f>PEDIDOS!G41*PEDIDOS!H41/1000</f>
        <v>45</v>
      </c>
      <c r="F41" s="65" t="s">
        <v>446</v>
      </c>
      <c r="G41" s="65"/>
      <c r="H41" s="65" t="s">
        <v>449</v>
      </c>
      <c r="I41" s="72">
        <f>EXPEDICION!K41-7</f>
        <v>46080</v>
      </c>
      <c r="J41" s="69" t="str">
        <f>PEDIDOS!M41</f>
        <v>F26059</v>
      </c>
      <c r="K41" s="65"/>
    </row>
    <row r="42" ht="22.5" customHeight="1">
      <c r="A42" s="47">
        <f>PEDIDOS!B42</f>
        <v>46071</v>
      </c>
      <c r="B42" s="23" t="str">
        <f>PEDIDOS!C42</f>
        <v>TCL 2025-02-28</v>
      </c>
      <c r="C42" s="23" t="str">
        <f>PEDIDOS!D42</f>
        <v>THE CHEMIST LOOK</v>
      </c>
      <c r="D42" s="60" t="str">
        <f>PEDIDOS!E42</f>
        <v>BOOSTER NIACI/ZN</v>
      </c>
      <c r="E42" s="61">
        <f>PEDIDOS!G42*PEDIDOS!H42/1000</f>
        <v>52.5</v>
      </c>
      <c r="F42" s="23" t="s">
        <v>446</v>
      </c>
      <c r="G42" s="23"/>
      <c r="H42" s="23" t="s">
        <v>449</v>
      </c>
      <c r="I42" s="62">
        <f>EXPEDICION!K42-7</f>
        <v>46080</v>
      </c>
      <c r="J42" s="63" t="str">
        <f>PEDIDOS!M42</f>
        <v>F26058</v>
      </c>
      <c r="K42" s="23"/>
    </row>
    <row r="43" ht="22.5" customHeight="1">
      <c r="A43" s="64">
        <f>PEDIDOS!B43</f>
        <v>46071</v>
      </c>
      <c r="B43" s="65" t="str">
        <f>PEDIDOS!C43</f>
        <v>TCL 2025-02-28</v>
      </c>
      <c r="C43" s="65" t="str">
        <f>PEDIDOS!D43</f>
        <v>THE CHEMIST LOOK</v>
      </c>
      <c r="D43" s="66" t="str">
        <f>PEDIDOS!E43</f>
        <v>BOOSTER HYALU-A/SI</v>
      </c>
      <c r="E43" s="67">
        <f>PEDIDOS!G43*PEDIDOS!H43/1000</f>
        <v>36</v>
      </c>
      <c r="F43" s="65" t="s">
        <v>446</v>
      </c>
      <c r="G43" s="65"/>
      <c r="H43" s="65" t="s">
        <v>449</v>
      </c>
      <c r="I43" s="72">
        <f>EXPEDICION!K43-7</f>
        <v>46083</v>
      </c>
      <c r="J43" s="69" t="str">
        <f>PEDIDOS!M43</f>
        <v>F26060</v>
      </c>
      <c r="K43" s="65"/>
    </row>
    <row r="44" ht="22.5" customHeight="1">
      <c r="A44" s="47">
        <f>PEDIDOS!B44</f>
        <v>46071</v>
      </c>
      <c r="B44" s="23" t="str">
        <f>PEDIDOS!C44</f>
        <v>TCL 2025-02-28</v>
      </c>
      <c r="C44" s="23" t="str">
        <f>PEDIDOS!D44</f>
        <v>THE CHEMIST LOOK</v>
      </c>
      <c r="D44" s="60" t="str">
        <f>PEDIDOS!E44</f>
        <v>BOOSTER MUNAP-18</v>
      </c>
      <c r="E44" s="61">
        <f>PEDIDOS!G44*PEDIDOS!H44/1000</f>
        <v>45</v>
      </c>
      <c r="F44" s="41" t="s">
        <v>446</v>
      </c>
      <c r="G44" s="23"/>
      <c r="H44" s="41" t="s">
        <v>457</v>
      </c>
      <c r="I44" s="62">
        <f>EXPEDICION!K44-7</f>
        <v>46161</v>
      </c>
      <c r="J44" s="63" t="str">
        <f>PEDIDOS!M44</f>
        <v>Y26017</v>
      </c>
      <c r="K44" s="23"/>
    </row>
    <row r="45" ht="22.5" customHeight="1">
      <c r="A45" s="64">
        <f>PEDIDOS!B45</f>
        <v>46071</v>
      </c>
      <c r="B45" s="65" t="str">
        <f>PEDIDOS!C45</f>
        <v>TCL 2025-02-28</v>
      </c>
      <c r="C45" s="65" t="str">
        <f>PEDIDOS!D45</f>
        <v>THE CHEMIST LOOK</v>
      </c>
      <c r="D45" s="66" t="str">
        <f>PEDIDOS!E45</f>
        <v>TAN BOOSTER</v>
      </c>
      <c r="E45" s="67">
        <f>PEDIDOS!G45*PEDIDOS!H45/1000</f>
        <v>15</v>
      </c>
      <c r="F45" s="65" t="s">
        <v>458</v>
      </c>
      <c r="G45" s="65"/>
      <c r="H45" s="65"/>
      <c r="I45" s="65">
        <f>EXPEDICION!K45-7</f>
        <v>-7</v>
      </c>
      <c r="J45" s="69" t="str">
        <f>PEDIDOS!M45</f>
        <v/>
      </c>
      <c r="K45" s="65"/>
    </row>
    <row r="46" ht="22.5" customHeight="1">
      <c r="A46" s="47">
        <f>PEDIDOS!B46</f>
        <v>46071</v>
      </c>
      <c r="B46" s="23" t="str">
        <f>PEDIDOS!C46</f>
        <v>TCL 2025-02-28</v>
      </c>
      <c r="C46" s="23" t="str">
        <f>PEDIDOS!D46</f>
        <v>THE CHEMIST LOOK</v>
      </c>
      <c r="D46" s="60" t="str">
        <f>PEDIDOS!E46</f>
        <v>BOOSTER RETIN</v>
      </c>
      <c r="E46" s="61">
        <f>PEDIDOS!G46*PEDIDOS!H46/1000</f>
        <v>30</v>
      </c>
      <c r="F46" s="41" t="s">
        <v>446</v>
      </c>
      <c r="G46" s="23"/>
      <c r="H46" s="41" t="s">
        <v>459</v>
      </c>
      <c r="I46" s="62">
        <f>EXPEDICION!K46-7</f>
        <v>46135</v>
      </c>
      <c r="J46" s="63" t="str">
        <f>PEDIDOS!M46</f>
        <v>A26018</v>
      </c>
      <c r="K46" s="23"/>
    </row>
    <row r="47" ht="22.5" customHeight="1">
      <c r="A47" s="64">
        <f>PEDIDOS!B47</f>
        <v>46071</v>
      </c>
      <c r="B47" s="65" t="str">
        <f>PEDIDOS!C47</f>
        <v>TCL 2025-02-28</v>
      </c>
      <c r="C47" s="65" t="str">
        <f>PEDIDOS!D47</f>
        <v>THE CHEMIST LOOK</v>
      </c>
      <c r="D47" s="66" t="str">
        <f>PEDIDOS!E47</f>
        <v>2ND SKIN</v>
      </c>
      <c r="E47" s="67">
        <f>PEDIDOS!G47*PEDIDOS!H47/1000</f>
        <v>50</v>
      </c>
      <c r="F47" s="65" t="s">
        <v>458</v>
      </c>
      <c r="G47" s="65"/>
      <c r="H47" s="65"/>
      <c r="I47" s="65">
        <f>EXPEDICION!K47-7</f>
        <v>-7</v>
      </c>
      <c r="J47" s="69" t="str">
        <f>PEDIDOS!M47</f>
        <v/>
      </c>
      <c r="K47" s="65"/>
    </row>
    <row r="48" ht="22.5" customHeight="1">
      <c r="A48" s="47">
        <f>PEDIDOS!B48</f>
        <v>46071</v>
      </c>
      <c r="B48" s="23">
        <f>PEDIDOS!C48</f>
        <v>14331</v>
      </c>
      <c r="C48" s="23" t="str">
        <f>PEDIDOS!D48</f>
        <v>JACTANS</v>
      </c>
      <c r="D48" s="60" t="str">
        <f>PEDIDOS!E48</f>
        <v>JS-736 BRUMA FIJADORA FACIAL</v>
      </c>
      <c r="E48" s="61">
        <f>PEDIDOS!G48*PEDIDOS!H48/1000</f>
        <v>60</v>
      </c>
      <c r="F48" s="23" t="s">
        <v>446</v>
      </c>
      <c r="G48" s="23"/>
      <c r="H48" s="23"/>
      <c r="I48" s="70">
        <f>EXPEDICION!K48-7</f>
        <v>46157</v>
      </c>
      <c r="J48" s="63" t="str">
        <f>PEDIDOS!M48</f>
        <v>Y26022</v>
      </c>
      <c r="K48" s="23"/>
    </row>
    <row r="49" ht="22.5" customHeight="1">
      <c r="A49" s="64">
        <f>PEDIDOS!B49</f>
        <v>46072</v>
      </c>
      <c r="B49" s="65" t="str">
        <f>PEDIDOS!C49</f>
        <v/>
      </c>
      <c r="C49" s="65" t="str">
        <f>PEDIDOS!D49</f>
        <v>KALA</v>
      </c>
      <c r="D49" s="66" t="str">
        <f>PEDIDOS!E49</f>
        <v>AGUA DE ROSAS</v>
      </c>
      <c r="E49" s="67">
        <f>PEDIDOS!G49*PEDIDOS!H49/1000</f>
        <v>58.5</v>
      </c>
      <c r="F49" s="65" t="s">
        <v>446</v>
      </c>
      <c r="G49" s="65"/>
      <c r="H49" s="65" t="s">
        <v>451</v>
      </c>
      <c r="I49" s="73">
        <f>EXPEDICION!K49-7</f>
        <v>46079</v>
      </c>
      <c r="J49" s="69" t="str">
        <f>PEDIDOS!M49</f>
        <v>F26057</v>
      </c>
      <c r="K49" s="65"/>
    </row>
    <row r="50" ht="22.5" customHeight="1">
      <c r="A50" s="47">
        <f>PEDIDOS!B50</f>
        <v>46073</v>
      </c>
      <c r="B50" s="23" t="str">
        <f>PEDIDOS!C50</f>
        <v/>
      </c>
      <c r="C50" s="23" t="str">
        <f>PEDIDOS!D50</f>
        <v>INTENCIONAL</v>
      </c>
      <c r="D50" s="60" t="str">
        <f>PEDIDOS!E50</f>
        <v>CREMA DE ORDEÑE</v>
      </c>
      <c r="E50" s="61">
        <f>PEDIDOS!G50*PEDIDOS!H50/1000</f>
        <v>500</v>
      </c>
      <c r="F50" s="23" t="s">
        <v>446</v>
      </c>
      <c r="G50" s="23"/>
      <c r="H50" s="23" t="s">
        <v>448</v>
      </c>
      <c r="I50" s="70">
        <f>EXPEDICION!K50-7</f>
        <v>46087</v>
      </c>
      <c r="J50" s="63" t="str">
        <f>PEDIDOS!M50</f>
        <v>F26062</v>
      </c>
      <c r="K50" s="23"/>
    </row>
    <row r="51" ht="22.5" customHeight="1">
      <c r="A51" s="64">
        <f>PEDIDOS!B51</f>
        <v>46073</v>
      </c>
      <c r="B51" s="65" t="str">
        <f>PEDIDOS!C51</f>
        <v>P01256</v>
      </c>
      <c r="C51" s="65" t="str">
        <f>PEDIDOS!D51</f>
        <v>BIOESENCIA</v>
      </c>
      <c r="D51" s="66" t="str">
        <f>PEDIDOS!E51</f>
        <v>CREMA BABA DE CARACOL</v>
      </c>
      <c r="E51" s="67">
        <f>PEDIDOS!G51*PEDIDOS!H51/1000</f>
        <v>50</v>
      </c>
      <c r="F51" s="65" t="s">
        <v>446</v>
      </c>
      <c r="G51" s="65"/>
      <c r="H51" s="65" t="s">
        <v>448</v>
      </c>
      <c r="I51" s="68">
        <f>EXPEDICION!K51-7</f>
        <v>46076</v>
      </c>
      <c r="J51" s="69">
        <f>PEDIDOS!M51</f>
        <v>270201</v>
      </c>
      <c r="K51" s="65"/>
    </row>
    <row r="52" ht="22.5" customHeight="1">
      <c r="A52" s="47">
        <f>PEDIDOS!B52</f>
        <v>46042</v>
      </c>
      <c r="B52" s="23" t="str">
        <f>PEDIDOS!C52</f>
        <v>P01203</v>
      </c>
      <c r="C52" s="23" t="str">
        <f>PEDIDOS!D52</f>
        <v>BIOESENCIA</v>
      </c>
      <c r="D52" s="60" t="str">
        <f>PEDIDOS!E52</f>
        <v>SHAMPOO BABY</v>
      </c>
      <c r="E52" s="61">
        <f>PEDIDOS!G52*PEDIDOS!H52/1000</f>
        <v>125</v>
      </c>
      <c r="F52" s="23" t="s">
        <v>446</v>
      </c>
      <c r="G52" s="23"/>
      <c r="H52" s="23" t="s">
        <v>449</v>
      </c>
      <c r="I52" s="70">
        <f>EXPEDICION!K52-7</f>
        <v>46066</v>
      </c>
      <c r="J52" s="63" t="str">
        <f>PEDIDOS!M52</f>
        <v>F26023</v>
      </c>
      <c r="K52" s="23"/>
    </row>
    <row r="53" ht="22.5" customHeight="1">
      <c r="A53" s="64">
        <f>PEDIDOS!B53</f>
        <v>46042</v>
      </c>
      <c r="B53" s="65" t="str">
        <f>PEDIDOS!C53</f>
        <v>P01203</v>
      </c>
      <c r="C53" s="65" t="str">
        <f>PEDIDOS!D53</f>
        <v>BIOESENCIA</v>
      </c>
      <c r="D53" s="66" t="str">
        <f>PEDIDOS!E53</f>
        <v>SERUM PROBIOTICOS</v>
      </c>
      <c r="E53" s="67">
        <f>PEDIDOS!G53*PEDIDOS!H53/1000</f>
        <v>30</v>
      </c>
      <c r="F53" s="65" t="s">
        <v>446</v>
      </c>
      <c r="G53" s="65"/>
      <c r="H53" s="65" t="s">
        <v>448</v>
      </c>
      <c r="I53" s="68">
        <f>EXPEDICION!K53-7</f>
        <v>46066</v>
      </c>
      <c r="J53" s="69" t="str">
        <f>PEDIDOS!M53</f>
        <v>F26022</v>
      </c>
      <c r="K53" s="65"/>
    </row>
    <row r="54" ht="22.5" customHeight="1">
      <c r="A54" s="47">
        <f>PEDIDOS!B54</f>
        <v>46073</v>
      </c>
      <c r="B54" s="23" t="str">
        <f>PEDIDOS!C54</f>
        <v/>
      </c>
      <c r="C54" s="23" t="str">
        <f>PEDIDOS!D54</f>
        <v>OSSPRET</v>
      </c>
      <c r="D54" s="60" t="str">
        <f>PEDIDOS!E54</f>
        <v>CREMA DE ORDEÑE</v>
      </c>
      <c r="E54" s="61">
        <f>PEDIDOS!G54*PEDIDOS!H54/1000</f>
        <v>300</v>
      </c>
      <c r="F54" s="23" t="s">
        <v>446</v>
      </c>
      <c r="G54" s="23"/>
      <c r="H54" s="23" t="s">
        <v>449</v>
      </c>
      <c r="I54" s="74">
        <f>EXPEDICION!K54-7</f>
        <v>46083</v>
      </c>
      <c r="J54" s="63" t="str">
        <f>PEDIDOS!M54</f>
        <v>M26004 /M26013</v>
      </c>
      <c r="K54" s="23"/>
    </row>
    <row r="55" ht="22.5" customHeight="1">
      <c r="A55" s="64">
        <f>PEDIDOS!B55</f>
        <v>46073</v>
      </c>
      <c r="B55" s="65" t="str">
        <f>PEDIDOS!C55</f>
        <v>P01256</v>
      </c>
      <c r="C55" s="65" t="str">
        <f>PEDIDOS!D55</f>
        <v>BIOESENCIA</v>
      </c>
      <c r="D55" s="66" t="str">
        <f>PEDIDOS!E55</f>
        <v>UNGUENTO PROPOLEO</v>
      </c>
      <c r="E55" s="67">
        <f>PEDIDOS!G55*PEDIDOS!H55/1000</f>
        <v>70</v>
      </c>
      <c r="F55" s="65" t="s">
        <v>446</v>
      </c>
      <c r="G55" s="65"/>
      <c r="H55" s="65" t="s">
        <v>448</v>
      </c>
      <c r="I55" s="72">
        <f>EXPEDICION!K55-7</f>
        <v>46084</v>
      </c>
      <c r="J55" s="69" t="str">
        <f>PEDIDOS!M55</f>
        <v>M26018</v>
      </c>
      <c r="K55" s="65"/>
    </row>
    <row r="56" ht="22.5" customHeight="1">
      <c r="A56" s="47">
        <f>PEDIDOS!B56</f>
        <v>46073</v>
      </c>
      <c r="B56" s="23" t="str">
        <f>PEDIDOS!C56</f>
        <v>P01257</v>
      </c>
      <c r="C56" s="23" t="str">
        <f>PEDIDOS!D56</f>
        <v>BIOESENCIA</v>
      </c>
      <c r="D56" s="60" t="str">
        <f>PEDIDOS!E56</f>
        <v>BAÑO BE KERATINA BE VEGAN</v>
      </c>
      <c r="E56" s="61">
        <f>PEDIDOS!G56*PEDIDOS!H56/1000</f>
        <v>250</v>
      </c>
      <c r="F56" s="23" t="s">
        <v>446</v>
      </c>
      <c r="G56" s="23"/>
      <c r="H56" s="23" t="s">
        <v>449</v>
      </c>
      <c r="I56" s="70">
        <f>EXPEDICION!K56-7</f>
        <v>46105</v>
      </c>
      <c r="J56" s="63">
        <f>PEDIDOS!M56</f>
        <v>180302</v>
      </c>
      <c r="K56" s="23"/>
    </row>
    <row r="57" ht="22.5" customHeight="1">
      <c r="A57" s="64">
        <f>PEDIDOS!B57</f>
        <v>46073</v>
      </c>
      <c r="B57" s="65" t="str">
        <f>PEDIDOS!C57</f>
        <v>P01258</v>
      </c>
      <c r="C57" s="65" t="str">
        <f>PEDIDOS!D57</f>
        <v>BIOESENCIA</v>
      </c>
      <c r="D57" s="66" t="str">
        <f>PEDIDOS!E57</f>
        <v>REPARADOR DE PUNTAS</v>
      </c>
      <c r="E57" s="67">
        <f>PEDIDOS!G57*PEDIDOS!H57/1000</f>
        <v>30</v>
      </c>
      <c r="F57" s="65" t="s">
        <v>446</v>
      </c>
      <c r="G57" s="65"/>
      <c r="H57" s="65" t="s">
        <v>448</v>
      </c>
      <c r="I57" s="72">
        <f>EXPEDICION!K57-7</f>
        <v>46176</v>
      </c>
      <c r="J57" s="69">
        <f>PEDIDOS!M57</f>
        <v>100601</v>
      </c>
      <c r="K57" s="65"/>
    </row>
    <row r="58" ht="22.5" customHeight="1">
      <c r="A58" s="47">
        <f>PEDIDOS!B58</f>
        <v>46073</v>
      </c>
      <c r="B58" s="23" t="str">
        <f>PEDIDOS!C58</f>
        <v>P01259</v>
      </c>
      <c r="C58" s="23" t="str">
        <f>PEDIDOS!D58</f>
        <v>BIOESENCIA</v>
      </c>
      <c r="D58" s="60" t="str">
        <f>PEDIDOS!E58</f>
        <v>BRUMA FACIAL ORIGENES</v>
      </c>
      <c r="E58" s="61">
        <f>PEDIDOS!G58*PEDIDOS!H58/1000</f>
        <v>125</v>
      </c>
      <c r="F58" s="23" t="s">
        <v>446</v>
      </c>
      <c r="G58" s="23"/>
      <c r="H58" s="23" t="s">
        <v>451</v>
      </c>
      <c r="I58" s="70">
        <f>EXPEDICION!K58-7</f>
        <v>46092</v>
      </c>
      <c r="J58" s="63">
        <f>PEDIDOS!M58</f>
        <v>130302</v>
      </c>
      <c r="K58" s="23"/>
    </row>
    <row r="59" ht="22.5" customHeight="1">
      <c r="A59" s="64">
        <f>PEDIDOS!B59</f>
        <v>46073</v>
      </c>
      <c r="B59" s="65" t="str">
        <f>PEDIDOS!C59</f>
        <v>P01260</v>
      </c>
      <c r="C59" s="65" t="str">
        <f>PEDIDOS!D59</f>
        <v>BIOESENCIA</v>
      </c>
      <c r="D59" s="66" t="str">
        <f>PEDIDOS!E59</f>
        <v>EMULSION CORPORAL PROBIOTICOS</v>
      </c>
      <c r="E59" s="67">
        <f>PEDIDOS!G59*PEDIDOS!H59/1000</f>
        <v>200</v>
      </c>
      <c r="F59" s="65" t="s">
        <v>446</v>
      </c>
      <c r="G59" s="65"/>
      <c r="H59" s="65" t="s">
        <v>449</v>
      </c>
      <c r="I59" s="68">
        <f>EXPEDICION!K59-7</f>
        <v>46092</v>
      </c>
      <c r="J59" s="69" t="str">
        <f>PEDIDOS!M59</f>
        <v>M26059</v>
      </c>
      <c r="K59" s="65"/>
    </row>
    <row r="60" ht="22.5" customHeight="1">
      <c r="A60" s="47">
        <f>PEDIDOS!B60</f>
        <v>46073</v>
      </c>
      <c r="B60" s="23" t="str">
        <f>PEDIDOS!C60</f>
        <v>P01261</v>
      </c>
      <c r="C60" s="23" t="str">
        <f>PEDIDOS!D60</f>
        <v>BIOESENCIA</v>
      </c>
      <c r="D60" s="60" t="str">
        <f>PEDIDOS!E60</f>
        <v>CREMA DIA/NOCHE ULTRAHIDRATANTE VEGAN</v>
      </c>
      <c r="E60" s="61">
        <f>PEDIDOS!G60*PEDIDOS!H60/1000</f>
        <v>50</v>
      </c>
      <c r="F60" s="23" t="s">
        <v>446</v>
      </c>
      <c r="G60" s="23"/>
      <c r="H60" s="23" t="s">
        <v>460</v>
      </c>
      <c r="I60" s="70">
        <f>EXPEDICION!K60-7</f>
        <v>46087</v>
      </c>
      <c r="J60" s="63">
        <f>PEDIDOS!M60</f>
        <v>120301</v>
      </c>
      <c r="K60" s="23"/>
    </row>
    <row r="61" ht="22.5" customHeight="1">
      <c r="A61" s="64">
        <f>PEDIDOS!B61</f>
        <v>46076</v>
      </c>
      <c r="B61" s="65" t="str">
        <f>PEDIDOS!C61</f>
        <v/>
      </c>
      <c r="C61" s="65" t="str">
        <f>PEDIDOS!D61</f>
        <v>AGUEDA REY - ALMA HAIR</v>
      </c>
      <c r="D61" s="66" t="str">
        <f>PEDIDOS!E61</f>
        <v>ACONDICIONADOR CON EXTRACTO DE CEBOLLA</v>
      </c>
      <c r="E61" s="67">
        <f>PEDIDOS!G61*PEDIDOS!H61/1000</f>
        <v>367.5</v>
      </c>
      <c r="F61" s="65" t="s">
        <v>446</v>
      </c>
      <c r="G61" s="65"/>
      <c r="H61" s="65" t="s">
        <v>449</v>
      </c>
      <c r="I61" s="68">
        <f>EXPEDICION!K61-7</f>
        <v>46111</v>
      </c>
      <c r="J61" s="69" t="str">
        <f>PEDIDOS!M61</f>
        <v>M26088</v>
      </c>
      <c r="K61" s="65"/>
    </row>
    <row r="62" ht="22.5" customHeight="1">
      <c r="A62" s="47">
        <f>PEDIDOS!B62</f>
        <v>46076</v>
      </c>
      <c r="B62" s="23">
        <f>PEDIDOS!C62</f>
        <v>774</v>
      </c>
      <c r="C62" s="23" t="str">
        <f>PEDIDOS!D62</f>
        <v>CAV</v>
      </c>
      <c r="D62" s="60" t="str">
        <f>PEDIDOS!E62</f>
        <v>CRISTAL LIQ (BRIGHT CRYSTAL) CAV EXPRESSION</v>
      </c>
      <c r="E62" s="61">
        <f>PEDIDOS!G62*PEDIDOS!H62/1000</f>
        <v>7.5</v>
      </c>
      <c r="F62" s="23" t="s">
        <v>446</v>
      </c>
      <c r="G62" s="23"/>
      <c r="H62" s="23" t="s">
        <v>451</v>
      </c>
      <c r="I62" s="62">
        <f>EXPEDICION!K62-7</f>
        <v>46087</v>
      </c>
      <c r="J62" s="63" t="str">
        <f>PEDIDOS!M62</f>
        <v>M26040</v>
      </c>
      <c r="K62" s="23"/>
    </row>
    <row r="63" ht="22.5" customHeight="1">
      <c r="A63" s="64">
        <f>PEDIDOS!B63</f>
        <v>46076</v>
      </c>
      <c r="B63" s="65">
        <f>PEDIDOS!C63</f>
        <v>774</v>
      </c>
      <c r="C63" s="65" t="str">
        <f>PEDIDOS!D63</f>
        <v>CAV</v>
      </c>
      <c r="D63" s="66" t="str">
        <f>PEDIDOS!E63</f>
        <v>Protector C-Plex x150 Paso 3</v>
      </c>
      <c r="E63" s="67">
        <f>PEDIDOS!G63*PEDIDOS!H63/1000</f>
        <v>45</v>
      </c>
      <c r="F63" s="65" t="s">
        <v>446</v>
      </c>
      <c r="G63" s="65"/>
      <c r="H63" s="65" t="s">
        <v>448</v>
      </c>
      <c r="I63" s="72">
        <f>EXPEDICION!K63-7</f>
        <v>46087</v>
      </c>
      <c r="J63" s="69" t="str">
        <f>PEDIDOS!M63</f>
        <v>M26041</v>
      </c>
      <c r="K63" s="65"/>
    </row>
    <row r="64" ht="22.5" customHeight="1">
      <c r="A64" s="47">
        <f>PEDIDOS!B64</f>
        <v>46076</v>
      </c>
      <c r="B64" s="23" t="str">
        <f>PEDIDOS!C64</f>
        <v/>
      </c>
      <c r="C64" s="23" t="str">
        <f>PEDIDOS!D64</f>
        <v>WSABI</v>
      </c>
      <c r="D64" s="60" t="str">
        <f>PEDIDOS!E64</f>
        <v>CONTORNO DE OJOS</v>
      </c>
      <c r="E64" s="61">
        <f>PEDIDOS!G64*PEDIDOS!H64/1000</f>
        <v>7.2</v>
      </c>
      <c r="F64" s="23" t="s">
        <v>446</v>
      </c>
      <c r="G64" s="23"/>
      <c r="H64" s="23" t="s">
        <v>448</v>
      </c>
      <c r="I64" s="70">
        <f>EXPEDICION!K64-7</f>
        <v>46091</v>
      </c>
      <c r="J64" s="63" t="str">
        <f>PEDIDOS!M64</f>
        <v>M26027</v>
      </c>
      <c r="K64" s="23"/>
    </row>
    <row r="65" ht="22.5" customHeight="1">
      <c r="A65" s="64">
        <f>PEDIDOS!B65</f>
        <v>46076</v>
      </c>
      <c r="B65" s="65" t="str">
        <f>PEDIDOS!C65</f>
        <v/>
      </c>
      <c r="C65" s="65" t="str">
        <f>PEDIDOS!D65</f>
        <v>WSABI</v>
      </c>
      <c r="D65" s="66" t="str">
        <f>PEDIDOS!E65</f>
        <v>LECHE DE LIMPIEZA</v>
      </c>
      <c r="E65" s="67">
        <f>PEDIDOS!G65*PEDIDOS!H65/1000</f>
        <v>100</v>
      </c>
      <c r="F65" s="65" t="s">
        <v>446</v>
      </c>
      <c r="G65" s="65"/>
      <c r="H65" s="65" t="s">
        <v>448</v>
      </c>
      <c r="I65" s="72">
        <f>EXPEDICION!K65-7</f>
        <v>46085</v>
      </c>
      <c r="J65" s="69" t="str">
        <f>PEDIDOS!M65</f>
        <v>M26011</v>
      </c>
      <c r="K65" s="65"/>
    </row>
    <row r="66" ht="22.5" customHeight="1">
      <c r="A66" s="47">
        <f>PEDIDOS!B66</f>
        <v>46076</v>
      </c>
      <c r="B66" s="23" t="str">
        <f>PEDIDOS!C66</f>
        <v/>
      </c>
      <c r="C66" s="23" t="str">
        <f>PEDIDOS!D66</f>
        <v>WSABI</v>
      </c>
      <c r="D66" s="60" t="str">
        <f>PEDIDOS!E66</f>
        <v>SERUM ANTIOXIDANTE VIT C</v>
      </c>
      <c r="E66" s="61">
        <f>PEDIDOS!G66*PEDIDOS!H66/1000</f>
        <v>9</v>
      </c>
      <c r="F66" s="23" t="s">
        <v>446</v>
      </c>
      <c r="G66" s="23"/>
      <c r="H66" s="23" t="s">
        <v>449</v>
      </c>
      <c r="I66" s="74">
        <f>EXPEDICION!K66-7</f>
        <v>46091</v>
      </c>
      <c r="J66" s="63" t="str">
        <f>PEDIDOS!M66</f>
        <v>M26026</v>
      </c>
      <c r="K66" s="23"/>
    </row>
    <row r="67" ht="22.5" customHeight="1">
      <c r="A67" s="64">
        <f>PEDIDOS!B67</f>
        <v>46076</v>
      </c>
      <c r="B67" s="65" t="str">
        <f>PEDIDOS!C67</f>
        <v/>
      </c>
      <c r="C67" s="65" t="str">
        <f>PEDIDOS!D67</f>
        <v>WSABI</v>
      </c>
      <c r="D67" s="66" t="str">
        <f>PEDIDOS!E67</f>
        <v>TONICO CORPORAL EQUILIBRIO</v>
      </c>
      <c r="E67" s="67">
        <f>PEDIDOS!G67*PEDIDOS!H67/1000</f>
        <v>200</v>
      </c>
      <c r="F67" s="65" t="s">
        <v>446</v>
      </c>
      <c r="G67" s="65"/>
      <c r="H67" s="65" t="s">
        <v>452</v>
      </c>
      <c r="I67" s="68">
        <f>EXPEDICION!K67-7</f>
        <v>46086</v>
      </c>
      <c r="J67" s="69" t="str">
        <f>PEDIDOS!M67</f>
        <v>M26012</v>
      </c>
      <c r="K67" s="65"/>
    </row>
    <row r="68" ht="22.5" customHeight="1">
      <c r="A68" s="47">
        <f>PEDIDOS!B68</f>
        <v>46063</v>
      </c>
      <c r="B68" s="23">
        <f>PEDIDOS!C68</f>
        <v>15125</v>
      </c>
      <c r="C68" s="23" t="str">
        <f>PEDIDOS!D68</f>
        <v>THELMA Y LOUISE</v>
      </c>
      <c r="D68" s="60" t="str">
        <f>PEDIDOS!E68</f>
        <v>SERUM ANTIAGE</v>
      </c>
      <c r="E68" s="61">
        <f>PEDIDOS!G68*PEDIDOS!H68/1000</f>
        <v>63</v>
      </c>
      <c r="F68" s="23" t="s">
        <v>446</v>
      </c>
      <c r="G68" s="23"/>
      <c r="H68" s="23" t="s">
        <v>448</v>
      </c>
      <c r="I68" s="62">
        <f>EXPEDICION!K68-7</f>
        <v>46083</v>
      </c>
      <c r="J68" s="63" t="str">
        <f>PEDIDOS!M68</f>
        <v>M26023</v>
      </c>
      <c r="K68" s="23"/>
    </row>
    <row r="69" ht="22.5" customHeight="1">
      <c r="A69" s="64">
        <f>PEDIDOS!B69</f>
        <v>46063</v>
      </c>
      <c r="B69" s="65">
        <f>PEDIDOS!C69</f>
        <v>15125</v>
      </c>
      <c r="C69" s="65" t="str">
        <f>PEDIDOS!D69</f>
        <v>THELMA Y LOUISE</v>
      </c>
      <c r="D69" s="66" t="str">
        <f>PEDIDOS!E69</f>
        <v>SERUM DESCONGESTIVO</v>
      </c>
      <c r="E69" s="67">
        <f>PEDIDOS!G69*PEDIDOS!H69/1000</f>
        <v>63</v>
      </c>
      <c r="F69" s="65" t="s">
        <v>446</v>
      </c>
      <c r="G69" s="65"/>
      <c r="H69" s="65" t="s">
        <v>448</v>
      </c>
      <c r="I69" s="72">
        <f>EXPEDICION!K69-7</f>
        <v>46085</v>
      </c>
      <c r="J69" s="69" t="str">
        <f>PEDIDOS!M69</f>
        <v>M26021</v>
      </c>
      <c r="K69" s="65"/>
    </row>
    <row r="70" ht="22.5" customHeight="1">
      <c r="A70" s="47">
        <f>PEDIDOS!B70</f>
        <v>46076</v>
      </c>
      <c r="B70" s="23">
        <f>PEDIDOS!C70</f>
        <v>775</v>
      </c>
      <c r="C70" s="23" t="str">
        <f>PEDIDOS!D70</f>
        <v>CAV</v>
      </c>
      <c r="D70" s="60" t="str">
        <f>PEDIDOS!E70</f>
        <v>Rebond C-Plex CAV x 500 ml (Paso 1)</v>
      </c>
      <c r="E70" s="61">
        <f>PEDIDOS!G70*PEDIDOS!H70/1000</f>
        <v>100</v>
      </c>
      <c r="F70" s="23" t="s">
        <v>446</v>
      </c>
      <c r="G70" s="23"/>
      <c r="H70" s="23" t="s">
        <v>456</v>
      </c>
      <c r="I70" s="62">
        <f>EXPEDICION!K70-7</f>
        <v>46094</v>
      </c>
      <c r="J70" s="63" t="str">
        <f>PEDIDOS!M70</f>
        <v>M26062</v>
      </c>
      <c r="K70" s="23"/>
    </row>
    <row r="71" ht="22.5" customHeight="1">
      <c r="A71" s="64">
        <f>PEDIDOS!B71</f>
        <v>46076</v>
      </c>
      <c r="B71" s="65">
        <f>PEDIDOS!C71</f>
        <v>775</v>
      </c>
      <c r="C71" s="65" t="str">
        <f>PEDIDOS!D71</f>
        <v>CAV</v>
      </c>
      <c r="D71" s="66" t="str">
        <f>PEDIDOS!E71</f>
        <v>Finishing C-Plex CAV x 500 ml (Paso 2)</v>
      </c>
      <c r="E71" s="67">
        <f>PEDIDOS!G71*PEDIDOS!H71/1000</f>
        <v>200</v>
      </c>
      <c r="F71" s="65" t="s">
        <v>446</v>
      </c>
      <c r="G71" s="65"/>
      <c r="H71" s="65" t="s">
        <v>456</v>
      </c>
      <c r="I71" s="72">
        <f>EXPEDICION!K71-7</f>
        <v>46094</v>
      </c>
      <c r="J71" s="69" t="str">
        <f>PEDIDOS!M71</f>
        <v>M26061</v>
      </c>
      <c r="K71" s="65"/>
    </row>
    <row r="72" ht="22.5" customHeight="1">
      <c r="A72" s="47">
        <f>PEDIDOS!B72</f>
        <v>46077</v>
      </c>
      <c r="B72" s="23">
        <f>PEDIDOS!C72</f>
        <v>1704</v>
      </c>
      <c r="C72" s="23" t="str">
        <f>PEDIDOS!D72</f>
        <v>LABORATORIO ONCE</v>
      </c>
      <c r="D72" s="60" t="str">
        <f>PEDIDOS!E72</f>
        <v>ALBA SERUM X 30 ML DRA ROSSI</v>
      </c>
      <c r="E72" s="61">
        <f>PEDIDOS!G72*PEDIDOS!H72/1000</f>
        <v>9</v>
      </c>
      <c r="F72" s="23" t="s">
        <v>446</v>
      </c>
      <c r="G72" s="23"/>
      <c r="H72" s="23"/>
      <c r="I72" s="23">
        <f>EXPEDICION!K72-7</f>
        <v>-7</v>
      </c>
      <c r="J72" s="63" t="str">
        <f>PEDIDOS!M72</f>
        <v/>
      </c>
      <c r="K72" s="23"/>
    </row>
    <row r="73" ht="22.5" customHeight="1">
      <c r="A73" s="64">
        <f>PEDIDOS!B73</f>
        <v>46078</v>
      </c>
      <c r="B73" s="65" t="str">
        <f>PEDIDOS!C73</f>
        <v/>
      </c>
      <c r="C73" s="65" t="str">
        <f>PEDIDOS!D73</f>
        <v>UNICA</v>
      </c>
      <c r="D73" s="66" t="str">
        <f>PEDIDOS!E73</f>
        <v>CREMA CORPORAL HUMECTANTE KARITE</v>
      </c>
      <c r="E73" s="67">
        <f>PEDIDOS!G73*PEDIDOS!H73/1000</f>
        <v>140</v>
      </c>
      <c r="F73" s="65" t="s">
        <v>446</v>
      </c>
      <c r="G73" s="65"/>
      <c r="H73" s="65" t="s">
        <v>449</v>
      </c>
      <c r="I73" s="68">
        <f>EXPEDICION!K73-7</f>
        <v>46094</v>
      </c>
      <c r="J73" s="69">
        <f>PEDIDOS!M73</f>
        <v>110301</v>
      </c>
      <c r="K73" s="65"/>
    </row>
    <row r="74" ht="22.5" customHeight="1">
      <c r="A74" s="47">
        <f>PEDIDOS!B74</f>
        <v>46078</v>
      </c>
      <c r="B74" s="23" t="str">
        <f>PEDIDOS!C74</f>
        <v/>
      </c>
      <c r="C74" s="23" t="str">
        <f>PEDIDOS!D74</f>
        <v>OLANN</v>
      </c>
      <c r="D74" s="60" t="str">
        <f>PEDIDOS!E74</f>
        <v>Serum hialurónico 30 ml </v>
      </c>
      <c r="E74" s="61">
        <f>PEDIDOS!G74*PEDIDOS!H74/1000</f>
        <v>7.5</v>
      </c>
      <c r="F74" s="23" t="s">
        <v>446</v>
      </c>
      <c r="G74" s="23"/>
      <c r="H74" s="23" t="s">
        <v>449</v>
      </c>
      <c r="I74" s="62">
        <f>EXPEDICION!K74-7</f>
        <v>46129</v>
      </c>
      <c r="J74" s="63" t="str">
        <f>PEDIDOS!M74</f>
        <v>M26065</v>
      </c>
      <c r="K74" s="23"/>
    </row>
    <row r="75" ht="22.5" customHeight="1">
      <c r="A75" s="64">
        <f>PEDIDOS!B75</f>
        <v>46078</v>
      </c>
      <c r="B75" s="65" t="str">
        <f>PEDIDOS!C75</f>
        <v/>
      </c>
      <c r="C75" s="65" t="str">
        <f>PEDIDOS!D75</f>
        <v>OLANN</v>
      </c>
      <c r="D75" s="66" t="str">
        <f>PEDIDOS!E75</f>
        <v>BRUMA FACIAL</v>
      </c>
      <c r="E75" s="67">
        <f>PEDIDOS!G75*PEDIDOS!H75/1000</f>
        <v>25</v>
      </c>
      <c r="F75" s="65" t="s">
        <v>446</v>
      </c>
      <c r="G75" s="65"/>
      <c r="H75" s="65" t="s">
        <v>449</v>
      </c>
      <c r="I75" s="72">
        <f>EXPEDICION!K75-7</f>
        <v>46129</v>
      </c>
      <c r="J75" s="69" t="str">
        <f>PEDIDOS!M75</f>
        <v>M26060</v>
      </c>
      <c r="K75" s="65"/>
    </row>
    <row r="76" ht="22.5" customHeight="1">
      <c r="A76" s="47">
        <f>PEDIDOS!B76</f>
        <v>46078</v>
      </c>
      <c r="B76" s="23" t="str">
        <f>PEDIDOS!C76</f>
        <v/>
      </c>
      <c r="C76" s="23" t="str">
        <f>PEDIDOS!D76</f>
        <v>OLANN</v>
      </c>
      <c r="D76" s="60" t="str">
        <f>PEDIDOS!E76</f>
        <v>CREMA FACIAL DE DIA ULTRAHUMECTANTE</v>
      </c>
      <c r="E76" s="61">
        <f>PEDIDOS!G76*PEDIDOS!H76/1000</f>
        <v>7.5</v>
      </c>
      <c r="F76" s="23" t="s">
        <v>446</v>
      </c>
      <c r="G76" s="23"/>
      <c r="H76" s="23" t="s">
        <v>449</v>
      </c>
      <c r="I76" s="62">
        <f>EXPEDICION!K76-7</f>
        <v>46111</v>
      </c>
      <c r="J76" s="63" t="str">
        <f>PEDIDOS!M76</f>
        <v>M26031</v>
      </c>
      <c r="K76" s="23"/>
    </row>
    <row r="77" ht="22.5" customHeight="1">
      <c r="A77" s="64">
        <f>PEDIDOS!B77</f>
        <v>46078</v>
      </c>
      <c r="B77" s="65" t="str">
        <f>PEDIDOS!C77</f>
        <v/>
      </c>
      <c r="C77" s="65" t="str">
        <f>PEDIDOS!D77</f>
        <v>OLANN</v>
      </c>
      <c r="D77" s="66" t="str">
        <f>PEDIDOS!E77</f>
        <v>CREMA FACIAL DE NOCHE TENSORA</v>
      </c>
      <c r="E77" s="67">
        <f>PEDIDOS!G77*PEDIDOS!H77/1000</f>
        <v>7.5</v>
      </c>
      <c r="F77" s="65" t="s">
        <v>446</v>
      </c>
      <c r="G77" s="65"/>
      <c r="H77" s="65" t="s">
        <v>449</v>
      </c>
      <c r="I77" s="72">
        <f>EXPEDICION!K77-7</f>
        <v>46111</v>
      </c>
      <c r="J77" s="69" t="str">
        <f>PEDIDOS!M77</f>
        <v>M26032</v>
      </c>
      <c r="K77" s="65"/>
    </row>
    <row r="78" ht="22.5" customHeight="1">
      <c r="A78" s="47">
        <f>PEDIDOS!B78</f>
        <v>46078</v>
      </c>
      <c r="B78" s="23" t="str">
        <f>PEDIDOS!C78</f>
        <v/>
      </c>
      <c r="C78" s="23" t="str">
        <f>PEDIDOS!D78</f>
        <v>OLANN</v>
      </c>
      <c r="D78" s="60" t="str">
        <f>PEDIDOS!E78</f>
        <v>CONTORNO DE OJOS</v>
      </c>
      <c r="E78" s="61">
        <f>PEDIDOS!G78*PEDIDOS!H78/1000</f>
        <v>7.5</v>
      </c>
      <c r="F78" s="23" t="s">
        <v>446</v>
      </c>
      <c r="G78" s="23"/>
      <c r="H78" s="23" t="s">
        <v>448</v>
      </c>
      <c r="I78" s="62">
        <f>EXPEDICION!K78-7</f>
        <v>46129</v>
      </c>
      <c r="J78" s="63" t="str">
        <f>PEDIDOS!M78</f>
        <v>M26033</v>
      </c>
      <c r="K78" s="23"/>
    </row>
    <row r="79" ht="22.5" customHeight="1">
      <c r="A79" s="64">
        <f>PEDIDOS!B79</f>
        <v>46083</v>
      </c>
      <c r="B79" s="65" t="str">
        <f>PEDIDOS!C79</f>
        <v/>
      </c>
      <c r="C79" s="65" t="str">
        <f>PEDIDOS!D79</f>
        <v>ECODERM - AGUAZU</v>
      </c>
      <c r="D79" s="66" t="str">
        <f>PEDIDOS!E79</f>
        <v>ESPUMA DE BAÑO ADULTO</v>
      </c>
      <c r="E79" s="67">
        <f>PEDIDOS!G79*PEDIDOS!H79/1000</f>
        <v>40</v>
      </c>
      <c r="F79" s="65" t="s">
        <v>446</v>
      </c>
      <c r="G79" s="65"/>
      <c r="H79" s="65" t="s">
        <v>449</v>
      </c>
      <c r="I79" s="72">
        <f>EXPEDICION!K79-7</f>
        <v>46092</v>
      </c>
      <c r="J79" s="69" t="str">
        <f>PEDIDOS!M79</f>
        <v>M26034</v>
      </c>
      <c r="K79" s="65"/>
    </row>
    <row r="80" ht="22.5" customHeight="1">
      <c r="A80" s="47">
        <f>PEDIDOS!B80</f>
        <v>46083</v>
      </c>
      <c r="B80" s="23" t="str">
        <f>PEDIDOS!C80</f>
        <v/>
      </c>
      <c r="C80" s="23" t="str">
        <f>PEDIDOS!D80</f>
        <v>ECODERM - AGUAZU</v>
      </c>
      <c r="D80" s="60" t="str">
        <f>PEDIDOS!E80</f>
        <v>ESPUMA DE BAÑO BALLENA</v>
      </c>
      <c r="E80" s="61">
        <f>PEDIDOS!G80*PEDIDOS!H80/1000</f>
        <v>40</v>
      </c>
      <c r="F80" s="23" t="s">
        <v>446</v>
      </c>
      <c r="G80" s="23"/>
      <c r="H80" s="23" t="s">
        <v>449</v>
      </c>
      <c r="I80" s="62">
        <f>EXPEDICION!K80-7</f>
        <v>46092</v>
      </c>
      <c r="J80" s="63" t="str">
        <f>PEDIDOS!M80</f>
        <v>M26034</v>
      </c>
      <c r="K80" s="23"/>
    </row>
    <row r="81" ht="22.5" customHeight="1">
      <c r="A81" s="64">
        <f>PEDIDOS!B81</f>
        <v>46083</v>
      </c>
      <c r="B81" s="65" t="str">
        <f>PEDIDOS!C81</f>
        <v/>
      </c>
      <c r="C81" s="65" t="str">
        <f>PEDIDOS!D81</f>
        <v>ECODERM - AGUAZU</v>
      </c>
      <c r="D81" s="66" t="str">
        <f>PEDIDOS!E81</f>
        <v>ESPUMA DE BAÑO BALLENA X500</v>
      </c>
      <c r="E81" s="67">
        <f>PEDIDOS!G81*PEDIDOS!H81/1000</f>
        <v>50</v>
      </c>
      <c r="F81" s="65" t="s">
        <v>446</v>
      </c>
      <c r="G81" s="65"/>
      <c r="H81" s="65" t="s">
        <v>449</v>
      </c>
      <c r="I81" s="72">
        <f>EXPEDICION!K81-7</f>
        <v>46092</v>
      </c>
      <c r="J81" s="69" t="str">
        <f>PEDIDOS!M81</f>
        <v>M26034</v>
      </c>
      <c r="K81" s="65"/>
    </row>
    <row r="82" ht="22.5" customHeight="1">
      <c r="A82" s="47">
        <f>PEDIDOS!B82</f>
        <v>46083</v>
      </c>
      <c r="B82" s="23" t="str">
        <f>PEDIDOS!C82</f>
        <v/>
      </c>
      <c r="C82" s="23" t="str">
        <f>PEDIDOS!D82</f>
        <v>ECODERM - AGUAZU</v>
      </c>
      <c r="D82" s="60" t="str">
        <f>PEDIDOS!E82</f>
        <v>ESPUMA DE BAÑO ADULTO X500</v>
      </c>
      <c r="E82" s="61">
        <f>PEDIDOS!G82*PEDIDOS!H82/1000</f>
        <v>50</v>
      </c>
      <c r="F82" s="23" t="s">
        <v>446</v>
      </c>
      <c r="G82" s="23"/>
      <c r="H82" s="23" t="s">
        <v>449</v>
      </c>
      <c r="I82" s="62">
        <f>EXPEDICION!K82-7</f>
        <v>46092</v>
      </c>
      <c r="J82" s="63" t="str">
        <f>PEDIDOS!M82</f>
        <v>M26034</v>
      </c>
      <c r="K82" s="23"/>
    </row>
    <row r="83" ht="22.5" customHeight="1">
      <c r="A83" s="64">
        <f>PEDIDOS!B83</f>
        <v>46083</v>
      </c>
      <c r="B83" s="65" t="str">
        <f>PEDIDOS!C83</f>
        <v/>
      </c>
      <c r="C83" s="65" t="str">
        <f>PEDIDOS!D83</f>
        <v>ECODERM - AGUAZU</v>
      </c>
      <c r="D83" s="66" t="str">
        <f>PEDIDOS!E83</f>
        <v>BALSAMO HERBAL</v>
      </c>
      <c r="E83" s="67">
        <f>PEDIDOS!G83*PEDIDOS!H83/1000</f>
        <v>9</v>
      </c>
      <c r="F83" s="65" t="s">
        <v>446</v>
      </c>
      <c r="G83" s="65"/>
      <c r="H83" s="65" t="s">
        <v>451</v>
      </c>
      <c r="I83" s="73">
        <f>EXPEDICION!K83-7</f>
        <v>46092</v>
      </c>
      <c r="J83" s="69" t="str">
        <f>PEDIDOS!M83</f>
        <v>M26044</v>
      </c>
      <c r="K83" s="65"/>
    </row>
    <row r="84" ht="22.5" customHeight="1">
      <c r="A84" s="47">
        <f>PEDIDOS!B84</f>
        <v>46083</v>
      </c>
      <c r="B84" s="23" t="str">
        <f>PEDIDOS!C84</f>
        <v/>
      </c>
      <c r="C84" s="23" t="str">
        <f>PEDIDOS!D84</f>
        <v>ECODERM - DUGA</v>
      </c>
      <c r="D84" s="60" t="str">
        <f>PEDIDOS!E84</f>
        <v>ACONDICIONADOR INFANTIL</v>
      </c>
      <c r="E84" s="61">
        <f>PEDIDOS!G84*PEDIDOS!H84/1000</f>
        <v>37.5</v>
      </c>
      <c r="F84" s="23" t="s">
        <v>446</v>
      </c>
      <c r="G84" s="23"/>
      <c r="H84" s="23" t="s">
        <v>448</v>
      </c>
      <c r="I84" s="62">
        <f>EXPEDICION!K84-7</f>
        <v>46100</v>
      </c>
      <c r="J84" s="63" t="str">
        <f>PEDIDOS!M84</f>
        <v>M26078</v>
      </c>
      <c r="K84" s="23"/>
    </row>
    <row r="85" ht="22.5" customHeight="1">
      <c r="A85" s="64">
        <f>PEDIDOS!B85</f>
        <v>46083</v>
      </c>
      <c r="B85" s="65">
        <f>PEDIDOS!C85</f>
        <v>15134</v>
      </c>
      <c r="C85" s="65" t="str">
        <f>PEDIDOS!D85</f>
        <v>THELMA Y LOUISE</v>
      </c>
      <c r="D85" s="66" t="str">
        <f>PEDIDOS!E85</f>
        <v>ALCOHOL EN GEL SANDIA FARMACITY KIDS</v>
      </c>
      <c r="E85" s="67">
        <f>PEDIDOS!G85*PEDIDOS!H85/1000</f>
        <v>150</v>
      </c>
      <c r="F85" s="65" t="s">
        <v>446</v>
      </c>
      <c r="G85" s="65"/>
      <c r="H85" s="65" t="s">
        <v>451</v>
      </c>
      <c r="I85" s="73">
        <f>EXPEDICION!K85-7</f>
        <v>46087</v>
      </c>
      <c r="J85" s="69" t="str">
        <f>PEDIDOS!M85</f>
        <v/>
      </c>
      <c r="K85" s="65"/>
    </row>
    <row r="86" ht="22.5" customHeight="1">
      <c r="A86" s="47">
        <f>PEDIDOS!B86</f>
        <v>46083</v>
      </c>
      <c r="B86" s="23">
        <f>PEDIDOS!C86</f>
        <v>15134</v>
      </c>
      <c r="C86" s="23" t="str">
        <f>PEDIDOS!D86</f>
        <v>THELMA Y LOUISE</v>
      </c>
      <c r="D86" s="60" t="str">
        <f>PEDIDOS!E86</f>
        <v>ALCOHOL EN GEL CHICLE FARMACITY KIDS</v>
      </c>
      <c r="E86" s="61">
        <f>PEDIDOS!G86*PEDIDOS!H86/1000</f>
        <v>150</v>
      </c>
      <c r="F86" s="23" t="s">
        <v>446</v>
      </c>
      <c r="G86" s="23"/>
      <c r="H86" s="23" t="s">
        <v>451</v>
      </c>
      <c r="I86" s="70">
        <f>EXPEDICION!K86-7</f>
        <v>46091</v>
      </c>
      <c r="J86" s="63">
        <f>PEDIDOS!M86</f>
        <v>120302</v>
      </c>
      <c r="K86" s="23"/>
    </row>
    <row r="87" ht="22.5" customHeight="1">
      <c r="A87" s="64">
        <f>PEDIDOS!B87</f>
        <v>46083</v>
      </c>
      <c r="B87" s="65">
        <f>PEDIDOS!C87</f>
        <v>15133</v>
      </c>
      <c r="C87" s="65" t="str">
        <f>PEDIDOS!D87</f>
        <v>THELMA Y LOUISE</v>
      </c>
      <c r="D87" s="66" t="str">
        <f>PEDIDOS!E87</f>
        <v>ALCOHOL EN GEL CHICLE TYL</v>
      </c>
      <c r="E87" s="67">
        <f>PEDIDOS!G87*PEDIDOS!H87/1000</f>
        <v>50</v>
      </c>
      <c r="F87" s="65" t="s">
        <v>446</v>
      </c>
      <c r="G87" s="65"/>
      <c r="H87" s="65" t="s">
        <v>448</v>
      </c>
      <c r="I87" s="68">
        <f>EXPEDICION!K87-7</f>
        <v>46094</v>
      </c>
      <c r="J87" s="69">
        <f>PEDIDOS!M87</f>
        <v>160303</v>
      </c>
      <c r="K87" s="65"/>
    </row>
    <row r="88" ht="22.5" customHeight="1">
      <c r="A88" s="47">
        <f>PEDIDOS!B88</f>
        <v>46083</v>
      </c>
      <c r="B88" s="23">
        <f>PEDIDOS!C88</f>
        <v>15133</v>
      </c>
      <c r="C88" s="23" t="str">
        <f>PEDIDOS!D88</f>
        <v>THELMA Y LOUISE</v>
      </c>
      <c r="D88" s="60" t="str">
        <f>PEDIDOS!E88</f>
        <v>ALCOHOL EN GEL FRUTOS ROJOS TYL</v>
      </c>
      <c r="E88" s="61">
        <f>PEDIDOS!G88*PEDIDOS!H88/1000</f>
        <v>50</v>
      </c>
      <c r="F88" s="23" t="s">
        <v>446</v>
      </c>
      <c r="G88" s="23"/>
      <c r="H88" s="23" t="s">
        <v>459</v>
      </c>
      <c r="I88" s="74">
        <f>EXPEDICION!K88-7</f>
        <v>46086</v>
      </c>
      <c r="J88" s="63" t="str">
        <f>PEDIDOS!M88</f>
        <v/>
      </c>
      <c r="K88" s="23"/>
    </row>
    <row r="89" ht="22.5" customHeight="1">
      <c r="A89" s="64">
        <f>PEDIDOS!B89</f>
        <v>46083</v>
      </c>
      <c r="B89" s="65">
        <f>PEDIDOS!C89</f>
        <v>15133</v>
      </c>
      <c r="C89" s="65" t="str">
        <f>PEDIDOS!D89</f>
        <v>THELMA Y LOUISE</v>
      </c>
      <c r="D89" s="66" t="str">
        <f>PEDIDOS!E89</f>
        <v>ALCOHOL EN GEL DURAZNO TYL</v>
      </c>
      <c r="E89" s="67">
        <f>PEDIDOS!G89*PEDIDOS!H89/1000</f>
        <v>50</v>
      </c>
      <c r="F89" s="65" t="s">
        <v>446</v>
      </c>
      <c r="G89" s="65"/>
      <c r="H89" s="65" t="s">
        <v>459</v>
      </c>
      <c r="I89" s="73">
        <f>EXPEDICION!K89-7</f>
        <v>46094</v>
      </c>
      <c r="J89" s="69" t="str">
        <f>PEDIDOS!M89</f>
        <v/>
      </c>
      <c r="K89" s="65"/>
    </row>
    <row r="90" ht="22.5" customHeight="1">
      <c r="A90" s="47">
        <f>PEDIDOS!B90</f>
        <v>46083</v>
      </c>
      <c r="B90" s="23">
        <f>PEDIDOS!C90</f>
        <v>15133</v>
      </c>
      <c r="C90" s="23" t="str">
        <f>PEDIDOS!D90</f>
        <v>THELMA Y LOUISE</v>
      </c>
      <c r="D90" s="60" t="str">
        <f>PEDIDOS!E90</f>
        <v>ALCOHOL EN GEL COCO TYL</v>
      </c>
      <c r="E90" s="61">
        <f>PEDIDOS!G90*PEDIDOS!H90/1000</f>
        <v>50</v>
      </c>
      <c r="F90" s="23" t="s">
        <v>446</v>
      </c>
      <c r="G90" s="23"/>
      <c r="H90" s="23" t="s">
        <v>449</v>
      </c>
      <c r="I90" s="74">
        <f>EXPEDICION!K90-7</f>
        <v>46094</v>
      </c>
      <c r="J90" s="63" t="str">
        <f>PEDIDOS!M90</f>
        <v/>
      </c>
      <c r="K90" s="23"/>
    </row>
    <row r="91" ht="22.5" customHeight="1">
      <c r="A91" s="64">
        <f>PEDIDOS!B91</f>
        <v>46083</v>
      </c>
      <c r="B91" s="65">
        <f>PEDIDOS!C91</f>
        <v>15133</v>
      </c>
      <c r="C91" s="65" t="str">
        <f>PEDIDOS!D91</f>
        <v>THELMA Y LOUISE</v>
      </c>
      <c r="D91" s="66" t="str">
        <f>PEDIDOS!E91</f>
        <v>ALCOHOL EN GEL VAINILLA TYL</v>
      </c>
      <c r="E91" s="67">
        <f>PEDIDOS!G91*PEDIDOS!H91/1000</f>
        <v>50</v>
      </c>
      <c r="F91" s="65" t="s">
        <v>446</v>
      </c>
      <c r="G91" s="65"/>
      <c r="H91" s="65" t="s">
        <v>451</v>
      </c>
      <c r="I91" s="73">
        <f>EXPEDICION!K91-7</f>
        <v>46094</v>
      </c>
      <c r="J91" s="69" t="str">
        <f>PEDIDOS!M91</f>
        <v/>
      </c>
      <c r="K91" s="65"/>
    </row>
    <row r="92" ht="22.5" customHeight="1">
      <c r="A92" s="47">
        <f>PEDIDOS!B92</f>
        <v>46083</v>
      </c>
      <c r="B92" s="23" t="str">
        <f>PEDIDOS!C92</f>
        <v/>
      </c>
      <c r="C92" s="23" t="str">
        <f>PEDIDOS!D92</f>
        <v>DERMION / FRANCO</v>
      </c>
      <c r="D92" s="60" t="str">
        <f>PEDIDOS!E92</f>
        <v>SERUM NIACINAMIDA</v>
      </c>
      <c r="E92" s="61">
        <f>PEDIDOS!G92*PEDIDOS!H92/1000</f>
        <v>15</v>
      </c>
      <c r="F92" s="23" t="s">
        <v>446</v>
      </c>
      <c r="G92" s="23"/>
      <c r="H92" s="23" t="s">
        <v>454</v>
      </c>
      <c r="I92" s="74">
        <f>EXPEDICION!K92-7</f>
        <v>46078</v>
      </c>
      <c r="J92" s="63" t="str">
        <f>PEDIDOS!M92</f>
        <v>M26010</v>
      </c>
      <c r="K92" s="23"/>
    </row>
    <row r="93" ht="22.5" customHeight="1">
      <c r="A93" s="64">
        <f>PEDIDOS!B93</f>
        <v>46083</v>
      </c>
      <c r="B93" s="65" t="str">
        <f>PEDIDOS!C93</f>
        <v/>
      </c>
      <c r="C93" s="65" t="str">
        <f>PEDIDOS!D93</f>
        <v>THE GLOW FACTOR</v>
      </c>
      <c r="D93" s="66" t="str">
        <f>PEDIDOS!E93</f>
        <v>CREMA CLARITÉ</v>
      </c>
      <c r="E93" s="67">
        <f>PEDIDOS!G93*PEDIDOS!H93/1000</f>
        <v>30</v>
      </c>
      <c r="F93" s="65" t="s">
        <v>446</v>
      </c>
      <c r="G93" s="65"/>
      <c r="H93" s="65" t="s">
        <v>448</v>
      </c>
      <c r="I93" s="72">
        <f>EXPEDICION!K93-7</f>
        <v>46091</v>
      </c>
      <c r="J93" s="69" t="str">
        <f>PEDIDOS!M93</f>
        <v>M26025</v>
      </c>
      <c r="K93" s="65"/>
    </row>
    <row r="94" ht="22.5" customHeight="1">
      <c r="A94" s="47">
        <f>PEDIDOS!B94</f>
        <v>46086</v>
      </c>
      <c r="B94" s="23">
        <f>PEDIDOS!C94</f>
        <v>777</v>
      </c>
      <c r="C94" s="23" t="str">
        <f>PEDIDOS!D94</f>
        <v>CAV</v>
      </c>
      <c r="D94" s="60" t="str">
        <f>PEDIDOS!E94</f>
        <v>SHAMPOO MAXLISS X400ML</v>
      </c>
      <c r="E94" s="61">
        <f>PEDIDOS!G94*PEDIDOS!H94/1000</f>
        <v>80</v>
      </c>
      <c r="F94" s="23" t="s">
        <v>446</v>
      </c>
      <c r="G94" s="23"/>
      <c r="H94" s="23" t="s">
        <v>449</v>
      </c>
      <c r="I94" s="70">
        <f>EXPEDICION!K94-7</f>
        <v>46090</v>
      </c>
      <c r="J94" s="63" t="str">
        <f>PEDIDOS!M94</f>
        <v>M26038</v>
      </c>
      <c r="K94" s="23"/>
    </row>
    <row r="95" ht="22.5" customHeight="1">
      <c r="A95" s="64">
        <f>PEDIDOS!B95</f>
        <v>46086</v>
      </c>
      <c r="B95" s="65">
        <f>PEDIDOS!C95</f>
        <v>777</v>
      </c>
      <c r="C95" s="65" t="str">
        <f>PEDIDOS!D95</f>
        <v>CAV</v>
      </c>
      <c r="D95" s="66" t="str">
        <f>PEDIDOS!E95</f>
        <v>CONDITIONER MAXLISS X400G</v>
      </c>
      <c r="E95" s="67">
        <f>PEDIDOS!G95*PEDIDOS!H95/1000</f>
        <v>80</v>
      </c>
      <c r="F95" s="65" t="s">
        <v>446</v>
      </c>
      <c r="G95" s="65"/>
      <c r="H95" s="65" t="s">
        <v>448</v>
      </c>
      <c r="I95" s="72">
        <f>EXPEDICION!K95-7</f>
        <v>46094</v>
      </c>
      <c r="J95" s="69" t="str">
        <f>PEDIDOS!M95</f>
        <v>M26039</v>
      </c>
      <c r="K95" s="65"/>
    </row>
    <row r="96" ht="22.5" customHeight="1">
      <c r="A96" s="47">
        <f>PEDIDOS!B96</f>
        <v>46086</v>
      </c>
      <c r="B96" s="23">
        <f>PEDIDOS!C96</f>
        <v>777</v>
      </c>
      <c r="C96" s="23" t="str">
        <f>PEDIDOS!D96</f>
        <v>CAV</v>
      </c>
      <c r="D96" s="60" t="str">
        <f>PEDIDOS!E96</f>
        <v>VITAMIN SHOCK X150G</v>
      </c>
      <c r="E96" s="61">
        <f>PEDIDOS!G96*PEDIDOS!H96/1000</f>
        <v>105</v>
      </c>
      <c r="F96" s="23" t="s">
        <v>446</v>
      </c>
      <c r="G96" s="23"/>
      <c r="H96" s="23" t="s">
        <v>449</v>
      </c>
      <c r="I96" s="62">
        <f>EXPEDICION!K96-7</f>
        <v>46105</v>
      </c>
      <c r="J96" s="63" t="str">
        <f>PEDIDOS!M96</f>
        <v>M26066</v>
      </c>
      <c r="K96" s="23"/>
    </row>
    <row r="97" ht="22.5" customHeight="1">
      <c r="A97" s="64">
        <f>PEDIDOS!B97</f>
        <v>46086</v>
      </c>
      <c r="B97" s="65">
        <f>PEDIDOS!C97</f>
        <v>1080</v>
      </c>
      <c r="C97" s="65" t="str">
        <f>PEDIDOS!D97</f>
        <v>NIZA</v>
      </c>
      <c r="D97" s="66" t="str">
        <f>PEDIDOS!E97</f>
        <v>CLEAR ACNE LOTION</v>
      </c>
      <c r="E97" s="67">
        <f>PEDIDOS!G97*PEDIDOS!H97/1000</f>
        <v>15</v>
      </c>
      <c r="F97" s="65" t="s">
        <v>446</v>
      </c>
      <c r="G97" s="65"/>
      <c r="H97" s="65" t="s">
        <v>448</v>
      </c>
      <c r="I97" s="72">
        <f>EXPEDICION!K97-7</f>
        <v>46106</v>
      </c>
      <c r="J97" s="69" t="str">
        <f>PEDIDOS!M97</f>
        <v>M26085</v>
      </c>
      <c r="K97" s="65"/>
    </row>
    <row r="98" ht="22.5" customHeight="1">
      <c r="A98" s="47">
        <f>PEDIDOS!B98</f>
        <v>46086</v>
      </c>
      <c r="B98" s="23">
        <f>PEDIDOS!C98</f>
        <v>1080</v>
      </c>
      <c r="C98" s="23" t="str">
        <f>PEDIDOS!D98</f>
        <v>NIZA</v>
      </c>
      <c r="D98" s="60" t="str">
        <f>PEDIDOS!E98</f>
        <v>SIGNATURE AGE REVERSE</v>
      </c>
      <c r="E98" s="61">
        <f>PEDIDOS!G98*PEDIDOS!H98/1000</f>
        <v>15</v>
      </c>
      <c r="F98" s="23" t="s">
        <v>446</v>
      </c>
      <c r="G98" s="23"/>
      <c r="H98" s="23" t="s">
        <v>448</v>
      </c>
      <c r="I98" s="62">
        <f>EXPEDICION!K98-7</f>
        <v>46106</v>
      </c>
      <c r="J98" s="63" t="str">
        <f>PEDIDOS!M98</f>
        <v>M26086</v>
      </c>
      <c r="K98" s="23"/>
    </row>
    <row r="99" ht="22.5" customHeight="1">
      <c r="A99" s="64">
        <f>PEDIDOS!B99</f>
        <v>46086</v>
      </c>
      <c r="B99" s="65" t="str">
        <f>PEDIDOS!C99</f>
        <v/>
      </c>
      <c r="C99" s="65" t="str">
        <f>PEDIDOS!D99</f>
        <v>THE CURIOUS SKIN</v>
      </c>
      <c r="D99" s="66" t="str">
        <f>PEDIDOS!E99</f>
        <v>SERUM  BOOSTER Telangyn </v>
      </c>
      <c r="E99" s="67">
        <f>PEDIDOS!G99*PEDIDOS!H99/1000</f>
        <v>7.5</v>
      </c>
      <c r="F99" s="71" t="s">
        <v>446</v>
      </c>
      <c r="G99" s="65"/>
      <c r="H99" s="71" t="s">
        <v>451</v>
      </c>
      <c r="I99" s="72">
        <f>EXPEDICION!K99-7</f>
        <v>46164</v>
      </c>
      <c r="J99" s="69" t="str">
        <f>PEDIDOS!M99</f>
        <v>Y26046</v>
      </c>
      <c r="K99" s="65"/>
    </row>
    <row r="100" ht="22.5" customHeight="1">
      <c r="A100" s="47">
        <f>PEDIDOS!B100</f>
        <v>46086</v>
      </c>
      <c r="B100" s="23" t="str">
        <f>PEDIDOS!C100</f>
        <v/>
      </c>
      <c r="C100" s="23" t="str">
        <f>PEDIDOS!D100</f>
        <v>THE CURIOUS SKIN</v>
      </c>
      <c r="D100" s="60" t="str">
        <f>PEDIDOS!E100</f>
        <v>CARROT OIL</v>
      </c>
      <c r="E100" s="61">
        <f>PEDIDOS!G100*PEDIDOS!H100/1000</f>
        <v>25</v>
      </c>
      <c r="F100" s="41" t="s">
        <v>446</v>
      </c>
      <c r="G100" s="23"/>
      <c r="H100" s="41" t="s">
        <v>451</v>
      </c>
      <c r="I100" s="62">
        <f>EXPEDICION!K100-7</f>
        <v>46164</v>
      </c>
      <c r="J100" s="63" t="str">
        <f>PEDIDOS!M100</f>
        <v>Y26047</v>
      </c>
      <c r="K100" s="23"/>
    </row>
    <row r="101" ht="22.5" customHeight="1">
      <c r="A101" s="64">
        <f>PEDIDOS!B101</f>
        <v>46087</v>
      </c>
      <c r="B101" s="65" t="str">
        <f>PEDIDOS!C101</f>
        <v/>
      </c>
      <c r="C101" s="65" t="str">
        <f>PEDIDOS!D101</f>
        <v>WSABI</v>
      </c>
      <c r="D101" s="66" t="str">
        <f>PEDIDOS!E101</f>
        <v>CREMA HIDTANATE LIGERA</v>
      </c>
      <c r="E101" s="67">
        <f>PEDIDOS!G101*PEDIDOS!H101/1000</f>
        <v>25</v>
      </c>
      <c r="F101" s="65" t="s">
        <v>446</v>
      </c>
      <c r="G101" s="65"/>
      <c r="H101" s="65" t="s">
        <v>449</v>
      </c>
      <c r="I101" s="72">
        <f>EXPEDICION!K101-7</f>
        <v>46112</v>
      </c>
      <c r="J101" s="69" t="str">
        <f>PEDIDOS!M101</f>
        <v>M26064</v>
      </c>
      <c r="K101" s="65"/>
    </row>
    <row r="102" ht="22.5" customHeight="1">
      <c r="A102" s="47">
        <f>PEDIDOS!B102</f>
        <v>46087</v>
      </c>
      <c r="B102" s="23">
        <f>PEDIDOS!C102</f>
        <v>1594</v>
      </c>
      <c r="C102" s="23" t="str">
        <f>PEDIDOS!D102</f>
        <v>NE</v>
      </c>
      <c r="D102" s="60" t="str">
        <f>PEDIDOS!E102</f>
        <v>BRUMA FACIAL</v>
      </c>
      <c r="E102" s="61">
        <f>PEDIDOS!G102*PEDIDOS!H102/1000</f>
        <v>75</v>
      </c>
      <c r="F102" s="23" t="s">
        <v>446</v>
      </c>
      <c r="G102" s="23"/>
      <c r="H102" s="23" t="s">
        <v>449</v>
      </c>
      <c r="I102" s="62">
        <f>EXPEDICION!K102-7</f>
        <v>46094</v>
      </c>
      <c r="J102" s="63" t="str">
        <f>PEDIDOS!M102</f>
        <v>M26035</v>
      </c>
      <c r="K102" s="23"/>
    </row>
    <row r="103" ht="22.5" customHeight="1">
      <c r="A103" s="64">
        <f>PEDIDOS!B103</f>
        <v>46087</v>
      </c>
      <c r="B103" s="65">
        <f>PEDIDOS!C103</f>
        <v>1594</v>
      </c>
      <c r="C103" s="65" t="str">
        <f>PEDIDOS!D103</f>
        <v>NE</v>
      </c>
      <c r="D103" s="66" t="str">
        <f>PEDIDOS!E103</f>
        <v>CREMA CORPORAL</v>
      </c>
      <c r="E103" s="67">
        <f>PEDIDOS!G103*PEDIDOS!H103/1000</f>
        <v>75</v>
      </c>
      <c r="F103" s="65" t="s">
        <v>446</v>
      </c>
      <c r="G103" s="65"/>
      <c r="H103" s="65" t="s">
        <v>449</v>
      </c>
      <c r="I103" s="72">
        <f>EXPEDICION!K103-7</f>
        <v>46094</v>
      </c>
      <c r="J103" s="69" t="str">
        <f>PEDIDOS!M103</f>
        <v>M26068</v>
      </c>
      <c r="K103" s="65"/>
    </row>
    <row r="104" ht="22.5" customHeight="1">
      <c r="A104" s="47">
        <f>PEDIDOS!B104</f>
        <v>46087</v>
      </c>
      <c r="B104" s="23">
        <f>PEDIDOS!C104</f>
        <v>1597</v>
      </c>
      <c r="C104" s="23" t="str">
        <f>PEDIDOS!D104</f>
        <v>NE</v>
      </c>
      <c r="D104" s="60" t="str">
        <f>PEDIDOS!E104</f>
        <v>CREMA FACIAL NOCHE</v>
      </c>
      <c r="E104" s="61">
        <f>PEDIDOS!G104*PEDIDOS!H104/1000</f>
        <v>27.5</v>
      </c>
      <c r="F104" s="23" t="s">
        <v>446</v>
      </c>
      <c r="G104" s="23"/>
      <c r="H104" s="23" t="s">
        <v>451</v>
      </c>
      <c r="I104" s="62">
        <f>EXPEDICION!K104-7</f>
        <v>46094</v>
      </c>
      <c r="J104" s="63" t="str">
        <f>PEDIDOS!M104</f>
        <v>M26036</v>
      </c>
      <c r="K104" s="23"/>
    </row>
    <row r="105" ht="22.5" customHeight="1">
      <c r="A105" s="64">
        <f>PEDIDOS!B105</f>
        <v>46087</v>
      </c>
      <c r="B105" s="65">
        <f>PEDIDOS!C105</f>
        <v>140</v>
      </c>
      <c r="C105" s="65" t="str">
        <f>PEDIDOS!D105</f>
        <v>ICONO</v>
      </c>
      <c r="D105" s="66" t="str">
        <f>PEDIDOS!E105</f>
        <v>MASCARA DESINCRUSTANTE DE PAPAYA x 250GR.</v>
      </c>
      <c r="E105" s="67">
        <f>PEDIDOS!G105*PEDIDOS!H105/1000</f>
        <v>750</v>
      </c>
      <c r="F105" s="65" t="s">
        <v>446</v>
      </c>
      <c r="G105" s="65"/>
      <c r="H105" s="65" t="s">
        <v>451</v>
      </c>
      <c r="I105" s="68">
        <f>EXPEDICION!K105-7</f>
        <v>46101</v>
      </c>
      <c r="J105" s="69" t="str">
        <f>PEDIDOS!M105</f>
        <v>M26079</v>
      </c>
      <c r="K105" s="65"/>
    </row>
    <row r="106" ht="22.5" customHeight="1">
      <c r="A106" s="47">
        <f>PEDIDOS!B106</f>
        <v>46087</v>
      </c>
      <c r="B106" s="23">
        <f>PEDIDOS!C106</f>
        <v>140</v>
      </c>
      <c r="C106" s="23" t="str">
        <f>PEDIDOS!D106</f>
        <v>ICONO</v>
      </c>
      <c r="D106" s="60" t="str">
        <f>PEDIDOS!E106</f>
        <v>CREMA EFECTO TENSOR x 50GR.</v>
      </c>
      <c r="E106" s="61">
        <f>PEDIDOS!G106*PEDIDOS!H106/1000</f>
        <v>100</v>
      </c>
      <c r="F106" s="23" t="s">
        <v>446</v>
      </c>
      <c r="G106" s="23"/>
      <c r="H106" s="23" t="s">
        <v>449</v>
      </c>
      <c r="I106" s="62">
        <f>EXPEDICION!K106-7</f>
        <v>46101</v>
      </c>
      <c r="J106" s="63" t="str">
        <f>PEDIDOS!M106</f>
        <v>M26067</v>
      </c>
      <c r="K106" s="23"/>
    </row>
    <row r="107" ht="22.5" customHeight="1">
      <c r="A107" s="64">
        <f>PEDIDOS!B107</f>
        <v>46090</v>
      </c>
      <c r="B107" s="65" t="str">
        <f>PEDIDOS!C107</f>
        <v>15170/15169</v>
      </c>
      <c r="C107" s="65" t="str">
        <f>PEDIDOS!D107</f>
        <v>THELMA Y LOUISE</v>
      </c>
      <c r="D107" s="66" t="str">
        <f>PEDIDOS!E107</f>
        <v>ALCOHOL EN GEL CHICLE FRUTILLA</v>
      </c>
      <c r="E107" s="67">
        <f>PEDIDOS!G107*PEDIDOS!H107/1000</f>
        <v>100</v>
      </c>
      <c r="F107" s="65" t="s">
        <v>446</v>
      </c>
      <c r="G107" s="65"/>
      <c r="H107" s="65" t="s">
        <v>452</v>
      </c>
      <c r="I107" s="73">
        <f>EXPEDICION!K107-7</f>
        <v>46104</v>
      </c>
      <c r="J107" s="69" t="str">
        <f>PEDIDOS!M107</f>
        <v/>
      </c>
      <c r="K107" s="65"/>
    </row>
    <row r="108" ht="22.5" customHeight="1">
      <c r="A108" s="47">
        <f>PEDIDOS!B108</f>
        <v>46090</v>
      </c>
      <c r="B108" s="23" t="str">
        <f>PEDIDOS!C108</f>
        <v>15170/15169</v>
      </c>
      <c r="C108" s="23" t="str">
        <f>PEDIDOS!D108</f>
        <v>THELMA Y LOUISE</v>
      </c>
      <c r="D108" s="60" t="str">
        <f>PEDIDOS!E108</f>
        <v>ALCOHOL EN GEL CHERRY</v>
      </c>
      <c r="E108" s="61">
        <f>PEDIDOS!G108*PEDIDOS!H108/1000</f>
        <v>125</v>
      </c>
      <c r="F108" s="23" t="s">
        <v>446</v>
      </c>
      <c r="G108" s="23"/>
      <c r="H108" s="23" t="s">
        <v>452</v>
      </c>
      <c r="I108" s="62">
        <f>EXPEDICION!K108-7</f>
        <v>46104</v>
      </c>
      <c r="J108" s="63" t="str">
        <f>PEDIDOS!M108</f>
        <v/>
      </c>
      <c r="K108" s="23"/>
    </row>
    <row r="109" ht="22.5" customHeight="1">
      <c r="A109" s="64">
        <f>PEDIDOS!B109</f>
        <v>46090</v>
      </c>
      <c r="B109" s="65">
        <f>PEDIDOS!C109</f>
        <v>15170</v>
      </c>
      <c r="C109" s="65" t="str">
        <f>PEDIDOS!D109</f>
        <v>THELMA Y LOUISE</v>
      </c>
      <c r="D109" s="66" t="str">
        <f>PEDIDOS!E109</f>
        <v>ALCOHOL EN GEL CAPUCHINO - esencia vany love</v>
      </c>
      <c r="E109" s="67">
        <f>PEDIDOS!G109*PEDIDOS!H109/1000</f>
        <v>75</v>
      </c>
      <c r="F109" s="65" t="s">
        <v>446</v>
      </c>
      <c r="G109" s="65"/>
      <c r="H109" s="65" t="s">
        <v>451</v>
      </c>
      <c r="I109" s="73">
        <f>EXPEDICION!K109-7</f>
        <v>46118</v>
      </c>
      <c r="J109" s="69" t="str">
        <f>PEDIDOS!M109</f>
        <v/>
      </c>
      <c r="K109" s="65"/>
    </row>
    <row r="110" ht="22.5" customHeight="1">
      <c r="A110" s="47">
        <f>PEDIDOS!B110</f>
        <v>46090</v>
      </c>
      <c r="B110" s="23">
        <f>PEDIDOS!C110</f>
        <v>15170</v>
      </c>
      <c r="C110" s="23" t="str">
        <f>PEDIDOS!D110</f>
        <v>THELMA Y LOUISE</v>
      </c>
      <c r="D110" s="60" t="str">
        <f>PEDIDOS!E110</f>
        <v>ALCOHOL EN GL NEUTRO PERRO SALCHICHA</v>
      </c>
      <c r="E110" s="61">
        <f>PEDIDOS!G110*PEDIDOS!H110/1000</f>
        <v>75</v>
      </c>
      <c r="F110" s="23" t="s">
        <v>446</v>
      </c>
      <c r="G110" s="23"/>
      <c r="H110" s="23" t="s">
        <v>448</v>
      </c>
      <c r="I110" s="74">
        <f>EXPEDICION!K110-7</f>
        <v>46112</v>
      </c>
      <c r="J110" s="63" t="str">
        <f>PEDIDOS!M110</f>
        <v/>
      </c>
      <c r="K110" s="23"/>
    </row>
    <row r="111" ht="22.5" customHeight="1">
      <c r="A111" s="64">
        <f>PEDIDOS!B111</f>
        <v>46090</v>
      </c>
      <c r="B111" s="65" t="str">
        <f>PEDIDOS!C111</f>
        <v/>
      </c>
      <c r="C111" s="65" t="str">
        <f>PEDIDOS!D111</f>
        <v>PROFESSIONAL BEAUTY</v>
      </c>
      <c r="D111" s="66" t="str">
        <f>PEDIDOS!E111</f>
        <v>ADVANCE ACIDO HIALURONICO 1%</v>
      </c>
      <c r="E111" s="67">
        <f>PEDIDOS!G111*PEDIDOS!H111/1000</f>
        <v>5</v>
      </c>
      <c r="F111" s="65" t="s">
        <v>446</v>
      </c>
      <c r="G111" s="65"/>
      <c r="H111" s="65" t="s">
        <v>448</v>
      </c>
      <c r="I111" s="72">
        <f>EXPEDICION!K111-7</f>
        <v>46100</v>
      </c>
      <c r="J111" s="69" t="str">
        <f>PEDIDOS!M111</f>
        <v>M26073</v>
      </c>
      <c r="K111" s="65"/>
    </row>
    <row r="112" ht="22.5" customHeight="1">
      <c r="A112" s="47">
        <f>PEDIDOS!B112</f>
        <v>46090</v>
      </c>
      <c r="B112" s="23" t="str">
        <f>PEDIDOS!C112</f>
        <v/>
      </c>
      <c r="C112" s="23" t="str">
        <f>PEDIDOS!D112</f>
        <v>PROFESSIONAL BEAUTY</v>
      </c>
      <c r="D112" s="60" t="str">
        <f>PEDIDOS!E112</f>
        <v>ADVANCE SILICIO+ OLIGOELEMENTOS</v>
      </c>
      <c r="E112" s="61">
        <f>PEDIDOS!G112*PEDIDOS!H112/1000</f>
        <v>5</v>
      </c>
      <c r="F112" s="23" t="s">
        <v>446</v>
      </c>
      <c r="G112" s="23"/>
      <c r="H112" s="23" t="s">
        <v>448</v>
      </c>
      <c r="I112" s="62">
        <f>EXPEDICION!K112-7</f>
        <v>46104</v>
      </c>
      <c r="J112" s="63" t="str">
        <f>PEDIDOS!M112</f>
        <v>M26074</v>
      </c>
      <c r="K112" s="23"/>
    </row>
    <row r="113" ht="22.5" customHeight="1">
      <c r="A113" s="64">
        <f>PEDIDOS!B113</f>
        <v>46090</v>
      </c>
      <c r="B113" s="65" t="str">
        <f>PEDIDOS!C113</f>
        <v/>
      </c>
      <c r="C113" s="65" t="str">
        <f>PEDIDOS!D113</f>
        <v>PROFESSIONAL BEAUTY</v>
      </c>
      <c r="D113" s="66" t="str">
        <f>PEDIDOS!E113</f>
        <v>ADVANCE VIT C</v>
      </c>
      <c r="E113" s="67">
        <f>PEDIDOS!G113*PEDIDOS!H113/1000</f>
        <v>5</v>
      </c>
      <c r="F113" s="65" t="s">
        <v>446</v>
      </c>
      <c r="G113" s="65"/>
      <c r="H113" s="65" t="s">
        <v>448</v>
      </c>
      <c r="I113" s="72">
        <f>EXPEDICION!K113-7</f>
        <v>46104</v>
      </c>
      <c r="J113" s="69" t="str">
        <f>PEDIDOS!M113</f>
        <v>M26075</v>
      </c>
      <c r="K113" s="65"/>
    </row>
    <row r="114" ht="22.5" customHeight="1">
      <c r="A114" s="47">
        <f>PEDIDOS!B114</f>
        <v>46090</v>
      </c>
      <c r="B114" s="23" t="str">
        <f>PEDIDOS!C114</f>
        <v/>
      </c>
      <c r="C114" s="23" t="str">
        <f>PEDIDOS!D114</f>
        <v>PROFESSIONAL BEAUTY</v>
      </c>
      <c r="D114" s="60" t="str">
        <f>PEDIDOS!E114</f>
        <v>ADVANCE CONTROL CAIDA</v>
      </c>
      <c r="E114" s="61">
        <f>PEDIDOS!G114*PEDIDOS!H114/1000</f>
        <v>5</v>
      </c>
      <c r="F114" s="23" t="s">
        <v>446</v>
      </c>
      <c r="G114" s="23"/>
      <c r="H114" s="23" t="s">
        <v>448</v>
      </c>
      <c r="I114" s="62">
        <f>EXPEDICION!K114-7</f>
        <v>46104</v>
      </c>
      <c r="J114" s="63" t="str">
        <f>PEDIDOS!M114</f>
        <v>M26076</v>
      </c>
      <c r="K114" s="23"/>
    </row>
    <row r="115" ht="22.5" customHeight="1">
      <c r="A115" s="64">
        <f>PEDIDOS!B115</f>
        <v>46090</v>
      </c>
      <c r="B115" s="65" t="str">
        <f>PEDIDOS!C115</f>
        <v/>
      </c>
      <c r="C115" s="65" t="str">
        <f>PEDIDOS!D115</f>
        <v>PROFESSIONAL BEAUTY</v>
      </c>
      <c r="D115" s="66" t="str">
        <f>PEDIDOS!E115</f>
        <v>ADVANCE DMAE 7%</v>
      </c>
      <c r="E115" s="67">
        <f>PEDIDOS!G115*PEDIDOS!H115/1000</f>
        <v>5</v>
      </c>
      <c r="F115" s="65" t="s">
        <v>446</v>
      </c>
      <c r="G115" s="65"/>
      <c r="H115" s="65" t="s">
        <v>448</v>
      </c>
      <c r="I115" s="72">
        <f>EXPEDICION!K115-7</f>
        <v>46104</v>
      </c>
      <c r="J115" s="69" t="str">
        <f>PEDIDOS!M115</f>
        <v>M26077</v>
      </c>
      <c r="K115" s="65"/>
    </row>
    <row r="116" ht="22.5" customHeight="1">
      <c r="A116" s="47">
        <f>PEDIDOS!B116</f>
        <v>46090</v>
      </c>
      <c r="B116" s="23">
        <f>PEDIDOS!C116</f>
        <v>14348</v>
      </c>
      <c r="C116" s="23" t="str">
        <f>PEDIDOS!D116</f>
        <v>JACTANS</v>
      </c>
      <c r="D116" s="60" t="str">
        <f>PEDIDOS!E116</f>
        <v>Agua Micelar JS-693</v>
      </c>
      <c r="E116" s="61">
        <f>PEDIDOS!G116*PEDIDOS!H116/1000</f>
        <v>105</v>
      </c>
      <c r="F116" s="23" t="s">
        <v>446</v>
      </c>
      <c r="G116" s="23"/>
      <c r="H116" s="23" t="s">
        <v>456</v>
      </c>
      <c r="I116" s="70">
        <f>EXPEDICION!K116-7</f>
        <v>46101</v>
      </c>
      <c r="J116" s="63" t="str">
        <f>PEDIDOS!M116</f>
        <v>M26071</v>
      </c>
      <c r="K116" s="23"/>
    </row>
    <row r="117" ht="22.5" customHeight="1">
      <c r="A117" s="64">
        <f>PEDIDOS!B117</f>
        <v>46090</v>
      </c>
      <c r="B117" s="65">
        <f>PEDIDOS!C117</f>
        <v>14348</v>
      </c>
      <c r="C117" s="65" t="str">
        <f>PEDIDOS!D117</f>
        <v>JACTANS</v>
      </c>
      <c r="D117" s="66" t="str">
        <f>PEDIDOS!E117</f>
        <v>Bruma Fijadora Facial JS-736</v>
      </c>
      <c r="E117" s="67">
        <f>PEDIDOS!G117*PEDIDOS!H117/1000</f>
        <v>60</v>
      </c>
      <c r="F117" s="65" t="s">
        <v>446</v>
      </c>
      <c r="G117" s="65"/>
      <c r="H117" s="65" t="s">
        <v>448</v>
      </c>
      <c r="I117" s="68">
        <f>EXPEDICION!K117-7</f>
        <v>46101</v>
      </c>
      <c r="J117" s="69" t="str">
        <f>PEDIDOS!M117</f>
        <v>M26072</v>
      </c>
      <c r="K117" s="65"/>
    </row>
    <row r="118" ht="22.5" customHeight="1">
      <c r="A118" s="47">
        <f>PEDIDOS!B118</f>
        <v>46090</v>
      </c>
      <c r="B118" s="23">
        <f>PEDIDOS!C118</f>
        <v>14348</v>
      </c>
      <c r="C118" s="23" t="str">
        <f>PEDIDOS!D118</f>
        <v>JACTANS</v>
      </c>
      <c r="D118" s="60" t="str">
        <f>PEDIDOS!E118</f>
        <v>Agua Micelar Bifasica x 105ml JS-941</v>
      </c>
      <c r="E118" s="61">
        <f>PEDIDOS!G118*PEDIDOS!H118/1000</f>
        <v>105</v>
      </c>
      <c r="F118" s="23" t="s">
        <v>446</v>
      </c>
      <c r="G118" s="23"/>
      <c r="H118" s="23" t="s">
        <v>448</v>
      </c>
      <c r="I118" s="70">
        <f>EXPEDICION!K118-7</f>
        <v>46105</v>
      </c>
      <c r="J118" s="63" t="str">
        <f>PEDIDOS!M118</f>
        <v>M26070</v>
      </c>
      <c r="K118" s="23"/>
    </row>
    <row r="119" ht="22.5" customHeight="1">
      <c r="A119" s="64">
        <f>PEDIDOS!B119</f>
        <v>46034</v>
      </c>
      <c r="B119" s="65">
        <f>PEDIDOS!C119</f>
        <v>14258</v>
      </c>
      <c r="C119" s="65" t="str">
        <f>PEDIDOS!D119</f>
        <v>JACTANS</v>
      </c>
      <c r="D119" s="66" t="str">
        <f>PEDIDOS!E119</f>
        <v>Desmaquillante Bifasico JS-737</v>
      </c>
      <c r="E119" s="67">
        <f>PEDIDOS!G119*PEDIDOS!H119/1000</f>
        <v>157.5</v>
      </c>
      <c r="F119" s="65" t="s">
        <v>446</v>
      </c>
      <c r="G119" s="65"/>
      <c r="H119" s="65" t="s">
        <v>448</v>
      </c>
      <c r="I119" s="68">
        <f>EXPEDICION!K119-7</f>
        <v>46094</v>
      </c>
      <c r="J119" s="69" t="str">
        <f>PEDIDOS!M119</f>
        <v>M26069</v>
      </c>
      <c r="K119" s="65"/>
    </row>
    <row r="120" ht="22.5" customHeight="1">
      <c r="A120" s="47">
        <f>PEDIDOS!B120</f>
        <v>46076</v>
      </c>
      <c r="B120" s="23">
        <f>PEDIDOS!C120</f>
        <v>1716</v>
      </c>
      <c r="C120" s="23" t="str">
        <f>PEDIDOS!D120</f>
        <v>LABORATORIO ONCE</v>
      </c>
      <c r="D120" s="60" t="str">
        <f>PEDIDOS!E120</f>
        <v>SERUM CONCENTRADO AH</v>
      </c>
      <c r="E120" s="61">
        <f>PEDIDOS!G120*PEDIDOS!H120/1000</f>
        <v>45</v>
      </c>
      <c r="F120" s="23" t="s">
        <v>446</v>
      </c>
      <c r="G120" s="23"/>
      <c r="H120" s="23" t="s">
        <v>451</v>
      </c>
      <c r="I120" s="62">
        <f>EXPEDICION!K120-7</f>
        <v>46094</v>
      </c>
      <c r="J120" s="63" t="str">
        <f>PEDIDOS!M120</f>
        <v>M26063</v>
      </c>
      <c r="K120" s="23"/>
    </row>
    <row r="121" ht="22.5" customHeight="1">
      <c r="A121" s="64">
        <f>PEDIDOS!B121</f>
        <v>46076</v>
      </c>
      <c r="B121" s="65">
        <f>PEDIDOS!C121</f>
        <v>1715</v>
      </c>
      <c r="C121" s="65" t="str">
        <f>PEDIDOS!D121</f>
        <v>LABORATORIO ONCE</v>
      </c>
      <c r="D121" s="66" t="str">
        <f>PEDIDOS!E121</f>
        <v>GEL UNIESFERAS VITAMINA C</v>
      </c>
      <c r="E121" s="67">
        <f>PEDIDOS!G121*PEDIDOS!H121/1000</f>
        <v>100</v>
      </c>
      <c r="F121" s="65" t="s">
        <v>446</v>
      </c>
      <c r="G121" s="65"/>
      <c r="H121" s="65"/>
      <c r="I121" s="72">
        <f>EXPEDICION!K121-7</f>
        <v>46090</v>
      </c>
      <c r="J121" s="69" t="str">
        <f>PEDIDOS!M121</f>
        <v>F26061</v>
      </c>
      <c r="K121" s="65"/>
    </row>
    <row r="122" ht="22.5" customHeight="1">
      <c r="A122" s="47">
        <f>PEDIDOS!B122</f>
        <v>46168</v>
      </c>
      <c r="B122" s="23" t="str">
        <f>PEDIDOS!C122</f>
        <v/>
      </c>
      <c r="C122" s="23" t="str">
        <f>PEDIDOS!D122</f>
        <v>AGUEDA REY - IHC CAPILARES</v>
      </c>
      <c r="D122" s="60" t="str">
        <f>PEDIDOS!E122</f>
        <v>Shampoo Fortalecedor Anticaida D: 250203-3</v>
      </c>
      <c r="E122" s="61">
        <f>PEDIDOS!G122*PEDIDOS!H122/1000</f>
        <v>200</v>
      </c>
      <c r="F122" s="41" t="s">
        <v>446</v>
      </c>
      <c r="G122" s="23"/>
      <c r="H122" s="23" t="s">
        <v>449</v>
      </c>
      <c r="I122" s="70">
        <f>EXPEDICION!K122-7</f>
        <v>46170</v>
      </c>
      <c r="J122" s="63" t="str">
        <f>PEDIDOS!M122</f>
        <v>A26025</v>
      </c>
      <c r="K122" s="23"/>
    </row>
    <row r="123" ht="22.5" customHeight="1">
      <c r="A123" s="64">
        <f>PEDIDOS!B123</f>
        <v>46168</v>
      </c>
      <c r="B123" s="65" t="str">
        <f>PEDIDOS!C123</f>
        <v/>
      </c>
      <c r="C123" s="65" t="str">
        <f>PEDIDOS!D123</f>
        <v>AGUEDA REY - IHC CAPILARES</v>
      </c>
      <c r="D123" s="66" t="str">
        <f>PEDIDOS!E123</f>
        <v>Shampoo Anti Caspa D250204-3</v>
      </c>
      <c r="E123" s="67">
        <f>PEDIDOS!G123*PEDIDOS!H123/1000</f>
        <v>200</v>
      </c>
      <c r="F123" s="71" t="s">
        <v>446</v>
      </c>
      <c r="G123" s="65"/>
      <c r="H123" s="65" t="s">
        <v>449</v>
      </c>
      <c r="I123" s="68">
        <f>EXPEDICION!K123-7</f>
        <v>46170</v>
      </c>
      <c r="J123" s="69" t="str">
        <f>PEDIDOS!M123</f>
        <v>A26026</v>
      </c>
      <c r="K123" s="65"/>
    </row>
    <row r="124" ht="22.5" customHeight="1">
      <c r="A124" s="47">
        <f>PEDIDOS!B124</f>
        <v>46168</v>
      </c>
      <c r="B124" s="23" t="str">
        <f>PEDIDOS!C124</f>
        <v/>
      </c>
      <c r="C124" s="23" t="str">
        <f>PEDIDOS!D124</f>
        <v>AGUEDA REY - IHC CAPILARES</v>
      </c>
      <c r="D124" s="60" t="str">
        <f>PEDIDOS!E124</f>
        <v>Shampoo Anti Sebo D250205-3</v>
      </c>
      <c r="E124" s="61">
        <f>PEDIDOS!G124*PEDIDOS!H124/1000</f>
        <v>200</v>
      </c>
      <c r="F124" s="23" t="s">
        <v>446</v>
      </c>
      <c r="G124" s="23"/>
      <c r="H124" s="23" t="s">
        <v>449</v>
      </c>
      <c r="I124" s="70">
        <f>EXPEDICION!K124-7</f>
        <v>46170</v>
      </c>
      <c r="J124" s="63" t="str">
        <f>PEDIDOS!M124</f>
        <v>A26024</v>
      </c>
      <c r="K124" s="23"/>
    </row>
    <row r="125" ht="22.5" customHeight="1">
      <c r="A125" s="64">
        <f>PEDIDOS!B125</f>
        <v>46168</v>
      </c>
      <c r="B125" s="65" t="str">
        <f>PEDIDOS!C125</f>
        <v/>
      </c>
      <c r="C125" s="65" t="str">
        <f>PEDIDOS!D125</f>
        <v>AGUEDA REY - IHC CAPILARES</v>
      </c>
      <c r="D125" s="66" t="str">
        <f>PEDIDOS!E125</f>
        <v>Shampo Engrosador D250210-3</v>
      </c>
      <c r="E125" s="67">
        <f>PEDIDOS!G125*PEDIDOS!H125/1000</f>
        <v>200</v>
      </c>
      <c r="F125" s="65" t="s">
        <v>446</v>
      </c>
      <c r="G125" s="65"/>
      <c r="H125" s="65" t="s">
        <v>449</v>
      </c>
      <c r="I125" s="68">
        <f>EXPEDICION!K125-7</f>
        <v>46170</v>
      </c>
      <c r="J125" s="69" t="str">
        <f>PEDIDOS!M125</f>
        <v>A26041</v>
      </c>
      <c r="K125" s="65"/>
    </row>
    <row r="126" ht="22.5" customHeight="1">
      <c r="A126" s="47">
        <f>PEDIDOS!B126</f>
        <v>46168</v>
      </c>
      <c r="B126" s="23" t="str">
        <f>PEDIDOS!C126</f>
        <v/>
      </c>
      <c r="C126" s="23" t="str">
        <f>PEDIDOS!D126</f>
        <v>AGUEDA REY - IHC CAPILARES</v>
      </c>
      <c r="D126" s="60" t="str">
        <f>PEDIDOS!E126</f>
        <v>Acondicionador Biotina D: 250207-3</v>
      </c>
      <c r="E126" s="61">
        <f>PEDIDOS!G126*PEDIDOS!H126/1000</f>
        <v>200</v>
      </c>
      <c r="F126" s="23" t="s">
        <v>446</v>
      </c>
      <c r="G126" s="23"/>
      <c r="H126" s="23" t="s">
        <v>448</v>
      </c>
      <c r="I126" s="70">
        <f>EXPEDICION!K126-7</f>
        <v>46170</v>
      </c>
      <c r="J126" s="63" t="str">
        <f>PEDIDOS!M126</f>
        <v>A26040</v>
      </c>
      <c r="K126" s="23"/>
    </row>
    <row r="127" ht="22.5" customHeight="1">
      <c r="A127" s="64">
        <f>PEDIDOS!B127</f>
        <v>46162</v>
      </c>
      <c r="B127" s="65" t="str">
        <f>PEDIDOS!C127</f>
        <v/>
      </c>
      <c r="C127" s="65" t="str">
        <f>PEDIDOS!D127</f>
        <v>LABORATORIO ONCE</v>
      </c>
      <c r="D127" s="66" t="str">
        <f>PEDIDOS!E127</f>
        <v>SERUM HOME PEEL SERUM PEPITAS DE UVA</v>
      </c>
      <c r="E127" s="67">
        <f>PEDIDOS!G127*PEDIDOS!H127/1000</f>
        <v>30</v>
      </c>
      <c r="F127" s="71" t="s">
        <v>446</v>
      </c>
      <c r="G127" s="65"/>
      <c r="H127" s="65" t="s">
        <v>449</v>
      </c>
      <c r="I127" s="72">
        <f>EXPEDICION!K127-7</f>
        <v>46170</v>
      </c>
      <c r="J127" s="69" t="str">
        <f>PEDIDOS!M127</f>
        <v>A26010</v>
      </c>
      <c r="K127" s="65"/>
    </row>
    <row r="128" ht="22.5" customHeight="1">
      <c r="A128" s="47">
        <f>PEDIDOS!B128</f>
        <v>46097</v>
      </c>
      <c r="B128" s="23" t="str">
        <f>PEDIDOS!C128</f>
        <v/>
      </c>
      <c r="C128" s="23" t="str">
        <f>PEDIDOS!D128</f>
        <v>BL COSMETICS</v>
      </c>
      <c r="D128" s="60" t="str">
        <f>PEDIDOS!E128</f>
        <v>GEL ANTIFRIZZ </v>
      </c>
      <c r="E128" s="61">
        <f>PEDIDOS!G128*PEDIDOS!H128/1000</f>
        <v>13.5</v>
      </c>
      <c r="F128" s="23" t="s">
        <v>446</v>
      </c>
      <c r="G128" s="23"/>
      <c r="H128" s="23" t="s">
        <v>448</v>
      </c>
      <c r="I128" s="62">
        <f>EXPEDICION!K128-7</f>
        <v>46134</v>
      </c>
      <c r="J128" s="63" t="str">
        <f>PEDIDOS!M128</f>
        <v>A26043</v>
      </c>
      <c r="K128" s="23"/>
    </row>
    <row r="129" ht="22.5" customHeight="1">
      <c r="A129" s="64">
        <f>PEDIDOS!B129</f>
        <v>46097</v>
      </c>
      <c r="B129" s="65" t="str">
        <f>PEDIDOS!C129</f>
        <v/>
      </c>
      <c r="C129" s="65" t="str">
        <f>PEDIDOS!D129</f>
        <v>BL COSMETICS</v>
      </c>
      <c r="D129" s="66" t="str">
        <f>PEDIDOS!E129</f>
        <v>SHAMPOO CONTROL LISS</v>
      </c>
      <c r="E129" s="67">
        <f>PEDIDOS!G129*PEDIDOS!H129/1000</f>
        <v>900</v>
      </c>
      <c r="F129" s="65" t="s">
        <v>446</v>
      </c>
      <c r="G129" s="65"/>
      <c r="H129" s="65" t="s">
        <v>456</v>
      </c>
      <c r="I129" s="68">
        <f>EXPEDICION!K129-7</f>
        <v>46121</v>
      </c>
      <c r="J129" s="69" t="str">
        <f>PEDIDOS!M129</f>
        <v>M26098</v>
      </c>
      <c r="K129" s="65"/>
    </row>
    <row r="130" ht="22.5" customHeight="1">
      <c r="A130" s="47">
        <f>PEDIDOS!B130</f>
        <v>46097</v>
      </c>
      <c r="B130" s="23" t="str">
        <f>PEDIDOS!C130</f>
        <v/>
      </c>
      <c r="C130" s="23" t="str">
        <f>PEDIDOS!D130</f>
        <v>BL COSMETICS</v>
      </c>
      <c r="D130" s="60" t="str">
        <f>PEDIDOS!E130</f>
        <v>ACONDICIONADOR CONTROL LISS</v>
      </c>
      <c r="E130" s="61">
        <f>PEDIDOS!G130*PEDIDOS!H130/1000</f>
        <v>900</v>
      </c>
      <c r="F130" s="23" t="s">
        <v>446</v>
      </c>
      <c r="G130" s="23"/>
      <c r="H130" s="23" t="s">
        <v>456</v>
      </c>
      <c r="I130" s="70">
        <f>EXPEDICION!K130-7</f>
        <v>46121</v>
      </c>
      <c r="J130" s="63" t="str">
        <f>PEDIDOS!M130</f>
        <v>M26099</v>
      </c>
      <c r="K130" s="23"/>
    </row>
    <row r="131" ht="22.5" customHeight="1">
      <c r="A131" s="64">
        <f>PEDIDOS!B131</f>
        <v>46097</v>
      </c>
      <c r="B131" s="65" t="str">
        <f>PEDIDOS!C131</f>
        <v/>
      </c>
      <c r="C131" s="65" t="str">
        <f>PEDIDOS!D131</f>
        <v>BL COSMETICS</v>
      </c>
      <c r="D131" s="66" t="str">
        <f>PEDIDOS!E131</f>
        <v>SERUM ARGAN (nuevo)</v>
      </c>
      <c r="E131" s="67">
        <f>PEDIDOS!G131*PEDIDOS!H131/1000</f>
        <v>90</v>
      </c>
      <c r="F131" s="65" t="s">
        <v>446</v>
      </c>
      <c r="G131" s="71"/>
      <c r="H131" s="71" t="s">
        <v>448</v>
      </c>
      <c r="I131" s="72">
        <f>EXPEDICION!K131-7</f>
        <v>46122</v>
      </c>
      <c r="J131" s="69" t="str">
        <f>PEDIDOS!M131</f>
        <v>A26042</v>
      </c>
      <c r="K131" s="65"/>
    </row>
    <row r="132" ht="22.5" customHeight="1">
      <c r="A132" s="47">
        <f>PEDIDOS!B132</f>
        <v>46098</v>
      </c>
      <c r="B132" s="23" t="str">
        <f>PEDIDOS!C132</f>
        <v/>
      </c>
      <c r="C132" s="23" t="str">
        <f>PEDIDOS!D132</f>
        <v>AGUEDA REY - IKIGAI</v>
      </c>
      <c r="D132" s="60" t="str">
        <f>PEDIDOS!E132</f>
        <v>Serum VITAMINA C Cod 230345</v>
      </c>
      <c r="E132" s="61">
        <f>PEDIDOS!G132*PEDIDOS!H132/1000</f>
        <v>30</v>
      </c>
      <c r="F132" s="41" t="s">
        <v>446</v>
      </c>
      <c r="G132" s="41"/>
      <c r="H132" s="41" t="s">
        <v>448</v>
      </c>
      <c r="I132" s="62">
        <f>EXPEDICION!K132-7</f>
        <v>46140</v>
      </c>
      <c r="J132" s="63" t="str">
        <f>PEDIDOS!M132</f>
        <v>A26091</v>
      </c>
      <c r="K132" s="23"/>
    </row>
    <row r="133" ht="22.5" customHeight="1">
      <c r="A133" s="64">
        <f>PEDIDOS!B133</f>
        <v>46098</v>
      </c>
      <c r="B133" s="65" t="str">
        <f>PEDIDOS!C133</f>
        <v/>
      </c>
      <c r="C133" s="65" t="str">
        <f>PEDIDOS!D133</f>
        <v>ORIGINAL BLACK</v>
      </c>
      <c r="D133" s="66" t="str">
        <f>PEDIDOS!E133</f>
        <v>AFTER SHAVE VIOLETA</v>
      </c>
      <c r="E133" s="67">
        <f>PEDIDOS!G133*PEDIDOS!H133/1000</f>
        <v>3200</v>
      </c>
      <c r="F133" s="71" t="s">
        <v>446</v>
      </c>
      <c r="G133" s="65"/>
      <c r="H133" s="71" t="s">
        <v>448</v>
      </c>
      <c r="I133" s="65">
        <f>EXPEDICION!K133-7</f>
        <v>-7</v>
      </c>
      <c r="J133" s="69" t="str">
        <f>PEDIDOS!M133</f>
        <v/>
      </c>
      <c r="K133" s="65"/>
    </row>
    <row r="134" ht="22.5" customHeight="1">
      <c r="A134" s="47">
        <f>PEDIDOS!B134</f>
        <v>46098</v>
      </c>
      <c r="B134" s="23" t="str">
        <f>PEDIDOS!C134</f>
        <v/>
      </c>
      <c r="C134" s="23" t="str">
        <f>PEDIDOS!D134</f>
        <v>ORIGINAL BLACK</v>
      </c>
      <c r="D134" s="60" t="str">
        <f>PEDIDOS!E134</f>
        <v>AFTER SHAVE AZUL</v>
      </c>
      <c r="E134" s="61">
        <f>PEDIDOS!G134*PEDIDOS!H134/1000</f>
        <v>3200</v>
      </c>
      <c r="F134" s="41" t="s">
        <v>446</v>
      </c>
      <c r="G134" s="23"/>
      <c r="H134" s="41" t="s">
        <v>448</v>
      </c>
      <c r="I134" s="70">
        <f>EXPEDICION!K134-7</f>
        <v>46111</v>
      </c>
      <c r="J134" s="63" t="str">
        <f>PEDIDOS!M134</f>
        <v>M26091</v>
      </c>
      <c r="K134" s="23"/>
    </row>
    <row r="135" ht="22.5" customHeight="1">
      <c r="A135" s="64">
        <f>PEDIDOS!B135</f>
        <v>46098</v>
      </c>
      <c r="B135" s="65" t="str">
        <f>PEDIDOS!C135</f>
        <v/>
      </c>
      <c r="C135" s="65" t="str">
        <f>PEDIDOS!D135</f>
        <v>ORIGINAL BLACK</v>
      </c>
      <c r="D135" s="66" t="str">
        <f>PEDIDOS!E135</f>
        <v>AFTER SHAVE VERDE</v>
      </c>
      <c r="E135" s="67">
        <f>PEDIDOS!G135*PEDIDOS!H135/1000</f>
        <v>1600</v>
      </c>
      <c r="F135" s="71" t="s">
        <v>446</v>
      </c>
      <c r="G135" s="65"/>
      <c r="H135" s="71" t="s">
        <v>448</v>
      </c>
      <c r="I135" s="73">
        <f>EXPEDICION!K135-7</f>
        <v>46112</v>
      </c>
      <c r="J135" s="69" t="str">
        <f>PEDIDOS!M135</f>
        <v>M26090</v>
      </c>
      <c r="K135" s="65"/>
    </row>
    <row r="136" ht="22.5" customHeight="1">
      <c r="A136" s="47">
        <f>PEDIDOS!B136</f>
        <v>46098</v>
      </c>
      <c r="B136" s="23" t="str">
        <f>PEDIDOS!C136</f>
        <v/>
      </c>
      <c r="C136" s="23" t="str">
        <f>PEDIDOS!D136</f>
        <v>ORIGINAL BLACK</v>
      </c>
      <c r="D136" s="60" t="str">
        <f>PEDIDOS!E136</f>
        <v>POMADA MATE X50G</v>
      </c>
      <c r="E136" s="61">
        <f>PEDIDOS!G136*PEDIDOS!H136/1000</f>
        <v>172.2</v>
      </c>
      <c r="F136" s="23" t="s">
        <v>446</v>
      </c>
      <c r="G136" s="23"/>
      <c r="H136" s="23" t="s">
        <v>453</v>
      </c>
      <c r="I136" s="70">
        <f>EXPEDICION!K136-7</f>
        <v>46114</v>
      </c>
      <c r="J136" s="63" t="str">
        <f>PEDIDOS!M136</f>
        <v>A26002</v>
      </c>
      <c r="K136" s="23"/>
    </row>
    <row r="137" ht="22.5" customHeight="1">
      <c r="A137" s="64">
        <f>PEDIDOS!B137</f>
        <v>46098</v>
      </c>
      <c r="B137" s="65" t="str">
        <f>PEDIDOS!C137</f>
        <v/>
      </c>
      <c r="C137" s="65" t="str">
        <f>PEDIDOS!D137</f>
        <v>ORIGINAL BLACK</v>
      </c>
      <c r="D137" s="66" t="str">
        <f>PEDIDOS!E137</f>
        <v>POMADA RED WAX X100G</v>
      </c>
      <c r="E137" s="67">
        <f>PEDIDOS!G137*PEDIDOS!H137/1000</f>
        <v>240</v>
      </c>
      <c r="F137" s="65" t="s">
        <v>446</v>
      </c>
      <c r="G137" s="65"/>
      <c r="H137" s="65" t="s">
        <v>453</v>
      </c>
      <c r="I137" s="68">
        <f>EXPEDICION!K137-7</f>
        <v>46133</v>
      </c>
      <c r="J137" s="69" t="str">
        <f>PEDIDOS!M137</f>
        <v>A26003</v>
      </c>
      <c r="K137" s="65"/>
    </row>
    <row r="138" ht="22.5" customHeight="1">
      <c r="A138" s="47">
        <f>PEDIDOS!B138</f>
        <v>46098</v>
      </c>
      <c r="B138" s="23" t="str">
        <f>PEDIDOS!C138</f>
        <v>TCL 2026-01-02</v>
      </c>
      <c r="C138" s="23" t="str">
        <f>PEDIDOS!D138</f>
        <v>THE CHEMIST LOOK</v>
      </c>
      <c r="D138" s="60" t="str">
        <f>PEDIDOS!E138</f>
        <v>BOOSTER HYALU-A/SI</v>
      </c>
      <c r="E138" s="61">
        <f>PEDIDOS!G138*PEDIDOS!H138/1000</f>
        <v>30</v>
      </c>
      <c r="F138" s="23" t="s">
        <v>446</v>
      </c>
      <c r="G138" s="23"/>
      <c r="H138" s="23" t="s">
        <v>453</v>
      </c>
      <c r="I138" s="23">
        <f>EXPEDICION!K138-7</f>
        <v>-7</v>
      </c>
      <c r="J138" s="63" t="str">
        <f>PEDIDOS!M138</f>
        <v/>
      </c>
      <c r="K138" s="23"/>
    </row>
    <row r="139" ht="22.5" customHeight="1">
      <c r="A139" s="64">
        <f>PEDIDOS!B139</f>
        <v>46098</v>
      </c>
      <c r="B139" s="65" t="str">
        <f>PEDIDOS!C139</f>
        <v>TCL 2026-01-02</v>
      </c>
      <c r="C139" s="65" t="str">
        <f>PEDIDOS!D139</f>
        <v>THE CHEMIST LOOK</v>
      </c>
      <c r="D139" s="66" t="str">
        <f>PEDIDOS!E139</f>
        <v>BOOSTER HYALU-A/SI</v>
      </c>
      <c r="E139" s="67">
        <f>PEDIDOS!G139*PEDIDOS!H139/1000</f>
        <v>30</v>
      </c>
      <c r="F139" s="71" t="s">
        <v>446</v>
      </c>
      <c r="G139" s="65"/>
      <c r="H139" s="71" t="s">
        <v>459</v>
      </c>
      <c r="I139" s="72">
        <f>EXPEDICION!K139-7</f>
        <v>46132</v>
      </c>
      <c r="J139" s="69" t="str">
        <f>PEDIDOS!M139</f>
        <v>A26028</v>
      </c>
      <c r="K139" s="65"/>
    </row>
    <row r="140" ht="22.5" customHeight="1">
      <c r="A140" s="47">
        <f>PEDIDOS!B140</f>
        <v>46098</v>
      </c>
      <c r="B140" s="23" t="str">
        <f>PEDIDOS!C140</f>
        <v>TCL 2026-01-02</v>
      </c>
      <c r="C140" s="23" t="str">
        <f>PEDIDOS!D140</f>
        <v>THE CHEMIST LOOK</v>
      </c>
      <c r="D140" s="60" t="str">
        <f>PEDIDOS!E140</f>
        <v>BOOSTER NIACI/ZN</v>
      </c>
      <c r="E140" s="61">
        <f>PEDIDOS!G140*PEDIDOS!H140/1000</f>
        <v>30</v>
      </c>
      <c r="F140" s="23" t="s">
        <v>446</v>
      </c>
      <c r="G140" s="23"/>
      <c r="H140" s="23" t="s">
        <v>453</v>
      </c>
      <c r="I140" s="62">
        <f>EXPEDICION!K140-7</f>
        <v>46129</v>
      </c>
      <c r="J140" s="63" t="str">
        <f>PEDIDOS!M140</f>
        <v>A26029</v>
      </c>
      <c r="K140" s="23"/>
    </row>
    <row r="141" ht="22.5" customHeight="1">
      <c r="A141" s="64">
        <f>PEDIDOS!B141</f>
        <v>46098</v>
      </c>
      <c r="B141" s="65" t="str">
        <f>PEDIDOS!C141</f>
        <v>TCL 2026-01-02</v>
      </c>
      <c r="C141" s="65" t="str">
        <f>PEDIDOS!D141</f>
        <v>THE CHEMIST LOOK</v>
      </c>
      <c r="D141" s="66" t="str">
        <f>PEDIDOS!E141</f>
        <v>BOOSTER VIT C/GLUT</v>
      </c>
      <c r="E141" s="67">
        <f>PEDIDOS!G141*PEDIDOS!H141/1000</f>
        <v>37.5</v>
      </c>
      <c r="F141" s="71" t="s">
        <v>446</v>
      </c>
      <c r="G141" s="65"/>
      <c r="H141" s="71" t="s">
        <v>459</v>
      </c>
      <c r="I141" s="72">
        <f>EXPEDICION!K141-7</f>
        <v>46175</v>
      </c>
      <c r="J141" s="69" t="str">
        <f>PEDIDOS!M141</f>
        <v>J26008</v>
      </c>
      <c r="K141" s="65"/>
    </row>
    <row r="142" ht="22.5" customHeight="1">
      <c r="A142" s="47">
        <f>PEDIDOS!B142</f>
        <v>46098</v>
      </c>
      <c r="B142" s="23" t="str">
        <f>PEDIDOS!C142</f>
        <v>TCL 2026-01-02</v>
      </c>
      <c r="C142" s="23" t="str">
        <f>PEDIDOS!D142</f>
        <v>THE CHEMIST LOOK</v>
      </c>
      <c r="D142" s="60" t="str">
        <f>PEDIDOS!E142</f>
        <v>COLLAGENE</v>
      </c>
      <c r="E142" s="61">
        <f>PEDIDOS!G142*PEDIDOS!H142/1000</f>
        <v>36</v>
      </c>
      <c r="F142" s="41" t="s">
        <v>446</v>
      </c>
      <c r="G142" s="23"/>
      <c r="H142" s="41" t="s">
        <v>451</v>
      </c>
      <c r="I142" s="62">
        <f>EXPEDICION!K142-7</f>
        <v>46176</v>
      </c>
      <c r="J142" s="63" t="str">
        <f>PEDIDOS!M142</f>
        <v>Y26064</v>
      </c>
      <c r="K142" s="23"/>
    </row>
    <row r="143" ht="22.5" customHeight="1">
      <c r="A143" s="64">
        <f>PEDIDOS!B143</f>
        <v>46098</v>
      </c>
      <c r="B143" s="65" t="str">
        <f>PEDIDOS!C143</f>
        <v>TCL 2026-01-02</v>
      </c>
      <c r="C143" s="65" t="str">
        <f>PEDIDOS!D143</f>
        <v>THE CHEMIST LOOK</v>
      </c>
      <c r="D143" s="66" t="str">
        <f>PEDIDOS!E143</f>
        <v>EXFOLIANTE GA</v>
      </c>
      <c r="E143" s="67">
        <f>PEDIDOS!G143*PEDIDOS!H143/1000</f>
        <v>30</v>
      </c>
      <c r="F143" s="65" t="s">
        <v>446</v>
      </c>
      <c r="G143" s="65"/>
      <c r="H143" s="65" t="s">
        <v>456</v>
      </c>
      <c r="I143" s="72">
        <f>EXPEDICION!K143-7</f>
        <v>46128</v>
      </c>
      <c r="J143" s="69" t="str">
        <f>PEDIDOS!M143</f>
        <v>M26092</v>
      </c>
      <c r="K143" s="65"/>
    </row>
    <row r="144" ht="22.5" customHeight="1">
      <c r="A144" s="47">
        <f>PEDIDOS!B144</f>
        <v>46098</v>
      </c>
      <c r="B144" s="23" t="str">
        <f>PEDIDOS!C144</f>
        <v/>
      </c>
      <c r="C144" s="23" t="str">
        <f>PEDIDOS!D144</f>
        <v>COSMECEUTICALS</v>
      </c>
      <c r="D144" s="60" t="str">
        <f>PEDIDOS!E144</f>
        <v>SERUM DEEP</v>
      </c>
      <c r="E144" s="61">
        <f>PEDIDOS!G144*PEDIDOS!H144/1000</f>
        <v>15</v>
      </c>
      <c r="F144" s="23" t="s">
        <v>446</v>
      </c>
      <c r="G144" s="23"/>
      <c r="H144" s="23" t="s">
        <v>447</v>
      </c>
      <c r="I144" s="62">
        <f>EXPEDICION!K144-7</f>
        <v>46119</v>
      </c>
      <c r="J144" s="63" t="str">
        <f>PEDIDOS!M144</f>
        <v>M26093</v>
      </c>
      <c r="K144" s="23"/>
    </row>
    <row r="145" ht="22.5" customHeight="1">
      <c r="A145" s="64">
        <f>PEDIDOS!B145</f>
        <v>46098</v>
      </c>
      <c r="B145" s="65" t="str">
        <f>PEDIDOS!C145</f>
        <v/>
      </c>
      <c r="C145" s="65" t="str">
        <f>PEDIDOS!D145</f>
        <v>COSMECEUTICALS</v>
      </c>
      <c r="D145" s="66" t="str">
        <f>PEDIDOS!E145</f>
        <v>SERUM VITAMINA C</v>
      </c>
      <c r="E145" s="67">
        <f>PEDIDOS!G145*PEDIDOS!H145/1000</f>
        <v>15</v>
      </c>
      <c r="F145" s="65" t="s">
        <v>446</v>
      </c>
      <c r="G145" s="65"/>
      <c r="H145" s="65" t="s">
        <v>447</v>
      </c>
      <c r="I145" s="72">
        <f>EXPEDICION!K145-7</f>
        <v>46120</v>
      </c>
      <c r="J145" s="69" t="str">
        <f>PEDIDOS!M145</f>
        <v>M26094</v>
      </c>
      <c r="K145" s="65"/>
    </row>
    <row r="146" ht="22.5" customHeight="1">
      <c r="A146" s="47">
        <f>PEDIDOS!B146</f>
        <v>46099</v>
      </c>
      <c r="B146" s="23">
        <f>PEDIDOS!C146</f>
        <v>15190</v>
      </c>
      <c r="C146" s="23" t="str">
        <f>PEDIDOS!D146</f>
        <v>THELMA Y LOUISE</v>
      </c>
      <c r="D146" s="60" t="str">
        <f>PEDIDOS!E146</f>
        <v>ALCOHOL EN GEL SANDIA FARMACITY KIDS</v>
      </c>
      <c r="E146" s="61">
        <f>PEDIDOS!G146*PEDIDOS!H146/1000</f>
        <v>150</v>
      </c>
      <c r="F146" s="23" t="s">
        <v>446</v>
      </c>
      <c r="G146" s="23"/>
      <c r="H146" s="23" t="s">
        <v>456</v>
      </c>
      <c r="I146" s="75">
        <f>EXPEDICION!K146-7</f>
        <v>46118</v>
      </c>
      <c r="J146" s="63" t="str">
        <f>PEDIDOS!M146</f>
        <v/>
      </c>
      <c r="K146" s="23"/>
    </row>
    <row r="147" ht="22.5" customHeight="1">
      <c r="A147" s="64">
        <f>PEDIDOS!B147</f>
        <v>46099</v>
      </c>
      <c r="B147" s="65">
        <f>PEDIDOS!C147</f>
        <v>15190</v>
      </c>
      <c r="C147" s="65" t="str">
        <f>PEDIDOS!D147</f>
        <v>THELMA Y LOUISE</v>
      </c>
      <c r="D147" s="66" t="str">
        <f>PEDIDOS!E147</f>
        <v>ALCOHOL EN GEL CHICLE FARMACITY KIDS</v>
      </c>
      <c r="E147" s="67">
        <f>PEDIDOS!G147*PEDIDOS!H147/1000</f>
        <v>150</v>
      </c>
      <c r="F147" s="65" t="s">
        <v>446</v>
      </c>
      <c r="G147" s="65"/>
      <c r="H147" s="65" t="s">
        <v>456</v>
      </c>
      <c r="I147" s="73">
        <f>EXPEDICION!K147-7</f>
        <v>46118</v>
      </c>
      <c r="J147" s="69" t="str">
        <f>PEDIDOS!M147</f>
        <v/>
      </c>
      <c r="K147" s="65"/>
    </row>
    <row r="148" ht="22.5" customHeight="1">
      <c r="A148" s="47">
        <f>PEDIDOS!B148</f>
        <v>46099</v>
      </c>
      <c r="B148" s="23">
        <f>PEDIDOS!C148</f>
        <v>141</v>
      </c>
      <c r="C148" s="23" t="str">
        <f>PEDIDOS!D148</f>
        <v>ICONO</v>
      </c>
      <c r="D148" s="60" t="str">
        <f>PEDIDOS!E148</f>
        <v>CREMA EFECTO TENSOR x 250 GR.</v>
      </c>
      <c r="E148" s="61">
        <f>PEDIDOS!G148*PEDIDOS!H148/1000</f>
        <v>500</v>
      </c>
      <c r="F148" s="23" t="s">
        <v>446</v>
      </c>
      <c r="G148" s="23"/>
      <c r="H148" s="23" t="s">
        <v>447</v>
      </c>
      <c r="I148" s="62">
        <f>EXPEDICION!K148-7</f>
        <v>46119</v>
      </c>
      <c r="J148" s="63" t="str">
        <f>PEDIDOS!M148</f>
        <v>A26012</v>
      </c>
      <c r="K148" s="23"/>
    </row>
    <row r="149" ht="22.5" customHeight="1">
      <c r="A149" s="64">
        <f>PEDIDOS!B149</f>
        <v>46099</v>
      </c>
      <c r="B149" s="65">
        <f>PEDIDOS!C149</f>
        <v>141</v>
      </c>
      <c r="C149" s="65" t="str">
        <f>PEDIDOS!D149</f>
        <v>ICONO</v>
      </c>
      <c r="D149" s="66" t="str">
        <f>PEDIDOS!E149</f>
        <v>MASCARA EFECTO TENSOR x 95 GR.</v>
      </c>
      <c r="E149" s="67">
        <f>PEDIDOS!G149*PEDIDOS!H149/1000</f>
        <v>190</v>
      </c>
      <c r="F149" s="65" t="s">
        <v>446</v>
      </c>
      <c r="G149" s="65"/>
      <c r="H149" s="65" t="s">
        <v>447</v>
      </c>
      <c r="I149" s="72">
        <f>EXPEDICION!K149-7</f>
        <v>46118</v>
      </c>
      <c r="J149" s="69" t="str">
        <f>PEDIDOS!M149</f>
        <v>A26011</v>
      </c>
      <c r="K149" s="65"/>
    </row>
    <row r="150" ht="22.5" customHeight="1">
      <c r="A150" s="47">
        <f>PEDIDOS!B150</f>
        <v>46099</v>
      </c>
      <c r="B150" s="23">
        <f>PEDIDOS!C150</f>
        <v>141</v>
      </c>
      <c r="C150" s="23" t="str">
        <f>PEDIDOS!D150</f>
        <v>ICONO</v>
      </c>
      <c r="D150" s="60" t="str">
        <f>PEDIDOS!E150</f>
        <v>MASCARA EFECTO TENSOR x 250 GR.</v>
      </c>
      <c r="E150" s="61">
        <f>PEDIDOS!G150*PEDIDOS!H150/1000</f>
        <v>500</v>
      </c>
      <c r="F150" s="23" t="s">
        <v>446</v>
      </c>
      <c r="G150" s="23"/>
      <c r="H150" s="23" t="s">
        <v>447</v>
      </c>
      <c r="I150" s="70">
        <f>EXPEDICION!K150-7</f>
        <v>46121</v>
      </c>
      <c r="J150" s="63" t="str">
        <f>PEDIDOS!M150</f>
        <v>A26011</v>
      </c>
      <c r="K150" s="23"/>
    </row>
    <row r="151" ht="22.5" customHeight="1">
      <c r="A151" s="64">
        <f>PEDIDOS!B151</f>
        <v>46099</v>
      </c>
      <c r="B151" s="65" t="str">
        <f>PEDIDOS!C151</f>
        <v/>
      </c>
      <c r="C151" s="65" t="str">
        <f>PEDIDOS!D151</f>
        <v>LUCENT</v>
      </c>
      <c r="D151" s="66" t="str">
        <f>PEDIDOS!E151</f>
        <v>BB LIPS natural Lips</v>
      </c>
      <c r="E151" s="67">
        <f>PEDIDOS!G151*PEDIDOS!H151/1000</f>
        <v>15</v>
      </c>
      <c r="F151" s="65" t="s">
        <v>446</v>
      </c>
      <c r="G151" s="65"/>
      <c r="H151" s="65" t="s">
        <v>447</v>
      </c>
      <c r="I151" s="72">
        <f>EXPEDICION!K151-7</f>
        <v>46080</v>
      </c>
      <c r="J151" s="69" t="str">
        <f>PEDIDOS!M151</f>
        <v>M26095</v>
      </c>
      <c r="K151" s="65"/>
    </row>
    <row r="152" ht="22.5" customHeight="1">
      <c r="A152" s="47">
        <f>PEDIDOS!B152</f>
        <v>46100</v>
      </c>
      <c r="B152" s="23">
        <f>PEDIDOS!C152</f>
        <v>169</v>
      </c>
      <c r="C152" s="23" t="str">
        <f>PEDIDOS!D152</f>
        <v>THE MINIMAL CO</v>
      </c>
      <c r="D152" s="60" t="str">
        <f>PEDIDOS!E152</f>
        <v>Serum Oil Reparador</v>
      </c>
      <c r="E152" s="61">
        <f>PEDIDOS!G152*PEDIDOS!H152/1000</f>
        <v>21.6</v>
      </c>
      <c r="F152" s="23" t="s">
        <v>446</v>
      </c>
      <c r="G152" s="23"/>
      <c r="H152" s="23" t="s">
        <v>451</v>
      </c>
      <c r="I152" s="62">
        <f>EXPEDICION!K152-7</f>
        <v>46135</v>
      </c>
      <c r="J152" s="63" t="str">
        <f>PEDIDOS!M152</f>
        <v>A26090</v>
      </c>
      <c r="K152" s="23"/>
    </row>
    <row r="153" ht="22.5" customHeight="1">
      <c r="A153" s="64">
        <f>PEDIDOS!B153</f>
        <v>46101</v>
      </c>
      <c r="B153" s="65">
        <f>PEDIDOS!C153</f>
        <v>14363</v>
      </c>
      <c r="C153" s="65" t="str">
        <f>PEDIDOS!D153</f>
        <v>JACTANS - DISNEY</v>
      </c>
      <c r="D153" s="66" t="str">
        <f>PEDIDOS!E153</f>
        <v>DJ-48235-Jabon liquido PERSONAJES 2D 250ML</v>
      </c>
      <c r="E153" s="67">
        <f>PEDIDOS!G153*PEDIDOS!H153/1000</f>
        <v>625</v>
      </c>
      <c r="F153" s="65" t="s">
        <v>446</v>
      </c>
      <c r="G153" s="65"/>
      <c r="H153" s="65" t="s">
        <v>457</v>
      </c>
      <c r="I153" s="68">
        <f>EXPEDICION!K153-7</f>
        <v>46140</v>
      </c>
      <c r="J153" s="69" t="str">
        <f>PEDIDOS!M153</f>
        <v>A26007</v>
      </c>
      <c r="K153" s="65"/>
    </row>
    <row r="154" ht="22.5" customHeight="1">
      <c r="A154" s="47">
        <f>PEDIDOS!B154</f>
        <v>46104</v>
      </c>
      <c r="B154" s="23">
        <f>PEDIDOS!C154</f>
        <v>15198</v>
      </c>
      <c r="C154" s="23" t="str">
        <f>PEDIDOS!D154</f>
        <v>THELMA Y LOUISE</v>
      </c>
      <c r="D154" s="60" t="str">
        <f>PEDIDOS!E154</f>
        <v>ALCOHOL EN GEL NEUTRO VAMOS ARGENTINA</v>
      </c>
      <c r="E154" s="61">
        <f>PEDIDOS!G154*PEDIDOS!H154/1000</f>
        <v>96</v>
      </c>
      <c r="F154" s="23" t="s">
        <v>446</v>
      </c>
      <c r="G154" s="23"/>
      <c r="H154" s="23" t="s">
        <v>459</v>
      </c>
      <c r="I154" s="74">
        <f>EXPEDICION!K154-7</f>
        <v>46129</v>
      </c>
      <c r="J154" s="63" t="str">
        <f>PEDIDOS!M154</f>
        <v/>
      </c>
      <c r="K154" s="23"/>
    </row>
    <row r="155" ht="22.5" customHeight="1">
      <c r="A155" s="64">
        <f>PEDIDOS!B155</f>
        <v>46104</v>
      </c>
      <c r="B155" s="65">
        <f>PEDIDOS!C155</f>
        <v>15198</v>
      </c>
      <c r="C155" s="65" t="str">
        <f>PEDIDOS!D155</f>
        <v>THELMA Y LOUISE</v>
      </c>
      <c r="D155" s="66" t="str">
        <f>PEDIDOS!E155</f>
        <v>ALCOHOL EN GEL NEUTRO CORONADOS DE GLORIA</v>
      </c>
      <c r="E155" s="67">
        <f>PEDIDOS!G155*PEDIDOS!H155/1000</f>
        <v>96</v>
      </c>
      <c r="F155" s="65" t="s">
        <v>446</v>
      </c>
      <c r="G155" s="65"/>
      <c r="H155" s="65" t="s">
        <v>459</v>
      </c>
      <c r="I155" s="73">
        <f>EXPEDICION!K155-7</f>
        <v>46129</v>
      </c>
      <c r="J155" s="69" t="str">
        <f>PEDIDOS!M155</f>
        <v/>
      </c>
      <c r="K155" s="65"/>
    </row>
    <row r="156" ht="22.5" customHeight="1">
      <c r="A156" s="47">
        <f>PEDIDOS!B156</f>
        <v>46104</v>
      </c>
      <c r="B156" s="23">
        <f>PEDIDOS!C156</f>
        <v>141</v>
      </c>
      <c r="C156" s="23" t="str">
        <f>PEDIDOS!D156</f>
        <v>PROFESSIONAL BEAUTY</v>
      </c>
      <c r="D156" s="60" t="str">
        <f>PEDIDOS!E156</f>
        <v>ADVANCE ACIDO HIALURONICO 1%</v>
      </c>
      <c r="E156" s="61">
        <f>PEDIDOS!G156*PEDIDOS!H156/1000</f>
        <v>5</v>
      </c>
      <c r="F156" s="23" t="s">
        <v>446</v>
      </c>
      <c r="G156" s="23"/>
      <c r="H156" s="23" t="s">
        <v>457</v>
      </c>
      <c r="I156" s="62">
        <f>EXPEDICION!K156-7</f>
        <v>46125</v>
      </c>
      <c r="J156" s="63" t="str">
        <f>PEDIDOS!M156</f>
        <v>A26021</v>
      </c>
      <c r="K156" s="23"/>
    </row>
    <row r="157" ht="22.5" customHeight="1">
      <c r="A157" s="64">
        <f>PEDIDOS!B157</f>
        <v>46104</v>
      </c>
      <c r="B157" s="65">
        <f>PEDIDOS!C157</f>
        <v>141</v>
      </c>
      <c r="C157" s="65" t="str">
        <f>PEDIDOS!D157</f>
        <v>PROFESSIONAL BEAUTY</v>
      </c>
      <c r="D157" s="66" t="str">
        <f>PEDIDOS!E157</f>
        <v>ADVANCE COLAGENO 10%</v>
      </c>
      <c r="E157" s="67">
        <f>PEDIDOS!G157*PEDIDOS!H157/1000</f>
        <v>5</v>
      </c>
      <c r="F157" s="65" t="s">
        <v>446</v>
      </c>
      <c r="G157" s="65"/>
      <c r="H157" s="65" t="s">
        <v>459</v>
      </c>
      <c r="I157" s="72">
        <f>EXPEDICION!K157-7</f>
        <v>46126</v>
      </c>
      <c r="J157" s="69" t="str">
        <f>PEDIDOS!M157</f>
        <v>A26048</v>
      </c>
      <c r="K157" s="65"/>
    </row>
    <row r="158" ht="22.5" customHeight="1">
      <c r="A158" s="47">
        <f>PEDIDOS!B158</f>
        <v>46104</v>
      </c>
      <c r="B158" s="23">
        <f>PEDIDOS!C158</f>
        <v>141</v>
      </c>
      <c r="C158" s="23" t="str">
        <f>PEDIDOS!D158</f>
        <v>PROFESSIONAL BEAUTY</v>
      </c>
      <c r="D158" s="60" t="str">
        <f>PEDIDOS!E158</f>
        <v>ADVANCE ACIDO HIALURONICO 2%</v>
      </c>
      <c r="E158" s="61">
        <f>PEDIDOS!G158*PEDIDOS!H158/1000</f>
        <v>5</v>
      </c>
      <c r="F158" s="23" t="s">
        <v>446</v>
      </c>
      <c r="G158" s="23"/>
      <c r="H158" s="23" t="s">
        <v>457</v>
      </c>
      <c r="I158" s="62">
        <f>EXPEDICION!K158-7</f>
        <v>46125</v>
      </c>
      <c r="J158" s="63" t="str">
        <f>PEDIDOS!M158</f>
        <v>A26009</v>
      </c>
      <c r="K158" s="23"/>
    </row>
    <row r="159" ht="22.5" customHeight="1">
      <c r="A159" s="64">
        <f>PEDIDOS!B159</f>
        <v>46104</v>
      </c>
      <c r="B159" s="65" t="str">
        <f>PEDIDOS!C159</f>
        <v/>
      </c>
      <c r="C159" s="65" t="str">
        <f>PEDIDOS!D159</f>
        <v>AGUEDA REY - EPICA</v>
      </c>
      <c r="D159" s="66" t="str">
        <f>PEDIDOS!E159</f>
        <v>SHAMPOO NEUTRO</v>
      </c>
      <c r="E159" s="67">
        <f>PEDIDOS!G159*PEDIDOS!H159/1000</f>
        <v>400</v>
      </c>
      <c r="F159" s="65" t="s">
        <v>446</v>
      </c>
      <c r="G159" s="65"/>
      <c r="H159" s="65" t="s">
        <v>457</v>
      </c>
      <c r="I159" s="68">
        <f>EXPEDICION!K159-7</f>
        <v>46127</v>
      </c>
      <c r="J159" s="69" t="str">
        <f>PEDIDOS!M159</f>
        <v>A26004</v>
      </c>
      <c r="K159" s="65"/>
    </row>
    <row r="160" ht="22.5" customHeight="1">
      <c r="A160" s="47">
        <f>PEDIDOS!B160</f>
        <v>46104</v>
      </c>
      <c r="B160" s="23" t="str">
        <f>PEDIDOS!C160</f>
        <v/>
      </c>
      <c r="C160" s="23" t="str">
        <f>PEDIDOS!D160</f>
        <v>BEKIM</v>
      </c>
      <c r="D160" s="60" t="str">
        <f>PEDIDOS!E160</f>
        <v>SHAMPOO SOLIDO ARGAN</v>
      </c>
      <c r="E160" s="61">
        <f>PEDIDOS!G160*PEDIDOS!H160/1000</f>
        <v>60</v>
      </c>
      <c r="F160" s="23" t="s">
        <v>446</v>
      </c>
      <c r="G160" s="23"/>
      <c r="H160" s="23" t="s">
        <v>448</v>
      </c>
      <c r="I160" s="62">
        <f>EXPEDICION!K160-7</f>
        <v>46111</v>
      </c>
      <c r="J160" s="63" t="str">
        <f>PEDIDOS!M160</f>
        <v>M26096</v>
      </c>
      <c r="K160" s="23"/>
    </row>
    <row r="161" ht="22.5" customHeight="1">
      <c r="A161" s="64">
        <f>PEDIDOS!B161</f>
        <v>46104</v>
      </c>
      <c r="B161" s="65" t="str">
        <f>PEDIDOS!C161</f>
        <v/>
      </c>
      <c r="C161" s="65" t="str">
        <f>PEDIDOS!D161</f>
        <v>BEKIM</v>
      </c>
      <c r="D161" s="66" t="str">
        <f>PEDIDOS!E161</f>
        <v>ACONDICIONADOR SOLIDO ARGAN</v>
      </c>
      <c r="E161" s="67">
        <f>PEDIDOS!G161*PEDIDOS!H161/1000</f>
        <v>60</v>
      </c>
      <c r="F161" s="65" t="s">
        <v>446</v>
      </c>
      <c r="G161" s="65"/>
      <c r="H161" s="65" t="s">
        <v>448</v>
      </c>
      <c r="I161" s="72">
        <f>EXPEDICION!K161-7</f>
        <v>46111</v>
      </c>
      <c r="J161" s="69" t="str">
        <f>PEDIDOS!M161</f>
        <v>M26097</v>
      </c>
      <c r="K161" s="65"/>
    </row>
    <row r="162" ht="22.5" customHeight="1">
      <c r="A162" s="47">
        <f>PEDIDOS!B162</f>
        <v>46107</v>
      </c>
      <c r="B162" s="23" t="str">
        <f>PEDIDOS!C162</f>
        <v/>
      </c>
      <c r="C162" s="23" t="str">
        <f>PEDIDOS!D162</f>
        <v>CAV</v>
      </c>
      <c r="D162" s="60" t="str">
        <f>PEDIDOS!E162</f>
        <v>AMPOLLA HAIR REPAIR</v>
      </c>
      <c r="E162" s="61">
        <f>PEDIDOS!G162*PEDIDOS!H162/1000</f>
        <v>10.5</v>
      </c>
      <c r="F162" s="23" t="s">
        <v>446</v>
      </c>
      <c r="G162" s="23"/>
      <c r="H162" s="23" t="s">
        <v>448</v>
      </c>
      <c r="I162" s="62">
        <f>EXPEDICION!K162-7</f>
        <v>46116</v>
      </c>
      <c r="J162" s="63" t="str">
        <f>PEDIDOS!M162</f>
        <v>A26016</v>
      </c>
      <c r="K162" s="23"/>
    </row>
    <row r="163" ht="22.5" customHeight="1">
      <c r="A163" s="64">
        <f>PEDIDOS!B163</f>
        <v>46107</v>
      </c>
      <c r="B163" s="65" t="str">
        <f>PEDIDOS!C163</f>
        <v/>
      </c>
      <c r="C163" s="65" t="str">
        <f>PEDIDOS!D163</f>
        <v>CAV</v>
      </c>
      <c r="D163" s="66" t="str">
        <f>PEDIDOS!E163</f>
        <v>AMPOLLA COLOR SHINE</v>
      </c>
      <c r="E163" s="67">
        <f>PEDIDOS!G163*PEDIDOS!H163/1000</f>
        <v>10.5</v>
      </c>
      <c r="F163" s="65" t="s">
        <v>446</v>
      </c>
      <c r="G163" s="65"/>
      <c r="H163" s="65" t="s">
        <v>448</v>
      </c>
      <c r="I163" s="72">
        <f>EXPEDICION!K163-7</f>
        <v>46116</v>
      </c>
      <c r="J163" s="69" t="str">
        <f>PEDIDOS!M163</f>
        <v>A26017</v>
      </c>
      <c r="K163" s="65"/>
    </row>
    <row r="164" ht="22.5" customHeight="1">
      <c r="A164" s="47">
        <f>PEDIDOS!B164</f>
        <v>46107</v>
      </c>
      <c r="B164" s="23" t="str">
        <f>PEDIDOS!C164</f>
        <v/>
      </c>
      <c r="C164" s="23" t="str">
        <f>PEDIDOS!D164</f>
        <v>DEL ARCA BOTANICA</v>
      </c>
      <c r="D164" s="60" t="str">
        <f>PEDIDOS!E164</f>
        <v>CREMA HIDRATANTE LIVIANA</v>
      </c>
      <c r="E164" s="61">
        <f>PEDIDOS!G164*PEDIDOS!H164/1000</f>
        <v>15</v>
      </c>
      <c r="F164" s="41" t="s">
        <v>446</v>
      </c>
      <c r="G164" s="23"/>
      <c r="H164" s="23" t="s">
        <v>449</v>
      </c>
      <c r="I164" s="62">
        <f>EXPEDICION!K164-7</f>
        <v>46155</v>
      </c>
      <c r="J164" s="63" t="str">
        <f>PEDIDOS!M164</f>
        <v>Y26038</v>
      </c>
      <c r="K164" s="23"/>
    </row>
    <row r="165" ht="22.5" customHeight="1">
      <c r="A165" s="64">
        <f>PEDIDOS!B165</f>
        <v>46101</v>
      </c>
      <c r="B165" s="65" t="str">
        <f>PEDIDOS!C165</f>
        <v/>
      </c>
      <c r="C165" s="65" t="str">
        <f>PEDIDOS!D165</f>
        <v>PLANTAE</v>
      </c>
      <c r="D165" s="66" t="str">
        <f>PEDIDOS!E165</f>
        <v>SHAMPOO HENNA</v>
      </c>
      <c r="E165" s="67">
        <f>PEDIDOS!G165*PEDIDOS!H165/1000</f>
        <v>51</v>
      </c>
      <c r="F165" s="65" t="s">
        <v>446</v>
      </c>
      <c r="G165" s="65"/>
      <c r="H165" s="65" t="s">
        <v>459</v>
      </c>
      <c r="I165" s="73">
        <f>EXPEDICION!K165-7</f>
        <v>46101</v>
      </c>
      <c r="J165" s="69" t="str">
        <f>PEDIDOS!M165</f>
        <v>M26029</v>
      </c>
      <c r="K165" s="65"/>
    </row>
    <row r="166" ht="22.5" customHeight="1">
      <c r="A166" s="47">
        <f>PEDIDOS!B166</f>
        <v>46101</v>
      </c>
      <c r="B166" s="23" t="str">
        <f>PEDIDOS!C166</f>
        <v/>
      </c>
      <c r="C166" s="23" t="str">
        <f>PEDIDOS!D166</f>
        <v>PLANTAE</v>
      </c>
      <c r="D166" s="60" t="str">
        <f>PEDIDOS!E166</f>
        <v>SHAMPOO KARITE</v>
      </c>
      <c r="E166" s="61">
        <f>PEDIDOS!G166*PEDIDOS!H166/1000</f>
        <v>51</v>
      </c>
      <c r="F166" s="23" t="s">
        <v>446</v>
      </c>
      <c r="G166" s="23"/>
      <c r="H166" s="23" t="s">
        <v>459</v>
      </c>
      <c r="I166" s="74">
        <f>EXPEDICION!K166-7</f>
        <v>46101</v>
      </c>
      <c r="J166" s="63" t="str">
        <f>PEDIDOS!M166</f>
        <v>M26043</v>
      </c>
      <c r="K166" s="23"/>
    </row>
    <row r="167" ht="22.5" customHeight="1">
      <c r="A167" s="64">
        <f>PEDIDOS!B167</f>
        <v>46111</v>
      </c>
      <c r="B167" s="65" t="str">
        <f>PEDIDOS!C167</f>
        <v/>
      </c>
      <c r="C167" s="65" t="str">
        <f>PEDIDOS!D167</f>
        <v>COSMECEUTICALS</v>
      </c>
      <c r="D167" s="66" t="str">
        <f>PEDIDOS!E167</f>
        <v>CREMA PDND NAD+ (airless)</v>
      </c>
      <c r="E167" s="67">
        <f>PEDIDOS!G167*PEDIDOS!H167/1000</f>
        <v>15</v>
      </c>
      <c r="F167" s="65" t="s">
        <v>446</v>
      </c>
      <c r="G167" s="65"/>
      <c r="H167" s="65" t="s">
        <v>459</v>
      </c>
      <c r="I167" s="72">
        <f>EXPEDICION!K167-7</f>
        <v>46120</v>
      </c>
      <c r="J167" s="69" t="str">
        <f>PEDIDOS!M167</f>
        <v>A26019</v>
      </c>
      <c r="K167" s="65"/>
    </row>
    <row r="168" ht="22.5" customHeight="1">
      <c r="A168" s="47">
        <f>PEDIDOS!B168</f>
        <v>46111</v>
      </c>
      <c r="B168" s="23" t="str">
        <f>PEDIDOS!C168</f>
        <v/>
      </c>
      <c r="C168" s="23" t="str">
        <f>PEDIDOS!D168</f>
        <v>COSMECEUTICALS</v>
      </c>
      <c r="D168" s="60" t="str">
        <f>PEDIDOS!E168</f>
        <v>CREMA RADIANCE ABSOLUTE (pote ambar)</v>
      </c>
      <c r="E168" s="61">
        <f>PEDIDOS!G168*PEDIDOS!H168/1000</f>
        <v>25</v>
      </c>
      <c r="F168" s="23" t="s">
        <v>446</v>
      </c>
      <c r="G168" s="23"/>
      <c r="H168" s="23" t="s">
        <v>459</v>
      </c>
      <c r="I168" s="62">
        <f>EXPEDICION!K168-7</f>
        <v>46120</v>
      </c>
      <c r="J168" s="63" t="str">
        <f>PEDIDOS!M168</f>
        <v>A26020</v>
      </c>
      <c r="K168" s="23"/>
    </row>
    <row r="169" ht="22.5" customHeight="1">
      <c r="A169" s="64">
        <f>PEDIDOS!B169</f>
        <v>46112</v>
      </c>
      <c r="B169" s="65">
        <f>PEDIDOS!C169</f>
        <v>786</v>
      </c>
      <c r="C169" s="65" t="str">
        <f>PEDIDOS!D169</f>
        <v>CAV</v>
      </c>
      <c r="D169" s="66" t="str">
        <f>PEDIDOS!E169</f>
        <v>SHAMPOO BIONIC X400ML</v>
      </c>
      <c r="E169" s="67">
        <f>PEDIDOS!G169*PEDIDOS!H169/1000</f>
        <v>100</v>
      </c>
      <c r="F169" s="65" t="s">
        <v>446</v>
      </c>
      <c r="G169" s="65"/>
      <c r="H169" s="65" t="s">
        <v>457</v>
      </c>
      <c r="I169" s="73">
        <f>EXPEDICION!K169-7</f>
        <v>46122</v>
      </c>
      <c r="J169" s="69" t="str">
        <f>PEDIDOS!M169</f>
        <v>A26005</v>
      </c>
      <c r="K169" s="65"/>
    </row>
    <row r="170" ht="22.5" customHeight="1">
      <c r="A170" s="47">
        <f>PEDIDOS!B170</f>
        <v>46112</v>
      </c>
      <c r="B170" s="23">
        <f>PEDIDOS!C170</f>
        <v>786</v>
      </c>
      <c r="C170" s="23" t="str">
        <f>PEDIDOS!D170</f>
        <v>CAV</v>
      </c>
      <c r="D170" s="60" t="str">
        <f>PEDIDOS!E170</f>
        <v>BALSAMO BIONIC X400ML</v>
      </c>
      <c r="E170" s="61">
        <f>PEDIDOS!G170*PEDIDOS!H170/1000</f>
        <v>100</v>
      </c>
      <c r="F170" s="23" t="s">
        <v>446</v>
      </c>
      <c r="G170" s="23"/>
      <c r="H170" s="23" t="s">
        <v>457</v>
      </c>
      <c r="I170" s="74">
        <f>EXPEDICION!K170-7</f>
        <v>46122</v>
      </c>
      <c r="J170" s="63" t="str">
        <f>PEDIDOS!M170</f>
        <v>A26006</v>
      </c>
      <c r="K170" s="23"/>
    </row>
    <row r="171" ht="22.5" customHeight="1">
      <c r="A171" s="64">
        <f>PEDIDOS!B171</f>
        <v>46112</v>
      </c>
      <c r="B171" s="65">
        <f>PEDIDOS!C171</f>
        <v>786</v>
      </c>
      <c r="C171" s="65" t="str">
        <f>PEDIDOS!D171</f>
        <v>CAV</v>
      </c>
      <c r="D171" s="66" t="str">
        <f>PEDIDOS!E171</f>
        <v>MASCARA VITAMIN SHOCK</v>
      </c>
      <c r="E171" s="67">
        <f>PEDIDOS!G171*PEDIDOS!H171/1000</f>
        <v>105</v>
      </c>
      <c r="F171" s="65" t="s">
        <v>446</v>
      </c>
      <c r="G171" s="65"/>
      <c r="H171" s="65" t="s">
        <v>456</v>
      </c>
      <c r="I171" s="68">
        <f>EXPEDICION!K171-7</f>
        <v>46129</v>
      </c>
      <c r="J171" s="69" t="str">
        <f>PEDIDOS!M171</f>
        <v>A26027</v>
      </c>
      <c r="K171" s="65"/>
    </row>
    <row r="172" ht="22.5" customHeight="1">
      <c r="A172" s="47">
        <f>PEDIDOS!B172</f>
        <v>46112</v>
      </c>
      <c r="B172" s="23">
        <f>PEDIDOS!C172</f>
        <v>786</v>
      </c>
      <c r="C172" s="23" t="str">
        <f>PEDIDOS!D172</f>
        <v>CAV</v>
      </c>
      <c r="D172" s="60" t="str">
        <f>PEDIDOS!E172</f>
        <v>PROTECTOR C-PLEX CAV (PASO 3)</v>
      </c>
      <c r="E172" s="61">
        <f>PEDIDOS!G172*PEDIDOS!H172/1000</f>
        <v>30</v>
      </c>
      <c r="F172" s="23" t="s">
        <v>446</v>
      </c>
      <c r="G172" s="23"/>
      <c r="H172" s="23" t="s">
        <v>456</v>
      </c>
      <c r="I172" s="62">
        <f>EXPEDICION!K172-7</f>
        <v>46150</v>
      </c>
      <c r="J172" s="63" t="str">
        <f>PEDIDOS!M172</f>
        <v>M26041</v>
      </c>
      <c r="K172" s="23"/>
    </row>
    <row r="173" ht="22.5" customHeight="1">
      <c r="A173" s="64">
        <f>PEDIDOS!B173</f>
        <v>46112</v>
      </c>
      <c r="B173" s="65">
        <f>PEDIDOS!C173</f>
        <v>786</v>
      </c>
      <c r="C173" s="65" t="str">
        <f>PEDIDOS!D173</f>
        <v>CAV</v>
      </c>
      <c r="D173" s="66" t="str">
        <f>PEDIDOS!E173</f>
        <v>SHAMPOO MAXLISS X400ML</v>
      </c>
      <c r="E173" s="67">
        <f>PEDIDOS!G173*PEDIDOS!H173/1000</f>
        <v>100</v>
      </c>
      <c r="F173" s="65" t="s">
        <v>446</v>
      </c>
      <c r="G173" s="65"/>
      <c r="H173" s="65" t="s">
        <v>456</v>
      </c>
      <c r="I173" s="72">
        <f>EXPEDICION!K173-7</f>
        <v>46110</v>
      </c>
      <c r="J173" s="69" t="str">
        <f>PEDIDOS!M173</f>
        <v>A26078</v>
      </c>
      <c r="K173" s="65"/>
    </row>
    <row r="174" ht="22.5" customHeight="1">
      <c r="A174" s="47">
        <f>PEDIDOS!B174</f>
        <v>46112</v>
      </c>
      <c r="B174" s="23">
        <f>PEDIDOS!C174</f>
        <v>786</v>
      </c>
      <c r="C174" s="23" t="str">
        <f>PEDIDOS!D174</f>
        <v>CAV</v>
      </c>
      <c r="D174" s="60" t="str">
        <f>PEDIDOS!E174</f>
        <v>CONDITIONER MAXLISS X400G</v>
      </c>
      <c r="E174" s="61">
        <f>PEDIDOS!G174*PEDIDOS!H174/1000</f>
        <v>100</v>
      </c>
      <c r="F174" s="23" t="s">
        <v>446</v>
      </c>
      <c r="G174" s="23"/>
      <c r="H174" s="23" t="s">
        <v>456</v>
      </c>
      <c r="I174" s="62">
        <f>EXPEDICION!K174-7</f>
        <v>46110</v>
      </c>
      <c r="J174" s="63" t="str">
        <f>PEDIDOS!M174</f>
        <v>A26079</v>
      </c>
      <c r="K174" s="23"/>
    </row>
    <row r="175" ht="22.5" customHeight="1">
      <c r="A175" s="64">
        <f>PEDIDOS!B175</f>
        <v>46112</v>
      </c>
      <c r="B175" s="65">
        <f>PEDIDOS!C175</f>
        <v>786</v>
      </c>
      <c r="C175" s="65" t="str">
        <f>PEDIDOS!D175</f>
        <v>CAV</v>
      </c>
      <c r="D175" s="66" t="str">
        <f>PEDIDOS!E175</f>
        <v>DISCIPLINADOR MAXLISS X125ML</v>
      </c>
      <c r="E175" s="67">
        <f>PEDIDOS!G175*PEDIDOS!H175/1000</f>
        <v>25</v>
      </c>
      <c r="F175" s="65" t="s">
        <v>446</v>
      </c>
      <c r="G175" s="65"/>
      <c r="H175" s="65" t="s">
        <v>449</v>
      </c>
      <c r="I175" s="72">
        <f>EXPEDICION!K175-7</f>
        <v>46110</v>
      </c>
      <c r="J175" s="69" t="str">
        <f>PEDIDOS!M175</f>
        <v>A26083</v>
      </c>
      <c r="K175" s="65"/>
    </row>
    <row r="176" ht="22.5" customHeight="1">
      <c r="A176" s="47">
        <f>PEDIDOS!B176</f>
        <v>46112</v>
      </c>
      <c r="B176" s="23">
        <f>PEDIDOS!C176</f>
        <v>15223</v>
      </c>
      <c r="C176" s="23" t="str">
        <f>PEDIDOS!D176</f>
        <v>THELMA Y LOUISE</v>
      </c>
      <c r="D176" s="60" t="str">
        <f>PEDIDOS!E176</f>
        <v>SANITIZANTE MUNDIAL CORONADOS DE GLORIA (neutro)</v>
      </c>
      <c r="E176" s="61">
        <f>PEDIDOS!G176*PEDIDOS!H176/1000</f>
        <v>306</v>
      </c>
      <c r="F176" s="23" t="s">
        <v>446</v>
      </c>
      <c r="G176" s="41"/>
      <c r="H176" s="41" t="s">
        <v>459</v>
      </c>
      <c r="I176" s="62">
        <f>EXPEDICION!K176-7</f>
        <v>46120</v>
      </c>
      <c r="J176" s="63">
        <f>PEDIDOS!M176</f>
        <v>140401</v>
      </c>
      <c r="K176" s="23"/>
    </row>
    <row r="177" ht="22.5" customHeight="1">
      <c r="A177" s="64">
        <f>PEDIDOS!B177</f>
        <v>46112</v>
      </c>
      <c r="B177" s="65">
        <f>PEDIDOS!C177</f>
        <v>15223</v>
      </c>
      <c r="C177" s="65" t="str">
        <f>PEDIDOS!D177</f>
        <v>THELMA Y LOUISE</v>
      </c>
      <c r="D177" s="66" t="str">
        <f>PEDIDOS!E177</f>
        <v>SANITIZANTE MUNDIAL VAMOS ARGENTINA! (neutro)</v>
      </c>
      <c r="E177" s="67">
        <f>PEDIDOS!G177*PEDIDOS!H177/1000</f>
        <v>306</v>
      </c>
      <c r="F177" s="65" t="s">
        <v>446</v>
      </c>
      <c r="G177" s="71"/>
      <c r="H177" s="71" t="s">
        <v>459</v>
      </c>
      <c r="I177" s="72">
        <f>EXPEDICION!K177-7</f>
        <v>46121</v>
      </c>
      <c r="J177" s="69">
        <f>PEDIDOS!M177</f>
        <v>150401</v>
      </c>
      <c r="K177" s="65"/>
    </row>
    <row r="178" ht="22.5" customHeight="1">
      <c r="A178" s="47">
        <f>PEDIDOS!B178</f>
        <v>46112</v>
      </c>
      <c r="B178" s="23">
        <f>PEDIDOS!C178</f>
        <v>15223</v>
      </c>
      <c r="C178" s="23" t="str">
        <f>PEDIDOS!D178</f>
        <v>THELMA Y LOUISE</v>
      </c>
      <c r="D178" s="60" t="str">
        <f>PEDIDOS!E178</f>
        <v>SANITIZANTE AZUL</v>
      </c>
      <c r="E178" s="61">
        <f>PEDIDOS!G178*PEDIDOS!H178/1000</f>
        <v>145.8</v>
      </c>
      <c r="F178" s="41" t="s">
        <v>446</v>
      </c>
      <c r="G178" s="41"/>
      <c r="H178" s="41" t="s">
        <v>459</v>
      </c>
      <c r="I178" s="70">
        <f>EXPEDICION!K178-7</f>
        <v>46143</v>
      </c>
      <c r="J178" s="63" t="str">
        <f>PEDIDOS!M178</f>
        <v/>
      </c>
      <c r="K178" s="23"/>
    </row>
    <row r="179" ht="22.5" customHeight="1">
      <c r="A179" s="64">
        <f>PEDIDOS!B179</f>
        <v>46112</v>
      </c>
      <c r="B179" s="65">
        <f>PEDIDOS!C179</f>
        <v>15220</v>
      </c>
      <c r="C179" s="65" t="str">
        <f>PEDIDOS!D179</f>
        <v>THELMA Y LOUISE</v>
      </c>
      <c r="D179" s="66" t="str">
        <f>PEDIDOS!E179</f>
        <v>SANITIZANTE TODO MODA COCO</v>
      </c>
      <c r="E179" s="67">
        <f>PEDIDOS!G179*PEDIDOS!H179/1000</f>
        <v>126</v>
      </c>
      <c r="F179" s="65" t="s">
        <v>446</v>
      </c>
      <c r="G179" s="65"/>
      <c r="H179" s="65" t="s">
        <v>457</v>
      </c>
      <c r="I179" s="68">
        <f>EXPEDICION!K179-7</f>
        <v>46120</v>
      </c>
      <c r="J179" s="69">
        <f>PEDIDOS!M179</f>
        <v>80402</v>
      </c>
      <c r="K179" s="65"/>
    </row>
    <row r="180" ht="22.5" customHeight="1">
      <c r="A180" s="47">
        <f>PEDIDOS!B180</f>
        <v>46112</v>
      </c>
      <c r="B180" s="23">
        <f>PEDIDOS!C180</f>
        <v>15220</v>
      </c>
      <c r="C180" s="23" t="str">
        <f>PEDIDOS!D180</f>
        <v>THELMA Y LOUISE</v>
      </c>
      <c r="D180" s="60" t="str">
        <f>PEDIDOS!E180</f>
        <v>SANITIZANTE TODO MODA FRAMBUESA</v>
      </c>
      <c r="E180" s="61">
        <f>PEDIDOS!G180*PEDIDOS!H180/1000</f>
        <v>126</v>
      </c>
      <c r="F180" s="23" t="s">
        <v>446</v>
      </c>
      <c r="G180" s="23"/>
      <c r="H180" s="23" t="s">
        <v>457</v>
      </c>
      <c r="I180" s="62">
        <f>EXPEDICION!K180-7</f>
        <v>46125</v>
      </c>
      <c r="J180" s="63">
        <f>PEDIDOS!M180</f>
        <v>90402</v>
      </c>
      <c r="K180" s="23"/>
    </row>
    <row r="181" ht="22.5" customHeight="1">
      <c r="A181" s="64">
        <f>PEDIDOS!B181</f>
        <v>46112</v>
      </c>
      <c r="B181" s="65">
        <f>PEDIDOS!C181</f>
        <v>15226</v>
      </c>
      <c r="C181" s="65" t="str">
        <f>PEDIDOS!D181</f>
        <v>THELMA Y LOUISE</v>
      </c>
      <c r="D181" s="66" t="str">
        <f>PEDIDOS!E181</f>
        <v>SANITIZANTE BLANCO - AGUA DE COCO </v>
      </c>
      <c r="E181" s="67">
        <f>PEDIDOS!G181*PEDIDOS!H181/1000</f>
        <v>70.2</v>
      </c>
      <c r="F181" s="71" t="s">
        <v>446</v>
      </c>
      <c r="G181" s="71"/>
      <c r="H181" s="71" t="s">
        <v>459</v>
      </c>
      <c r="I181" s="68">
        <f>EXPEDICION!K181-7</f>
        <v>46149</v>
      </c>
      <c r="J181" s="69" t="str">
        <f>PEDIDOS!M181</f>
        <v/>
      </c>
      <c r="K181" s="65"/>
    </row>
    <row r="182" ht="22.5" customHeight="1">
      <c r="A182" s="47">
        <f>PEDIDOS!B182</f>
        <v>46112</v>
      </c>
      <c r="B182" s="23">
        <f>PEDIDOS!C182</f>
        <v>15226</v>
      </c>
      <c r="C182" s="23" t="str">
        <f>PEDIDOS!D182</f>
        <v>THELMA Y LOUISE</v>
      </c>
      <c r="D182" s="60" t="str">
        <f>PEDIDOS!E182</f>
        <v>SANITIZANTE VIOLETA - UVA</v>
      </c>
      <c r="E182" s="61">
        <f>PEDIDOS!G182*PEDIDOS!H182/1000</f>
        <v>32.4</v>
      </c>
      <c r="F182" s="41" t="s">
        <v>446</v>
      </c>
      <c r="G182" s="41"/>
      <c r="H182" s="41" t="s">
        <v>457</v>
      </c>
      <c r="I182" s="70">
        <f>EXPEDICION!K182-7</f>
        <v>46149</v>
      </c>
      <c r="J182" s="63" t="str">
        <f>PEDIDOS!M182</f>
        <v/>
      </c>
      <c r="K182" s="23"/>
    </row>
    <row r="183" ht="22.5" customHeight="1">
      <c r="A183" s="64">
        <f>PEDIDOS!B183</f>
        <v>46112</v>
      </c>
      <c r="B183" s="65">
        <f>PEDIDOS!C183</f>
        <v>15226</v>
      </c>
      <c r="C183" s="65" t="str">
        <f>PEDIDOS!D183</f>
        <v>THELMA Y LOUISE</v>
      </c>
      <c r="D183" s="66" t="str">
        <f>PEDIDOS!E183</f>
        <v>SANITIZANTE ROJO - CHERRY</v>
      </c>
      <c r="E183" s="67">
        <f>PEDIDOS!G183*PEDIDOS!H183/1000</f>
        <v>72</v>
      </c>
      <c r="F183" s="71" t="s">
        <v>446</v>
      </c>
      <c r="G183" s="71"/>
      <c r="H183" s="71" t="s">
        <v>457</v>
      </c>
      <c r="I183" s="68">
        <f>EXPEDICION!K183-7</f>
        <v>46146</v>
      </c>
      <c r="J183" s="69" t="str">
        <f>PEDIDOS!M183</f>
        <v/>
      </c>
      <c r="K183" s="65"/>
    </row>
    <row r="184" ht="22.5" customHeight="1">
      <c r="A184" s="47">
        <f>PEDIDOS!B184</f>
        <v>46112</v>
      </c>
      <c r="B184" s="23">
        <f>PEDIDOS!C184</f>
        <v>15226</v>
      </c>
      <c r="C184" s="23" t="str">
        <f>PEDIDOS!D184</f>
        <v>THELMA Y LOUISE</v>
      </c>
      <c r="D184" s="60" t="str">
        <f>PEDIDOS!E184</f>
        <v>SANITIZANTE ROSA - FRUTILLA</v>
      </c>
      <c r="E184" s="61">
        <f>PEDIDOS!G184*PEDIDOS!H184/1000</f>
        <v>45</v>
      </c>
      <c r="F184" s="41" t="s">
        <v>446</v>
      </c>
      <c r="G184" s="41"/>
      <c r="H184" s="41" t="s">
        <v>457</v>
      </c>
      <c r="I184" s="70">
        <f>EXPEDICION!K184-7</f>
        <v>46149</v>
      </c>
      <c r="J184" s="63" t="str">
        <f>PEDIDOS!M184</f>
        <v/>
      </c>
      <c r="K184" s="23"/>
    </row>
    <row r="185" ht="22.5" customHeight="1">
      <c r="A185" s="64">
        <f>PEDIDOS!B185</f>
        <v>46113</v>
      </c>
      <c r="B185" s="65">
        <f>PEDIDOS!C185</f>
        <v>14362</v>
      </c>
      <c r="C185" s="65" t="str">
        <f>PEDIDOS!D185</f>
        <v>JACTANS - DISNEY</v>
      </c>
      <c r="D185" s="66" t="str">
        <f>PEDIDOS!E185</f>
        <v>DP-50051-Perfume infantil fco mini goya x5ml 1980AN</v>
      </c>
      <c r="E185" s="67">
        <f>PEDIDOS!G185*PEDIDOS!H185/1000</f>
        <v>5</v>
      </c>
      <c r="F185" s="65" t="s">
        <v>458</v>
      </c>
      <c r="G185" s="65"/>
      <c r="H185" s="65"/>
      <c r="I185" s="65">
        <f>EXPEDICION!K185-7</f>
        <v>-7</v>
      </c>
      <c r="J185" s="69" t="str">
        <f>PEDIDOS!M185</f>
        <v/>
      </c>
      <c r="K185" s="65"/>
    </row>
    <row r="186" ht="22.5" customHeight="1">
      <c r="A186" s="47">
        <f>PEDIDOS!B186</f>
        <v>46113</v>
      </c>
      <c r="B186" s="23">
        <f>PEDIDOS!C186</f>
        <v>14362</v>
      </c>
      <c r="C186" s="23" t="str">
        <f>PEDIDOS!D186</f>
        <v>JACTANS - DISNEY</v>
      </c>
      <c r="D186" s="60" t="str">
        <f>PEDIDOS!E186</f>
        <v>DP-50068-Perfume infantil fco mini goya x5ml 0297TS</v>
      </c>
      <c r="E186" s="61">
        <f>PEDIDOS!G186*PEDIDOS!H186/1000</f>
        <v>5</v>
      </c>
      <c r="F186" s="23" t="s">
        <v>458</v>
      </c>
      <c r="G186" s="23"/>
      <c r="H186" s="23"/>
      <c r="I186" s="23">
        <f>EXPEDICION!K186-7</f>
        <v>-7</v>
      </c>
      <c r="J186" s="63" t="str">
        <f>PEDIDOS!M186</f>
        <v/>
      </c>
      <c r="K186" s="23"/>
    </row>
    <row r="187" ht="22.5" customHeight="1">
      <c r="A187" s="64">
        <f>PEDIDOS!B187</f>
        <v>46113</v>
      </c>
      <c r="B187" s="65">
        <f>PEDIDOS!C187</f>
        <v>14362</v>
      </c>
      <c r="C187" s="65" t="str">
        <f>PEDIDOS!D187</f>
        <v>JACTANS - DISNEY</v>
      </c>
      <c r="D187" s="66" t="str">
        <f>PEDIDOS!E187</f>
        <v>DP-50082-Perfume infantil fco mini goya x5ml 0280BD</v>
      </c>
      <c r="E187" s="67">
        <f>PEDIDOS!G187*PEDIDOS!H187/1000</f>
        <v>5</v>
      </c>
      <c r="F187" s="65" t="s">
        <v>458</v>
      </c>
      <c r="G187" s="65"/>
      <c r="H187" s="65"/>
      <c r="I187" s="65">
        <f>EXPEDICION!K187-7</f>
        <v>-7</v>
      </c>
      <c r="J187" s="69" t="str">
        <f>PEDIDOS!M187</f>
        <v/>
      </c>
      <c r="K187" s="65"/>
    </row>
    <row r="188" ht="22.5" customHeight="1">
      <c r="A188" s="47">
        <f>PEDIDOS!B188</f>
        <v>46113</v>
      </c>
      <c r="B188" s="23">
        <f>PEDIDOS!C188</f>
        <v>14362</v>
      </c>
      <c r="C188" s="23" t="str">
        <f>PEDIDOS!D188</f>
        <v>JACTANS - DISNEY</v>
      </c>
      <c r="D188" s="60" t="str">
        <f>PEDIDOS!E188</f>
        <v>DP-50099-Perfume infantil fco mini goya x5ml 0296LS</v>
      </c>
      <c r="E188" s="61">
        <f>PEDIDOS!G188*PEDIDOS!H188/1000</f>
        <v>5</v>
      </c>
      <c r="F188" s="23" t="s">
        <v>458</v>
      </c>
      <c r="G188" s="23"/>
      <c r="H188" s="23"/>
      <c r="I188" s="23">
        <f>EXPEDICION!K188-7</f>
        <v>-7</v>
      </c>
      <c r="J188" s="63" t="str">
        <f>PEDIDOS!M188</f>
        <v/>
      </c>
      <c r="K188" s="23"/>
    </row>
    <row r="189" ht="22.5" customHeight="1">
      <c r="A189" s="64">
        <f>PEDIDOS!B189</f>
        <v>46113</v>
      </c>
      <c r="B189" s="65">
        <f>PEDIDOS!C189</f>
        <v>14362</v>
      </c>
      <c r="C189" s="65" t="str">
        <f>PEDIDOS!D189</f>
        <v>JACTANS - DISNEY</v>
      </c>
      <c r="D189" s="66" t="str">
        <f>PEDIDOS!E189</f>
        <v>DP-50846-Perf inf fco Frutilla roja x50ml 0390FR</v>
      </c>
      <c r="E189" s="67">
        <f>PEDIDOS!G189*PEDIDOS!H189/1000</f>
        <v>100</v>
      </c>
      <c r="F189" s="71" t="s">
        <v>446</v>
      </c>
      <c r="G189" s="65"/>
      <c r="H189" s="71" t="s">
        <v>457</v>
      </c>
      <c r="I189" s="72">
        <f>EXPEDICION!K189-7</f>
        <v>46190</v>
      </c>
      <c r="J189" s="69" t="str">
        <f>PEDIDOS!M189</f>
        <v>J26015</v>
      </c>
      <c r="K189" s="65"/>
    </row>
    <row r="190" ht="22.5" customHeight="1">
      <c r="A190" s="47">
        <f>PEDIDOS!B190</f>
        <v>46113</v>
      </c>
      <c r="B190" s="23">
        <f>PEDIDOS!C190</f>
        <v>14362</v>
      </c>
      <c r="C190" s="23" t="str">
        <f>PEDIDOS!D190</f>
        <v>JACTANS - DISNEY</v>
      </c>
      <c r="D190" s="60" t="str">
        <f>PEDIDOS!E190</f>
        <v>DP-50853-Perfume infantil fco True star x50ml 0368CT</v>
      </c>
      <c r="E190" s="61">
        <f>PEDIDOS!G190*PEDIDOS!H190/1000</f>
        <v>75</v>
      </c>
      <c r="F190" s="23" t="s">
        <v>458</v>
      </c>
      <c r="G190" s="23"/>
      <c r="H190" s="23"/>
      <c r="I190" s="75">
        <f>EXPEDICION!K190-7</f>
        <v>46195</v>
      </c>
      <c r="J190" s="63" t="str">
        <f>PEDIDOS!M190</f>
        <v>J26041</v>
      </c>
      <c r="K190" s="23"/>
    </row>
    <row r="191" ht="22.5" customHeight="1">
      <c r="A191" s="64">
        <f>PEDIDOS!B191</f>
        <v>46113</v>
      </c>
      <c r="B191" s="65">
        <f>PEDIDOS!C191</f>
        <v>14362</v>
      </c>
      <c r="C191" s="65" t="str">
        <f>PEDIDOS!D191</f>
        <v>JACTANS - DISNEY</v>
      </c>
      <c r="D191" s="66" t="str">
        <f>PEDIDOS!E191</f>
        <v>DP-50624-Perf inf Fco manzanita roja x25ml 0364AL</v>
      </c>
      <c r="E191" s="67">
        <f>PEDIDOS!G191*PEDIDOS!H191/1000</f>
        <v>37.5</v>
      </c>
      <c r="F191" s="71" t="s">
        <v>446</v>
      </c>
      <c r="G191" s="71"/>
      <c r="H191" s="71" t="s">
        <v>457</v>
      </c>
      <c r="I191" s="72">
        <f>EXPEDICION!K191-7</f>
        <v>46154</v>
      </c>
      <c r="J191" s="69" t="str">
        <f>PEDIDOS!M191</f>
        <v>A26084</v>
      </c>
      <c r="K191" s="65"/>
    </row>
    <row r="192" ht="22.5" customHeight="1">
      <c r="A192" s="47">
        <f>PEDIDOS!B192</f>
        <v>46113</v>
      </c>
      <c r="B192" s="23">
        <f>PEDIDOS!C192</f>
        <v>14362</v>
      </c>
      <c r="C192" s="23" t="str">
        <f>PEDIDOS!D192</f>
        <v>JACTANS - DISNEY</v>
      </c>
      <c r="D192" s="60" t="str">
        <f>PEDIDOS!E192</f>
        <v>DP-50990-Perfume inf. fco Mariana x50ml 0369RD</v>
      </c>
      <c r="E192" s="61">
        <f>PEDIDOS!G192*PEDIDOS!H192/1000</f>
        <v>100</v>
      </c>
      <c r="F192" s="41" t="s">
        <v>446</v>
      </c>
      <c r="G192" s="23"/>
      <c r="H192" s="23" t="s">
        <v>459</v>
      </c>
      <c r="I192" s="62">
        <f>EXPEDICION!K192-7</f>
        <v>46132</v>
      </c>
      <c r="J192" s="63" t="str">
        <f>PEDIDOS!M192</f>
        <v>A26080</v>
      </c>
      <c r="K192" s="23"/>
    </row>
    <row r="193" ht="22.5" customHeight="1">
      <c r="A193" s="64">
        <f>PEDIDOS!B193</f>
        <v>46113</v>
      </c>
      <c r="B193" s="65">
        <f>PEDIDOS!C193</f>
        <v>14362</v>
      </c>
      <c r="C193" s="65" t="str">
        <f>PEDIDOS!D193</f>
        <v>JACTANS - DISNEY</v>
      </c>
      <c r="D193" s="66" t="str">
        <f>PEDIDOS!E193</f>
        <v>DP-1943-Perfume inf. Fco Candela x50ml 0301BG</v>
      </c>
      <c r="E193" s="67">
        <f>PEDIDOS!G193*PEDIDOS!H193/1000</f>
        <v>75</v>
      </c>
      <c r="F193" s="71" t="s">
        <v>446</v>
      </c>
      <c r="G193" s="65"/>
      <c r="H193" s="71" t="s">
        <v>457</v>
      </c>
      <c r="I193" s="72">
        <f>EXPEDICION!K193-7</f>
        <v>46174</v>
      </c>
      <c r="J193" s="69" t="str">
        <f>PEDIDOS!M193</f>
        <v>Y26067</v>
      </c>
      <c r="K193" s="65"/>
    </row>
    <row r="194" ht="22.5" customHeight="1">
      <c r="A194" s="47">
        <f>PEDIDOS!B194</f>
        <v>46113</v>
      </c>
      <c r="B194" s="23">
        <f>PEDIDOS!C194</f>
        <v>14362</v>
      </c>
      <c r="C194" s="23" t="str">
        <f>PEDIDOS!D194</f>
        <v>JACTANS - DISNEY</v>
      </c>
      <c r="D194" s="60" t="str">
        <f>PEDIDOS!E194</f>
        <v>DP-50617-Perfume inf. fco silueta pvc x45ml 0368PB</v>
      </c>
      <c r="E194" s="61">
        <f>PEDIDOS!G194*PEDIDOS!H194/1000</f>
        <v>67.5</v>
      </c>
      <c r="F194" s="41" t="s">
        <v>446</v>
      </c>
      <c r="G194" s="41"/>
      <c r="H194" s="41" t="s">
        <v>457</v>
      </c>
      <c r="I194" s="62">
        <f>EXPEDICION!K194-7</f>
        <v>46147</v>
      </c>
      <c r="J194" s="63" t="str">
        <f>PEDIDOS!M194</f>
        <v>Y26007</v>
      </c>
      <c r="K194" s="23"/>
    </row>
    <row r="195" ht="22.5" customHeight="1">
      <c r="A195" s="64">
        <f>PEDIDOS!B195</f>
        <v>46113</v>
      </c>
      <c r="B195" s="65">
        <f>PEDIDOS!C195</f>
        <v>14362</v>
      </c>
      <c r="C195" s="65" t="str">
        <f>PEDIDOS!D195</f>
        <v>JACTANS - DISNEY</v>
      </c>
      <c r="D195" s="66" t="str">
        <f>PEDIDOS!E195</f>
        <v>DP-50815-Perfume inf. fco silueta pvc x45ML 0367AG</v>
      </c>
      <c r="E195" s="67">
        <f>PEDIDOS!G195*PEDIDOS!H195/1000</f>
        <v>67.5</v>
      </c>
      <c r="F195" s="71" t="s">
        <v>446</v>
      </c>
      <c r="G195" s="71"/>
      <c r="H195" s="71" t="s">
        <v>457</v>
      </c>
      <c r="I195" s="72">
        <f>EXPEDICION!K195-7</f>
        <v>46148</v>
      </c>
      <c r="J195" s="69" t="str">
        <f>PEDIDOS!M195</f>
        <v>Y26008</v>
      </c>
      <c r="K195" s="65"/>
    </row>
    <row r="196" ht="22.5" customHeight="1">
      <c r="A196" s="47">
        <f>PEDIDOS!B196</f>
        <v>46113</v>
      </c>
      <c r="B196" s="23">
        <f>PEDIDOS!C196</f>
        <v>14362</v>
      </c>
      <c r="C196" s="23" t="str">
        <f>PEDIDOS!D196</f>
        <v>JACTANS - DISNEY</v>
      </c>
      <c r="D196" s="60" t="str">
        <f>PEDIDOS!E196</f>
        <v>DP-50853-Perfume infantil fco True star x50ml 0368CT</v>
      </c>
      <c r="E196" s="61">
        <f>PEDIDOS!G196*PEDIDOS!H196/1000</f>
        <v>100</v>
      </c>
      <c r="F196" s="41" t="s">
        <v>446</v>
      </c>
      <c r="G196" s="23"/>
      <c r="H196" s="41" t="s">
        <v>457</v>
      </c>
      <c r="I196" s="62">
        <f>EXPEDICION!K196-7</f>
        <v>46169</v>
      </c>
      <c r="J196" s="63" t="str">
        <f>PEDIDOS!M196</f>
        <v>Y26066</v>
      </c>
      <c r="K196" s="23"/>
    </row>
    <row r="197" ht="22.5" customHeight="1">
      <c r="A197" s="64">
        <f>PEDIDOS!B197</f>
        <v>46113</v>
      </c>
      <c r="B197" s="65">
        <f>PEDIDOS!C197</f>
        <v>14362</v>
      </c>
      <c r="C197" s="65" t="str">
        <f>PEDIDOS!D197</f>
        <v>JACTANS - DISNEY</v>
      </c>
      <c r="D197" s="66" t="str">
        <f>PEDIDOS!E197</f>
        <v>DP-50891-Perfume inf Fco penelope x50ml 0390FR</v>
      </c>
      <c r="E197" s="67">
        <f>PEDIDOS!G197*PEDIDOS!H197/1000</f>
        <v>100</v>
      </c>
      <c r="F197" s="71" t="s">
        <v>446</v>
      </c>
      <c r="G197" s="65"/>
      <c r="H197" s="71" t="s">
        <v>457</v>
      </c>
      <c r="I197" s="72">
        <f>EXPEDICION!K197-7</f>
        <v>46182</v>
      </c>
      <c r="J197" s="69" t="str">
        <f>PEDIDOS!M197</f>
        <v>J26016</v>
      </c>
      <c r="K197" s="65"/>
    </row>
    <row r="198" ht="22.5" customHeight="1">
      <c r="A198" s="47">
        <f>PEDIDOS!B198</f>
        <v>46113</v>
      </c>
      <c r="B198" s="23" t="str">
        <f>PEDIDOS!C198</f>
        <v/>
      </c>
      <c r="C198" s="23" t="str">
        <f>PEDIDOS!D198</f>
        <v>BLE LIPS</v>
      </c>
      <c r="D198" s="60" t="str">
        <f>PEDIDOS!E198</f>
        <v>LIP INJECTION</v>
      </c>
      <c r="E198" s="61">
        <f>PEDIDOS!G198*PEDIDOS!H198/1000</f>
        <v>2.7</v>
      </c>
      <c r="F198" s="23" t="s">
        <v>446</v>
      </c>
      <c r="G198" s="23"/>
      <c r="H198" s="23" t="s">
        <v>461</v>
      </c>
      <c r="I198" s="62">
        <f>EXPEDICION!K198-7</f>
        <v>46127</v>
      </c>
      <c r="J198" s="63" t="str">
        <f>PEDIDOS!M198</f>
        <v>A26047</v>
      </c>
      <c r="K198" s="23"/>
    </row>
    <row r="199" ht="22.5" customHeight="1">
      <c r="A199" s="64">
        <f>PEDIDOS!B199</f>
        <v>46113</v>
      </c>
      <c r="B199" s="65" t="str">
        <f>PEDIDOS!C199</f>
        <v/>
      </c>
      <c r="C199" s="65" t="str">
        <f>PEDIDOS!D199</f>
        <v>BLE LIPS</v>
      </c>
      <c r="D199" s="66" t="str">
        <f>PEDIDOS!E199</f>
        <v>LIP INJECTION</v>
      </c>
      <c r="E199" s="67">
        <f>PEDIDOS!G199*PEDIDOS!H199/1000</f>
        <v>2.7</v>
      </c>
      <c r="F199" s="71" t="s">
        <v>446</v>
      </c>
      <c r="G199" s="71"/>
      <c r="H199" s="71" t="s">
        <v>461</v>
      </c>
      <c r="I199" s="72">
        <f>EXPEDICION!K199-7</f>
        <v>46149</v>
      </c>
      <c r="J199" s="69" t="str">
        <f>PEDIDOS!M199</f>
        <v>A26088</v>
      </c>
      <c r="K199" s="65"/>
    </row>
    <row r="200" ht="22.5" customHeight="1">
      <c r="A200" s="47">
        <f>PEDIDOS!B200</f>
        <v>46119</v>
      </c>
      <c r="B200" s="23" t="str">
        <f>PEDIDOS!C200</f>
        <v/>
      </c>
      <c r="C200" s="23" t="str">
        <f>PEDIDOS!D200</f>
        <v>BIOESENCIA</v>
      </c>
      <c r="D200" s="60" t="str">
        <f>PEDIDOS!E200</f>
        <v>AGUA MICELAR PROBIOTICS</v>
      </c>
      <c r="E200" s="61">
        <f>PEDIDOS!G200*PEDIDOS!H200/1000</f>
        <v>200</v>
      </c>
      <c r="F200" s="23" t="s">
        <v>446</v>
      </c>
      <c r="G200" s="23"/>
      <c r="H200" s="23" t="s">
        <v>462</v>
      </c>
      <c r="I200" s="70">
        <f>EXPEDICION!K200-7</f>
        <v>46132</v>
      </c>
      <c r="J200" s="63" t="str">
        <f>PEDIDOS!M200</f>
        <v>A26032</v>
      </c>
      <c r="K200" s="23"/>
    </row>
    <row r="201" ht="22.5" customHeight="1">
      <c r="A201" s="64">
        <f>PEDIDOS!B201</f>
        <v>46119</v>
      </c>
      <c r="B201" s="65" t="str">
        <f>PEDIDOS!C201</f>
        <v/>
      </c>
      <c r="C201" s="65" t="str">
        <f>PEDIDOS!D201</f>
        <v>BIOESENCIA</v>
      </c>
      <c r="D201" s="66" t="str">
        <f>PEDIDOS!E201</f>
        <v>CREMA FACIAL PROBIOTICS</v>
      </c>
      <c r="E201" s="67">
        <f>PEDIDOS!G201*PEDIDOS!H201/1000</f>
        <v>50</v>
      </c>
      <c r="F201" s="65" t="s">
        <v>446</v>
      </c>
      <c r="G201" s="65"/>
      <c r="H201" s="65" t="s">
        <v>462</v>
      </c>
      <c r="I201" s="68">
        <f>EXPEDICION!K201-7</f>
        <v>46127</v>
      </c>
      <c r="J201" s="69" t="str">
        <f>PEDIDOS!M201</f>
        <v>A26044</v>
      </c>
      <c r="K201" s="65"/>
    </row>
    <row r="202" ht="22.5" customHeight="1">
      <c r="A202" s="47">
        <f>PEDIDOS!B202</f>
        <v>46119</v>
      </c>
      <c r="B202" s="23" t="str">
        <f>PEDIDOS!C202</f>
        <v/>
      </c>
      <c r="C202" s="23" t="str">
        <f>PEDIDOS!D202</f>
        <v>BIOESENCIA</v>
      </c>
      <c r="D202" s="60" t="str">
        <f>PEDIDOS!E202</f>
        <v>CREMA EXFOLIANTE PROBIOTICS</v>
      </c>
      <c r="E202" s="61">
        <f>PEDIDOS!G202*PEDIDOS!H202/1000</f>
        <v>50</v>
      </c>
      <c r="F202" s="41" t="s">
        <v>446</v>
      </c>
      <c r="G202" s="23"/>
      <c r="H202" s="41" t="s">
        <v>456</v>
      </c>
      <c r="I202" s="70">
        <f>EXPEDICION!K202-7</f>
        <v>46162</v>
      </c>
      <c r="J202" s="63" t="str">
        <f>PEDIDOS!M202</f>
        <v>A26044</v>
      </c>
      <c r="K202" s="23"/>
    </row>
    <row r="203" ht="22.5" customHeight="1">
      <c r="A203" s="64">
        <f>PEDIDOS!B203</f>
        <v>46128</v>
      </c>
      <c r="B203" s="65">
        <f>PEDIDOS!C203</f>
        <v>143</v>
      </c>
      <c r="C203" s="65" t="str">
        <f>PEDIDOS!D203</f>
        <v>PROFESSIONAL BEAUTY</v>
      </c>
      <c r="D203" s="66" t="str">
        <f>PEDIDOS!E203</f>
        <v>ADVANCE CONTROL CAIDA</v>
      </c>
      <c r="E203" s="67">
        <f>PEDIDOS!G203*PEDIDOS!H203/1000</f>
        <v>5</v>
      </c>
      <c r="F203" s="65" t="s">
        <v>446</v>
      </c>
      <c r="G203" s="65"/>
      <c r="H203" s="65" t="s">
        <v>460</v>
      </c>
      <c r="I203" s="72">
        <f>EXPEDICION!K203-7</f>
        <v>46133</v>
      </c>
      <c r="J203" s="69" t="str">
        <f>PEDIDOS!M203</f>
        <v>A26068</v>
      </c>
      <c r="K203" s="65"/>
    </row>
    <row r="204" ht="22.5" customHeight="1">
      <c r="A204" s="47">
        <f>PEDIDOS!B204</f>
        <v>46128</v>
      </c>
      <c r="B204" s="23">
        <f>PEDIDOS!C204</f>
        <v>143</v>
      </c>
      <c r="C204" s="23" t="str">
        <f>PEDIDOS!D204</f>
        <v>PROFESSIONAL BEAUTY</v>
      </c>
      <c r="D204" s="60" t="str">
        <f>PEDIDOS!E204</f>
        <v>ADVANCE ARG</v>
      </c>
      <c r="E204" s="61">
        <f>PEDIDOS!G204*PEDIDOS!H204/1000</f>
        <v>5</v>
      </c>
      <c r="F204" s="23" t="s">
        <v>446</v>
      </c>
      <c r="G204" s="23"/>
      <c r="H204" s="23" t="s">
        <v>451</v>
      </c>
      <c r="I204" s="62">
        <f>EXPEDICION!K204-7</f>
        <v>46133</v>
      </c>
      <c r="J204" s="63" t="str">
        <f>PEDIDOS!M204</f>
        <v>A26067</v>
      </c>
      <c r="K204" s="23"/>
    </row>
    <row r="205" ht="22.5" customHeight="1">
      <c r="A205" s="64">
        <f>PEDIDOS!B205</f>
        <v>46119</v>
      </c>
      <c r="B205" s="65">
        <f>PEDIDOS!C205</f>
        <v>142</v>
      </c>
      <c r="C205" s="65" t="str">
        <f>PEDIDOS!D205</f>
        <v>PROFESSIONAL BEAUTY</v>
      </c>
      <c r="D205" s="66" t="str">
        <f>PEDIDOS!E205</f>
        <v>ADVANCE PLACENTA 5%</v>
      </c>
      <c r="E205" s="67">
        <f>PEDIDOS!G205*PEDIDOS!H205/1000</f>
        <v>5</v>
      </c>
      <c r="F205" s="65" t="s">
        <v>446</v>
      </c>
      <c r="G205" s="65"/>
      <c r="H205" s="65" t="s">
        <v>451</v>
      </c>
      <c r="I205" s="72">
        <f>EXPEDICION!K205-7</f>
        <v>46133</v>
      </c>
      <c r="J205" s="69" t="str">
        <f>PEDIDOS!M205</f>
        <v>A26037</v>
      </c>
      <c r="K205" s="65"/>
    </row>
    <row r="206" ht="22.5" customHeight="1">
      <c r="A206" s="47">
        <f>PEDIDOS!B206</f>
        <v>46119</v>
      </c>
      <c r="B206" s="23">
        <f>PEDIDOS!C206</f>
        <v>142</v>
      </c>
      <c r="C206" s="23" t="str">
        <f>PEDIDOS!D206</f>
        <v>PROFESSIONAL BEAUTY</v>
      </c>
      <c r="D206" s="60" t="str">
        <f>PEDIDOS!E206</f>
        <v>BB WHITE TONO 2</v>
      </c>
      <c r="E206" s="61">
        <f>PEDIDOS!G206*PEDIDOS!H206/1000</f>
        <v>5</v>
      </c>
      <c r="F206" s="23" t="s">
        <v>446</v>
      </c>
      <c r="G206" s="23"/>
      <c r="H206" s="23" t="s">
        <v>451</v>
      </c>
      <c r="I206" s="62">
        <f>EXPEDICION!K206-7</f>
        <v>46135</v>
      </c>
      <c r="J206" s="63" t="str">
        <f>PEDIDOS!M206</f>
        <v>A26034</v>
      </c>
      <c r="K206" s="23"/>
    </row>
    <row r="207" ht="22.5" customHeight="1">
      <c r="A207" s="64">
        <f>PEDIDOS!B207</f>
        <v>46119</v>
      </c>
      <c r="B207" s="65">
        <f>PEDIDOS!C207</f>
        <v>142</v>
      </c>
      <c r="C207" s="65" t="str">
        <f>PEDIDOS!D207</f>
        <v>PROFESSIONAL BEAUTY</v>
      </c>
      <c r="D207" s="66" t="str">
        <f>PEDIDOS!E207</f>
        <v>ADVANCE ACIDO HIALURONICO 1%</v>
      </c>
      <c r="E207" s="67">
        <f>PEDIDOS!G207*PEDIDOS!H207/1000</f>
        <v>5</v>
      </c>
      <c r="F207" s="71" t="s">
        <v>446</v>
      </c>
      <c r="G207" s="65"/>
      <c r="H207" s="65" t="s">
        <v>463</v>
      </c>
      <c r="I207" s="72">
        <f>EXPEDICION!K207-7</f>
        <v>46133</v>
      </c>
      <c r="J207" s="69" t="str">
        <f>PEDIDOS!M207</f>
        <v>A26021</v>
      </c>
      <c r="K207" s="65"/>
    </row>
    <row r="208" ht="22.5" customHeight="1">
      <c r="A208" s="47">
        <f>PEDIDOS!B208</f>
        <v>46119</v>
      </c>
      <c r="B208" s="23">
        <f>PEDIDOS!C208</f>
        <v>142</v>
      </c>
      <c r="C208" s="23" t="str">
        <f>PEDIDOS!D208</f>
        <v>PROFESSIONAL BEAUTY</v>
      </c>
      <c r="D208" s="60" t="str">
        <f>PEDIDOS!E208</f>
        <v>ADVANCE VIT C</v>
      </c>
      <c r="E208" s="61">
        <f>PEDIDOS!G208*PEDIDOS!H208/1000</f>
        <v>5</v>
      </c>
      <c r="F208" s="23" t="s">
        <v>446</v>
      </c>
      <c r="G208" s="23"/>
      <c r="H208" s="23" t="s">
        <v>451</v>
      </c>
      <c r="I208" s="62">
        <f>EXPEDICION!K208-7</f>
        <v>46133</v>
      </c>
      <c r="J208" s="63" t="str">
        <f>PEDIDOS!M208</f>
        <v>A26022</v>
      </c>
      <c r="K208" s="23"/>
    </row>
    <row r="209" ht="22.5" customHeight="1">
      <c r="A209" s="64">
        <f>PEDIDOS!B209</f>
        <v>46119</v>
      </c>
      <c r="B209" s="65">
        <f>PEDIDOS!C209</f>
        <v>142</v>
      </c>
      <c r="C209" s="65" t="str">
        <f>PEDIDOS!D209</f>
        <v>PROFESSIONAL BEAUTY</v>
      </c>
      <c r="D209" s="66" t="str">
        <f>PEDIDOS!E209</f>
        <v>ADVANCE DMAE 7%</v>
      </c>
      <c r="E209" s="67">
        <f>PEDIDOS!G209*PEDIDOS!H209/1000</f>
        <v>5</v>
      </c>
      <c r="F209" s="65" t="s">
        <v>446</v>
      </c>
      <c r="G209" s="65"/>
      <c r="H209" s="65" t="s">
        <v>451</v>
      </c>
      <c r="I209" s="72">
        <f>EXPEDICION!K209-7</f>
        <v>46133</v>
      </c>
      <c r="J209" s="69" t="str">
        <f>PEDIDOS!M209</f>
        <v>A26036</v>
      </c>
      <c r="K209" s="65"/>
    </row>
    <row r="210" ht="22.5" customHeight="1">
      <c r="A210" s="47">
        <f>PEDIDOS!B210</f>
        <v>46119</v>
      </c>
      <c r="B210" s="23">
        <f>PEDIDOS!C210</f>
        <v>142</v>
      </c>
      <c r="C210" s="23" t="str">
        <f>PEDIDOS!D210</f>
        <v>PROFESSIONAL BEAUTY</v>
      </c>
      <c r="D210" s="60" t="str">
        <f>PEDIDOS!E210</f>
        <v>ADVANCE ACIDO HIALURONICO 2%</v>
      </c>
      <c r="E210" s="61">
        <f>PEDIDOS!G210*PEDIDOS!H210/1000</f>
        <v>5</v>
      </c>
      <c r="F210" s="41" t="s">
        <v>446</v>
      </c>
      <c r="G210" s="23"/>
      <c r="H210" s="23" t="s">
        <v>451</v>
      </c>
      <c r="I210" s="62">
        <f>EXPEDICION!K210-7</f>
        <v>46133</v>
      </c>
      <c r="J210" s="63" t="str">
        <f>PEDIDOS!M210</f>
        <v>A26009</v>
      </c>
      <c r="K210" s="23"/>
    </row>
    <row r="211" ht="22.5" customHeight="1">
      <c r="A211" s="64">
        <f>PEDIDOS!B211</f>
        <v>46118</v>
      </c>
      <c r="B211" s="65">
        <f>PEDIDOS!C211</f>
        <v>15231</v>
      </c>
      <c r="C211" s="65" t="str">
        <f>PEDIDOS!D211</f>
        <v>THELMA Y LOUISE</v>
      </c>
      <c r="D211" s="66" t="str">
        <f>PEDIDOS!E211</f>
        <v>BRUMA FACIAL DE ROSAS</v>
      </c>
      <c r="E211" s="67">
        <f>PEDIDOS!G211*PEDIDOS!H211/1000</f>
        <v>147.27</v>
      </c>
      <c r="F211" s="65" t="s">
        <v>446</v>
      </c>
      <c r="G211" s="65"/>
      <c r="H211" s="65" t="s">
        <v>453</v>
      </c>
      <c r="I211" s="68">
        <f>EXPEDICION!K211-7</f>
        <v>46113</v>
      </c>
      <c r="J211" s="69" t="str">
        <f>PEDIDOS!M211</f>
        <v>A26001</v>
      </c>
      <c r="K211" s="65"/>
    </row>
    <row r="212" ht="22.5" customHeight="1">
      <c r="A212" s="47">
        <f>PEDIDOS!B212</f>
        <v>46118</v>
      </c>
      <c r="B212" s="23">
        <f>PEDIDOS!C212</f>
        <v>15228</v>
      </c>
      <c r="C212" s="23" t="str">
        <f>PEDIDOS!D212</f>
        <v>THELMA Y LOUISE</v>
      </c>
      <c r="D212" s="60" t="str">
        <f>PEDIDOS!E212</f>
        <v>AGUA MICELAR BIFASICA</v>
      </c>
      <c r="E212" s="61">
        <f>PEDIDOS!G212*PEDIDOS!H212/1000</f>
        <v>800</v>
      </c>
      <c r="F212" s="23" t="s">
        <v>446</v>
      </c>
      <c r="G212" s="23"/>
      <c r="H212" s="23" t="s">
        <v>460</v>
      </c>
      <c r="I212" s="62">
        <f>EXPEDICION!K212-7</f>
        <v>46133</v>
      </c>
      <c r="J212" s="63">
        <f>PEDIDOS!M212</f>
        <v>70401</v>
      </c>
      <c r="K212" s="23"/>
    </row>
    <row r="213" ht="22.5" customHeight="1">
      <c r="A213" s="64">
        <f>PEDIDOS!B213</f>
        <v>46118</v>
      </c>
      <c r="B213" s="65">
        <f>PEDIDOS!C213</f>
        <v>15233</v>
      </c>
      <c r="C213" s="65" t="str">
        <f>PEDIDOS!D213</f>
        <v>THELMA Y LOUISE</v>
      </c>
      <c r="D213" s="66" t="str">
        <f>PEDIDOS!E213</f>
        <v>BALSAMO LABIAL EXFOLIANTE COCO</v>
      </c>
      <c r="E213" s="67">
        <f>PEDIDOS!G213*PEDIDOS!H213/1000</f>
        <v>2.4</v>
      </c>
      <c r="F213" s="65" t="s">
        <v>446</v>
      </c>
      <c r="G213" s="65"/>
      <c r="H213" s="65" t="s">
        <v>460</v>
      </c>
      <c r="I213" s="68">
        <f>EXPEDICION!K213-7</f>
        <v>46140</v>
      </c>
      <c r="J213" s="69" t="str">
        <f>PEDIDOS!M213</f>
        <v>A26058</v>
      </c>
      <c r="K213" s="65"/>
    </row>
    <row r="214" ht="22.5" customHeight="1">
      <c r="A214" s="47">
        <f>PEDIDOS!B214</f>
        <v>46118</v>
      </c>
      <c r="B214" s="23">
        <f>PEDIDOS!C214</f>
        <v>15233</v>
      </c>
      <c r="C214" s="23" t="str">
        <f>PEDIDOS!D214</f>
        <v>THELMA Y LOUISE</v>
      </c>
      <c r="D214" s="60" t="str">
        <f>PEDIDOS!E214</f>
        <v>BALSAMO LABIAL EXFOLIANTE CORAL SANDIA (CHERRY)</v>
      </c>
      <c r="E214" s="61">
        <f>PEDIDOS!G214*PEDIDOS!H214/1000</f>
        <v>3.6</v>
      </c>
      <c r="F214" s="23" t="s">
        <v>446</v>
      </c>
      <c r="G214" s="23"/>
      <c r="H214" s="23" t="s">
        <v>460</v>
      </c>
      <c r="I214" s="70">
        <f>EXPEDICION!K214-7</f>
        <v>46140</v>
      </c>
      <c r="J214" s="63" t="str">
        <f>PEDIDOS!M214</f>
        <v>A26069</v>
      </c>
      <c r="K214" s="23"/>
    </row>
    <row r="215" ht="22.5" customHeight="1">
      <c r="A215" s="64">
        <f>PEDIDOS!B215</f>
        <v>46118</v>
      </c>
      <c r="B215" s="65">
        <f>PEDIDOS!C215</f>
        <v>15233</v>
      </c>
      <c r="C215" s="65" t="str">
        <f>PEDIDOS!D215</f>
        <v>THELMA Y LOUISE</v>
      </c>
      <c r="D215" s="66" t="str">
        <f>PEDIDOS!E215</f>
        <v>BALSAMO LABIAL ROSA CHICLE</v>
      </c>
      <c r="E215" s="67">
        <f>PEDIDOS!G215*PEDIDOS!H215/1000</f>
        <v>10.8</v>
      </c>
      <c r="F215" s="65" t="s">
        <v>446</v>
      </c>
      <c r="G215" s="65"/>
      <c r="H215" s="65" t="s">
        <v>453</v>
      </c>
      <c r="I215" s="68">
        <f>EXPEDICION!K215-7</f>
        <v>46140</v>
      </c>
      <c r="J215" s="69" t="str">
        <f>PEDIDOS!M215</f>
        <v>A26031</v>
      </c>
      <c r="K215" s="65"/>
    </row>
    <row r="216" ht="22.5" customHeight="1">
      <c r="A216" s="47">
        <f>PEDIDOS!B216</f>
        <v>46121</v>
      </c>
      <c r="B216" s="23" t="str">
        <f>PEDIDOS!C216</f>
        <v/>
      </c>
      <c r="C216" s="23" t="str">
        <f>PEDIDOS!D216</f>
        <v>BL COSMETICS</v>
      </c>
      <c r="D216" s="60" t="str">
        <f>PEDIDOS!E216</f>
        <v>SERUM JOJOBA</v>
      </c>
      <c r="E216" s="61">
        <f>PEDIDOS!G216*PEDIDOS!H216/1000</f>
        <v>150</v>
      </c>
      <c r="F216" s="23" t="s">
        <v>446</v>
      </c>
      <c r="G216" s="23"/>
      <c r="H216" s="23" t="s">
        <v>456</v>
      </c>
      <c r="I216" s="62">
        <f>EXPEDICION!K216-7</f>
        <v>46147</v>
      </c>
      <c r="J216" s="63" t="str">
        <f>PEDIDOS!M216</f>
        <v>A26089</v>
      </c>
      <c r="K216" s="23"/>
    </row>
    <row r="217" ht="22.5" customHeight="1">
      <c r="A217" s="64">
        <f>PEDIDOS!B217</f>
        <v>46121</v>
      </c>
      <c r="B217" s="65" t="str">
        <f>PEDIDOS!C217</f>
        <v/>
      </c>
      <c r="C217" s="65" t="str">
        <f>PEDIDOS!D217</f>
        <v>BL COSMETICS</v>
      </c>
      <c r="D217" s="66" t="str">
        <f>PEDIDOS!E217</f>
        <v>SPRAY REPAIR PLEX</v>
      </c>
      <c r="E217" s="67">
        <f>PEDIDOS!G217*PEDIDOS!H217/1000</f>
        <v>750</v>
      </c>
      <c r="F217" s="71" t="s">
        <v>446</v>
      </c>
      <c r="G217" s="65"/>
      <c r="H217" s="65" t="s">
        <v>448</v>
      </c>
      <c r="I217" s="68">
        <f>EXPEDICION!K217-7</f>
        <v>46150</v>
      </c>
      <c r="J217" s="69" t="str">
        <f>PEDIDOS!M217</f>
        <v>A26081</v>
      </c>
      <c r="K217" s="65"/>
    </row>
    <row r="218" ht="22.5" customHeight="1">
      <c r="A218" s="47">
        <f>PEDIDOS!B218</f>
        <v>46121</v>
      </c>
      <c r="B218" s="23" t="str">
        <f>PEDIDOS!C218</f>
        <v/>
      </c>
      <c r="C218" s="23" t="str">
        <f>PEDIDOS!D218</f>
        <v>BL COSMETICS</v>
      </c>
      <c r="D218" s="60" t="str">
        <f>PEDIDOS!E218</f>
        <v>SHAMPOO CONTROL LISS</v>
      </c>
      <c r="E218" s="61">
        <f>PEDIDOS!G218*PEDIDOS!H218/1000</f>
        <v>300</v>
      </c>
      <c r="F218" s="41" t="s">
        <v>446</v>
      </c>
      <c r="G218" s="23"/>
      <c r="H218" s="23" t="s">
        <v>456</v>
      </c>
      <c r="I218" s="70">
        <f>EXPEDICION!K218-7</f>
        <v>46150</v>
      </c>
      <c r="J218" s="63" t="str">
        <f>PEDIDOS!M218</f>
        <v>Y26013</v>
      </c>
      <c r="K218" s="23"/>
    </row>
    <row r="219" ht="22.5" customHeight="1">
      <c r="A219" s="64">
        <f>PEDIDOS!B219</f>
        <v>46121</v>
      </c>
      <c r="B219" s="65" t="str">
        <f>PEDIDOS!C219</f>
        <v/>
      </c>
      <c r="C219" s="65" t="str">
        <f>PEDIDOS!D219</f>
        <v>BL COSMETICS</v>
      </c>
      <c r="D219" s="66" t="str">
        <f>PEDIDOS!E219</f>
        <v>ACONDICIONADOR CONTROL LISS</v>
      </c>
      <c r="E219" s="67">
        <f>PEDIDOS!G219*PEDIDOS!H219/1000</f>
        <v>300</v>
      </c>
      <c r="F219" s="71" t="s">
        <v>446</v>
      </c>
      <c r="G219" s="65"/>
      <c r="H219" s="65" t="s">
        <v>456</v>
      </c>
      <c r="I219" s="68">
        <f>EXPEDICION!K219-7</f>
        <v>46143</v>
      </c>
      <c r="J219" s="69" t="str">
        <f>PEDIDOS!M219</f>
        <v>Y26014</v>
      </c>
      <c r="K219" s="65"/>
    </row>
    <row r="220" ht="22.5" customHeight="1">
      <c r="A220" s="47">
        <f>PEDIDOS!B220</f>
        <v>46121</v>
      </c>
      <c r="B220" s="23" t="str">
        <f>PEDIDOS!C220</f>
        <v/>
      </c>
      <c r="C220" s="23" t="str">
        <f>PEDIDOS!D220</f>
        <v>BL COSMETICS</v>
      </c>
      <c r="D220" s="60" t="str">
        <f>PEDIDOS!E220</f>
        <v>ALISADO KERATIN LISS X1KG</v>
      </c>
      <c r="E220" s="61">
        <f>PEDIDOS!G220*PEDIDOS!H220/1000</f>
        <v>500</v>
      </c>
      <c r="F220" s="41" t="s">
        <v>446</v>
      </c>
      <c r="G220" s="23"/>
      <c r="H220" s="41" t="s">
        <v>456</v>
      </c>
      <c r="I220" s="62">
        <f>EXPEDICION!K220-7</f>
        <v>46168</v>
      </c>
      <c r="J220" s="63" t="str">
        <f>PEDIDOS!M220</f>
        <v>Y26010</v>
      </c>
      <c r="K220" s="23"/>
    </row>
    <row r="221" ht="22.5" customHeight="1">
      <c r="A221" s="64">
        <f>PEDIDOS!B221</f>
        <v>46121</v>
      </c>
      <c r="B221" s="65" t="str">
        <f>PEDIDOS!C221</f>
        <v/>
      </c>
      <c r="C221" s="65" t="str">
        <f>PEDIDOS!D221</f>
        <v>BL COSMETICS</v>
      </c>
      <c r="D221" s="66" t="str">
        <f>PEDIDOS!E221</f>
        <v>ALISADO KERATIN LISS</v>
      </c>
      <c r="E221" s="67">
        <f>PEDIDOS!G221*PEDIDOS!H221/1000</f>
        <v>600</v>
      </c>
      <c r="F221" s="71" t="s">
        <v>446</v>
      </c>
      <c r="G221" s="65"/>
      <c r="H221" s="71" t="s">
        <v>456</v>
      </c>
      <c r="I221" s="72">
        <f>EXPEDICION!K221-7</f>
        <v>46168</v>
      </c>
      <c r="J221" s="69" t="str">
        <f>PEDIDOS!M221</f>
        <v>Y26010</v>
      </c>
      <c r="K221" s="65"/>
    </row>
    <row r="222" ht="22.5" customHeight="1">
      <c r="A222" s="47">
        <f>PEDIDOS!B222</f>
        <v>46121</v>
      </c>
      <c r="B222" s="23" t="str">
        <f>PEDIDOS!C222</f>
        <v/>
      </c>
      <c r="C222" s="23" t="str">
        <f>PEDIDOS!D222</f>
        <v>BL COSMETICS</v>
      </c>
      <c r="D222" s="60" t="str">
        <f>PEDIDOS!E222</f>
        <v>ALISADO EXPERT X1KG</v>
      </c>
      <c r="E222" s="61">
        <f>PEDIDOS!G222*PEDIDOS!H222/1000</f>
        <v>600</v>
      </c>
      <c r="F222" s="41" t="s">
        <v>446</v>
      </c>
      <c r="G222" s="41"/>
      <c r="H222" s="41" t="s">
        <v>459</v>
      </c>
      <c r="I222" s="62">
        <f>EXPEDICION!K222-7</f>
        <v>46087</v>
      </c>
      <c r="J222" s="63" t="str">
        <f>PEDIDOS!M222</f>
        <v>Y26002</v>
      </c>
      <c r="K222" s="23"/>
    </row>
    <row r="223" ht="22.5" customHeight="1">
      <c r="A223" s="64">
        <f>PEDIDOS!B223</f>
        <v>46122</v>
      </c>
      <c r="B223" s="65" t="str">
        <f>PEDIDOS!C223</f>
        <v/>
      </c>
      <c r="C223" s="65" t="str">
        <f>PEDIDOS!D223</f>
        <v>DERMION / FRANCO</v>
      </c>
      <c r="D223" s="66" t="str">
        <f>PEDIDOS!E223</f>
        <v>SERUM AH + NIACI</v>
      </c>
      <c r="E223" s="67">
        <f>PEDIDOS!G223*PEDIDOS!H223/1000</f>
        <v>21</v>
      </c>
      <c r="F223" s="65" t="s">
        <v>446</v>
      </c>
      <c r="G223" s="65"/>
      <c r="H223" s="65" t="s">
        <v>451</v>
      </c>
      <c r="I223" s="72">
        <f>EXPEDICION!K223-7</f>
        <v>46126</v>
      </c>
      <c r="J223" s="69" t="str">
        <f>PEDIDOS!M223</f>
        <v>A26035</v>
      </c>
      <c r="K223" s="65"/>
    </row>
    <row r="224" ht="22.5" customHeight="1">
      <c r="A224" s="47">
        <f>PEDIDOS!B224</f>
        <v>46126</v>
      </c>
      <c r="B224" s="23" t="str">
        <f>PEDIDOS!C224</f>
        <v/>
      </c>
      <c r="C224" s="23" t="str">
        <f>PEDIDOS!D224</f>
        <v>AGUEDA REY - YOUTHFUL</v>
      </c>
      <c r="D224" s="60" t="str">
        <f>PEDIDOS!E224</f>
        <v>Crema facial Dia (Version D250215/2)</v>
      </c>
      <c r="E224" s="61">
        <f>PEDIDOS!G224*PEDIDOS!H224/1000</f>
        <v>10</v>
      </c>
      <c r="F224" s="23" t="s">
        <v>446</v>
      </c>
      <c r="G224" s="23"/>
      <c r="H224" s="23" t="s">
        <v>451</v>
      </c>
      <c r="I224" s="62">
        <f>EXPEDICION!K224-7</f>
        <v>46141</v>
      </c>
      <c r="J224" s="63" t="str">
        <f>PEDIDOS!M224</f>
        <v>A26085</v>
      </c>
      <c r="K224" s="23"/>
    </row>
    <row r="225" ht="22.5" customHeight="1">
      <c r="A225" s="64">
        <f>PEDIDOS!B225</f>
        <v>46126</v>
      </c>
      <c r="B225" s="65" t="str">
        <f>PEDIDOS!C225</f>
        <v/>
      </c>
      <c r="C225" s="65" t="str">
        <f>PEDIDOS!D225</f>
        <v>AGUEDA REY - YOUTHFUL</v>
      </c>
      <c r="D225" s="66" t="str">
        <f>PEDIDOS!E225</f>
        <v>Bruma facial Version D250211/2 (B)</v>
      </c>
      <c r="E225" s="67">
        <f>PEDIDOS!G225*PEDIDOS!H225/1000</f>
        <v>10</v>
      </c>
      <c r="F225" s="65" t="s">
        <v>446</v>
      </c>
      <c r="G225" s="65"/>
      <c r="H225" s="65" t="s">
        <v>448</v>
      </c>
      <c r="I225" s="72">
        <f>EXPEDICION!K225-7</f>
        <v>46141</v>
      </c>
      <c r="J225" s="69" t="str">
        <f>PEDIDOS!M225</f>
        <v>A26086</v>
      </c>
      <c r="K225" s="65"/>
    </row>
    <row r="226" ht="22.5" customHeight="1">
      <c r="A226" s="47">
        <f>PEDIDOS!B226</f>
        <v>46127</v>
      </c>
      <c r="B226" s="23" t="str">
        <f>PEDIDOS!C226</f>
        <v/>
      </c>
      <c r="C226" s="23" t="str">
        <f>PEDIDOS!D226</f>
        <v>LUCENT</v>
      </c>
      <c r="D226" s="60" t="str">
        <f>PEDIDOS!E226</f>
        <v>Serum hial 1%</v>
      </c>
      <c r="E226" s="61">
        <f>PEDIDOS!G226*PEDIDOS!H226/1000</f>
        <v>10</v>
      </c>
      <c r="F226" s="23" t="s">
        <v>446</v>
      </c>
      <c r="G226" s="23"/>
      <c r="H226" s="23" t="s">
        <v>456</v>
      </c>
      <c r="I226" s="62">
        <f>EXPEDICION!K226-7</f>
        <v>46146</v>
      </c>
      <c r="J226" s="63" t="str">
        <f>PEDIDOS!M226</f>
        <v>A26054</v>
      </c>
      <c r="K226" s="23"/>
    </row>
    <row r="227" ht="22.5" customHeight="1">
      <c r="A227" s="64">
        <f>PEDIDOS!B227</f>
        <v>46127</v>
      </c>
      <c r="B227" s="65" t="str">
        <f>PEDIDOS!C227</f>
        <v/>
      </c>
      <c r="C227" s="65" t="str">
        <f>PEDIDOS!D227</f>
        <v>LUCENT</v>
      </c>
      <c r="D227" s="66" t="str">
        <f>PEDIDOS!E227</f>
        <v>Serum hial 2%</v>
      </c>
      <c r="E227" s="67">
        <f>PEDIDOS!G227*PEDIDOS!H227/1000</f>
        <v>10</v>
      </c>
      <c r="F227" s="65" t="s">
        <v>446</v>
      </c>
      <c r="G227" s="65"/>
      <c r="H227" s="65" t="s">
        <v>456</v>
      </c>
      <c r="I227" s="72">
        <f>EXPEDICION!K227-7</f>
        <v>46146</v>
      </c>
      <c r="J227" s="69" t="str">
        <f>PEDIDOS!M227</f>
        <v>A26055</v>
      </c>
      <c r="K227" s="65"/>
    </row>
    <row r="228" ht="22.5" customHeight="1">
      <c r="A228" s="47">
        <f>PEDIDOS!B228</f>
        <v>46127</v>
      </c>
      <c r="B228" s="23" t="str">
        <f>PEDIDOS!C228</f>
        <v/>
      </c>
      <c r="C228" s="23" t="str">
        <f>PEDIDOS!D228</f>
        <v>LUCENT</v>
      </c>
      <c r="D228" s="60" t="str">
        <f>PEDIDOS!E228</f>
        <v>Serum colageno y elastina</v>
      </c>
      <c r="E228" s="61">
        <f>PEDIDOS!G228*PEDIDOS!H228/1000</f>
        <v>5</v>
      </c>
      <c r="F228" s="41" t="s">
        <v>446</v>
      </c>
      <c r="G228" s="41"/>
      <c r="H228" s="41" t="s">
        <v>459</v>
      </c>
      <c r="I228" s="62">
        <f>EXPEDICION!K228-7</f>
        <v>46147</v>
      </c>
      <c r="J228" s="63" t="str">
        <f>PEDIDOS!M228</f>
        <v>A26056</v>
      </c>
      <c r="K228" s="23"/>
    </row>
    <row r="229" ht="22.5" customHeight="1">
      <c r="A229" s="64">
        <f>PEDIDOS!B229</f>
        <v>46127</v>
      </c>
      <c r="B229" s="65" t="str">
        <f>PEDIDOS!C229</f>
        <v/>
      </c>
      <c r="C229" s="65" t="str">
        <f>PEDIDOS!D229</f>
        <v>LUCENT</v>
      </c>
      <c r="D229" s="66" t="str">
        <f>PEDIDOS!E229</f>
        <v>Serum argireline</v>
      </c>
      <c r="E229" s="67">
        <f>PEDIDOS!G229*PEDIDOS!H229/1000</f>
        <v>5</v>
      </c>
      <c r="F229" s="65" t="s">
        <v>446</v>
      </c>
      <c r="G229" s="65"/>
      <c r="H229" s="65" t="s">
        <v>460</v>
      </c>
      <c r="I229" s="72">
        <f>EXPEDICION!K229-7</f>
        <v>46147</v>
      </c>
      <c r="J229" s="69" t="str">
        <f>PEDIDOS!M229</f>
        <v>A26057</v>
      </c>
      <c r="K229" s="65"/>
    </row>
    <row r="230" ht="22.5" customHeight="1">
      <c r="A230" s="47">
        <f>PEDIDOS!B230</f>
        <v>46127</v>
      </c>
      <c r="B230" s="23" t="str">
        <f>PEDIDOS!C230</f>
        <v/>
      </c>
      <c r="C230" s="23" t="str">
        <f>PEDIDOS!D230</f>
        <v>LUCENT</v>
      </c>
      <c r="D230" s="60" t="str">
        <f>PEDIDOS!E230</f>
        <v>Serum dmae</v>
      </c>
      <c r="E230" s="61">
        <f>PEDIDOS!G230*PEDIDOS!H230/1000</f>
        <v>5</v>
      </c>
      <c r="F230" s="23" t="s">
        <v>446</v>
      </c>
      <c r="G230" s="23"/>
      <c r="H230" s="23" t="s">
        <v>460</v>
      </c>
      <c r="I230" s="62">
        <f>EXPEDICION!K230-7</f>
        <v>46147</v>
      </c>
      <c r="J230" s="63" t="str">
        <f>PEDIDOS!M230</f>
        <v>A26066</v>
      </c>
      <c r="K230" s="23"/>
    </row>
    <row r="231" ht="22.5" customHeight="1">
      <c r="A231" s="64">
        <f>PEDIDOS!B231</f>
        <v>46127</v>
      </c>
      <c r="B231" s="65" t="str">
        <f>PEDIDOS!C231</f>
        <v/>
      </c>
      <c r="C231" s="65" t="str">
        <f>PEDIDOS!D231</f>
        <v>LUCENT</v>
      </c>
      <c r="D231" s="66" t="str">
        <f>PEDIDOS!E231</f>
        <v>Serum shock vit</v>
      </c>
      <c r="E231" s="67">
        <f>PEDIDOS!G231*PEDIDOS!H231/1000</f>
        <v>5</v>
      </c>
      <c r="F231" s="65" t="s">
        <v>446</v>
      </c>
      <c r="G231" s="65"/>
      <c r="H231" s="65" t="s">
        <v>451</v>
      </c>
      <c r="I231" s="72">
        <f>EXPEDICION!K231-7</f>
        <v>46147</v>
      </c>
      <c r="J231" s="69" t="str">
        <f>PEDIDOS!M231</f>
        <v>A26059</v>
      </c>
      <c r="K231" s="65"/>
    </row>
    <row r="232" ht="22.5" customHeight="1">
      <c r="A232" s="47">
        <f>PEDIDOS!B232</f>
        <v>46127</v>
      </c>
      <c r="B232" s="23" t="str">
        <f>PEDIDOS!C232</f>
        <v/>
      </c>
      <c r="C232" s="23" t="str">
        <f>PEDIDOS!D232</f>
        <v>LUCENT</v>
      </c>
      <c r="D232" s="60" t="str">
        <f>PEDIDOS!E232</f>
        <v>Serum fosfatidilcolina</v>
      </c>
      <c r="E232" s="61">
        <f>PEDIDOS!G232*PEDIDOS!H232/1000</f>
        <v>5</v>
      </c>
      <c r="F232" s="23" t="s">
        <v>446</v>
      </c>
      <c r="G232" s="23"/>
      <c r="H232" s="23" t="s">
        <v>447</v>
      </c>
      <c r="I232" s="62">
        <f>EXPEDICION!K232-7</f>
        <v>46147</v>
      </c>
      <c r="J232" s="63" t="str">
        <f>PEDIDOS!M232</f>
        <v>A26060</v>
      </c>
      <c r="K232" s="23"/>
    </row>
    <row r="233" ht="22.5" customHeight="1">
      <c r="A233" s="64">
        <f>PEDIDOS!B233</f>
        <v>46127</v>
      </c>
      <c r="B233" s="65" t="str">
        <f>PEDIDOS!C233</f>
        <v/>
      </c>
      <c r="C233" s="65" t="str">
        <f>PEDIDOS!D233</f>
        <v>LUCENT</v>
      </c>
      <c r="D233" s="66" t="str">
        <f>PEDIDOS!E233</f>
        <v>Serum P+ (peptide)</v>
      </c>
      <c r="E233" s="67">
        <f>PEDIDOS!G233*PEDIDOS!H233/1000</f>
        <v>5</v>
      </c>
      <c r="F233" s="65" t="s">
        <v>446</v>
      </c>
      <c r="G233" s="65"/>
      <c r="H233" s="65" t="s">
        <v>451</v>
      </c>
      <c r="I233" s="72">
        <f>EXPEDICION!K233-7</f>
        <v>46134</v>
      </c>
      <c r="J233" s="69" t="str">
        <f>PEDIDOS!M233</f>
        <v>A26061</v>
      </c>
      <c r="K233" s="65"/>
    </row>
    <row r="234" ht="22.5" customHeight="1">
      <c r="A234" s="47">
        <f>PEDIDOS!B234</f>
        <v>46127</v>
      </c>
      <c r="B234" s="23" t="str">
        <f>PEDIDOS!C234</f>
        <v/>
      </c>
      <c r="C234" s="23" t="str">
        <f>PEDIDOS!D234</f>
        <v>LUCENT</v>
      </c>
      <c r="D234" s="60" t="str">
        <f>PEDIDOS!E234</f>
        <v>Serum adn</v>
      </c>
      <c r="E234" s="61">
        <f>PEDIDOS!G234*PEDIDOS!H234/1000</f>
        <v>5</v>
      </c>
      <c r="F234" s="23" t="s">
        <v>446</v>
      </c>
      <c r="G234" s="23"/>
      <c r="H234" s="23" t="s">
        <v>447</v>
      </c>
      <c r="I234" s="62">
        <f>EXPEDICION!K234-7</f>
        <v>46147</v>
      </c>
      <c r="J234" s="63" t="str">
        <f>PEDIDOS!M234</f>
        <v>A26062</v>
      </c>
      <c r="K234" s="23"/>
    </row>
    <row r="235" ht="22.5" customHeight="1">
      <c r="A235" s="64">
        <f>PEDIDOS!B235</f>
        <v>46127</v>
      </c>
      <c r="B235" s="65" t="str">
        <f>PEDIDOS!C235</f>
        <v/>
      </c>
      <c r="C235" s="65" t="str">
        <f>PEDIDOS!D235</f>
        <v>LUCENT</v>
      </c>
      <c r="D235" s="66" t="str">
        <f>PEDIDOS!E235</f>
        <v>melena de leon</v>
      </c>
      <c r="E235" s="67">
        <f>PEDIDOS!G235*PEDIDOS!H235/1000</f>
        <v>10</v>
      </c>
      <c r="F235" s="65" t="s">
        <v>446</v>
      </c>
      <c r="G235" s="65"/>
      <c r="H235" s="65" t="s">
        <v>451</v>
      </c>
      <c r="I235" s="72">
        <f>EXPEDICION!K235-7</f>
        <v>46110</v>
      </c>
      <c r="J235" s="69" t="str">
        <f>PEDIDOS!M235</f>
        <v>A26063</v>
      </c>
      <c r="K235" s="65"/>
    </row>
    <row r="236" ht="22.5" customHeight="1">
      <c r="A236" s="47">
        <f>PEDIDOS!B236</f>
        <v>46127</v>
      </c>
      <c r="B236" s="23" t="str">
        <f>PEDIDOS!C236</f>
        <v/>
      </c>
      <c r="C236" s="23" t="str">
        <f>PEDIDOS!D236</f>
        <v>LUCENT</v>
      </c>
      <c r="D236" s="60" t="str">
        <f>PEDIDOS!E236</f>
        <v>reishi</v>
      </c>
      <c r="E236" s="61">
        <f>PEDIDOS!G236*PEDIDOS!H236/1000</f>
        <v>10</v>
      </c>
      <c r="F236" s="23" t="s">
        <v>446</v>
      </c>
      <c r="G236" s="23"/>
      <c r="H236" s="23" t="s">
        <v>451</v>
      </c>
      <c r="I236" s="62">
        <f>EXPEDICION!K236-7</f>
        <v>46110</v>
      </c>
      <c r="J236" s="63" t="str">
        <f>PEDIDOS!M236</f>
        <v>A26064</v>
      </c>
      <c r="K236" s="23"/>
    </row>
    <row r="237" ht="22.5" customHeight="1">
      <c r="A237" s="64">
        <f>PEDIDOS!B237</f>
        <v>46127</v>
      </c>
      <c r="B237" s="65" t="str">
        <f>PEDIDOS!C237</f>
        <v/>
      </c>
      <c r="C237" s="65" t="str">
        <f>PEDIDOS!D237</f>
        <v>LUCENT</v>
      </c>
      <c r="D237" s="66" t="str">
        <f>PEDIDOS!E237</f>
        <v>Ashwaganda</v>
      </c>
      <c r="E237" s="67">
        <f>PEDIDOS!G237*PEDIDOS!H237/1000</f>
        <v>10</v>
      </c>
      <c r="F237" s="65" t="s">
        <v>446</v>
      </c>
      <c r="G237" s="65"/>
      <c r="H237" s="65" t="s">
        <v>451</v>
      </c>
      <c r="I237" s="72">
        <f>EXPEDICION!K237-7</f>
        <v>46110</v>
      </c>
      <c r="J237" s="69" t="str">
        <f>PEDIDOS!M237</f>
        <v>A26065</v>
      </c>
      <c r="K237" s="65"/>
    </row>
    <row r="238" ht="22.5" customHeight="1">
      <c r="A238" s="47">
        <f>PEDIDOS!B238</f>
        <v>46127</v>
      </c>
      <c r="B238" s="23">
        <f>PEDIDOS!C238</f>
        <v>15254</v>
      </c>
      <c r="C238" s="23" t="str">
        <f>PEDIDOS!D238</f>
        <v>THELMA Y LOUISE</v>
      </c>
      <c r="D238" s="60" t="str">
        <f>PEDIDOS!E238</f>
        <v>SERUM FACIAL PORCELANA</v>
      </c>
      <c r="E238" s="61">
        <f>PEDIDOS!G238*PEDIDOS!H238/1000</f>
        <v>90.72</v>
      </c>
      <c r="F238" s="23" t="s">
        <v>446</v>
      </c>
      <c r="G238" s="23"/>
      <c r="H238" s="23" t="s">
        <v>451</v>
      </c>
      <c r="I238" s="62">
        <f>EXPEDICION!K238-7</f>
        <v>46112</v>
      </c>
      <c r="J238" s="63" t="str">
        <f>PEDIDOS!M238</f>
        <v>A26071</v>
      </c>
      <c r="K238" s="23"/>
    </row>
    <row r="239" ht="22.5" customHeight="1">
      <c r="A239" s="64">
        <f>PEDIDOS!B239</f>
        <v>46127</v>
      </c>
      <c r="B239" s="65">
        <f>PEDIDOS!C239</f>
        <v>15254</v>
      </c>
      <c r="C239" s="65" t="str">
        <f>PEDIDOS!D239</f>
        <v>THELMA Y LOUISE</v>
      </c>
      <c r="D239" s="66" t="str">
        <f>PEDIDOS!E239</f>
        <v>SERUM FACIAL HIDRATANTE</v>
      </c>
      <c r="E239" s="67">
        <f>PEDIDOS!G239*PEDIDOS!H239/1000</f>
        <v>90.72</v>
      </c>
      <c r="F239" s="65" t="s">
        <v>446</v>
      </c>
      <c r="G239" s="65"/>
      <c r="H239" s="65" t="s">
        <v>451</v>
      </c>
      <c r="I239" s="72">
        <f>EXPEDICION!K239-7</f>
        <v>46112</v>
      </c>
      <c r="J239" s="69" t="str">
        <f>PEDIDOS!M239</f>
        <v>A26070</v>
      </c>
      <c r="K239" s="65"/>
    </row>
    <row r="240" ht="22.5" customHeight="1">
      <c r="A240" s="47">
        <f>PEDIDOS!B240</f>
        <v>46127</v>
      </c>
      <c r="B240" s="23">
        <f>PEDIDOS!C240</f>
        <v>15255</v>
      </c>
      <c r="C240" s="23" t="str">
        <f>PEDIDOS!D240</f>
        <v>THELMA Y LOUISE</v>
      </c>
      <c r="D240" s="60" t="str">
        <f>PEDIDOS!E240</f>
        <v>AGUA TERMAL</v>
      </c>
      <c r="E240" s="61">
        <f>PEDIDOS!G240*PEDIDOS!H240/1000</f>
        <v>504</v>
      </c>
      <c r="F240" s="23" t="s">
        <v>446</v>
      </c>
      <c r="G240" s="23"/>
      <c r="H240" s="23" t="s">
        <v>451</v>
      </c>
      <c r="I240" s="70">
        <f>EXPEDICION!K240-7</f>
        <v>46154</v>
      </c>
      <c r="J240" s="63" t="str">
        <f>PEDIDOS!M240</f>
        <v>Y26026</v>
      </c>
      <c r="K240" s="23"/>
    </row>
    <row r="241" ht="22.5" customHeight="1">
      <c r="A241" s="64">
        <f>PEDIDOS!B241</f>
        <v>46127</v>
      </c>
      <c r="B241" s="65">
        <f>PEDIDOS!C241</f>
        <v>15255</v>
      </c>
      <c r="C241" s="65" t="str">
        <f>PEDIDOS!D241</f>
        <v>THELMA Y LOUISE</v>
      </c>
      <c r="D241" s="66" t="str">
        <f>PEDIDOS!E241</f>
        <v>DESENRREDANTE BIFASICO</v>
      </c>
      <c r="E241" s="67">
        <f>PEDIDOS!G241*PEDIDOS!H241/1000</f>
        <v>336</v>
      </c>
      <c r="F241" s="65" t="s">
        <v>446</v>
      </c>
      <c r="G241" s="65"/>
      <c r="H241" s="65"/>
      <c r="I241" s="68">
        <f>EXPEDICION!K241-7</f>
        <v>46146</v>
      </c>
      <c r="J241" s="69" t="str">
        <f>PEDIDOS!M241</f>
        <v>Y26016</v>
      </c>
      <c r="K241" s="65"/>
    </row>
    <row r="242" ht="22.5" customHeight="1">
      <c r="A242" s="47">
        <f>PEDIDOS!B242</f>
        <v>46127</v>
      </c>
      <c r="B242" s="23" t="str">
        <f>PEDIDOS!C242</f>
        <v/>
      </c>
      <c r="C242" s="23" t="str">
        <f>PEDIDOS!D242</f>
        <v>ECODERM - DUGA</v>
      </c>
      <c r="D242" s="60" t="str">
        <f>PEDIDOS!E242</f>
        <v>SHAMPOO INFANTIL</v>
      </c>
      <c r="E242" s="61">
        <f>PEDIDOS!G242*PEDIDOS!H242/1000</f>
        <v>60</v>
      </c>
      <c r="F242" s="23" t="s">
        <v>446</v>
      </c>
      <c r="G242" s="23"/>
      <c r="H242" s="23" t="s">
        <v>448</v>
      </c>
      <c r="I242" s="62">
        <f>EXPEDICION!K242-7</f>
        <v>46135</v>
      </c>
      <c r="J242" s="63" t="str">
        <f>PEDIDOS!M242</f>
        <v>A26038</v>
      </c>
      <c r="K242" s="23"/>
    </row>
    <row r="243" ht="22.5" customHeight="1">
      <c r="A243" s="64">
        <f>PEDIDOS!B243</f>
        <v>46127</v>
      </c>
      <c r="B243" s="65" t="str">
        <f>PEDIDOS!C243</f>
        <v/>
      </c>
      <c r="C243" s="65" t="str">
        <f>PEDIDOS!D243</f>
        <v>ECODERM - DUGA</v>
      </c>
      <c r="D243" s="66" t="str">
        <f>PEDIDOS!E243</f>
        <v>CREMA INFANTIL</v>
      </c>
      <c r="E243" s="67">
        <f>PEDIDOS!G243*PEDIDOS!H243/1000</f>
        <v>60</v>
      </c>
      <c r="F243" s="65" t="s">
        <v>446</v>
      </c>
      <c r="G243" s="65"/>
      <c r="H243" s="65" t="s">
        <v>448</v>
      </c>
      <c r="I243" s="72">
        <f>EXPEDICION!K243-7</f>
        <v>46135</v>
      </c>
      <c r="J243" s="69" t="str">
        <f>PEDIDOS!M243</f>
        <v>A26033</v>
      </c>
      <c r="K243" s="65"/>
    </row>
    <row r="244" ht="22.5" customHeight="1">
      <c r="A244" s="47">
        <f>PEDIDOS!B244</f>
        <v>46129</v>
      </c>
      <c r="B244" s="23" t="str">
        <f>PEDIDOS!C244</f>
        <v/>
      </c>
      <c r="C244" s="23" t="str">
        <f>PEDIDOS!D244</f>
        <v>LUCENT</v>
      </c>
      <c r="D244" s="60" t="str">
        <f>PEDIDOS!E244</f>
        <v>CREMA HANDS AND FEET </v>
      </c>
      <c r="E244" s="61">
        <f>PEDIDOS!G244*PEDIDOS!H244/1000</f>
        <v>125</v>
      </c>
      <c r="F244" s="23" t="s">
        <v>446</v>
      </c>
      <c r="G244" s="23"/>
      <c r="H244" s="23" t="s">
        <v>448</v>
      </c>
      <c r="I244" s="62">
        <f>EXPEDICION!K244-7</f>
        <v>46134</v>
      </c>
      <c r="J244" s="63" t="str">
        <f>PEDIDOS!M244</f>
        <v>A26087</v>
      </c>
      <c r="K244" s="23"/>
    </row>
    <row r="245" ht="22.5" customHeight="1">
      <c r="A245" s="64">
        <f>PEDIDOS!B245</f>
        <v>46133</v>
      </c>
      <c r="B245" s="65">
        <f>PEDIDOS!C245</f>
        <v>788</v>
      </c>
      <c r="C245" s="65" t="str">
        <f>PEDIDOS!D245</f>
        <v>CAV</v>
      </c>
      <c r="D245" s="66" t="str">
        <f>PEDIDOS!E245</f>
        <v>SHAMPOO BIO MOLECULAR VITAMIN SHOCK</v>
      </c>
      <c r="E245" s="67">
        <f>PEDIDOS!G245*PEDIDOS!H245/1000</f>
        <v>160</v>
      </c>
      <c r="F245" s="71" t="s">
        <v>446</v>
      </c>
      <c r="G245" s="71"/>
      <c r="H245" s="71" t="s">
        <v>457</v>
      </c>
      <c r="I245" s="72">
        <f>EXPEDICION!K245-7</f>
        <v>46149</v>
      </c>
      <c r="J245" s="69" t="str">
        <f>PEDIDOS!M245</f>
        <v>A26077</v>
      </c>
      <c r="K245" s="65"/>
    </row>
    <row r="246" ht="22.5" customHeight="1">
      <c r="A246" s="47">
        <f>PEDIDOS!B246</f>
        <v>46133</v>
      </c>
      <c r="B246" s="23">
        <f>PEDIDOS!C246</f>
        <v>788</v>
      </c>
      <c r="C246" s="23" t="str">
        <f>PEDIDOS!D246</f>
        <v>CAV</v>
      </c>
      <c r="D246" s="60" t="str">
        <f>PEDIDOS!E246</f>
        <v>SHAMPOO BIO MOLECULAR VITAMIN SHOCK X900ML</v>
      </c>
      <c r="E246" s="61">
        <f>PEDIDOS!G246*PEDIDOS!H246/1000</f>
        <v>135</v>
      </c>
      <c r="F246" s="41" t="s">
        <v>446</v>
      </c>
      <c r="G246" s="41"/>
      <c r="H246" s="41" t="s">
        <v>457</v>
      </c>
      <c r="I246" s="62">
        <f>EXPEDICION!K246-7</f>
        <v>46149</v>
      </c>
      <c r="J246" s="63" t="str">
        <f>PEDIDOS!M246</f>
        <v>A26077</v>
      </c>
      <c r="K246" s="23"/>
    </row>
    <row r="247" ht="22.5" customHeight="1">
      <c r="A247" s="64">
        <f>PEDIDOS!B247</f>
        <v>46133</v>
      </c>
      <c r="B247" s="65">
        <f>PEDIDOS!C247</f>
        <v>788</v>
      </c>
      <c r="C247" s="65" t="str">
        <f>PEDIDOS!D247</f>
        <v>CAV</v>
      </c>
      <c r="D247" s="66" t="str">
        <f>PEDIDOS!E247</f>
        <v>CONDITIONER BIO MOLECULAR VITAMIN SHOCK </v>
      </c>
      <c r="E247" s="67">
        <f>PEDIDOS!G247*PEDIDOS!H247/1000</f>
        <v>160</v>
      </c>
      <c r="F247" s="71" t="s">
        <v>446</v>
      </c>
      <c r="G247" s="71"/>
      <c r="H247" s="71" t="s">
        <v>457</v>
      </c>
      <c r="I247" s="76">
        <f>EXPEDICION!K247-7</f>
        <v>46148</v>
      </c>
      <c r="J247" s="69" t="str">
        <f>PEDIDOS!M247</f>
        <v>A26093</v>
      </c>
      <c r="K247" s="65"/>
    </row>
    <row r="248" ht="22.5" customHeight="1">
      <c r="A248" s="47">
        <f>PEDIDOS!B248</f>
        <v>46133</v>
      </c>
      <c r="B248" s="23">
        <f>PEDIDOS!C248</f>
        <v>788</v>
      </c>
      <c r="C248" s="23" t="str">
        <f>PEDIDOS!D248</f>
        <v>CAV</v>
      </c>
      <c r="D248" s="60" t="str">
        <f>PEDIDOS!E248</f>
        <v>CONDITIONER BIO MOLECULAR VITAMIN SHOCK  X900</v>
      </c>
      <c r="E248" s="61">
        <f>PEDIDOS!G248*PEDIDOS!H248/1000</f>
        <v>135</v>
      </c>
      <c r="F248" s="23" t="s">
        <v>446</v>
      </c>
      <c r="G248" s="41"/>
      <c r="H248" s="41" t="s">
        <v>457</v>
      </c>
      <c r="I248" s="62">
        <f>EXPEDICION!K248-7</f>
        <v>46111</v>
      </c>
      <c r="J248" s="63" t="str">
        <f>PEDIDOS!M248</f>
        <v>M26100 / A26093</v>
      </c>
      <c r="K248" s="23"/>
    </row>
    <row r="249" ht="22.5" customHeight="1">
      <c r="A249" s="64">
        <f>PEDIDOS!B249</f>
        <v>46133</v>
      </c>
      <c r="B249" s="65">
        <f>PEDIDOS!C249</f>
        <v>788</v>
      </c>
      <c r="C249" s="65" t="str">
        <f>PEDIDOS!D249</f>
        <v>CAV</v>
      </c>
      <c r="D249" s="66" t="str">
        <f>PEDIDOS!E249</f>
        <v>SERUM BIO MOLECULAR VITAMIN SHOCK</v>
      </c>
      <c r="E249" s="67">
        <f>PEDIDOS!G249*PEDIDOS!H249/1000</f>
        <v>6</v>
      </c>
      <c r="F249" s="71" t="s">
        <v>446</v>
      </c>
      <c r="G249" s="71"/>
      <c r="H249" s="71" t="s">
        <v>459</v>
      </c>
      <c r="I249" s="72">
        <f>EXPEDICION!K249-7</f>
        <v>46195</v>
      </c>
      <c r="J249" s="69" t="str">
        <f>PEDIDOS!M249</f>
        <v>J26040</v>
      </c>
      <c r="K249" s="65"/>
    </row>
    <row r="250" ht="22.5" customHeight="1">
      <c r="A250" s="47">
        <f>PEDIDOS!B250</f>
        <v>46133</v>
      </c>
      <c r="B250" s="23">
        <f>PEDIDOS!C250</f>
        <v>788</v>
      </c>
      <c r="C250" s="23" t="str">
        <f>PEDIDOS!D250</f>
        <v>CAV</v>
      </c>
      <c r="D250" s="60" t="str">
        <f>PEDIDOS!E250</f>
        <v>SHAMPOO BIONIC X900ML</v>
      </c>
      <c r="E250" s="61">
        <f>PEDIDOS!G250*PEDIDOS!H250/1000</f>
        <v>90</v>
      </c>
      <c r="F250" s="23" t="s">
        <v>446</v>
      </c>
      <c r="G250" s="23"/>
      <c r="H250" s="23" t="s">
        <v>451</v>
      </c>
      <c r="I250" s="62">
        <f>EXPEDICION!K250-7</f>
        <v>46150</v>
      </c>
      <c r="J250" s="63" t="str">
        <f>PEDIDOS!M250</f>
        <v>A26005</v>
      </c>
      <c r="K250" s="23"/>
    </row>
    <row r="251" ht="22.5" customHeight="1">
      <c r="A251" s="64">
        <f>PEDIDOS!B251</f>
        <v>46133</v>
      </c>
      <c r="B251" s="65">
        <f>PEDIDOS!C251</f>
        <v>788</v>
      </c>
      <c r="C251" s="65" t="str">
        <f>PEDIDOS!D251</f>
        <v>CAV</v>
      </c>
      <c r="D251" s="66" t="str">
        <f>PEDIDOS!E251</f>
        <v>BALSAMO BIONIC X900ML</v>
      </c>
      <c r="E251" s="67">
        <f>PEDIDOS!G251*PEDIDOS!H251/1000</f>
        <v>90</v>
      </c>
      <c r="F251" s="71" t="s">
        <v>446</v>
      </c>
      <c r="G251" s="71"/>
      <c r="H251" s="71" t="s">
        <v>457</v>
      </c>
      <c r="I251" s="72">
        <f>EXPEDICION!K251-7</f>
        <v>46150</v>
      </c>
      <c r="J251" s="69" t="str">
        <f>PEDIDOS!M251</f>
        <v>A26006</v>
      </c>
      <c r="K251" s="65"/>
    </row>
    <row r="252" ht="22.5" customHeight="1">
      <c r="A252" s="47">
        <f>PEDIDOS!B252</f>
        <v>46133</v>
      </c>
      <c r="B252" s="23">
        <f>PEDIDOS!C252</f>
        <v>788</v>
      </c>
      <c r="C252" s="23" t="str">
        <f>PEDIDOS!D252</f>
        <v>CAV</v>
      </c>
      <c r="D252" s="60" t="str">
        <f>PEDIDOS!E252</f>
        <v>Rebond C-Plex CAV x 500 ml (Paso 1)</v>
      </c>
      <c r="E252" s="61">
        <f>PEDIDOS!G252*PEDIDOS!H252/1000</f>
        <v>75</v>
      </c>
      <c r="F252" s="41" t="s">
        <v>446</v>
      </c>
      <c r="G252" s="23"/>
      <c r="H252" s="23" t="s">
        <v>449</v>
      </c>
      <c r="I252" s="62">
        <f>EXPEDICION!K252-7</f>
        <v>46150</v>
      </c>
      <c r="J252" s="63" t="str">
        <f>PEDIDOS!M252</f>
        <v>M26062</v>
      </c>
      <c r="K252" s="23"/>
    </row>
    <row r="253" ht="22.5" customHeight="1">
      <c r="A253" s="64">
        <f>PEDIDOS!B253</f>
        <v>46133</v>
      </c>
      <c r="B253" s="65">
        <f>PEDIDOS!C253</f>
        <v>788</v>
      </c>
      <c r="C253" s="65" t="str">
        <f>PEDIDOS!D253</f>
        <v>CAV</v>
      </c>
      <c r="D253" s="66" t="str">
        <f>PEDIDOS!E253</f>
        <v>Finishing C-Plex CAV x 500 ml (Paso 2)</v>
      </c>
      <c r="E253" s="67">
        <f>PEDIDOS!G253*PEDIDOS!H253/1000</f>
        <v>150</v>
      </c>
      <c r="F253" s="71" t="s">
        <v>446</v>
      </c>
      <c r="G253" s="65"/>
      <c r="H253" s="65" t="s">
        <v>449</v>
      </c>
      <c r="I253" s="72">
        <f>EXPEDICION!K253-7</f>
        <v>46150</v>
      </c>
      <c r="J253" s="69" t="str">
        <f>PEDIDOS!M253</f>
        <v>M26061</v>
      </c>
      <c r="K253" s="65"/>
    </row>
    <row r="254" ht="22.5" customHeight="1">
      <c r="A254" s="47">
        <f>PEDIDOS!B254</f>
        <v>46134</v>
      </c>
      <c r="B254" s="23">
        <f>PEDIDOS!C254</f>
        <v>1083</v>
      </c>
      <c r="C254" s="23" t="str">
        <f>PEDIDOS!D254</f>
        <v>NIZA</v>
      </c>
      <c r="D254" s="60" t="str">
        <f>PEDIDOS!E254</f>
        <v>AQUA BOMB RICH</v>
      </c>
      <c r="E254" s="61">
        <f>PEDIDOS!G254*PEDIDOS!H254/1000</f>
        <v>15</v>
      </c>
      <c r="F254" s="23" t="s">
        <v>446</v>
      </c>
      <c r="G254" s="23"/>
      <c r="H254" s="23" t="s">
        <v>448</v>
      </c>
      <c r="I254" s="62">
        <f>EXPEDICION!K254-7</f>
        <v>46155</v>
      </c>
      <c r="J254" s="63" t="str">
        <f>PEDIDOS!M254</f>
        <v>A2094</v>
      </c>
      <c r="K254" s="23"/>
    </row>
    <row r="255" ht="22.5" customHeight="1">
      <c r="A255" s="64">
        <f>PEDIDOS!B255</f>
        <v>46134</v>
      </c>
      <c r="B255" s="65">
        <f>PEDIDOS!C255</f>
        <v>1083</v>
      </c>
      <c r="C255" s="65" t="str">
        <f>PEDIDOS!D255</f>
        <v>NIZA</v>
      </c>
      <c r="D255" s="66" t="str">
        <f>PEDIDOS!E255</f>
        <v>BRIGHT AND WITHE EYES</v>
      </c>
      <c r="E255" s="67">
        <f>PEDIDOS!G255*PEDIDOS!H255/1000</f>
        <v>7.35</v>
      </c>
      <c r="F255" s="65" t="s">
        <v>446</v>
      </c>
      <c r="G255" s="65"/>
      <c r="H255" s="65" t="s">
        <v>451</v>
      </c>
      <c r="I255" s="72">
        <f>EXPEDICION!K255-7</f>
        <v>46154</v>
      </c>
      <c r="J255" s="69" t="str">
        <f>PEDIDOS!M255</f>
        <v>A26095</v>
      </c>
      <c r="K255" s="65"/>
    </row>
    <row r="256" ht="22.5" customHeight="1">
      <c r="A256" s="47">
        <f>PEDIDOS!B256</f>
        <v>46134</v>
      </c>
      <c r="B256" s="23">
        <f>PEDIDOS!C256</f>
        <v>1083</v>
      </c>
      <c r="C256" s="23" t="str">
        <f>PEDIDOS!D256</f>
        <v>NIZA</v>
      </c>
      <c r="D256" s="60" t="str">
        <f>PEDIDOS!E256</f>
        <v>SIGNATURE BLEND PRO AGE</v>
      </c>
      <c r="E256" s="61">
        <f>PEDIDOS!G256*PEDIDOS!H256/1000</f>
        <v>15</v>
      </c>
      <c r="F256" s="23" t="s">
        <v>446</v>
      </c>
      <c r="G256" s="23"/>
      <c r="H256" s="23" t="s">
        <v>451</v>
      </c>
      <c r="I256" s="62">
        <f>EXPEDICION!K256-7</f>
        <v>46156</v>
      </c>
      <c r="J256" s="63" t="str">
        <f>PEDIDOS!M256</f>
        <v>A26096</v>
      </c>
      <c r="K256" s="23"/>
    </row>
    <row r="257" ht="22.5" customHeight="1">
      <c r="A257" s="64">
        <f>PEDIDOS!B257</f>
        <v>46134</v>
      </c>
      <c r="B257" s="65">
        <f>PEDIDOS!C257</f>
        <v>1083</v>
      </c>
      <c r="C257" s="65" t="str">
        <f>PEDIDOS!D257</f>
        <v>NIZA</v>
      </c>
      <c r="D257" s="66" t="str">
        <f>PEDIDOS!E257</f>
        <v>SIGNATURE BLEND HYDRA PEEL</v>
      </c>
      <c r="E257" s="67">
        <f>PEDIDOS!G257*PEDIDOS!H257/1000</f>
        <v>9</v>
      </c>
      <c r="F257" s="65" t="s">
        <v>446</v>
      </c>
      <c r="G257" s="65"/>
      <c r="H257" s="65" t="s">
        <v>451</v>
      </c>
      <c r="I257" s="72">
        <f>EXPEDICION!K257-7</f>
        <v>46176</v>
      </c>
      <c r="J257" s="69" t="str">
        <f>PEDIDOS!M257</f>
        <v>A26097</v>
      </c>
      <c r="K257" s="65"/>
    </row>
    <row r="258" ht="22.5" customHeight="1">
      <c r="A258" s="47">
        <f>PEDIDOS!B258</f>
        <v>46135</v>
      </c>
      <c r="B258" s="23">
        <f>PEDIDOS!C258</f>
        <v>1278</v>
      </c>
      <c r="C258" s="23" t="str">
        <f>PEDIDOS!D258</f>
        <v>BOTIK</v>
      </c>
      <c r="D258" s="60" t="str">
        <f>PEDIDOS!E258</f>
        <v>sHAMPOO SOLIDO ROMERO - TEA TREE x 100g</v>
      </c>
      <c r="E258" s="61">
        <f>PEDIDOS!G258*PEDIDOS!H258/1000</f>
        <v>25</v>
      </c>
      <c r="F258" s="41" t="s">
        <v>446</v>
      </c>
      <c r="G258" s="41"/>
      <c r="H258" s="41" t="s">
        <v>459</v>
      </c>
      <c r="I258" s="62">
        <f>EXPEDICION!K258-7</f>
        <v>46116</v>
      </c>
      <c r="J258" s="63" t="str">
        <f>PEDIDOS!M258</f>
        <v>Y26018</v>
      </c>
      <c r="K258" s="23"/>
    </row>
    <row r="259" ht="22.5" customHeight="1">
      <c r="A259" s="64">
        <f>PEDIDOS!B259</f>
        <v>46135</v>
      </c>
      <c r="B259" s="65">
        <f>PEDIDOS!C259</f>
        <v>1278</v>
      </c>
      <c r="C259" s="65" t="str">
        <f>PEDIDOS!D259</f>
        <v>BOTIK</v>
      </c>
      <c r="D259" s="66" t="str">
        <f>PEDIDOS!E259</f>
        <v>Acondicionador Solido Rosa Rosa Mosqueta x 70g</v>
      </c>
      <c r="E259" s="67">
        <f>PEDIDOS!G259*PEDIDOS!H259/1000</f>
        <v>35</v>
      </c>
      <c r="F259" s="65" t="s">
        <v>446</v>
      </c>
      <c r="G259" s="65"/>
      <c r="H259" s="65" t="s">
        <v>451</v>
      </c>
      <c r="I259" s="72">
        <f>EXPEDICION!K259-7</f>
        <v>46118</v>
      </c>
      <c r="J259" s="69" t="str">
        <f>PEDIDOS!M259</f>
        <v>A26024</v>
      </c>
      <c r="K259" s="65"/>
    </row>
    <row r="260" ht="22.5" customHeight="1">
      <c r="A260" s="47">
        <f>PEDIDOS!B260</f>
        <v>46135</v>
      </c>
      <c r="B260" s="23">
        <f>PEDIDOS!C260</f>
        <v>1278</v>
      </c>
      <c r="C260" s="23" t="str">
        <f>PEDIDOS!D260</f>
        <v>BOTIK</v>
      </c>
      <c r="D260" s="60" t="str">
        <f>PEDIDOS!E260</f>
        <v>Acondicionador Solido Lavanda Lemongrass x 70g</v>
      </c>
      <c r="E260" s="61">
        <f>PEDIDOS!G260*PEDIDOS!H260/1000</f>
        <v>35</v>
      </c>
      <c r="F260" s="23" t="s">
        <v>446</v>
      </c>
      <c r="G260" s="23"/>
      <c r="H260" s="23" t="s">
        <v>451</v>
      </c>
      <c r="I260" s="62">
        <f>EXPEDICION!K260-7</f>
        <v>46118</v>
      </c>
      <c r="J260" s="63" t="str">
        <f>PEDIDOS!M260</f>
        <v>A26025</v>
      </c>
      <c r="K260" s="23"/>
    </row>
    <row r="261" ht="22.5" customHeight="1">
      <c r="A261" s="64">
        <f>PEDIDOS!B261</f>
        <v>46126</v>
      </c>
      <c r="B261" s="65">
        <f>PEDIDOS!C261</f>
        <v>1606</v>
      </c>
      <c r="C261" s="65" t="str">
        <f>PEDIDOS!D261</f>
        <v>NE</v>
      </c>
      <c r="D261" s="66" t="str">
        <f>PEDIDOS!E261</f>
        <v>LECHE DE LIMPIEZA FACIAL 150 gr.</v>
      </c>
      <c r="E261" s="67">
        <f>PEDIDOS!G261*PEDIDOS!H261/1000</f>
        <v>75</v>
      </c>
      <c r="F261" s="65" t="s">
        <v>446</v>
      </c>
      <c r="G261" s="65"/>
      <c r="H261" s="65" t="s">
        <v>451</v>
      </c>
      <c r="I261" s="72">
        <f>EXPEDICION!K261-7</f>
        <v>46163</v>
      </c>
      <c r="J261" s="69" t="str">
        <f>PEDIDOS!M261</f>
        <v>A26030</v>
      </c>
      <c r="K261" s="65"/>
    </row>
    <row r="262" ht="22.5" customHeight="1">
      <c r="A262" s="47">
        <f>PEDIDOS!B262</f>
        <v>46140</v>
      </c>
      <c r="B262" s="23">
        <f>PEDIDOS!C262</f>
        <v>144</v>
      </c>
      <c r="C262" s="23" t="str">
        <f>PEDIDOS!D262</f>
        <v>PROFESSIONAL BEAUTY</v>
      </c>
      <c r="D262" s="60" t="str">
        <f>PEDIDOS!E262</f>
        <v>GEL CONDUCTOR NEUTRO</v>
      </c>
      <c r="E262" s="61">
        <f>PEDIDOS!G262*PEDIDOS!H262/1000</f>
        <v>250</v>
      </c>
      <c r="F262" s="23" t="s">
        <v>446</v>
      </c>
      <c r="G262" s="23"/>
      <c r="H262" s="23" t="s">
        <v>456</v>
      </c>
      <c r="I262" s="70">
        <f>EXPEDICION!K262-7</f>
        <v>46141</v>
      </c>
      <c r="J262" s="63" t="str">
        <f>PEDIDOS!M262</f>
        <v>A26092</v>
      </c>
      <c r="K262" s="23"/>
    </row>
    <row r="263" ht="22.5" customHeight="1">
      <c r="A263" s="64">
        <f>PEDIDOS!B263</f>
        <v>46140</v>
      </c>
      <c r="B263" s="65">
        <f>PEDIDOS!C263</f>
        <v>144</v>
      </c>
      <c r="C263" s="65" t="str">
        <f>PEDIDOS!D263</f>
        <v>PROFESSIONAL BEAUTY</v>
      </c>
      <c r="D263" s="66" t="str">
        <f>PEDIDOS!E263</f>
        <v>ADVANCE VIT C 5%</v>
      </c>
      <c r="E263" s="67">
        <v>6.0</v>
      </c>
      <c r="F263" s="71" t="s">
        <v>446</v>
      </c>
      <c r="G263" s="65"/>
      <c r="H263" s="65" t="s">
        <v>456</v>
      </c>
      <c r="I263" s="72">
        <f>EXPEDICION!K263-7</f>
        <v>46175</v>
      </c>
      <c r="J263" s="69" t="str">
        <f>PEDIDOS!M263</f>
        <v>Y26056</v>
      </c>
      <c r="K263" s="65"/>
    </row>
    <row r="264" ht="22.5" customHeight="1">
      <c r="A264" s="47">
        <f>PEDIDOS!B264</f>
        <v>46140</v>
      </c>
      <c r="B264" s="23">
        <f>PEDIDOS!C264</f>
        <v>144</v>
      </c>
      <c r="C264" s="23" t="str">
        <f>PEDIDOS!D264</f>
        <v>PROFESSIONAL BEAUTY</v>
      </c>
      <c r="D264" s="60" t="str">
        <f>PEDIDOS!E264</f>
        <v>ADVANCE ACIDO HIALURONICO 0,5%</v>
      </c>
      <c r="E264" s="61">
        <v>6.0</v>
      </c>
      <c r="F264" s="41" t="s">
        <v>446</v>
      </c>
      <c r="G264" s="23"/>
      <c r="H264" s="23" t="s">
        <v>456</v>
      </c>
      <c r="I264" s="62">
        <f>EXPEDICION!K264-7</f>
        <v>46175</v>
      </c>
      <c r="J264" s="63" t="str">
        <f>PEDIDOS!M264</f>
        <v>Y26057</v>
      </c>
      <c r="K264" s="23"/>
    </row>
    <row r="265" ht="22.5" customHeight="1">
      <c r="A265" s="64">
        <f>PEDIDOS!B265</f>
        <v>46140</v>
      </c>
      <c r="B265" s="65">
        <f>PEDIDOS!C265</f>
        <v>144</v>
      </c>
      <c r="C265" s="65" t="str">
        <f>PEDIDOS!D265</f>
        <v>PROFESSIONAL BEAUTY</v>
      </c>
      <c r="D265" s="66" t="str">
        <f>PEDIDOS!E265</f>
        <v>ADVANCE COMPLEJO MULTIVITAMINICO 1%</v>
      </c>
      <c r="E265" s="67">
        <v>6.0</v>
      </c>
      <c r="F265" s="71" t="s">
        <v>446</v>
      </c>
      <c r="G265" s="65"/>
      <c r="H265" s="65" t="s">
        <v>456</v>
      </c>
      <c r="I265" s="72">
        <f>EXPEDICION!K265-7</f>
        <v>46175</v>
      </c>
      <c r="J265" s="69" t="str">
        <f>PEDIDOS!M265</f>
        <v>Y26058</v>
      </c>
      <c r="K265" s="65"/>
    </row>
    <row r="266" ht="22.5" customHeight="1">
      <c r="A266" s="47">
        <f>PEDIDOS!B266</f>
        <v>46140</v>
      </c>
      <c r="B266" s="23">
        <f>PEDIDOS!C266</f>
        <v>15282</v>
      </c>
      <c r="C266" s="23" t="str">
        <f>PEDIDOS!D266</f>
        <v>THELMA Y LOUISE</v>
      </c>
      <c r="D266" s="60" t="str">
        <f>PEDIDOS!E266</f>
        <v>ALCOHOL EN GEL CHICLE FARMACITY KIDS</v>
      </c>
      <c r="E266" s="61">
        <f>PEDIDOS!G266*PEDIDOS!H266/1000</f>
        <v>250</v>
      </c>
      <c r="F266" s="41" t="s">
        <v>446</v>
      </c>
      <c r="G266" s="23"/>
      <c r="H266" s="23" t="s">
        <v>456</v>
      </c>
      <c r="I266" s="70">
        <f>EXPEDICION!K266-7</f>
        <v>46162</v>
      </c>
      <c r="J266" s="63">
        <f>PEDIDOS!M266</f>
        <v>180501</v>
      </c>
      <c r="K266" s="23"/>
    </row>
    <row r="267" ht="22.5" customHeight="1">
      <c r="A267" s="64">
        <f>PEDIDOS!B267</f>
        <v>46140</v>
      </c>
      <c r="B267" s="65">
        <f>PEDIDOS!C267</f>
        <v>15282</v>
      </c>
      <c r="C267" s="65" t="str">
        <f>PEDIDOS!D267</f>
        <v>THELMA Y LOUISE</v>
      </c>
      <c r="D267" s="66" t="str">
        <f>PEDIDOS!E267</f>
        <v>ALCOHOL EN GEL SANDIA FARMACITY KIDS</v>
      </c>
      <c r="E267" s="67">
        <f>PEDIDOS!G267*PEDIDOS!H267/1000</f>
        <v>250</v>
      </c>
      <c r="F267" s="71" t="s">
        <v>446</v>
      </c>
      <c r="G267" s="65"/>
      <c r="H267" s="65" t="s">
        <v>456</v>
      </c>
      <c r="I267" s="68">
        <f>EXPEDICION!K267-7</f>
        <v>46156</v>
      </c>
      <c r="J267" s="69">
        <f>PEDIDOS!M267</f>
        <v>150501</v>
      </c>
      <c r="K267" s="65"/>
    </row>
    <row r="268" ht="22.5" customHeight="1">
      <c r="A268" s="47">
        <f>PEDIDOS!B268</f>
        <v>46140</v>
      </c>
      <c r="B268" s="23" t="str">
        <f>PEDIDOS!C268</f>
        <v/>
      </c>
      <c r="C268" s="23" t="str">
        <f>PEDIDOS!D268</f>
        <v>LABORATORIO ONCE</v>
      </c>
      <c r="D268" s="60" t="str">
        <f>PEDIDOS!E268</f>
        <v>SERUM ACIDO GLICOLICO + FERULICO</v>
      </c>
      <c r="E268" s="61">
        <f>PEDIDOS!G268*PEDIDOS!H268/1000</f>
        <v>36</v>
      </c>
      <c r="F268" s="41" t="s">
        <v>446</v>
      </c>
      <c r="G268" s="23"/>
      <c r="H268" s="23" t="s">
        <v>456</v>
      </c>
      <c r="I268" s="62">
        <f>EXPEDICION!K268-7</f>
        <v>46157</v>
      </c>
      <c r="J268" s="63" t="str">
        <f>PEDIDOS!M268</f>
        <v>Y26001</v>
      </c>
      <c r="K268" s="23"/>
    </row>
    <row r="269" ht="22.5" customHeight="1">
      <c r="A269" s="64">
        <f>PEDIDOS!B269</f>
        <v>46141</v>
      </c>
      <c r="B269" s="65" t="str">
        <f>PEDIDOS!C269</f>
        <v/>
      </c>
      <c r="C269" s="65" t="str">
        <f>PEDIDOS!D269</f>
        <v>UNICA</v>
      </c>
      <c r="D269" s="66" t="str">
        <f>PEDIDOS!E269</f>
        <v>CREMA DE ORDEÑE</v>
      </c>
      <c r="E269" s="67">
        <f>PEDIDOS!G269*PEDIDOS!H269/1000</f>
        <v>150</v>
      </c>
      <c r="F269" s="71" t="s">
        <v>446</v>
      </c>
      <c r="G269" s="65"/>
      <c r="H269" s="65" t="s">
        <v>451</v>
      </c>
      <c r="I269" s="72">
        <f>EXPEDICION!K269-7</f>
        <v>46170</v>
      </c>
      <c r="J269" s="69" t="str">
        <f>PEDIDOS!M269</f>
        <v/>
      </c>
      <c r="K269" s="65"/>
    </row>
    <row r="270" ht="22.5" customHeight="1">
      <c r="A270" s="47">
        <f>PEDIDOS!B270</f>
        <v>46136</v>
      </c>
      <c r="B270" s="23" t="str">
        <f>PEDIDOS!C270</f>
        <v/>
      </c>
      <c r="C270" s="23" t="str">
        <f>PEDIDOS!D270</f>
        <v>THE MINIMAL CO</v>
      </c>
      <c r="D270" s="60" t="str">
        <f>PEDIDOS!E270</f>
        <v>SERUM RETINOL</v>
      </c>
      <c r="E270" s="61">
        <f>PEDIDOS!G270*PEDIDOS!H270/1000</f>
        <v>36</v>
      </c>
      <c r="F270" s="41" t="s">
        <v>446</v>
      </c>
      <c r="G270" s="23"/>
      <c r="H270" s="23" t="s">
        <v>463</v>
      </c>
      <c r="I270" s="62">
        <f>EXPEDICION!K270-7</f>
        <v>46135</v>
      </c>
      <c r="J270" s="63" t="str">
        <f>PEDIDOS!M270</f>
        <v>A26082</v>
      </c>
      <c r="K270" s="23"/>
    </row>
    <row r="271" ht="22.5" customHeight="1">
      <c r="A271" s="64">
        <f>PEDIDOS!B271</f>
        <v>46142</v>
      </c>
      <c r="B271" s="65" t="str">
        <f>PEDIDOS!C271</f>
        <v/>
      </c>
      <c r="C271" s="65" t="str">
        <f>PEDIDOS!D271</f>
        <v>ECODERM - ROSEHIP</v>
      </c>
      <c r="D271" s="66" t="str">
        <f>PEDIDOS!E271</f>
        <v>SERUM CONTORNO DE OJOS</v>
      </c>
      <c r="E271" s="67">
        <f>PEDIDOS!G271*PEDIDOS!H271/1000</f>
        <v>9</v>
      </c>
      <c r="F271" s="71" t="s">
        <v>446</v>
      </c>
      <c r="G271" s="65"/>
      <c r="H271" s="65" t="s">
        <v>451</v>
      </c>
      <c r="I271" s="72">
        <f>EXPEDICION!K271-7</f>
        <v>46156</v>
      </c>
      <c r="J271" s="69" t="str">
        <f>PEDIDOS!M271</f>
        <v>Y26003</v>
      </c>
      <c r="K271" s="65"/>
    </row>
    <row r="272" ht="22.5" customHeight="1">
      <c r="A272" s="47">
        <f>PEDIDOS!B272</f>
        <v>46142</v>
      </c>
      <c r="B272" s="23" t="str">
        <f>PEDIDOS!C272</f>
        <v/>
      </c>
      <c r="C272" s="23" t="str">
        <f>PEDIDOS!D272</f>
        <v>ECODERM - ROSEHIP</v>
      </c>
      <c r="D272" s="60" t="str">
        <f>PEDIDOS!E272</f>
        <v>CREMA FACIAL CON RETINOL</v>
      </c>
      <c r="E272" s="61">
        <f>PEDIDOS!G272*PEDIDOS!H272/1000</f>
        <v>15</v>
      </c>
      <c r="F272" s="41" t="s">
        <v>446</v>
      </c>
      <c r="G272" s="23"/>
      <c r="H272" s="23" t="s">
        <v>448</v>
      </c>
      <c r="I272" s="62">
        <f>EXPEDICION!K272-7</f>
        <v>46156</v>
      </c>
      <c r="J272" s="63" t="str">
        <f>PEDIDOS!M272</f>
        <v>Y26003</v>
      </c>
      <c r="K272" s="23"/>
    </row>
    <row r="273" ht="22.5" customHeight="1">
      <c r="A273" s="64">
        <f>PEDIDOS!B273</f>
        <v>46142</v>
      </c>
      <c r="B273" s="65" t="str">
        <f>PEDIDOS!C273</f>
        <v/>
      </c>
      <c r="C273" s="65" t="str">
        <f>PEDIDOS!D273</f>
        <v>ECODERM - ROSEHIP</v>
      </c>
      <c r="D273" s="66" t="str">
        <f>PEDIDOS!E273</f>
        <v>GEL DE LIMPIEZA</v>
      </c>
      <c r="E273" s="67">
        <f>PEDIDOS!G273*PEDIDOS!H273/1000</f>
        <v>37.5</v>
      </c>
      <c r="F273" s="71" t="s">
        <v>458</v>
      </c>
      <c r="G273" s="65"/>
      <c r="H273" s="71" t="s">
        <v>456</v>
      </c>
      <c r="I273" s="65">
        <f>EXPEDICION!K273-7</f>
        <v>-7</v>
      </c>
      <c r="J273" s="69" t="str">
        <f>PEDIDOS!M273</f>
        <v/>
      </c>
      <c r="K273" s="65"/>
    </row>
    <row r="274" ht="22.5" customHeight="1">
      <c r="A274" s="47">
        <f>PEDIDOS!B274</f>
        <v>46142</v>
      </c>
      <c r="B274" s="23" t="str">
        <f>PEDIDOS!C274</f>
        <v/>
      </c>
      <c r="C274" s="23" t="str">
        <f>PEDIDOS!D274</f>
        <v>ECODERM - ROSEHIP</v>
      </c>
      <c r="D274" s="60" t="str">
        <f>PEDIDOS!E274</f>
        <v>SERUM SEBORREGULADOR</v>
      </c>
      <c r="E274" s="61">
        <f>PEDIDOS!G274*PEDIDOS!H274/1000</f>
        <v>9</v>
      </c>
      <c r="F274" s="41" t="s">
        <v>446</v>
      </c>
      <c r="G274" s="23"/>
      <c r="H274" s="23" t="s">
        <v>464</v>
      </c>
      <c r="I274" s="62">
        <f>EXPEDICION!K274-7</f>
        <v>46156</v>
      </c>
      <c r="J274" s="63" t="str">
        <f>PEDIDOS!M274</f>
        <v>Y26005</v>
      </c>
      <c r="K274" s="23"/>
    </row>
    <row r="275" ht="22.5" customHeight="1">
      <c r="A275" s="64">
        <f>PEDIDOS!B275</f>
        <v>46142</v>
      </c>
      <c r="B275" s="65">
        <f>PEDIDOS!C275</f>
        <v>5</v>
      </c>
      <c r="C275" s="65" t="str">
        <f>PEDIDOS!D275</f>
        <v>TIERRAS DEL VOLCAN</v>
      </c>
      <c r="D275" s="66" t="str">
        <f>PEDIDOS!E275</f>
        <v>Jalea Termal Reguladora</v>
      </c>
      <c r="E275" s="67">
        <f>PEDIDOS!G275*PEDIDOS!H275/1000</f>
        <v>100</v>
      </c>
      <c r="F275" s="71" t="s">
        <v>446</v>
      </c>
      <c r="G275" s="65"/>
      <c r="H275" s="71" t="s">
        <v>456</v>
      </c>
      <c r="I275" s="72">
        <f>EXPEDICION!K275-7</f>
        <v>46177</v>
      </c>
      <c r="J275" s="69" t="str">
        <f>PEDIDOS!M275</f>
        <v>Y26045</v>
      </c>
      <c r="K275" s="65"/>
    </row>
    <row r="276" ht="22.5" customHeight="1">
      <c r="A276" s="47">
        <f>PEDIDOS!B276</f>
        <v>46142</v>
      </c>
      <c r="B276" s="23" t="str">
        <f>PEDIDOS!C276</f>
        <v/>
      </c>
      <c r="C276" s="23" t="str">
        <f>PEDIDOS!D276</f>
        <v>THE CURIOUS SKIN</v>
      </c>
      <c r="D276" s="60" t="str">
        <f>PEDIDOS!E276</f>
        <v>ESENCIA EQUILIBRIO BIOME</v>
      </c>
      <c r="E276" s="61">
        <f>PEDIDOS!G276*PEDIDOS!H276/1000</f>
        <v>25</v>
      </c>
      <c r="F276" s="41" t="s">
        <v>446</v>
      </c>
      <c r="G276" s="23"/>
      <c r="H276" s="41" t="s">
        <v>451</v>
      </c>
      <c r="I276" s="23">
        <f>EXPEDICION!K276-7</f>
        <v>-7</v>
      </c>
      <c r="J276" s="63" t="str">
        <f>PEDIDOS!M276</f>
        <v/>
      </c>
      <c r="K276" s="23"/>
    </row>
    <row r="277" ht="22.5" customHeight="1">
      <c r="A277" s="64">
        <f>PEDIDOS!B277</f>
        <v>46146</v>
      </c>
      <c r="B277" s="65">
        <f>PEDIDOS!C277</f>
        <v>15276</v>
      </c>
      <c r="C277" s="65" t="str">
        <f>PEDIDOS!D277</f>
        <v>THELMA Y LOUISE</v>
      </c>
      <c r="D277" s="66" t="str">
        <f>PEDIDOS!E277</f>
        <v>CREMA PARA MANOS JULIANA CHICLE</v>
      </c>
      <c r="E277" s="67">
        <f>PEDIDOS!G277*PEDIDOS!H277/1000</f>
        <v>84</v>
      </c>
      <c r="F277" s="71" t="s">
        <v>446</v>
      </c>
      <c r="G277" s="65"/>
      <c r="H277" s="71" t="s">
        <v>456</v>
      </c>
      <c r="I277" s="72">
        <f>EXPEDICION!K277-7</f>
        <v>46154</v>
      </c>
      <c r="J277" s="69">
        <f>PEDIDOS!M277</f>
        <v>180502</v>
      </c>
      <c r="K277" s="65"/>
    </row>
    <row r="278" ht="22.5" customHeight="1">
      <c r="A278" s="47">
        <f>PEDIDOS!B278</f>
        <v>46148</v>
      </c>
      <c r="B278" s="23">
        <f>PEDIDOS!C278</f>
        <v>15288</v>
      </c>
      <c r="C278" s="23" t="str">
        <f>PEDIDOS!D278</f>
        <v>THELMA Y LOUISE</v>
      </c>
      <c r="D278" s="60" t="str">
        <f>PEDIDOS!E278</f>
        <v>ALCOHOL EN GEL CHICLE TYL</v>
      </c>
      <c r="E278" s="61">
        <f>PEDIDOS!G278*PEDIDOS!H278/1000</f>
        <v>56</v>
      </c>
      <c r="F278" s="41" t="s">
        <v>446</v>
      </c>
      <c r="G278" s="41" t="s">
        <v>465</v>
      </c>
      <c r="H278" s="41" t="s">
        <v>456</v>
      </c>
      <c r="I278" s="70">
        <f>EXPEDICION!K278-7</f>
        <v>46162</v>
      </c>
      <c r="J278" s="63">
        <f>PEDIDOS!M278</f>
        <v>270501</v>
      </c>
      <c r="K278" s="23"/>
    </row>
    <row r="279" ht="22.5" customHeight="1">
      <c r="A279" s="64">
        <f>PEDIDOS!B279</f>
        <v>46148</v>
      </c>
      <c r="B279" s="65">
        <f>PEDIDOS!C279</f>
        <v>15288</v>
      </c>
      <c r="C279" s="65" t="str">
        <f>PEDIDOS!D279</f>
        <v>THELMA Y LOUISE</v>
      </c>
      <c r="D279" s="66" t="str">
        <f>PEDIDOS!E279</f>
        <v>ALCOHOL EN GEL FRUTOS ROJOS TYL</v>
      </c>
      <c r="E279" s="67">
        <f>PEDIDOS!G279*PEDIDOS!H279/1000</f>
        <v>56</v>
      </c>
      <c r="F279" s="71" t="s">
        <v>446</v>
      </c>
      <c r="G279" s="71" t="s">
        <v>465</v>
      </c>
      <c r="H279" s="71" t="s">
        <v>456</v>
      </c>
      <c r="I279" s="68">
        <f>EXPEDICION!K279-7</f>
        <v>46164</v>
      </c>
      <c r="J279" s="69">
        <f>PEDIDOS!M279</f>
        <v>280501</v>
      </c>
      <c r="K279" s="65"/>
    </row>
    <row r="280" ht="22.5" customHeight="1">
      <c r="A280" s="47">
        <f>PEDIDOS!B280</f>
        <v>46148</v>
      </c>
      <c r="B280" s="23">
        <f>PEDIDOS!C280</f>
        <v>15288</v>
      </c>
      <c r="C280" s="23" t="str">
        <f>PEDIDOS!D280</f>
        <v>THELMA Y LOUISE</v>
      </c>
      <c r="D280" s="60" t="str">
        <f>PEDIDOS!E280</f>
        <v>ALCOHOL EN GEL DURAZNO TYL</v>
      </c>
      <c r="E280" s="61">
        <f>PEDIDOS!G280*PEDIDOS!H280/1000</f>
        <v>56</v>
      </c>
      <c r="F280" s="41" t="s">
        <v>446</v>
      </c>
      <c r="G280" s="41" t="s">
        <v>465</v>
      </c>
      <c r="H280" s="41" t="s">
        <v>451</v>
      </c>
      <c r="I280" s="70">
        <f>EXPEDICION!K280-7</f>
        <v>46163</v>
      </c>
      <c r="J280" s="63">
        <f>PEDIDOS!M280</f>
        <v>270503</v>
      </c>
      <c r="K280" s="23"/>
    </row>
    <row r="281" ht="22.5" customHeight="1">
      <c r="A281" s="64">
        <f>PEDIDOS!B281</f>
        <v>46153</v>
      </c>
      <c r="B281" s="65" t="str">
        <f>PEDIDOS!C281</f>
        <v/>
      </c>
      <c r="C281" s="65" t="str">
        <f>PEDIDOS!D281</f>
        <v>NATCEUTICALS</v>
      </c>
      <c r="D281" s="66" t="str">
        <f>PEDIDOS!E281</f>
        <v>SERUM ACIDO HIALURONICO</v>
      </c>
      <c r="E281" s="67">
        <f>PEDIDOS!G281*PEDIDOS!H281/1000</f>
        <v>15</v>
      </c>
      <c r="F281" s="71" t="s">
        <v>446</v>
      </c>
      <c r="G281" s="65"/>
      <c r="H281" s="71" t="s">
        <v>451</v>
      </c>
      <c r="I281" s="72">
        <f>EXPEDICION!K281-7</f>
        <v>46162</v>
      </c>
      <c r="J281" s="69" t="str">
        <f>PEDIDOS!M281</f>
        <v>Y26023</v>
      </c>
      <c r="K281" s="65"/>
    </row>
    <row r="282" ht="22.5" customHeight="1">
      <c r="A282" s="47">
        <f>PEDIDOS!B282</f>
        <v>46153</v>
      </c>
      <c r="B282" s="23" t="str">
        <f>PEDIDOS!C282</f>
        <v/>
      </c>
      <c r="C282" s="23" t="str">
        <f>PEDIDOS!D282</f>
        <v>NATCEUTICALS</v>
      </c>
      <c r="D282" s="60" t="str">
        <f>PEDIDOS!E282</f>
        <v>SERUM RETINOL</v>
      </c>
      <c r="E282" s="61">
        <f>PEDIDOS!G282*PEDIDOS!H282/1000</f>
        <v>9</v>
      </c>
      <c r="F282" s="41" t="s">
        <v>446</v>
      </c>
      <c r="G282" s="23"/>
      <c r="H282" s="41" t="s">
        <v>460</v>
      </c>
      <c r="I282" s="23">
        <f>EXPEDICION!K282-7</f>
        <v>-7</v>
      </c>
      <c r="J282" s="63" t="str">
        <f>PEDIDOS!M282</f>
        <v/>
      </c>
      <c r="K282" s="23"/>
    </row>
    <row r="283" ht="22.5" customHeight="1">
      <c r="A283" s="64">
        <f>PEDIDOS!B283</f>
        <v>46153</v>
      </c>
      <c r="B283" s="65" t="str">
        <f>PEDIDOS!C283</f>
        <v/>
      </c>
      <c r="C283" s="65" t="str">
        <f>PEDIDOS!D283</f>
        <v>ECOS DE HUEMUL</v>
      </c>
      <c r="D283" s="66" t="str">
        <f>PEDIDOS!E283</f>
        <v>JABON LIQUIDO NEUTRO</v>
      </c>
      <c r="E283" s="67">
        <f>PEDIDOS!G283*PEDIDOS!H283/1000</f>
        <v>90</v>
      </c>
      <c r="F283" s="65" t="s">
        <v>458</v>
      </c>
      <c r="G283" s="65"/>
      <c r="H283" s="65"/>
      <c r="I283" s="65">
        <f>EXPEDICION!K283-7</f>
        <v>-7</v>
      </c>
      <c r="J283" s="69" t="str">
        <f>PEDIDOS!M283</f>
        <v/>
      </c>
      <c r="K283" s="65"/>
    </row>
    <row r="284" ht="22.5" customHeight="1">
      <c r="A284" s="47">
        <f>PEDIDOS!B284</f>
        <v>46153</v>
      </c>
      <c r="B284" s="23" t="str">
        <f>PEDIDOS!C284</f>
        <v/>
      </c>
      <c r="C284" s="23" t="str">
        <f>PEDIDOS!D284</f>
        <v>ECOS DE HUEMUL</v>
      </c>
      <c r="D284" s="60" t="str">
        <f>PEDIDOS!E284</f>
        <v>JABON LIQUIDO NEUTRO</v>
      </c>
      <c r="E284" s="61">
        <f>PEDIDOS!G284*PEDIDOS!H284/1000</f>
        <v>17.5</v>
      </c>
      <c r="F284" s="23" t="s">
        <v>458</v>
      </c>
      <c r="G284" s="23"/>
      <c r="H284" s="23"/>
      <c r="I284" s="23">
        <f>EXPEDICION!K284-7</f>
        <v>-7</v>
      </c>
      <c r="J284" s="63" t="str">
        <f>PEDIDOS!M284</f>
        <v/>
      </c>
      <c r="K284" s="23"/>
    </row>
    <row r="285" ht="22.5" customHeight="1">
      <c r="A285" s="64">
        <f>PEDIDOS!B285</f>
        <v>46153</v>
      </c>
      <c r="B285" s="65" t="str">
        <f>PEDIDOS!C285</f>
        <v/>
      </c>
      <c r="C285" s="65" t="str">
        <f>PEDIDOS!D285</f>
        <v>ECOS DE HUEMUL</v>
      </c>
      <c r="D285" s="66" t="str">
        <f>PEDIDOS!E285</f>
        <v>JABON LIQUIDO CON FRAGANCIA</v>
      </c>
      <c r="E285" s="67">
        <f>PEDIDOS!G285*PEDIDOS!H285/1000</f>
        <v>35</v>
      </c>
      <c r="F285" s="65" t="s">
        <v>458</v>
      </c>
      <c r="G285" s="65"/>
      <c r="H285" s="65"/>
      <c r="I285" s="65">
        <f>EXPEDICION!K285-7</f>
        <v>-7</v>
      </c>
      <c r="J285" s="69" t="str">
        <f>PEDIDOS!M285</f>
        <v/>
      </c>
      <c r="K285" s="65"/>
    </row>
    <row r="286" ht="22.5" customHeight="1">
      <c r="A286" s="47">
        <f>PEDIDOS!B286</f>
        <v>46153</v>
      </c>
      <c r="B286" s="23" t="str">
        <f>PEDIDOS!C286</f>
        <v/>
      </c>
      <c r="C286" s="23" t="str">
        <f>PEDIDOS!D286</f>
        <v>ECOS DE HUEMUL</v>
      </c>
      <c r="D286" s="60" t="str">
        <f>PEDIDOS!E286</f>
        <v>JABON LIQUIDO CON FRAGANCIA</v>
      </c>
      <c r="E286" s="61">
        <f>PEDIDOS!G286*PEDIDOS!H286/1000</f>
        <v>7.5</v>
      </c>
      <c r="F286" s="23" t="s">
        <v>458</v>
      </c>
      <c r="G286" s="23"/>
      <c r="H286" s="23"/>
      <c r="I286" s="23">
        <f>EXPEDICION!K286-7</f>
        <v>-7</v>
      </c>
      <c r="J286" s="63" t="str">
        <f>PEDIDOS!M286</f>
        <v/>
      </c>
      <c r="K286" s="23"/>
    </row>
    <row r="287" ht="22.5" customHeight="1">
      <c r="A287" s="64">
        <f>PEDIDOS!B287</f>
        <v>46154</v>
      </c>
      <c r="B287" s="65" t="str">
        <f>PEDIDOS!C287</f>
        <v>#P01338</v>
      </c>
      <c r="C287" s="65" t="str">
        <f>PEDIDOS!D287</f>
        <v>BIOESENCIA</v>
      </c>
      <c r="D287" s="66" t="str">
        <f>PEDIDOS!E287</f>
        <v>JABON LIQUIDO ANTIBACTERIAL</v>
      </c>
      <c r="E287" s="67">
        <f>PEDIDOS!G287*PEDIDOS!H287/1000</f>
        <v>80</v>
      </c>
      <c r="F287" s="71" t="s">
        <v>446</v>
      </c>
      <c r="G287" s="65"/>
      <c r="H287" s="71" t="s">
        <v>456</v>
      </c>
      <c r="I287" s="68">
        <f>EXPEDICION!K287-7</f>
        <v>46156</v>
      </c>
      <c r="J287" s="69">
        <f>PEDIDOS!M287</f>
        <v>200501</v>
      </c>
      <c r="K287" s="65"/>
    </row>
    <row r="288" ht="22.5" customHeight="1">
      <c r="A288" s="47">
        <f>PEDIDOS!B288</f>
        <v>46154</v>
      </c>
      <c r="B288" s="23" t="str">
        <f>PEDIDOS!C288</f>
        <v>#P01338</v>
      </c>
      <c r="C288" s="23" t="str">
        <f>PEDIDOS!D288</f>
        <v>BIOESENCIA</v>
      </c>
      <c r="D288" s="60" t="str">
        <f>PEDIDOS!E288</f>
        <v>SHAMPOO BABY 2 EN 1 VEGAN</v>
      </c>
      <c r="E288" s="61">
        <f>PEDIDOS!G288*PEDIDOS!H288/1000</f>
        <v>125</v>
      </c>
      <c r="F288" s="41" t="s">
        <v>446</v>
      </c>
      <c r="G288" s="23"/>
      <c r="H288" s="41" t="s">
        <v>456</v>
      </c>
      <c r="I288" s="70">
        <f>EXPEDICION!K288-7</f>
        <v>46156</v>
      </c>
      <c r="J288" s="63" t="str">
        <f>PEDIDOS!M288</f>
        <v>Y26021</v>
      </c>
      <c r="K288" s="23"/>
    </row>
    <row r="289" ht="22.5" customHeight="1">
      <c r="A289" s="64">
        <f>PEDIDOS!B289</f>
        <v>46154</v>
      </c>
      <c r="B289" s="65" t="str">
        <f>PEDIDOS!C289</f>
        <v>#P01289</v>
      </c>
      <c r="C289" s="65" t="str">
        <f>PEDIDOS!D289</f>
        <v>BIOESENCIA</v>
      </c>
      <c r="D289" s="66" t="str">
        <f>PEDIDOS!E289</f>
        <v>CREMA PARA PEINAR</v>
      </c>
      <c r="E289" s="67">
        <f>PEDIDOS!G289*PEDIDOS!H289/1000</f>
        <v>160</v>
      </c>
      <c r="F289" s="71" t="s">
        <v>446</v>
      </c>
      <c r="G289" s="65"/>
      <c r="H289" s="71" t="s">
        <v>448</v>
      </c>
      <c r="I289" s="68">
        <f>EXPEDICION!K289-7</f>
        <v>46156</v>
      </c>
      <c r="J289" s="69">
        <f>PEDIDOS!M289</f>
        <v>200502</v>
      </c>
      <c r="K289" s="65"/>
    </row>
    <row r="290" ht="22.5" customHeight="1">
      <c r="A290" s="47">
        <f>PEDIDOS!B290</f>
        <v>46147</v>
      </c>
      <c r="B290" s="23" t="str">
        <f>PEDIDOS!C290</f>
        <v/>
      </c>
      <c r="C290" s="23" t="str">
        <f>PEDIDOS!D290</f>
        <v>LABORATORIO ONCE</v>
      </c>
      <c r="D290" s="60" t="str">
        <f>PEDIDOS!E290</f>
        <v>SERUM AH CONCENTRADO</v>
      </c>
      <c r="E290" s="61">
        <f>PEDIDOS!G290*PEDIDOS!H290/1000</f>
        <v>45</v>
      </c>
      <c r="F290" s="41" t="s">
        <v>446</v>
      </c>
      <c r="G290" s="23"/>
      <c r="H290" s="41" t="s">
        <v>456</v>
      </c>
      <c r="I290" s="62">
        <f>EXPEDICION!K290-7</f>
        <v>46170</v>
      </c>
      <c r="J290" s="63" t="str">
        <f>PEDIDOS!M290</f>
        <v>Y26019</v>
      </c>
      <c r="K290" s="23"/>
    </row>
    <row r="291" ht="22.5" customHeight="1">
      <c r="A291" s="64">
        <f>PEDIDOS!B291</f>
        <v>46147</v>
      </c>
      <c r="B291" s="65" t="str">
        <f>PEDIDOS!C291</f>
        <v/>
      </c>
      <c r="C291" s="65" t="str">
        <f>PEDIDOS!D291</f>
        <v>LABORATORIO ONCE</v>
      </c>
      <c r="D291" s="66" t="str">
        <f>PEDIDOS!E291</f>
        <v>SERUM AH + NIACI</v>
      </c>
      <c r="E291" s="67">
        <f>PEDIDOS!G291*PEDIDOS!H291/1000</f>
        <v>45</v>
      </c>
      <c r="F291" s="71" t="s">
        <v>446</v>
      </c>
      <c r="G291" s="65"/>
      <c r="H291" s="71" t="s">
        <v>456</v>
      </c>
      <c r="I291" s="72">
        <f>EXPEDICION!K291-7</f>
        <v>46170</v>
      </c>
      <c r="J291" s="69" t="str">
        <f>PEDIDOS!M291</f>
        <v>Y26020</v>
      </c>
      <c r="K291" s="65"/>
    </row>
    <row r="292" ht="22.5" customHeight="1">
      <c r="A292" s="47">
        <f>PEDIDOS!B292</f>
        <v>46153</v>
      </c>
      <c r="B292" s="23">
        <f>PEDIDOS!C292</f>
        <v>14442</v>
      </c>
      <c r="C292" s="23" t="str">
        <f>PEDIDOS!D292</f>
        <v>JACTANS - DISNEY</v>
      </c>
      <c r="D292" s="60" t="str">
        <f>PEDIDOS!E292</f>
        <v>DP-50990-Perfume inf. fco Mariana x50ml/ Es. 0369RD</v>
      </c>
      <c r="E292" s="61">
        <f>PEDIDOS!G292*PEDIDOS!H292/1000</f>
        <v>150</v>
      </c>
      <c r="F292" s="41" t="s">
        <v>446</v>
      </c>
      <c r="G292" s="23"/>
      <c r="H292" s="23"/>
      <c r="I292" s="62">
        <f>EXPEDICION!K292-7</f>
        <v>46176</v>
      </c>
      <c r="J292" s="63" t="str">
        <f>PEDIDOS!M292</f>
        <v>J26011</v>
      </c>
      <c r="K292" s="23"/>
    </row>
    <row r="293" ht="22.5" customHeight="1">
      <c r="A293" s="64">
        <f>PEDIDOS!B293</f>
        <v>46153</v>
      </c>
      <c r="B293" s="65">
        <f>PEDIDOS!C293</f>
        <v>14442</v>
      </c>
      <c r="C293" s="65" t="str">
        <f>PEDIDOS!D293</f>
        <v>JACTANS - DISNEY</v>
      </c>
      <c r="D293" s="66" t="str">
        <f>PEDIDOS!E293</f>
        <v>DP-50983-Perf. infantil fco Grand Prix x55ml/Es.1192AG</v>
      </c>
      <c r="E293" s="67">
        <f>PEDIDOS!G293*PEDIDOS!H293/1000</f>
        <v>165</v>
      </c>
      <c r="F293" s="71" t="s">
        <v>446</v>
      </c>
      <c r="G293" s="65"/>
      <c r="H293" s="71" t="s">
        <v>449</v>
      </c>
      <c r="I293" s="72">
        <f>EXPEDICION!K293-7</f>
        <v>46175</v>
      </c>
      <c r="J293" s="69" t="str">
        <f>PEDIDOS!M293</f>
        <v>J26012</v>
      </c>
      <c r="K293" s="65"/>
    </row>
    <row r="294" ht="22.5" customHeight="1">
      <c r="A294" s="47">
        <f>PEDIDOS!B294</f>
        <v>46153</v>
      </c>
      <c r="B294" s="23">
        <f>PEDIDOS!C294</f>
        <v>14442</v>
      </c>
      <c r="C294" s="23" t="str">
        <f>PEDIDOS!D294</f>
        <v>JACTANS - DISNEY</v>
      </c>
      <c r="D294" s="77" t="str">
        <f>PEDIDOS!E294</f>
        <v>DP-48709-PERFUME INF fco Mariana x 50ml/Es. 0270WT</v>
      </c>
      <c r="E294" s="61">
        <f>PEDIDOS!G294*PEDIDOS!H294/1000</f>
        <v>100</v>
      </c>
      <c r="F294" s="41" t="s">
        <v>446</v>
      </c>
      <c r="G294" s="23"/>
      <c r="H294" s="41" t="s">
        <v>448</v>
      </c>
      <c r="I294" s="62">
        <f>EXPEDICION!K294-7</f>
        <v>46157</v>
      </c>
      <c r="J294" s="63" t="str">
        <f>PEDIDOS!M294</f>
        <v>Y26031</v>
      </c>
      <c r="K294" s="23"/>
    </row>
    <row r="295" ht="22.5" customHeight="1">
      <c r="A295" s="64">
        <f>PEDIDOS!B295</f>
        <v>46153</v>
      </c>
      <c r="B295" s="65">
        <f>PEDIDOS!C295</f>
        <v>14442</v>
      </c>
      <c r="C295" s="65" t="str">
        <f>PEDIDOS!D295</f>
        <v>JACTANS - DISNEY</v>
      </c>
      <c r="D295" s="77" t="str">
        <f>PEDIDOS!E295</f>
        <v>DP-42103-Perfume inf.Fco cubic/memor. x50ml/Es. 0300IE</v>
      </c>
      <c r="E295" s="67">
        <f>PEDIDOS!G295*PEDIDOS!H295/1000</f>
        <v>100</v>
      </c>
      <c r="F295" s="65" t="s">
        <v>458</v>
      </c>
      <c r="G295" s="65"/>
      <c r="H295" s="65"/>
      <c r="I295" s="65">
        <f>EXPEDICION!K295-7</f>
        <v>-7</v>
      </c>
      <c r="J295" s="69" t="str">
        <f>PEDIDOS!M295</f>
        <v/>
      </c>
      <c r="K295" s="65"/>
    </row>
    <row r="296" ht="22.5" customHeight="1">
      <c r="A296" s="47">
        <f>PEDIDOS!B296</f>
        <v>46153</v>
      </c>
      <c r="B296" s="23">
        <f>PEDIDOS!C296</f>
        <v>14441</v>
      </c>
      <c r="C296" s="23" t="str">
        <f>PEDIDOS!D296</f>
        <v>JACTANS - DISNEY</v>
      </c>
      <c r="D296" s="60" t="str">
        <f>PEDIDOS!E296</f>
        <v>DP-51263-Perf infantil fco Armani x50ml/Es. 0434TS</v>
      </c>
      <c r="E296" s="61">
        <f>PEDIDOS!G296*PEDIDOS!H296/1000</f>
        <v>50</v>
      </c>
      <c r="F296" s="41" t="s">
        <v>446</v>
      </c>
      <c r="G296" s="23"/>
      <c r="H296" s="41" t="s">
        <v>456</v>
      </c>
      <c r="I296" s="62">
        <f>EXPEDICION!K296-7</f>
        <v>46167</v>
      </c>
      <c r="J296" s="63" t="str">
        <f>PEDIDOS!M296</f>
        <v>Y26042-1</v>
      </c>
      <c r="K296" s="23"/>
    </row>
    <row r="297" ht="22.5" customHeight="1">
      <c r="A297" s="64">
        <f>PEDIDOS!B297</f>
        <v>46153</v>
      </c>
      <c r="B297" s="65">
        <f>PEDIDOS!C297</f>
        <v>14441</v>
      </c>
      <c r="C297" s="65" t="str">
        <f>PEDIDOS!D297</f>
        <v>JACTANS - DISNEY</v>
      </c>
      <c r="D297" s="66" t="str">
        <f>PEDIDOS!E297</f>
        <v>DP-51270-Perf. infan. fco mariana x50ml/Es. 0269IN</v>
      </c>
      <c r="E297" s="67">
        <f>PEDIDOS!G297*PEDIDOS!H297/1000</f>
        <v>65</v>
      </c>
      <c r="F297" s="71" t="s">
        <v>446</v>
      </c>
      <c r="G297" s="65"/>
      <c r="H297" s="71" t="s">
        <v>456</v>
      </c>
      <c r="I297" s="72">
        <f>EXPEDICION!K297-7</f>
        <v>46161</v>
      </c>
      <c r="J297" s="69" t="str">
        <f>PEDIDOS!M297</f>
        <v>Y26041-1</v>
      </c>
      <c r="K297" s="65"/>
    </row>
    <row r="298" ht="22.5" customHeight="1">
      <c r="A298" s="47">
        <f>PEDIDOS!B298</f>
        <v>46153</v>
      </c>
      <c r="B298" s="23">
        <f>PEDIDOS!C298</f>
        <v>14441</v>
      </c>
      <c r="C298" s="23" t="str">
        <f>PEDIDOS!D298</f>
        <v>JACTANS - DISNEY</v>
      </c>
      <c r="D298" s="60" t="str">
        <f>PEDIDOS!E298</f>
        <v>DP-51287-Perf infantil fco PVC x 65ml/Es. 0279BD</v>
      </c>
      <c r="E298" s="61">
        <f>PEDIDOS!G298*PEDIDOS!H298/1000</f>
        <v>84.5</v>
      </c>
      <c r="F298" s="41" t="s">
        <v>446</v>
      </c>
      <c r="G298" s="23"/>
      <c r="H298" s="41" t="s">
        <v>451</v>
      </c>
      <c r="I298" s="70">
        <f>EXPEDICION!K298-7</f>
        <v>46161</v>
      </c>
      <c r="J298" s="63" t="str">
        <f>PEDIDOS!M298</f>
        <v>Y26041</v>
      </c>
      <c r="K298" s="23"/>
    </row>
    <row r="299" ht="22.5" customHeight="1">
      <c r="A299" s="64">
        <f>PEDIDOS!B299</f>
        <v>46153</v>
      </c>
      <c r="B299" s="65">
        <f>PEDIDOS!C299</f>
        <v>14441</v>
      </c>
      <c r="C299" s="65" t="str">
        <f>PEDIDOS!D299</f>
        <v>JACTANS - DISNEY</v>
      </c>
      <c r="D299" s="66" t="str">
        <f>PEDIDOS!E299</f>
        <v>DP-51294-Perfume infantil fco PVC x65ml/Es. 0429UX</v>
      </c>
      <c r="E299" s="67">
        <f>PEDIDOS!G299*PEDIDOS!H299/1000</f>
        <v>84.5</v>
      </c>
      <c r="F299" s="71" t="s">
        <v>446</v>
      </c>
      <c r="G299" s="65"/>
      <c r="H299" s="71" t="s">
        <v>448</v>
      </c>
      <c r="I299" s="68">
        <f>EXPEDICION!K299-7</f>
        <v>46161</v>
      </c>
      <c r="J299" s="69" t="str">
        <f>PEDIDOS!M299</f>
        <v>Y26042</v>
      </c>
      <c r="K299" s="65"/>
    </row>
    <row r="300" ht="22.5" customHeight="1">
      <c r="A300" s="47">
        <f>PEDIDOS!B300</f>
        <v>46153</v>
      </c>
      <c r="B300" s="23">
        <f>PEDIDOS!C300</f>
        <v>14441</v>
      </c>
      <c r="C300" s="23" t="str">
        <f>PEDIDOS!D300</f>
        <v>JACTANS - DISNEY</v>
      </c>
      <c r="D300" s="60" t="str">
        <f>PEDIDOS!E300</f>
        <v>DP-51300-Perf infantil fco Armani x50ml/Es. 0301BG</v>
      </c>
      <c r="E300" s="61">
        <f>PEDIDOS!G300*PEDIDOS!H300/1000</f>
        <v>65</v>
      </c>
      <c r="F300" s="41" t="s">
        <v>446</v>
      </c>
      <c r="G300" s="23"/>
      <c r="H300" s="41" t="s">
        <v>456</v>
      </c>
      <c r="I300" s="62">
        <f>EXPEDICION!K300-7</f>
        <v>46163</v>
      </c>
      <c r="J300" s="63" t="str">
        <f>PEDIDOS!M300</f>
        <v>Y26042-2</v>
      </c>
      <c r="K300" s="23"/>
    </row>
    <row r="301" ht="22.5" customHeight="1">
      <c r="A301" s="64">
        <f>PEDIDOS!B301</f>
        <v>46156</v>
      </c>
      <c r="B301" s="65">
        <f>PEDIDOS!C301</f>
        <v>797</v>
      </c>
      <c r="C301" s="65" t="str">
        <f>PEDIDOS!D301</f>
        <v>CAV</v>
      </c>
      <c r="D301" s="66" t="str">
        <f>PEDIDOS!E301</f>
        <v>SHAMPOO BIONIC X400ML</v>
      </c>
      <c r="E301" s="67">
        <f>PEDIDOS!G301*PEDIDOS!H301/1000</f>
        <v>160</v>
      </c>
      <c r="F301" s="71" t="s">
        <v>446</v>
      </c>
      <c r="G301" s="65"/>
      <c r="H301" s="71" t="s">
        <v>456</v>
      </c>
      <c r="I301" s="72">
        <f>EXPEDICION!K301-7</f>
        <v>46167</v>
      </c>
      <c r="J301" s="69" t="str">
        <f>PEDIDOS!M301</f>
        <v>A26005</v>
      </c>
      <c r="K301" s="65"/>
    </row>
    <row r="302" ht="22.5" customHeight="1">
      <c r="A302" s="47">
        <f>PEDIDOS!B302</f>
        <v>46156</v>
      </c>
      <c r="B302" s="23">
        <f>PEDIDOS!C302</f>
        <v>797</v>
      </c>
      <c r="C302" s="23" t="str">
        <f>PEDIDOS!D302</f>
        <v>CAV</v>
      </c>
      <c r="D302" s="60" t="str">
        <f>PEDIDOS!E302</f>
        <v>CONDITIONER BIONIC X400ML</v>
      </c>
      <c r="E302" s="61">
        <f>PEDIDOS!G302*PEDIDOS!H302/1000</f>
        <v>160</v>
      </c>
      <c r="F302" s="41" t="s">
        <v>446</v>
      </c>
      <c r="G302" s="23"/>
      <c r="H302" s="41" t="s">
        <v>456</v>
      </c>
      <c r="I302" s="62">
        <f>EXPEDICION!K302-7</f>
        <v>46167</v>
      </c>
      <c r="J302" s="63" t="str">
        <f>PEDIDOS!M302</f>
        <v>A26006</v>
      </c>
      <c r="K302" s="23"/>
    </row>
    <row r="303" ht="22.5" customHeight="1">
      <c r="A303" s="64">
        <f>PEDIDOS!B303</f>
        <v>46156</v>
      </c>
      <c r="B303" s="65">
        <f>PEDIDOS!C303</f>
        <v>15246</v>
      </c>
      <c r="C303" s="65" t="str">
        <f>PEDIDOS!D303</f>
        <v>THELMA Y LOUISE</v>
      </c>
      <c r="D303" s="66" t="str">
        <f>PEDIDOS!E303</f>
        <v>SANITIZANTE "KEEP IT CLEAN" FLORAL CRUSH - ROSA CLARO</v>
      </c>
      <c r="E303" s="67">
        <f>PEDIDOS!G303*PEDIDOS!H303/1000</f>
        <v>200</v>
      </c>
      <c r="F303" s="71" t="s">
        <v>446</v>
      </c>
      <c r="G303" s="65"/>
      <c r="H303" s="71" t="s">
        <v>448</v>
      </c>
      <c r="I303" s="68">
        <f>EXPEDICION!K303-7</f>
        <v>46164</v>
      </c>
      <c r="J303" s="69">
        <f>PEDIDOS!M303</f>
        <v>270504</v>
      </c>
      <c r="K303" s="65"/>
    </row>
    <row r="304" ht="22.5" customHeight="1">
      <c r="A304" s="47">
        <f>PEDIDOS!B304</f>
        <v>46156</v>
      </c>
      <c r="B304" s="23">
        <f>PEDIDOS!C304</f>
        <v>15246</v>
      </c>
      <c r="C304" s="23" t="str">
        <f>PEDIDOS!D304</f>
        <v>THELMA Y LOUISE</v>
      </c>
      <c r="D304" s="60" t="str">
        <f>PEDIDOS!E304</f>
        <v>SANITIZANTE "KEEP IT CLEAN" FRUIT SMOOTHIE - CORAL</v>
      </c>
      <c r="E304" s="61">
        <f>PEDIDOS!G304*PEDIDOS!H304/1000</f>
        <v>200</v>
      </c>
      <c r="F304" s="41" t="s">
        <v>446</v>
      </c>
      <c r="G304" s="23"/>
      <c r="H304" s="41" t="s">
        <v>451</v>
      </c>
      <c r="I304" s="70">
        <f>EXPEDICION!K304-7</f>
        <v>46164</v>
      </c>
      <c r="J304" s="63">
        <f>PEDIDOS!M304</f>
        <v>260501</v>
      </c>
      <c r="K304" s="23"/>
    </row>
    <row r="305" ht="22.5" customHeight="1">
      <c r="A305" s="64">
        <f>PEDIDOS!B305</f>
        <v>46156</v>
      </c>
      <c r="B305" s="65" t="str">
        <f>PEDIDOS!C305</f>
        <v/>
      </c>
      <c r="C305" s="65" t="str">
        <f>PEDIDOS!D305</f>
        <v>ASHA</v>
      </c>
      <c r="D305" s="66" t="str">
        <f>PEDIDOS!E305</f>
        <v>SERUM TENSOR</v>
      </c>
      <c r="E305" s="67">
        <f>PEDIDOS!G305*PEDIDOS!H305/1000</f>
        <v>15</v>
      </c>
      <c r="F305" s="71" t="s">
        <v>446</v>
      </c>
      <c r="G305" s="65"/>
      <c r="H305" s="71" t="s">
        <v>451</v>
      </c>
      <c r="I305" s="65">
        <f>EXPEDICION!K305-7</f>
        <v>-7</v>
      </c>
      <c r="J305" s="69" t="str">
        <f>PEDIDOS!M305</f>
        <v/>
      </c>
      <c r="K305" s="65"/>
    </row>
    <row r="306" ht="22.5" customHeight="1">
      <c r="A306" s="47">
        <f>PEDIDOS!B306</f>
        <v>46157</v>
      </c>
      <c r="B306" s="23" t="str">
        <f>PEDIDOS!C306</f>
        <v/>
      </c>
      <c r="C306" s="23" t="str">
        <f>PEDIDOS!D306</f>
        <v>THE GLOW FACTOR</v>
      </c>
      <c r="D306" s="60" t="str">
        <f>PEDIDOS!E306</f>
        <v>RADIANT EYES CONTORNO DE OJOS</v>
      </c>
      <c r="E306" s="61">
        <f>PEDIDOS!G306*PEDIDOS!H306/1000</f>
        <v>45</v>
      </c>
      <c r="F306" s="41" t="s">
        <v>446</v>
      </c>
      <c r="G306" s="23"/>
      <c r="H306" s="23"/>
      <c r="I306" s="75">
        <f>EXPEDICION!K306-7</f>
        <v>46171</v>
      </c>
      <c r="J306" s="63" t="str">
        <f>PEDIDOS!M306</f>
        <v>Y26049</v>
      </c>
      <c r="K306" s="23"/>
    </row>
    <row r="307" ht="22.5" customHeight="1">
      <c r="A307" s="64">
        <f>PEDIDOS!B307</f>
        <v>46157</v>
      </c>
      <c r="B307" s="65" t="str">
        <f>PEDIDOS!C307</f>
        <v/>
      </c>
      <c r="C307" s="65" t="str">
        <f>PEDIDOS!D307</f>
        <v>THE GLOW FACTOR</v>
      </c>
      <c r="D307" s="66" t="str">
        <f>PEDIDOS!E307</f>
        <v>CREMA FACIAL CLARITÉ</v>
      </c>
      <c r="E307" s="67">
        <f>PEDIDOS!G307*PEDIDOS!H307/1000</f>
        <v>60</v>
      </c>
      <c r="F307" s="71" t="s">
        <v>446</v>
      </c>
      <c r="G307" s="65"/>
      <c r="H307" s="71" t="s">
        <v>456</v>
      </c>
      <c r="I307" s="72">
        <f>EXPEDICION!K307-7</f>
        <v>46168</v>
      </c>
      <c r="J307" s="69" t="str">
        <f>PEDIDOS!M307</f>
        <v>Y26050</v>
      </c>
      <c r="K307" s="65"/>
    </row>
    <row r="308" ht="22.5" customHeight="1">
      <c r="A308" s="47">
        <f>PEDIDOS!B308</f>
        <v>46157</v>
      </c>
      <c r="B308" s="23">
        <f>PEDIDOS!C308</f>
        <v>15294</v>
      </c>
      <c r="C308" s="23" t="str">
        <f>PEDIDOS!D308</f>
        <v>THELMA Y LOUISE</v>
      </c>
      <c r="D308" s="60" t="str">
        <f>PEDIDOS!E308</f>
        <v>ALCOHOL EN GEL NEUTRO VAMOS ARGENTINA</v>
      </c>
      <c r="E308" s="61">
        <f>PEDIDOS!G308*PEDIDOS!H308/1000</f>
        <v>60</v>
      </c>
      <c r="F308" s="41" t="s">
        <v>446</v>
      </c>
      <c r="G308" s="23"/>
      <c r="H308" s="41" t="s">
        <v>448</v>
      </c>
      <c r="I308" s="75">
        <f>EXPEDICION!K308-7</f>
        <v>46168</v>
      </c>
      <c r="J308" s="63">
        <f>PEDIDOS!M308</f>
        <v>10601</v>
      </c>
      <c r="K308" s="23"/>
    </row>
    <row r="309" ht="22.5" customHeight="1">
      <c r="A309" s="64">
        <f>PEDIDOS!B309</f>
        <v>46157</v>
      </c>
      <c r="B309" s="65">
        <f>PEDIDOS!C309</f>
        <v>15294</v>
      </c>
      <c r="C309" s="65" t="str">
        <f>PEDIDOS!D309</f>
        <v>THELMA Y LOUISE</v>
      </c>
      <c r="D309" s="66" t="str">
        <f>PEDIDOS!E309</f>
        <v>ALCOHOL EN GEL NEUTRO CORONADOS DE GLORIA</v>
      </c>
      <c r="E309" s="67">
        <f>PEDIDOS!G309*PEDIDOS!H309/1000</f>
        <v>60</v>
      </c>
      <c r="F309" s="71" t="s">
        <v>446</v>
      </c>
      <c r="G309" s="65"/>
      <c r="H309" s="71" t="s">
        <v>448</v>
      </c>
      <c r="I309" s="72">
        <f>EXPEDICION!K309-7</f>
        <v>46167</v>
      </c>
      <c r="J309" s="69">
        <f>PEDIDOS!M309</f>
        <v>290501</v>
      </c>
      <c r="K309" s="65"/>
    </row>
    <row r="310" ht="22.5" customHeight="1">
      <c r="A310" s="47">
        <f>PEDIDOS!B310</f>
        <v>46157</v>
      </c>
      <c r="B310" s="23" t="str">
        <f>PEDIDOS!C310</f>
        <v/>
      </c>
      <c r="C310" s="23" t="str">
        <f>PEDIDOS!D310</f>
        <v>OSSPRET</v>
      </c>
      <c r="D310" s="60" t="str">
        <f>PEDIDOS!E310</f>
        <v>CREMA DE ORDEÑE</v>
      </c>
      <c r="E310" s="61">
        <f>PEDIDOS!G310*PEDIDOS!H310/1000</f>
        <v>300</v>
      </c>
      <c r="F310" s="41" t="s">
        <v>446</v>
      </c>
      <c r="G310" s="23"/>
      <c r="H310" s="41" t="s">
        <v>451</v>
      </c>
      <c r="I310" s="23">
        <f>EXPEDICION!K310-7</f>
        <v>-7</v>
      </c>
      <c r="J310" s="63" t="str">
        <f>PEDIDOS!M310</f>
        <v/>
      </c>
      <c r="K310" s="23"/>
    </row>
    <row r="311" ht="22.5" customHeight="1">
      <c r="A311" s="64">
        <f>PEDIDOS!B311</f>
        <v>46157</v>
      </c>
      <c r="B311" s="65" t="str">
        <f>PEDIDOS!C311</f>
        <v/>
      </c>
      <c r="C311" s="65" t="str">
        <f>PEDIDOS!D311</f>
        <v>OSSPRET</v>
      </c>
      <c r="D311" s="66" t="str">
        <f>PEDIDOS!E311</f>
        <v>CREMA BASE</v>
      </c>
      <c r="E311" s="67">
        <f>PEDIDOS!G311*PEDIDOS!H311/1000</f>
        <v>100</v>
      </c>
      <c r="F311" s="71" t="s">
        <v>446</v>
      </c>
      <c r="G311" s="65"/>
      <c r="H311" s="71" t="s">
        <v>448</v>
      </c>
      <c r="I311" s="65">
        <f>EXPEDICION!K311-7</f>
        <v>-7</v>
      </c>
      <c r="J311" s="69" t="str">
        <f>PEDIDOS!M311</f>
        <v/>
      </c>
      <c r="K311" s="65"/>
    </row>
    <row r="312" ht="22.5" customHeight="1">
      <c r="A312" s="47">
        <f>PEDIDOS!B312</f>
        <v>46163</v>
      </c>
      <c r="B312" s="23">
        <f>PEDIDOS!C312</f>
        <v>803</v>
      </c>
      <c r="C312" s="23" t="str">
        <f>PEDIDOS!D312</f>
        <v>CAV</v>
      </c>
      <c r="D312" s="60" t="str">
        <f>PEDIDOS!E312</f>
        <v>Mascara BIO Molecular X 300 ml. Vitamin Shock</v>
      </c>
      <c r="E312" s="61">
        <f>PEDIDOS!G312*PEDIDOS!H312/1000</f>
        <v>210</v>
      </c>
      <c r="F312" s="41" t="s">
        <v>446</v>
      </c>
      <c r="G312" s="23"/>
      <c r="H312" s="41" t="s">
        <v>456</v>
      </c>
      <c r="I312" s="62">
        <f>EXPEDICION!K312-7</f>
        <v>46169</v>
      </c>
      <c r="J312" s="63" t="str">
        <f>PEDIDOS!M312</f>
        <v>Y26063</v>
      </c>
      <c r="K312" s="23"/>
    </row>
    <row r="313" ht="22.5" customHeight="1">
      <c r="A313" s="64">
        <f>PEDIDOS!B313</f>
        <v>46163</v>
      </c>
      <c r="B313" s="65" t="str">
        <f>PEDIDOS!C313</f>
        <v/>
      </c>
      <c r="C313" s="65" t="str">
        <f>PEDIDOS!D313</f>
        <v>MURDA</v>
      </c>
      <c r="D313" s="66" t="str">
        <f>PEDIDOS!E313</f>
        <v>SERUM HIDRATANTE PARA CEJAS Y PESTAÑAS X 5 ml</v>
      </c>
      <c r="E313" s="67">
        <f>PEDIDOS!G313*PEDIDOS!H313/1000</f>
        <v>7.5</v>
      </c>
      <c r="F313" s="71" t="s">
        <v>446</v>
      </c>
      <c r="G313" s="65"/>
      <c r="H313" s="71" t="s">
        <v>456</v>
      </c>
      <c r="I313" s="65">
        <f>EXPEDICION!K313-7</f>
        <v>-7</v>
      </c>
      <c r="J313" s="69" t="str">
        <f>PEDIDOS!M313</f>
        <v/>
      </c>
      <c r="K313" s="65"/>
    </row>
    <row r="314" ht="22.5" customHeight="1">
      <c r="A314" s="47">
        <f>PEDIDOS!B314</f>
        <v>46163</v>
      </c>
      <c r="B314" s="23" t="str">
        <f>PEDIDOS!C314</f>
        <v/>
      </c>
      <c r="C314" s="23" t="str">
        <f>PEDIDOS!D314</f>
        <v>MURDA</v>
      </c>
      <c r="D314" s="60" t="str">
        <f>PEDIDOS!E314</f>
        <v>SERUM HIDRATANTE PARA CEJAS Y PESTAÑAS X 30 ml</v>
      </c>
      <c r="E314" s="61">
        <f>PEDIDOS!G314*PEDIDOS!H314/1000</f>
        <v>30</v>
      </c>
      <c r="F314" s="41" t="s">
        <v>446</v>
      </c>
      <c r="G314" s="23"/>
      <c r="H314" s="41" t="s">
        <v>456</v>
      </c>
      <c r="I314" s="23">
        <f>EXPEDICION!K314-7</f>
        <v>-7</v>
      </c>
      <c r="J314" s="63" t="str">
        <f>PEDIDOS!M314</f>
        <v/>
      </c>
      <c r="K314" s="23"/>
    </row>
    <row r="315" ht="22.5" customHeight="1">
      <c r="A315" s="64">
        <f>PEDIDOS!B315</f>
        <v>46163</v>
      </c>
      <c r="B315" s="65" t="str">
        <f>PEDIDOS!C315</f>
        <v/>
      </c>
      <c r="C315" s="65" t="str">
        <f>PEDIDOS!D315</f>
        <v>ORIGINAL BLACK</v>
      </c>
      <c r="D315" s="66" t="str">
        <f>PEDIDOS!E315</f>
        <v>POMADA MATE X50G</v>
      </c>
      <c r="E315" s="67">
        <f>PEDIDOS!G315*PEDIDOS!H315/1000</f>
        <v>80</v>
      </c>
      <c r="F315" s="71" t="s">
        <v>446</v>
      </c>
      <c r="G315" s="65"/>
      <c r="H315" s="71" t="s">
        <v>456</v>
      </c>
      <c r="I315" s="76">
        <f>EXPEDICION!K315-7</f>
        <v>46177</v>
      </c>
      <c r="J315" s="69" t="str">
        <f>PEDIDOS!M315</f>
        <v>Y26051</v>
      </c>
      <c r="K315" s="65"/>
    </row>
    <row r="316" ht="22.5" customHeight="1">
      <c r="A316" s="47">
        <f>PEDIDOS!B316</f>
        <v>46163</v>
      </c>
      <c r="B316" s="23" t="str">
        <f>PEDIDOS!C316</f>
        <v/>
      </c>
      <c r="C316" s="23" t="str">
        <f>PEDIDOS!D316</f>
        <v>PROFESSIONAL BEAUTY</v>
      </c>
      <c r="D316" s="60" t="str">
        <f>PEDIDOS!E316</f>
        <v>ADVANCE ACIDO HIALURONICO 2%</v>
      </c>
      <c r="E316" s="61">
        <f>PEDIDOS!G316*PEDIDOS!H316/1000</f>
        <v>5</v>
      </c>
      <c r="F316" s="41" t="s">
        <v>446</v>
      </c>
      <c r="G316" s="23"/>
      <c r="H316" s="41" t="s">
        <v>451</v>
      </c>
      <c r="I316" s="62">
        <f>EXPEDICION!K316-7</f>
        <v>46175</v>
      </c>
      <c r="J316" s="63" t="str">
        <f>PEDIDOS!M316</f>
        <v>Y26053</v>
      </c>
      <c r="K316" s="23"/>
    </row>
    <row r="317" ht="22.5" customHeight="1">
      <c r="A317" s="64">
        <f>PEDIDOS!B317</f>
        <v>46163</v>
      </c>
      <c r="B317" s="65" t="str">
        <f>PEDIDOS!C317</f>
        <v/>
      </c>
      <c r="C317" s="65" t="str">
        <f>PEDIDOS!D317</f>
        <v>PROFESSIONAL BEAUTY</v>
      </c>
      <c r="D317" s="66" t="str">
        <f>PEDIDOS!E317</f>
        <v>ADVANCE ACIDO HIALURONICO 1%</v>
      </c>
      <c r="E317" s="67">
        <f>PEDIDOS!G317*PEDIDOS!H317/1000</f>
        <v>5</v>
      </c>
      <c r="F317" s="71" t="s">
        <v>446</v>
      </c>
      <c r="G317" s="65"/>
      <c r="H317" s="71" t="s">
        <v>451</v>
      </c>
      <c r="I317" s="72">
        <f>EXPEDICION!K317-7</f>
        <v>46175</v>
      </c>
      <c r="J317" s="69" t="str">
        <f>PEDIDOS!M317</f>
        <v>A26021</v>
      </c>
      <c r="K317" s="65"/>
    </row>
    <row r="318" ht="22.5" customHeight="1">
      <c r="A318" s="47">
        <f>PEDIDOS!B318</f>
        <v>46163</v>
      </c>
      <c r="B318" s="23" t="str">
        <f>PEDIDOS!C318</f>
        <v/>
      </c>
      <c r="C318" s="23" t="str">
        <f>PEDIDOS!D318</f>
        <v>PROFESSIONAL BEAUTY</v>
      </c>
      <c r="D318" s="60" t="str">
        <f>PEDIDOS!E318</f>
        <v>ADVANCE DMAE 7%</v>
      </c>
      <c r="E318" s="61">
        <f>PEDIDOS!G318*PEDIDOS!H318/1000</f>
        <v>5</v>
      </c>
      <c r="F318" s="41" t="s">
        <v>446</v>
      </c>
      <c r="G318" s="23"/>
      <c r="H318" s="41" t="s">
        <v>448</v>
      </c>
      <c r="I318" s="62">
        <f>EXPEDICION!K318-7</f>
        <v>46175</v>
      </c>
      <c r="J318" s="63" t="str">
        <f>PEDIDOS!M318</f>
        <v>A26035</v>
      </c>
      <c r="K318" s="23"/>
    </row>
    <row r="319" ht="22.5" customHeight="1">
      <c r="A319" s="64">
        <f>PEDIDOS!B319</f>
        <v>46163</v>
      </c>
      <c r="B319" s="65" t="str">
        <f>PEDIDOS!C319</f>
        <v/>
      </c>
      <c r="C319" s="65" t="str">
        <f>PEDIDOS!D319</f>
        <v>PROFESSIONAL BEAUTY</v>
      </c>
      <c r="D319" s="66" t="str">
        <f>PEDIDOS!E319</f>
        <v>AQUAPEEL PG2</v>
      </c>
      <c r="E319" s="67">
        <f>PEDIDOS!G319*PEDIDOS!H319/1000</f>
        <v>125</v>
      </c>
      <c r="F319" s="71" t="s">
        <v>446</v>
      </c>
      <c r="G319" s="65"/>
      <c r="H319" s="71" t="s">
        <v>448</v>
      </c>
      <c r="I319" s="72">
        <f>EXPEDICION!K319-7</f>
        <v>46184</v>
      </c>
      <c r="J319" s="69" t="str">
        <f>PEDIDOS!M319</f>
        <v>Y26052</v>
      </c>
      <c r="K319" s="65"/>
    </row>
    <row r="320" ht="22.5" customHeight="1">
      <c r="A320" s="47">
        <f>PEDIDOS!B320</f>
        <v>46163</v>
      </c>
      <c r="B320" s="23" t="str">
        <f>PEDIDOS!C320</f>
        <v/>
      </c>
      <c r="C320" s="23" t="str">
        <f>PEDIDOS!D320</f>
        <v>PROFESSIONAL BEAUTY</v>
      </c>
      <c r="D320" s="60" t="str">
        <f>PEDIDOS!E320</f>
        <v>ADVANCE ARG</v>
      </c>
      <c r="E320" s="61">
        <f>PEDIDOS!G320*PEDIDOS!H320/1000</f>
        <v>5</v>
      </c>
      <c r="F320" s="41" t="s">
        <v>446</v>
      </c>
      <c r="G320" s="23"/>
      <c r="H320" s="41" t="s">
        <v>456</v>
      </c>
      <c r="I320" s="62">
        <f>EXPEDICION!K320-7</f>
        <v>46175</v>
      </c>
      <c r="J320" s="63" t="str">
        <f>PEDIDOS!M320</f>
        <v>A26057</v>
      </c>
      <c r="K320" s="23"/>
    </row>
    <row r="321" ht="22.5" customHeight="1">
      <c r="A321" s="64">
        <f>PEDIDOS!B321</f>
        <v>46168</v>
      </c>
      <c r="B321" s="65">
        <f>PEDIDOS!C321</f>
        <v>15303</v>
      </c>
      <c r="C321" s="65" t="str">
        <f>PEDIDOS!D321</f>
        <v>THELMA Y LOUISE</v>
      </c>
      <c r="D321" s="66" t="str">
        <f>PEDIDOS!E321</f>
        <v>ACEITE CORPORAL COCO LIMA</v>
      </c>
      <c r="E321" s="67">
        <f>PEDIDOS!G321*PEDIDOS!H321/1000</f>
        <v>528</v>
      </c>
      <c r="F321" s="71" t="s">
        <v>446</v>
      </c>
      <c r="G321" s="65"/>
      <c r="H321" s="71" t="s">
        <v>448</v>
      </c>
      <c r="I321" s="72">
        <f>EXPEDICION!K321-7</f>
        <v>46196</v>
      </c>
      <c r="J321" s="69" t="str">
        <f>PEDIDOS!M321</f>
        <v>J26009</v>
      </c>
      <c r="K321" s="65"/>
    </row>
    <row r="322" ht="22.5" customHeight="1">
      <c r="A322" s="47">
        <f>PEDIDOS!B322</f>
        <v>46160</v>
      </c>
      <c r="B322" s="23" t="str">
        <f>PEDIDOS!C322</f>
        <v/>
      </c>
      <c r="C322" s="23" t="str">
        <f>PEDIDOS!D322</f>
        <v>UNICA</v>
      </c>
      <c r="D322" s="60" t="str">
        <f>PEDIDOS!E322</f>
        <v>AGUA MICELAR</v>
      </c>
      <c r="E322" s="61">
        <f>PEDIDOS!G322*PEDIDOS!H322/1000</f>
        <v>50</v>
      </c>
      <c r="F322" s="41" t="s">
        <v>446</v>
      </c>
      <c r="G322" s="23"/>
      <c r="H322" s="41" t="s">
        <v>448</v>
      </c>
      <c r="I322" s="62">
        <f>EXPEDICION!K322-7</f>
        <v>46177</v>
      </c>
      <c r="J322" s="63">
        <f>PEDIDOS!M322</f>
        <v>110601</v>
      </c>
      <c r="K322" s="23"/>
    </row>
    <row r="323" ht="22.5" customHeight="1">
      <c r="A323" s="64">
        <f>PEDIDOS!B323</f>
        <v>46169</v>
      </c>
      <c r="B323" s="65" t="str">
        <f>PEDIDOS!C323</f>
        <v/>
      </c>
      <c r="C323" s="65" t="str">
        <f>PEDIDOS!D323</f>
        <v>COSMECEUTICALS</v>
      </c>
      <c r="D323" s="66" t="str">
        <f>PEDIDOS!E323</f>
        <v>CREMA PDND NAD+ (airless)</v>
      </c>
      <c r="E323" s="67">
        <f>PEDIDOS!G323*PEDIDOS!H323/1000</f>
        <v>30</v>
      </c>
      <c r="F323" s="71" t="s">
        <v>446</v>
      </c>
      <c r="G323" s="65"/>
      <c r="H323" s="71" t="s">
        <v>451</v>
      </c>
      <c r="I323" s="72">
        <f>EXPEDICION!K323-7</f>
        <v>46178</v>
      </c>
      <c r="J323" s="69" t="str">
        <f>PEDIDOS!M323</f>
        <v>Y26044</v>
      </c>
      <c r="K323" s="65"/>
    </row>
    <row r="324" ht="22.5" customHeight="1">
      <c r="A324" s="47">
        <f>PEDIDOS!B324</f>
        <v>46169</v>
      </c>
      <c r="B324" s="23" t="str">
        <f>PEDIDOS!C324</f>
        <v/>
      </c>
      <c r="C324" s="23" t="str">
        <f>PEDIDOS!D324</f>
        <v>COSMECEUTICALS</v>
      </c>
      <c r="D324" s="60" t="str">
        <f>PEDIDOS!E324</f>
        <v>ESPUMA MICELAR</v>
      </c>
      <c r="E324" s="61">
        <f>PEDIDOS!G324*PEDIDOS!H324/1000</f>
        <v>150</v>
      </c>
      <c r="F324" s="41" t="s">
        <v>446</v>
      </c>
      <c r="G324" s="23"/>
      <c r="H324" s="41" t="s">
        <v>451</v>
      </c>
      <c r="I324" s="62">
        <f>EXPEDICION!K324-7</f>
        <v>46176</v>
      </c>
      <c r="J324" s="63" t="str">
        <f>PEDIDOS!M324</f>
        <v>Y26043</v>
      </c>
      <c r="K324" s="23"/>
    </row>
    <row r="325" ht="22.5" customHeight="1">
      <c r="A325" s="64">
        <f>PEDIDOS!B325</f>
        <v>46170</v>
      </c>
      <c r="B325" s="65" t="str">
        <f>PEDIDOS!C325</f>
        <v/>
      </c>
      <c r="C325" s="65" t="str">
        <f>PEDIDOS!D325</f>
        <v>AGUEDA REY - KUNST</v>
      </c>
      <c r="D325" s="66" t="str">
        <f>PEDIDOS!E325</f>
        <v>Alisado Capilar D260021/2</v>
      </c>
      <c r="E325" s="67">
        <f>PEDIDOS!G325*PEDIDOS!H325/1000</f>
        <v>75</v>
      </c>
      <c r="F325" s="71" t="s">
        <v>446</v>
      </c>
      <c r="G325" s="65"/>
      <c r="H325" s="71" t="s">
        <v>456</v>
      </c>
      <c r="I325" s="72">
        <f>EXPEDICION!K325-7</f>
        <v>46191</v>
      </c>
      <c r="J325" s="69" t="str">
        <f>PEDIDOS!M325</f>
        <v>J26002</v>
      </c>
      <c r="K325" s="65"/>
    </row>
    <row r="326" ht="22.5" customHeight="1">
      <c r="A326" s="47">
        <f>PEDIDOS!B326</f>
        <v>46170</v>
      </c>
      <c r="B326" s="23" t="str">
        <f>PEDIDOS!C326</f>
        <v/>
      </c>
      <c r="C326" s="23" t="str">
        <f>PEDIDOS!D326</f>
        <v>AGUEDA REY - KUNST</v>
      </c>
      <c r="D326" s="60" t="str">
        <f>PEDIDOS!E326</f>
        <v>Alisado Capilar D260021/2</v>
      </c>
      <c r="E326" s="61">
        <f>PEDIDOS!G326*PEDIDOS!H326/1000</f>
        <v>500</v>
      </c>
      <c r="F326" s="41" t="s">
        <v>446</v>
      </c>
      <c r="G326" s="23"/>
      <c r="H326" s="41" t="s">
        <v>456</v>
      </c>
      <c r="I326" s="62">
        <f>EXPEDICION!K326-7</f>
        <v>46191</v>
      </c>
      <c r="J326" s="63" t="str">
        <f>PEDIDOS!M326</f>
        <v>J26002</v>
      </c>
      <c r="K326" s="23"/>
    </row>
    <row r="327" ht="22.5" customHeight="1">
      <c r="A327" s="64">
        <f>PEDIDOS!B327</f>
        <v>46170</v>
      </c>
      <c r="B327" s="65" t="str">
        <f>PEDIDOS!C327</f>
        <v/>
      </c>
      <c r="C327" s="65" t="str">
        <f>PEDIDOS!D327</f>
        <v>LUCENT</v>
      </c>
      <c r="D327" s="66" t="str">
        <f>PEDIDOS!E327</f>
        <v>SKIN GLOW HIDROLIZADO DE COLAGENO</v>
      </c>
      <c r="E327" s="67">
        <f>PEDIDOS!G327*PEDIDOS!H327/1000</f>
        <v>15</v>
      </c>
      <c r="F327" s="71" t="s">
        <v>446</v>
      </c>
      <c r="G327" s="65"/>
      <c r="H327" s="71" t="s">
        <v>448</v>
      </c>
      <c r="I327" s="72">
        <f>EXPEDICION!K327-7</f>
        <v>46167</v>
      </c>
      <c r="J327" s="69" t="str">
        <f>PEDIDOS!M327</f>
        <v>Y26059</v>
      </c>
      <c r="K327" s="65"/>
    </row>
    <row r="328" ht="22.5" customHeight="1">
      <c r="A328" s="47">
        <f>PEDIDOS!B328</f>
        <v>46174</v>
      </c>
      <c r="B328" s="23">
        <f>PEDIDOS!C328</f>
        <v>147</v>
      </c>
      <c r="C328" s="23" t="str">
        <f>PEDIDOS!D328</f>
        <v>ICONO</v>
      </c>
      <c r="D328" s="60" t="str">
        <f>PEDIDOS!E328</f>
        <v>CREMA EQUILIBRANTE NIACINAMIDA</v>
      </c>
      <c r="E328" s="61">
        <f>PEDIDOS!G328*PEDIDOS!H328/1000</f>
        <v>100</v>
      </c>
      <c r="F328" s="41" t="s">
        <v>446</v>
      </c>
      <c r="G328" s="23"/>
      <c r="H328" s="41" t="s">
        <v>451</v>
      </c>
      <c r="I328" s="62">
        <f>EXPEDICION!K328-7</f>
        <v>46185</v>
      </c>
      <c r="J328" s="63" t="str">
        <f>PEDIDOS!M328</f>
        <v>J26001</v>
      </c>
      <c r="K328" s="23"/>
    </row>
    <row r="329" ht="22.5" customHeight="1">
      <c r="A329" s="64">
        <f>PEDIDOS!B329</f>
        <v>46174</v>
      </c>
      <c r="B329" s="65">
        <f>PEDIDOS!C329</f>
        <v>147</v>
      </c>
      <c r="C329" s="65" t="str">
        <f>PEDIDOS!D329</f>
        <v>ICONO</v>
      </c>
      <c r="D329" s="66" t="str">
        <f>PEDIDOS!E329</f>
        <v>MASCARA DESINCRUSTANTE DE PAPAYA x 250GR.</v>
      </c>
      <c r="E329" s="67">
        <f>PEDIDOS!G329*PEDIDOS!H329/1000</f>
        <v>750</v>
      </c>
      <c r="F329" s="71" t="s">
        <v>446</v>
      </c>
      <c r="G329" s="65"/>
      <c r="H329" s="71" t="s">
        <v>448</v>
      </c>
      <c r="I329" s="68">
        <f>EXPEDICION!K329-7</f>
        <v>46188</v>
      </c>
      <c r="J329" s="69" t="str">
        <f>PEDIDOS!M329</f>
        <v>J26005</v>
      </c>
      <c r="K329" s="65"/>
    </row>
    <row r="330" ht="22.5" customHeight="1">
      <c r="A330" s="47">
        <f>PEDIDOS!B330</f>
        <v>46174</v>
      </c>
      <c r="B330" s="23" t="str">
        <f>PEDIDOS!C330</f>
        <v>#P01362</v>
      </c>
      <c r="C330" s="23" t="str">
        <f>PEDIDOS!D330</f>
        <v>BIOESENCIA</v>
      </c>
      <c r="D330" s="60" t="str">
        <f>PEDIDOS!E330</f>
        <v>GEL DE LIMPIEZA VEGAN</v>
      </c>
      <c r="E330" s="61">
        <f>PEDIDOS!G330*PEDIDOS!H330/1000</f>
        <v>250</v>
      </c>
      <c r="F330" s="41" t="s">
        <v>446</v>
      </c>
      <c r="G330" s="23"/>
      <c r="H330" s="41" t="s">
        <v>456</v>
      </c>
      <c r="I330" s="62">
        <f>EXPEDICION!K330-7</f>
        <v>46189</v>
      </c>
      <c r="J330" s="63">
        <f>PEDIDOS!M330</f>
        <v>110602</v>
      </c>
      <c r="K330" s="23"/>
    </row>
    <row r="331" ht="22.5" customHeight="1">
      <c r="A331" s="64">
        <f>PEDIDOS!B331</f>
        <v>46174</v>
      </c>
      <c r="B331" s="65" t="str">
        <f>PEDIDOS!C331</f>
        <v>#P01362</v>
      </c>
      <c r="C331" s="65" t="str">
        <f>PEDIDOS!D331</f>
        <v>BIOESENCIA</v>
      </c>
      <c r="D331" s="66" t="str">
        <f>PEDIDOS!E331</f>
        <v>CREMA DIA ORIGENES</v>
      </c>
      <c r="E331" s="67">
        <f>PEDIDOS!G331*PEDIDOS!H331/1000</f>
        <v>50</v>
      </c>
      <c r="F331" s="71" t="s">
        <v>446</v>
      </c>
      <c r="G331" s="65"/>
      <c r="H331" s="71" t="s">
        <v>448</v>
      </c>
      <c r="I331" s="72">
        <f>EXPEDICION!K331-7</f>
        <v>46176</v>
      </c>
      <c r="J331" s="69">
        <f>PEDIDOS!M331</f>
        <v>100601</v>
      </c>
      <c r="K331" s="65"/>
    </row>
    <row r="332" ht="22.5" customHeight="1">
      <c r="A332" s="47">
        <f>PEDIDOS!B332</f>
        <v>46174</v>
      </c>
      <c r="B332" s="23" t="str">
        <f>PEDIDOS!C332</f>
        <v>#P01362</v>
      </c>
      <c r="C332" s="23" t="str">
        <f>PEDIDOS!D332</f>
        <v>BIOESENCIA</v>
      </c>
      <c r="D332" s="60" t="str">
        <f>PEDIDOS!E332</f>
        <v>CREMA MEN INTENSIVE CARE</v>
      </c>
      <c r="E332" s="61">
        <f>PEDIDOS!G332*PEDIDOS!H332/1000</f>
        <v>50</v>
      </c>
      <c r="F332" s="41" t="s">
        <v>446</v>
      </c>
      <c r="G332" s="23"/>
      <c r="H332" s="41" t="s">
        <v>456</v>
      </c>
      <c r="I332" s="70">
        <f>EXPEDICION!K332-7</f>
        <v>46169</v>
      </c>
      <c r="J332" s="63">
        <f>PEDIDOS!M332</f>
        <v>280502</v>
      </c>
      <c r="K332" s="23"/>
    </row>
    <row r="333" ht="22.5" customHeight="1">
      <c r="A333" s="64">
        <f>PEDIDOS!B333</f>
        <v>46169</v>
      </c>
      <c r="B333" s="65" t="str">
        <f>PEDIDOS!C333</f>
        <v>10A</v>
      </c>
      <c r="C333" s="65" t="str">
        <f>PEDIDOS!D333</f>
        <v>ORIGINAL BLACK</v>
      </c>
      <c r="D333" s="66" t="str">
        <f>PEDIDOS!E333</f>
        <v>AFTER SHAVE AZUL</v>
      </c>
      <c r="E333" s="67">
        <f>PEDIDOS!G333*PEDIDOS!H333/1000</f>
        <v>1600</v>
      </c>
      <c r="F333" s="71" t="s">
        <v>446</v>
      </c>
      <c r="G333" s="65"/>
      <c r="H333" s="71" t="s">
        <v>448</v>
      </c>
      <c r="I333" s="65">
        <f>EXPEDICION!K333-7</f>
        <v>-7</v>
      </c>
      <c r="J333" s="69" t="str">
        <f>PEDIDOS!M333</f>
        <v/>
      </c>
      <c r="K333" s="65"/>
    </row>
    <row r="334" ht="22.5" customHeight="1">
      <c r="A334" s="47">
        <f>PEDIDOS!B334</f>
        <v>46169</v>
      </c>
      <c r="B334" s="23" t="str">
        <f>PEDIDOS!C334</f>
        <v>10A</v>
      </c>
      <c r="C334" s="23" t="str">
        <f>PEDIDOS!D334</f>
        <v>ORIGINAL BLACK</v>
      </c>
      <c r="D334" s="60" t="str">
        <f>PEDIDOS!E334</f>
        <v>AFTER SHAVE VERDE</v>
      </c>
      <c r="E334" s="61">
        <f>PEDIDOS!G334*PEDIDOS!H334/1000</f>
        <v>800</v>
      </c>
      <c r="F334" s="41" t="s">
        <v>446</v>
      </c>
      <c r="G334" s="23"/>
      <c r="H334" s="41" t="s">
        <v>460</v>
      </c>
      <c r="I334" s="75">
        <f>EXPEDICION!K334-7</f>
        <v>46176</v>
      </c>
      <c r="J334" s="63" t="str">
        <f>PEDIDOS!M334</f>
        <v/>
      </c>
      <c r="K334" s="23"/>
    </row>
    <row r="335" ht="22.5" customHeight="1">
      <c r="A335" s="64">
        <f>PEDIDOS!B335</f>
        <v>46169</v>
      </c>
      <c r="B335" s="65" t="str">
        <f>PEDIDOS!C335</f>
        <v>10A</v>
      </c>
      <c r="C335" s="65" t="str">
        <f>PEDIDOS!D335</f>
        <v>ORIGINAL BLACK</v>
      </c>
      <c r="D335" s="66" t="str">
        <f>PEDIDOS!E335</f>
        <v>AFTER SHAVE VIOLETA</v>
      </c>
      <c r="E335" s="67">
        <f>PEDIDOS!G335*PEDIDOS!H335/1000</f>
        <v>1600</v>
      </c>
      <c r="F335" s="71" t="s">
        <v>446</v>
      </c>
      <c r="G335" s="65"/>
      <c r="H335" s="71" t="s">
        <v>460</v>
      </c>
      <c r="I335" s="65">
        <f>EXPEDICION!K335-7</f>
        <v>-7</v>
      </c>
      <c r="J335" s="69" t="str">
        <f>PEDIDOS!M335</f>
        <v/>
      </c>
      <c r="K335" s="65"/>
    </row>
    <row r="336" ht="22.5" customHeight="1">
      <c r="A336" s="47">
        <f>PEDIDOS!B336</f>
        <v>46181</v>
      </c>
      <c r="B336" s="23">
        <f>PEDIDOS!C336</f>
        <v>1090</v>
      </c>
      <c r="C336" s="23" t="str">
        <f>PEDIDOS!D336</f>
        <v>NIZA</v>
      </c>
      <c r="D336" s="60" t="str">
        <f>PEDIDOS!E336</f>
        <v>AQUA BOMB RICH X 250 ML</v>
      </c>
      <c r="E336" s="61">
        <f>PEDIDOS!G336*PEDIDOS!H336/1000</f>
        <v>75</v>
      </c>
      <c r="F336" s="41" t="s">
        <v>446</v>
      </c>
      <c r="G336" s="23"/>
      <c r="H336" s="41" t="s">
        <v>456</v>
      </c>
      <c r="I336" s="62">
        <f>EXPEDICION!K336-7</f>
        <v>46197</v>
      </c>
      <c r="J336" s="63" t="str">
        <f>PEDIDOS!M336</f>
        <v>J26049</v>
      </c>
      <c r="K336" s="23"/>
    </row>
    <row r="337" ht="22.5" customHeight="1">
      <c r="A337" s="64">
        <f>PEDIDOS!B337</f>
        <v>46181</v>
      </c>
      <c r="B337" s="65">
        <f>PEDIDOS!C337</f>
        <v>1090</v>
      </c>
      <c r="C337" s="65" t="str">
        <f>PEDIDOS!D337</f>
        <v>NIZA</v>
      </c>
      <c r="D337" s="66" t="str">
        <f>PEDIDOS!E337</f>
        <v>MIXOLOGY DESVITALIZADA X300ML</v>
      </c>
      <c r="E337" s="67">
        <f>PEDIDOS!G337*PEDIDOS!H337/1000</f>
        <v>90</v>
      </c>
      <c r="F337" s="71" t="s">
        <v>446</v>
      </c>
      <c r="G337" s="65"/>
      <c r="H337" s="71" t="s">
        <v>460</v>
      </c>
      <c r="I337" s="65">
        <f>EXPEDICION!K337-7</f>
        <v>-7</v>
      </c>
      <c r="J337" s="69" t="str">
        <f>PEDIDOS!M337</f>
        <v/>
      </c>
      <c r="K337" s="65"/>
    </row>
    <row r="338" ht="22.5" customHeight="1">
      <c r="A338" s="47">
        <f>PEDIDOS!B338</f>
        <v>46181</v>
      </c>
      <c r="B338" s="23">
        <f>PEDIDOS!C338</f>
        <v>1090</v>
      </c>
      <c r="C338" s="23" t="str">
        <f>PEDIDOS!D338</f>
        <v>NIZA</v>
      </c>
      <c r="D338" s="60" t="str">
        <f>PEDIDOS!E338</f>
        <v>PROBIOTONIC BALANCE X500ML</v>
      </c>
      <c r="E338" s="61">
        <f>PEDIDOS!G338*PEDIDOS!H338/1000</f>
        <v>150</v>
      </c>
      <c r="F338" s="41" t="s">
        <v>446</v>
      </c>
      <c r="G338" s="23"/>
      <c r="H338" s="41" t="s">
        <v>448</v>
      </c>
      <c r="I338" s="62">
        <f>EXPEDICION!K338-7</f>
        <v>46197</v>
      </c>
      <c r="J338" s="63" t="str">
        <f>PEDIDOS!M338</f>
        <v>J26047</v>
      </c>
      <c r="K338" s="23"/>
    </row>
    <row r="339" ht="22.5" customHeight="1">
      <c r="A339" s="64">
        <f>PEDIDOS!B339</f>
        <v>46181</v>
      </c>
      <c r="B339" s="65">
        <f>PEDIDOS!C339</f>
        <v>1090</v>
      </c>
      <c r="C339" s="65" t="str">
        <f>PEDIDOS!D339</f>
        <v>NIZA</v>
      </c>
      <c r="D339" s="66" t="str">
        <f>PEDIDOS!E339</f>
        <v>PROBIOTONIC HYDRA X500ML</v>
      </c>
      <c r="E339" s="67">
        <f>PEDIDOS!G339*PEDIDOS!H339/1000</f>
        <v>150</v>
      </c>
      <c r="F339" s="71" t="s">
        <v>466</v>
      </c>
      <c r="G339" s="65"/>
      <c r="H339" s="71" t="s">
        <v>451</v>
      </c>
      <c r="I339" s="72">
        <f>EXPEDICION!K339-7</f>
        <v>46197</v>
      </c>
      <c r="J339" s="69" t="str">
        <f>PEDIDOS!M339</f>
        <v>J26048</v>
      </c>
      <c r="K339" s="65"/>
    </row>
    <row r="340" ht="22.5" customHeight="1">
      <c r="A340" s="47">
        <f>PEDIDOS!B340</f>
        <v>46178</v>
      </c>
      <c r="B340" s="23" t="str">
        <f>PEDIDOS!C340</f>
        <v/>
      </c>
      <c r="C340" s="23" t="str">
        <f>PEDIDOS!D340</f>
        <v>THELMA Y LOUISE</v>
      </c>
      <c r="D340" s="60" t="str">
        <f>PEDIDOS!E340</f>
        <v>ALCOHOL EN GEL TYL CHERRY</v>
      </c>
      <c r="E340" s="61">
        <f>PEDIDOS!G340*PEDIDOS!H340/1000</f>
        <v>140</v>
      </c>
      <c r="F340" s="41" t="s">
        <v>446</v>
      </c>
      <c r="G340" s="23"/>
      <c r="H340" s="41" t="s">
        <v>453</v>
      </c>
      <c r="I340" s="70">
        <f>EXPEDICION!K340-7</f>
        <v>46185</v>
      </c>
      <c r="J340" s="63">
        <f>PEDIDOS!M340</f>
        <v>120601</v>
      </c>
      <c r="K340" s="23"/>
    </row>
    <row r="341" ht="22.5" customHeight="1">
      <c r="A341" s="64">
        <f>PEDIDOS!B341</f>
        <v>46178</v>
      </c>
      <c r="B341" s="65" t="str">
        <f>PEDIDOS!C341</f>
        <v/>
      </c>
      <c r="C341" s="65" t="str">
        <f>PEDIDOS!D341</f>
        <v>THELMA Y LOUISE</v>
      </c>
      <c r="D341" s="66" t="str">
        <f>PEDIDOS!E341</f>
        <v>ALCOHOL EN GEL TYL FRUTILLA</v>
      </c>
      <c r="E341" s="67">
        <f>PEDIDOS!G341*PEDIDOS!H341/1000</f>
        <v>140</v>
      </c>
      <c r="F341" s="71" t="s">
        <v>446</v>
      </c>
      <c r="G341" s="65"/>
      <c r="H341" s="71" t="s">
        <v>453</v>
      </c>
      <c r="I341" s="68">
        <f>EXPEDICION!K341-7</f>
        <v>46196</v>
      </c>
      <c r="J341" s="69">
        <f>PEDIDOS!M341</f>
        <v>190601</v>
      </c>
      <c r="K341" s="65"/>
    </row>
    <row r="342" ht="22.5" customHeight="1">
      <c r="A342" s="47">
        <f>PEDIDOS!B342</f>
        <v>46181</v>
      </c>
      <c r="B342" s="23" t="str">
        <f>PEDIDOS!C342</f>
        <v>N° .0703240143</v>
      </c>
      <c r="C342" s="23" t="str">
        <f>PEDIDOS!D342</f>
        <v>BENNIE</v>
      </c>
      <c r="D342" s="60" t="str">
        <f>PEDIDOS!E342</f>
        <v>SERUM BOOBIE DROPS</v>
      </c>
      <c r="E342" s="61">
        <f>PEDIDOS!G342*PEDIDOS!H342/1000</f>
        <v>126</v>
      </c>
      <c r="F342" s="41" t="s">
        <v>446</v>
      </c>
      <c r="G342" s="23"/>
      <c r="H342" s="41" t="s">
        <v>453</v>
      </c>
      <c r="I342" s="62">
        <f>EXPEDICION!K342-7</f>
        <v>46214</v>
      </c>
      <c r="J342" s="63" t="str">
        <f>PEDIDOS!M342</f>
        <v>J26023</v>
      </c>
      <c r="K342" s="23"/>
    </row>
    <row r="343" ht="22.5" customHeight="1">
      <c r="A343" s="64">
        <f>PEDIDOS!B343</f>
        <v>46182</v>
      </c>
      <c r="B343" s="65" t="str">
        <f>PEDIDOS!C343</f>
        <v/>
      </c>
      <c r="C343" s="65" t="str">
        <f>PEDIDOS!D343</f>
        <v>CRISLY</v>
      </c>
      <c r="D343" s="66" t="str">
        <f>PEDIDOS!E343</f>
        <v>LECHE EMOLIENTE AVENA</v>
      </c>
      <c r="E343" s="67">
        <f>PEDIDOS!G343*PEDIDOS!H343/1000</f>
        <v>250</v>
      </c>
      <c r="F343" s="71" t="s">
        <v>446</v>
      </c>
      <c r="G343" s="65"/>
      <c r="H343" s="71" t="s">
        <v>459</v>
      </c>
      <c r="I343" s="72">
        <f>EXPEDICION!K343-7</f>
        <v>46188</v>
      </c>
      <c r="J343" s="69" t="str">
        <f>PEDIDOS!M343</f>
        <v>J26025</v>
      </c>
      <c r="K343" s="65"/>
    </row>
    <row r="344" ht="22.5" customHeight="1">
      <c r="A344" s="47">
        <f>PEDIDOS!B344</f>
        <v>46174</v>
      </c>
      <c r="B344" s="23" t="str">
        <f>PEDIDOS!C344</f>
        <v>10B</v>
      </c>
      <c r="C344" s="23" t="str">
        <f>PEDIDOS!D344</f>
        <v>ORIGINAL BLACK</v>
      </c>
      <c r="D344" s="60" t="str">
        <f>PEDIDOS!E344</f>
        <v>AFTER SHAVE AZUL</v>
      </c>
      <c r="E344" s="61">
        <f>PEDIDOS!G344*PEDIDOS!H344/1000</f>
        <v>1600</v>
      </c>
      <c r="F344" s="41" t="s">
        <v>446</v>
      </c>
      <c r="G344" s="23"/>
      <c r="H344" s="41" t="s">
        <v>457</v>
      </c>
      <c r="I344" s="23">
        <f>EXPEDICION!K344-7</f>
        <v>-7</v>
      </c>
      <c r="J344" s="63" t="str">
        <f>PEDIDOS!M344</f>
        <v/>
      </c>
      <c r="K344" s="23"/>
    </row>
    <row r="345" ht="22.5" customHeight="1">
      <c r="A345" s="64">
        <f>PEDIDOS!B345</f>
        <v>46174</v>
      </c>
      <c r="B345" s="65" t="str">
        <f>PEDIDOS!C345</f>
        <v>10B</v>
      </c>
      <c r="C345" s="65" t="str">
        <f>PEDIDOS!D345</f>
        <v>ORIGINAL BLACK</v>
      </c>
      <c r="D345" s="66" t="str">
        <f>PEDIDOS!E345</f>
        <v>AFTER SHAVE VERDE</v>
      </c>
      <c r="E345" s="67">
        <f>PEDIDOS!G345*PEDIDOS!H345/1000</f>
        <v>800</v>
      </c>
      <c r="F345" s="71" t="s">
        <v>446</v>
      </c>
      <c r="G345" s="65"/>
      <c r="H345" s="71" t="s">
        <v>459</v>
      </c>
      <c r="I345" s="76">
        <f>EXPEDICION!K345-7</f>
        <v>46190</v>
      </c>
      <c r="J345" s="69" t="str">
        <f>PEDIDOS!M345</f>
        <v/>
      </c>
      <c r="K345" s="65"/>
    </row>
    <row r="346" ht="22.5" customHeight="1">
      <c r="A346" s="47">
        <f>PEDIDOS!B346</f>
        <v>46174</v>
      </c>
      <c r="B346" s="23" t="str">
        <f>PEDIDOS!C346</f>
        <v>10B</v>
      </c>
      <c r="C346" s="23" t="str">
        <f>PEDIDOS!D346</f>
        <v>ORIGINAL BLACK</v>
      </c>
      <c r="D346" s="60" t="str">
        <f>PEDIDOS!E346</f>
        <v>AFTER SHAVE VIOLETA</v>
      </c>
      <c r="E346" s="61">
        <f>PEDIDOS!G346*PEDIDOS!H346/1000</f>
        <v>1600</v>
      </c>
      <c r="F346" s="41" t="s">
        <v>446</v>
      </c>
      <c r="G346" s="23"/>
      <c r="H346" s="41" t="s">
        <v>457</v>
      </c>
      <c r="I346" s="23">
        <f>EXPEDICION!K346-7</f>
        <v>-7</v>
      </c>
      <c r="J346" s="63" t="str">
        <f>PEDIDOS!M346</f>
        <v/>
      </c>
      <c r="K346" s="23"/>
    </row>
    <row r="347" ht="22.5" customHeight="1">
      <c r="A347" s="64">
        <f>PEDIDOS!B347</f>
        <v>46178</v>
      </c>
      <c r="B347" s="65" t="str">
        <f>PEDIDOS!C347</f>
        <v/>
      </c>
      <c r="C347" s="65" t="str">
        <f>PEDIDOS!D347</f>
        <v>BL COSMETICS</v>
      </c>
      <c r="D347" s="66" t="str">
        <f>PEDIDOS!E347</f>
        <v>ALISADO EXPERT </v>
      </c>
      <c r="E347" s="67">
        <f>PEDIDOS!G347*PEDIDOS!H347/1000</f>
        <v>900</v>
      </c>
      <c r="F347" s="71" t="s">
        <v>446</v>
      </c>
      <c r="G347" s="71" t="s">
        <v>467</v>
      </c>
      <c r="H347" s="71" t="s">
        <v>457</v>
      </c>
      <c r="I347" s="72">
        <f>EXPEDICION!K347-7</f>
        <v>46196</v>
      </c>
      <c r="J347" s="69" t="str">
        <f>PEDIDOS!M347</f>
        <v>J26037</v>
      </c>
      <c r="K347" s="65"/>
    </row>
    <row r="348" ht="22.5" customHeight="1">
      <c r="A348" s="47">
        <f>PEDIDOS!B348</f>
        <v>46183</v>
      </c>
      <c r="B348" s="23">
        <f>PEDIDOS!C348</f>
        <v>6455</v>
      </c>
      <c r="C348" s="23" t="str">
        <f>PEDIDOS!D348</f>
        <v>HEBURN</v>
      </c>
      <c r="D348" s="60" t="str">
        <f>PEDIDOS!E348</f>
        <v>BRUMA FIJADORA DE MAQUILLAJE</v>
      </c>
      <c r="E348" s="61">
        <f>PEDIDOS!G348*PEDIDOS!H348/1000</f>
        <v>125</v>
      </c>
      <c r="F348" s="41" t="s">
        <v>446</v>
      </c>
      <c r="G348" s="23"/>
      <c r="H348" s="41" t="s">
        <v>459</v>
      </c>
      <c r="I348" s="62">
        <f>EXPEDICION!K348-7</f>
        <v>46190</v>
      </c>
      <c r="J348" s="63" t="str">
        <f>PEDIDOS!M348</f>
        <v>J26030</v>
      </c>
      <c r="K348" s="23"/>
    </row>
    <row r="349" ht="22.5" customHeight="1">
      <c r="A349" s="64">
        <f>PEDIDOS!B349</f>
        <v>46183</v>
      </c>
      <c r="B349" s="65">
        <f>PEDIDOS!C349</f>
        <v>14474</v>
      </c>
      <c r="C349" s="65" t="str">
        <f>PEDIDOS!D349</f>
        <v>JACTANS - DISNEY</v>
      </c>
      <c r="D349" s="66" t="str">
        <f>PEDIDOS!E349</f>
        <v>DL-019-Laca infantil ROSA (+6)</v>
      </c>
      <c r="E349" s="67">
        <f>PEDIDOS!G349*PEDIDOS!H349/1000</f>
        <v>10</v>
      </c>
      <c r="F349" s="71" t="s">
        <v>446</v>
      </c>
      <c r="G349" s="65"/>
      <c r="H349" s="71" t="s">
        <v>457</v>
      </c>
      <c r="I349" s="76">
        <f>EXPEDICION!K349-7</f>
        <v>46190</v>
      </c>
      <c r="J349" s="69" t="str">
        <f>PEDIDOS!M349</f>
        <v>J26017</v>
      </c>
      <c r="K349" s="65"/>
    </row>
    <row r="350" ht="22.5" customHeight="1">
      <c r="A350" s="47">
        <f>PEDIDOS!B350</f>
        <v>46183</v>
      </c>
      <c r="B350" s="23">
        <f>PEDIDOS!C350</f>
        <v>14474</v>
      </c>
      <c r="C350" s="23" t="str">
        <f>PEDIDOS!D350</f>
        <v>JACTANS - DISNEY</v>
      </c>
      <c r="D350" s="60" t="str">
        <f>PEDIDOS!E350</f>
        <v>DL-021-Laca infantil CELESTE (+6)</v>
      </c>
      <c r="E350" s="61">
        <f>PEDIDOS!G350*PEDIDOS!H350/1000</f>
        <v>10</v>
      </c>
      <c r="F350" s="41" t="s">
        <v>446</v>
      </c>
      <c r="G350" s="23"/>
      <c r="H350" s="41" t="s">
        <v>457</v>
      </c>
      <c r="I350" s="75">
        <f>EXPEDICION!K350-7</f>
        <v>46190</v>
      </c>
      <c r="J350" s="63" t="str">
        <f>PEDIDOS!M350</f>
        <v>J26018</v>
      </c>
      <c r="K350" s="23"/>
    </row>
    <row r="351" ht="22.5" customHeight="1">
      <c r="A351" s="64">
        <f>PEDIDOS!B351</f>
        <v>46183</v>
      </c>
      <c r="B351" s="65">
        <f>PEDIDOS!C351</f>
        <v>14474</v>
      </c>
      <c r="C351" s="65" t="str">
        <f>PEDIDOS!D351</f>
        <v>JACTANS - DISNEY</v>
      </c>
      <c r="D351" s="66" t="str">
        <f>PEDIDOS!E351</f>
        <v>DL-020-Laca infantil CORAL (+6)</v>
      </c>
      <c r="E351" s="67">
        <f>PEDIDOS!G351*PEDIDOS!H351/1000</f>
        <v>20</v>
      </c>
      <c r="F351" s="71" t="s">
        <v>446</v>
      </c>
      <c r="G351" s="65"/>
      <c r="H351" s="71" t="s">
        <v>457</v>
      </c>
      <c r="I351" s="76">
        <f>EXPEDICION!K351-7</f>
        <v>46190</v>
      </c>
      <c r="J351" s="69" t="str">
        <f>PEDIDOS!M351</f>
        <v>J26019</v>
      </c>
      <c r="K351" s="65"/>
    </row>
    <row r="352" ht="22.5" customHeight="1">
      <c r="A352" s="47">
        <f>PEDIDOS!B352</f>
        <v>46183</v>
      </c>
      <c r="B352" s="23">
        <f>PEDIDOS!C352</f>
        <v>14474</v>
      </c>
      <c r="C352" s="23" t="str">
        <f>PEDIDOS!D352</f>
        <v>JACTANS - DISNEY</v>
      </c>
      <c r="D352" s="60" t="str">
        <f>PEDIDOS!E352</f>
        <v>DL-022-Laca infantil TURQUESA (+6)</v>
      </c>
      <c r="E352" s="61">
        <f>PEDIDOS!G352*PEDIDOS!H352/1000</f>
        <v>20</v>
      </c>
      <c r="F352" s="41" t="s">
        <v>446</v>
      </c>
      <c r="G352" s="23"/>
      <c r="H352" s="41" t="s">
        <v>457</v>
      </c>
      <c r="I352" s="75">
        <f>EXPEDICION!K352-7</f>
        <v>46190</v>
      </c>
      <c r="J352" s="63" t="str">
        <f>PEDIDOS!M352</f>
        <v>J26020</v>
      </c>
      <c r="K352" s="23"/>
    </row>
    <row r="353" ht="22.5" customHeight="1">
      <c r="A353" s="64">
        <f>PEDIDOS!B353</f>
        <v>46183</v>
      </c>
      <c r="B353" s="65">
        <f>PEDIDOS!C353</f>
        <v>14463</v>
      </c>
      <c r="C353" s="65" t="str">
        <f>PEDIDOS!D353</f>
        <v>JACTANS - DISNEY</v>
      </c>
      <c r="D353" s="66" t="str">
        <f>PEDIDOS!E353</f>
        <v>DP-46583-Perfume infantil fco pvc x65ml/Es. 0298RK</v>
      </c>
      <c r="E353" s="67">
        <f>PEDIDOS!G353*PEDIDOS!H353/1000</f>
        <v>97.5</v>
      </c>
      <c r="F353" s="65" t="s">
        <v>458</v>
      </c>
      <c r="G353" s="65"/>
      <c r="H353" s="65"/>
      <c r="I353" s="65">
        <f>EXPEDICION!K353-7</f>
        <v>-7</v>
      </c>
      <c r="J353" s="69" t="str">
        <f>PEDIDOS!M353</f>
        <v/>
      </c>
      <c r="K353" s="65"/>
    </row>
    <row r="354" ht="22.5" customHeight="1">
      <c r="A354" s="47">
        <f>PEDIDOS!B354</f>
        <v>46183</v>
      </c>
      <c r="B354" s="23">
        <f>PEDIDOS!C354</f>
        <v>14463</v>
      </c>
      <c r="C354" s="23" t="str">
        <f>PEDIDOS!D354</f>
        <v>JACTANS - DISNEY</v>
      </c>
      <c r="D354" s="60" t="str">
        <f>PEDIDOS!E354</f>
        <v>DP-48617.1-Perf inf Fco Armani x50ml/Es. 0278LS</v>
      </c>
      <c r="E354" s="61">
        <f>PEDIDOS!G354*PEDIDOS!H354/1000</f>
        <v>75</v>
      </c>
      <c r="F354" s="23" t="s">
        <v>458</v>
      </c>
      <c r="G354" s="23"/>
      <c r="H354" s="23"/>
      <c r="I354" s="23">
        <f>EXPEDICION!K354-7</f>
        <v>-7</v>
      </c>
      <c r="J354" s="63" t="str">
        <f>PEDIDOS!M354</f>
        <v/>
      </c>
      <c r="K354" s="23"/>
    </row>
    <row r="355" ht="22.5" customHeight="1">
      <c r="A355" s="64">
        <f>PEDIDOS!B355</f>
        <v>46183</v>
      </c>
      <c r="B355" s="65">
        <f>PEDIDOS!C355</f>
        <v>14463</v>
      </c>
      <c r="C355" s="65" t="str">
        <f>PEDIDOS!D355</f>
        <v>JACTANS - DISNEY</v>
      </c>
      <c r="D355" s="66" t="str">
        <f>PEDIDOS!E355</f>
        <v>DP-48624.1-Perfume inf. fco. Armani x50ml/Es. 0278LS</v>
      </c>
      <c r="E355" s="67">
        <f>PEDIDOS!G355*PEDIDOS!H355/1000</f>
        <v>75</v>
      </c>
      <c r="F355" s="65" t="s">
        <v>458</v>
      </c>
      <c r="G355" s="65"/>
      <c r="H355" s="65"/>
      <c r="I355" s="65">
        <f>EXPEDICION!K355-7</f>
        <v>-7</v>
      </c>
      <c r="J355" s="69" t="str">
        <f>PEDIDOS!M355</f>
        <v/>
      </c>
      <c r="K355" s="65"/>
    </row>
    <row r="356" ht="22.5" customHeight="1">
      <c r="A356" s="47">
        <f>PEDIDOS!B356</f>
        <v>46183</v>
      </c>
      <c r="B356" s="23">
        <f>PEDIDOS!C356</f>
        <v>14463</v>
      </c>
      <c r="C356" s="23" t="str">
        <f>PEDIDOS!D356</f>
        <v>JACTANS - DISNEY</v>
      </c>
      <c r="D356" s="60" t="str">
        <f>PEDIDOS!E356</f>
        <v>DP-48631.1-Perf inf fco armani x50ml / ES 20-0264AN</v>
      </c>
      <c r="E356" s="61">
        <f>PEDIDOS!G356*PEDIDOS!H356/1000</f>
        <v>75</v>
      </c>
      <c r="F356" s="23" t="s">
        <v>458</v>
      </c>
      <c r="G356" s="23"/>
      <c r="H356" s="23"/>
      <c r="I356" s="23">
        <f>EXPEDICION!K356-7</f>
        <v>-7</v>
      </c>
      <c r="J356" s="63" t="str">
        <f>PEDIDOS!M356</f>
        <v/>
      </c>
      <c r="K356" s="23"/>
    </row>
    <row r="357" ht="22.5" customHeight="1">
      <c r="A357" s="64">
        <f>PEDIDOS!B357</f>
        <v>46183</v>
      </c>
      <c r="B357" s="65">
        <f>PEDIDOS!C357</f>
        <v>14463</v>
      </c>
      <c r="C357" s="65" t="str">
        <f>PEDIDOS!D357</f>
        <v>JACTANS - DISNEY</v>
      </c>
      <c r="D357" s="66" t="str">
        <f>PEDIDOS!E357</f>
        <v>DP-48679-Perf. inf. fco Mariana x50ml/Es. 0269IN</v>
      </c>
      <c r="E357" s="67">
        <f>PEDIDOS!G357*PEDIDOS!H357/1000</f>
        <v>75</v>
      </c>
      <c r="F357" s="65" t="s">
        <v>458</v>
      </c>
      <c r="G357" s="65"/>
      <c r="H357" s="65"/>
      <c r="I357" s="65">
        <f>EXPEDICION!K357-7</f>
        <v>-7</v>
      </c>
      <c r="J357" s="69" t="str">
        <f>PEDIDOS!M357</f>
        <v/>
      </c>
      <c r="K357" s="65"/>
    </row>
    <row r="358" ht="22.5" customHeight="1">
      <c r="A358" s="47">
        <f>PEDIDOS!B358</f>
        <v>46183</v>
      </c>
      <c r="B358" s="23">
        <f>PEDIDOS!C358</f>
        <v>14463</v>
      </c>
      <c r="C358" s="23" t="str">
        <f>PEDIDOS!D358</f>
        <v>JACTANS - DISNEY</v>
      </c>
      <c r="D358" s="60" t="str">
        <f>PEDIDOS!E358</f>
        <v>DP-48686-Perf. inf. Fco Mariana x50ml  0270WT</v>
      </c>
      <c r="E358" s="61">
        <f>PEDIDOS!G358*PEDIDOS!H358/1000</f>
        <v>75</v>
      </c>
      <c r="F358" s="23" t="s">
        <v>458</v>
      </c>
      <c r="G358" s="23"/>
      <c r="H358" s="23"/>
      <c r="I358" s="23">
        <f>EXPEDICION!K358-7</f>
        <v>-7</v>
      </c>
      <c r="J358" s="63" t="str">
        <f>PEDIDOS!M358</f>
        <v/>
      </c>
      <c r="K358" s="23"/>
    </row>
    <row r="359" ht="22.5" customHeight="1">
      <c r="A359" s="64">
        <f>PEDIDOS!B359</f>
        <v>46183</v>
      </c>
      <c r="B359" s="65">
        <f>PEDIDOS!C359</f>
        <v>14463</v>
      </c>
      <c r="C359" s="65" t="str">
        <f>PEDIDOS!D359</f>
        <v>JACTANS - DISNEY</v>
      </c>
      <c r="D359" s="66" t="str">
        <f>PEDIDOS!E359</f>
        <v>DP-49737-Perf. inf. Fco Mariana x50ml  0269IN</v>
      </c>
      <c r="E359" s="67">
        <f>PEDIDOS!G359*PEDIDOS!H359/1000</f>
        <v>75</v>
      </c>
      <c r="F359" s="65" t="s">
        <v>458</v>
      </c>
      <c r="G359" s="65"/>
      <c r="H359" s="65"/>
      <c r="I359" s="65">
        <f>EXPEDICION!K359-7</f>
        <v>-7</v>
      </c>
      <c r="J359" s="69" t="str">
        <f>PEDIDOS!M359</f>
        <v/>
      </c>
      <c r="K359" s="65"/>
    </row>
    <row r="360" ht="22.5" customHeight="1">
      <c r="A360" s="47">
        <f>PEDIDOS!B360</f>
        <v>46183</v>
      </c>
      <c r="B360" s="23">
        <f>PEDIDOS!C360</f>
        <v>14463</v>
      </c>
      <c r="C360" s="23" t="str">
        <f>PEDIDOS!D360</f>
        <v>JACTANS - DISNEY</v>
      </c>
      <c r="D360" s="60" t="str">
        <f>PEDIDOS!E360</f>
        <v>DP-50617-Perfume inf. fco silueta pvc x45ml  0368PB</v>
      </c>
      <c r="E360" s="61">
        <f>PEDIDOS!G360*PEDIDOS!H360/1000</f>
        <v>90</v>
      </c>
      <c r="F360" s="23" t="s">
        <v>458</v>
      </c>
      <c r="G360" s="23"/>
      <c r="H360" s="23"/>
      <c r="I360" s="23">
        <f>EXPEDICION!K360-7</f>
        <v>-7</v>
      </c>
      <c r="J360" s="63" t="str">
        <f>PEDIDOS!M360</f>
        <v/>
      </c>
      <c r="K360" s="23"/>
    </row>
    <row r="361" ht="22.5" customHeight="1">
      <c r="A361" s="64">
        <f>PEDIDOS!B361</f>
        <v>46183</v>
      </c>
      <c r="B361" s="65">
        <f>PEDIDOS!C361</f>
        <v>14463</v>
      </c>
      <c r="C361" s="65" t="str">
        <f>PEDIDOS!D361</f>
        <v>JACTANS - DISNEY</v>
      </c>
      <c r="D361" s="66" t="str">
        <f>PEDIDOS!E361</f>
        <v>DP-50662-Perfume inf. fco Eugenia x50ML/Es. 0369RD</v>
      </c>
      <c r="E361" s="67">
        <f>PEDIDOS!G361*PEDIDOS!H361/1000</f>
        <v>75</v>
      </c>
      <c r="F361" s="65" t="s">
        <v>458</v>
      </c>
      <c r="G361" s="65"/>
      <c r="H361" s="65"/>
      <c r="I361" s="65">
        <f>EXPEDICION!K361-7</f>
        <v>-7</v>
      </c>
      <c r="J361" s="69" t="str">
        <f>PEDIDOS!M361</f>
        <v/>
      </c>
      <c r="K361" s="65"/>
    </row>
    <row r="362" ht="22.5" customHeight="1">
      <c r="A362" s="47">
        <f>PEDIDOS!B362</f>
        <v>46183</v>
      </c>
      <c r="B362" s="23">
        <f>PEDIDOS!C362</f>
        <v>14463</v>
      </c>
      <c r="C362" s="23" t="str">
        <f>PEDIDOS!D362</f>
        <v>JACTANS - DISNEY</v>
      </c>
      <c r="D362" s="60" t="str">
        <f>PEDIDOS!E362</f>
        <v>DP-50815-Perfume inf. fco silueta pvc x45ML  0367AG</v>
      </c>
      <c r="E362" s="61">
        <f>PEDIDOS!G362*PEDIDOS!H362/1000</f>
        <v>90</v>
      </c>
      <c r="F362" s="23" t="s">
        <v>458</v>
      </c>
      <c r="G362" s="23"/>
      <c r="H362" s="23"/>
      <c r="I362" s="23">
        <f>EXPEDICION!K362-7</f>
        <v>-7</v>
      </c>
      <c r="J362" s="63" t="str">
        <f>PEDIDOS!M362</f>
        <v/>
      </c>
      <c r="K362" s="23"/>
    </row>
    <row r="363" ht="22.5" customHeight="1">
      <c r="A363" s="64">
        <f>PEDIDOS!B363</f>
        <v>46183</v>
      </c>
      <c r="B363" s="65">
        <f>PEDIDOS!C363</f>
        <v>14463</v>
      </c>
      <c r="C363" s="65" t="str">
        <f>PEDIDOS!D363</f>
        <v>JACTANS - DISNEY</v>
      </c>
      <c r="D363" s="66" t="str">
        <f>PEDIDOS!E363</f>
        <v>DP-50877-Perf inf fco Mariana x50ml 0296LP</v>
      </c>
      <c r="E363" s="67">
        <f>PEDIDOS!G363*PEDIDOS!H363/1000</f>
        <v>100</v>
      </c>
      <c r="F363" s="65" t="s">
        <v>458</v>
      </c>
      <c r="G363" s="65"/>
      <c r="H363" s="65"/>
      <c r="I363" s="65">
        <f>EXPEDICION!K363-7</f>
        <v>-7</v>
      </c>
      <c r="J363" s="69" t="str">
        <f>PEDIDOS!M363</f>
        <v/>
      </c>
      <c r="K363" s="65"/>
    </row>
    <row r="364" ht="22.5" customHeight="1">
      <c r="A364" s="47">
        <f>PEDIDOS!B364</f>
        <v>46183</v>
      </c>
      <c r="B364" s="23">
        <f>PEDIDOS!C364</f>
        <v>14463</v>
      </c>
      <c r="C364" s="23" t="str">
        <f>PEDIDOS!D364</f>
        <v>JACTANS - DISNEY</v>
      </c>
      <c r="D364" s="60" t="str">
        <f>PEDIDOS!E364</f>
        <v>DP-50907-Perfume inf. fco pvc x65ml/Es. 0436CH</v>
      </c>
      <c r="E364" s="61">
        <f>PEDIDOS!G364*PEDIDOS!H364/1000</f>
        <v>195</v>
      </c>
      <c r="F364" s="23" t="s">
        <v>458</v>
      </c>
      <c r="G364" s="23"/>
      <c r="H364" s="23"/>
      <c r="I364" s="23">
        <f>EXPEDICION!K364-7</f>
        <v>-7</v>
      </c>
      <c r="J364" s="63" t="str">
        <f>PEDIDOS!M364</f>
        <v/>
      </c>
      <c r="K364" s="23"/>
    </row>
    <row r="365" ht="22.5" customHeight="1">
      <c r="A365" s="64">
        <f>PEDIDOS!B365</f>
        <v>46183</v>
      </c>
      <c r="B365" s="65">
        <f>PEDIDOS!C365</f>
        <v>14463</v>
      </c>
      <c r="C365" s="65" t="str">
        <f>PEDIDOS!D365</f>
        <v>JACTANS - DISNEY</v>
      </c>
      <c r="D365" s="66" t="str">
        <f>PEDIDOS!E365</f>
        <v>DP-51270-Perf. infan. fco mariana x50ml/Es. 0269IN</v>
      </c>
      <c r="E365" s="67">
        <f>PEDIDOS!G365*PEDIDOS!H365/1000</f>
        <v>100</v>
      </c>
      <c r="F365" s="65" t="s">
        <v>458</v>
      </c>
      <c r="G365" s="65"/>
      <c r="H365" s="65"/>
      <c r="I365" s="65">
        <f>EXPEDICION!K365-7</f>
        <v>-7</v>
      </c>
      <c r="J365" s="69" t="str">
        <f>PEDIDOS!M365</f>
        <v/>
      </c>
      <c r="K365" s="65"/>
    </row>
    <row r="366" ht="22.5" customHeight="1">
      <c r="A366" s="47">
        <f>PEDIDOS!B366</f>
        <v>46183</v>
      </c>
      <c r="B366" s="23">
        <f>PEDIDOS!C366</f>
        <v>14463</v>
      </c>
      <c r="C366" s="23" t="str">
        <f>PEDIDOS!D366</f>
        <v>JACTANS - DISNEY</v>
      </c>
      <c r="D366" s="60" t="str">
        <f>PEDIDOS!E366</f>
        <v>DP-95057-Perfume inf. Fco Imperial  x50ML  0298RK</v>
      </c>
      <c r="E366" s="61">
        <f>PEDIDOS!G366*PEDIDOS!H366/1000</f>
        <v>75</v>
      </c>
      <c r="F366" s="23" t="s">
        <v>458</v>
      </c>
      <c r="G366" s="23"/>
      <c r="H366" s="23"/>
      <c r="I366" s="23">
        <f>EXPEDICION!K366-7</f>
        <v>-7</v>
      </c>
      <c r="J366" s="63" t="str">
        <f>PEDIDOS!M366</f>
        <v/>
      </c>
      <c r="K366" s="23"/>
    </row>
    <row r="367" ht="22.5" customHeight="1">
      <c r="A367" s="64">
        <f>PEDIDOS!B367</f>
        <v>46183</v>
      </c>
      <c r="B367" s="65">
        <f>PEDIDOS!C367</f>
        <v>14463</v>
      </c>
      <c r="C367" s="65" t="str">
        <f>PEDIDOS!D367</f>
        <v>JACTANS - DISNEY</v>
      </c>
      <c r="D367" s="66" t="str">
        <f>PEDIDOS!E367</f>
        <v>DP-97525-Perfume inf. fco. imperial x50ml 0297UT</v>
      </c>
      <c r="E367" s="67">
        <f>PEDIDOS!G367*PEDIDOS!H367/1000</f>
        <v>75</v>
      </c>
      <c r="F367" s="71" t="s">
        <v>458</v>
      </c>
      <c r="G367" s="65"/>
      <c r="H367" s="71"/>
      <c r="I367" s="65">
        <f>EXPEDICION!K367-7</f>
        <v>-7</v>
      </c>
      <c r="J367" s="69" t="str">
        <f>PEDIDOS!M367</f>
        <v/>
      </c>
      <c r="K367" s="65"/>
    </row>
    <row r="368" ht="22.5" customHeight="1">
      <c r="A368" s="47">
        <f>PEDIDOS!B368</f>
        <v>46183</v>
      </c>
      <c r="B368" s="23">
        <f>PEDIDOS!C368</f>
        <v>14463</v>
      </c>
      <c r="C368" s="23" t="str">
        <f>PEDIDOS!D368</f>
        <v>JACTANS - DISNEY</v>
      </c>
      <c r="D368" s="60" t="str">
        <f>PEDIDOS!E368</f>
        <v>DP-0304-Perfume inf fco triangular x50ml/Es. 0299RB</v>
      </c>
      <c r="E368" s="61">
        <f>PEDIDOS!G368*PEDIDOS!H368/1000</f>
        <v>75</v>
      </c>
      <c r="F368" s="41" t="s">
        <v>446</v>
      </c>
      <c r="G368" s="23"/>
      <c r="H368" s="41" t="s">
        <v>459</v>
      </c>
      <c r="I368" s="70">
        <f>EXPEDICION!K368-7</f>
        <v>46195</v>
      </c>
      <c r="J368" s="63" t="str">
        <f>PEDIDOS!M368</f>
        <v>J26043</v>
      </c>
      <c r="K368" s="23"/>
    </row>
    <row r="369" ht="22.5" customHeight="1">
      <c r="A369" s="64">
        <f>PEDIDOS!B369</f>
        <v>46183</v>
      </c>
      <c r="B369" s="65">
        <f>PEDIDOS!C369</f>
        <v>14463</v>
      </c>
      <c r="C369" s="65" t="str">
        <f>PEDIDOS!D369</f>
        <v>JACTANS - DISNEY</v>
      </c>
      <c r="D369" s="66" t="str">
        <f>PEDIDOS!E369</f>
        <v>DP-0311-Perfume inf fco triangular pvc x50ml 0297UT</v>
      </c>
      <c r="E369" s="67">
        <f>PEDIDOS!G369*PEDIDOS!H369/1000</f>
        <v>75</v>
      </c>
      <c r="F369" s="71" t="s">
        <v>446</v>
      </c>
      <c r="G369" s="65"/>
      <c r="H369" s="71" t="s">
        <v>459</v>
      </c>
      <c r="I369" s="68">
        <f>EXPEDICION!K369-7</f>
        <v>46195</v>
      </c>
      <c r="J369" s="69" t="str">
        <f>PEDIDOS!M369</f>
        <v>J26044</v>
      </c>
      <c r="K369" s="65"/>
    </row>
    <row r="370" ht="22.5" customHeight="1">
      <c r="A370" s="47">
        <f>PEDIDOS!B370</f>
        <v>46183</v>
      </c>
      <c r="B370" s="23">
        <f>PEDIDOS!C370</f>
        <v>14463</v>
      </c>
      <c r="C370" s="23" t="str">
        <f>PEDIDOS!D370</f>
        <v>JACTANS - DISNEY</v>
      </c>
      <c r="D370" s="60" t="str">
        <f>PEDIDOS!E370</f>
        <v>DP-0328-Perf. inf. fco triang. pvc x50ml/Es. 0280BD</v>
      </c>
      <c r="E370" s="61">
        <f>PEDIDOS!G370*PEDIDOS!H370/1000</f>
        <v>75</v>
      </c>
      <c r="F370" s="41" t="s">
        <v>446</v>
      </c>
      <c r="G370" s="23"/>
      <c r="H370" s="41" t="s">
        <v>459</v>
      </c>
      <c r="I370" s="70">
        <f>EXPEDICION!K370-7</f>
        <v>46196</v>
      </c>
      <c r="J370" s="63" t="str">
        <f>PEDIDOS!M370</f>
        <v>J26045</v>
      </c>
      <c r="K370" s="23"/>
    </row>
    <row r="371" ht="22.5" customHeight="1">
      <c r="A371" s="64">
        <f>PEDIDOS!B371</f>
        <v>46183</v>
      </c>
      <c r="B371" s="65">
        <f>PEDIDOS!C371</f>
        <v>14463</v>
      </c>
      <c r="C371" s="65" t="str">
        <f>PEDIDOS!D371</f>
        <v>JACTANS - DISNEY</v>
      </c>
      <c r="D371" s="66" t="str">
        <f>PEDIDOS!E371</f>
        <v>DP-1134-Perfume inf fco pvc x120ml/Es. 0298RK</v>
      </c>
      <c r="E371" s="67">
        <f>PEDIDOS!G371*PEDIDOS!H371/1000</f>
        <v>180</v>
      </c>
      <c r="F371" s="65" t="s">
        <v>458</v>
      </c>
      <c r="G371" s="65"/>
      <c r="H371" s="65"/>
      <c r="I371" s="65">
        <f>EXPEDICION!K371-7</f>
        <v>-7</v>
      </c>
      <c r="J371" s="69" t="str">
        <f>PEDIDOS!M371</f>
        <v/>
      </c>
      <c r="K371" s="65"/>
    </row>
    <row r="372" ht="22.5" customHeight="1">
      <c r="A372" s="47">
        <f>PEDIDOS!B372</f>
        <v>46183</v>
      </c>
      <c r="B372" s="23">
        <f>PEDIDOS!C372</f>
        <v>14463</v>
      </c>
      <c r="C372" s="23" t="str">
        <f>PEDIDOS!D372</f>
        <v>JACTANS - DISNEY</v>
      </c>
      <c r="D372" s="60" t="str">
        <f>PEDIDOS!E372</f>
        <v>DP-1349-Perfume inf. fco corazon pvc x30ml/Es. 0297UT</v>
      </c>
      <c r="E372" s="61">
        <f>PEDIDOS!G372*PEDIDOS!H372/1000</f>
        <v>45</v>
      </c>
      <c r="F372" s="23" t="s">
        <v>458</v>
      </c>
      <c r="G372" s="23"/>
      <c r="H372" s="23"/>
      <c r="I372" s="23">
        <f>EXPEDICION!K372-7</f>
        <v>-7</v>
      </c>
      <c r="J372" s="63" t="str">
        <f>PEDIDOS!M372</f>
        <v/>
      </c>
      <c r="K372" s="23"/>
    </row>
    <row r="373" ht="22.5" customHeight="1">
      <c r="A373" s="64">
        <f>PEDIDOS!B373</f>
        <v>46183</v>
      </c>
      <c r="B373" s="65">
        <f>PEDIDOS!C373</f>
        <v>14463</v>
      </c>
      <c r="C373" s="65" t="str">
        <f>PEDIDOS!D373</f>
        <v>JACTANS - DISNEY</v>
      </c>
      <c r="D373" s="66" t="str">
        <f>PEDIDOS!E373</f>
        <v>DP-40543-Perfume inf. fco pvc x65ml 0300IE</v>
      </c>
      <c r="E373" s="67">
        <f>PEDIDOS!G373*PEDIDOS!H373/1000</f>
        <v>97.5</v>
      </c>
      <c r="F373" s="71" t="s">
        <v>446</v>
      </c>
      <c r="G373" s="65"/>
      <c r="H373" s="71" t="s">
        <v>448</v>
      </c>
      <c r="I373" s="68">
        <f>EXPEDICION!K373-7</f>
        <v>46197</v>
      </c>
      <c r="J373" s="69" t="str">
        <f>PEDIDOS!M373</f>
        <v>J26052</v>
      </c>
      <c r="K373" s="65"/>
    </row>
    <row r="374" ht="22.5" customHeight="1">
      <c r="A374" s="47">
        <f>PEDIDOS!B374</f>
        <v>46183</v>
      </c>
      <c r="B374" s="23">
        <f>PEDIDOS!C374</f>
        <v>14463</v>
      </c>
      <c r="C374" s="23" t="str">
        <f>PEDIDOS!D374</f>
        <v>JACTANS - DISNEY</v>
      </c>
      <c r="D374" s="60" t="str">
        <f>PEDIDOS!E374</f>
        <v>DP-44107-Perfume inf fco Mariana x50ml 0296LP</v>
      </c>
      <c r="E374" s="61">
        <f>PEDIDOS!G374*PEDIDOS!H374/1000</f>
        <v>75</v>
      </c>
      <c r="F374" s="23" t="s">
        <v>458</v>
      </c>
      <c r="G374" s="23"/>
      <c r="H374" s="23"/>
      <c r="I374" s="23">
        <f>EXPEDICION!K374-7</f>
        <v>-7</v>
      </c>
      <c r="J374" s="63" t="str">
        <f>PEDIDOS!M374</f>
        <v/>
      </c>
      <c r="K374" s="23"/>
    </row>
    <row r="375" ht="22.5" customHeight="1">
      <c r="A375" s="64">
        <f>PEDIDOS!B375</f>
        <v>46183</v>
      </c>
      <c r="B375" s="65">
        <f>PEDIDOS!C375</f>
        <v>14463</v>
      </c>
      <c r="C375" s="65" t="str">
        <f>PEDIDOS!D375</f>
        <v>JACTANS - DISNEY</v>
      </c>
      <c r="D375" s="66" t="str">
        <f>PEDIDOS!E375</f>
        <v>DP-45784-Perfume inf. fco imperial x50ml/0270WT</v>
      </c>
      <c r="E375" s="67">
        <f>PEDIDOS!G375*PEDIDOS!H375/1000</f>
        <v>75</v>
      </c>
      <c r="F375" s="65" t="s">
        <v>458</v>
      </c>
      <c r="G375" s="65"/>
      <c r="H375" s="65"/>
      <c r="I375" s="65">
        <f>EXPEDICION!K375-7</f>
        <v>-7</v>
      </c>
      <c r="J375" s="69" t="str">
        <f>PEDIDOS!M375</f>
        <v/>
      </c>
      <c r="K375" s="65"/>
    </row>
    <row r="376" ht="22.5" customHeight="1">
      <c r="A376" s="47">
        <f>PEDIDOS!B376</f>
        <v>46183</v>
      </c>
      <c r="B376" s="23">
        <f>PEDIDOS!C376</f>
        <v>14463</v>
      </c>
      <c r="C376" s="23" t="str">
        <f>PEDIDOS!D376</f>
        <v>JACTANS - DISNEY</v>
      </c>
      <c r="D376" s="60" t="str">
        <f>PEDIDOS!E376</f>
        <v>DP-46347-Perfume Inf. fco pvc x65ml/Es. 0278LS</v>
      </c>
      <c r="E376" s="61">
        <f>PEDIDOS!G376*PEDIDOS!H376/1000</f>
        <v>97.5</v>
      </c>
      <c r="F376" s="23" t="s">
        <v>458</v>
      </c>
      <c r="G376" s="23"/>
      <c r="H376" s="23"/>
      <c r="I376" s="23">
        <f>EXPEDICION!K376-7</f>
        <v>-7</v>
      </c>
      <c r="J376" s="63" t="str">
        <f>PEDIDOS!M376</f>
        <v/>
      </c>
      <c r="K376" s="23"/>
    </row>
    <row r="377" ht="22.5" customHeight="1">
      <c r="A377" s="64">
        <f>PEDIDOS!B377</f>
        <v>46184</v>
      </c>
      <c r="B377" s="65" t="str">
        <f>PEDIDOS!C377</f>
        <v/>
      </c>
      <c r="C377" s="65" t="str">
        <f>PEDIDOS!D377</f>
        <v>BAHIA EVANS</v>
      </c>
      <c r="D377" s="66" t="str">
        <f>PEDIDOS!E377</f>
        <v>TRATAMIENTO STRAIGHT</v>
      </c>
      <c r="E377" s="67">
        <f>PEDIDOS!G377*PEDIDOS!H377/1000</f>
        <v>60</v>
      </c>
      <c r="F377" s="71" t="s">
        <v>446</v>
      </c>
      <c r="G377" s="65"/>
      <c r="H377" s="71" t="s">
        <v>459</v>
      </c>
      <c r="I377" s="72">
        <f>EXPEDICION!K377-7</f>
        <v>46191</v>
      </c>
      <c r="J377" s="69" t="str">
        <f>PEDIDOS!M377</f>
        <v>J26038</v>
      </c>
      <c r="K377" s="65"/>
    </row>
    <row r="378" ht="22.5" customHeight="1">
      <c r="A378" s="47">
        <f>PEDIDOS!B378</f>
        <v>46189</v>
      </c>
      <c r="B378" s="23">
        <f>PEDIDOS!C378</f>
        <v>809</v>
      </c>
      <c r="C378" s="23" t="str">
        <f>PEDIDOS!D378</f>
        <v>CAV</v>
      </c>
      <c r="D378" s="60" t="str">
        <f>PEDIDOS!E378</f>
        <v>CREMA VITAMIN SHOCK X150G</v>
      </c>
      <c r="E378" s="61">
        <f>PEDIDOS!G378*PEDIDOS!H378/1000</f>
        <v>75</v>
      </c>
      <c r="F378" s="41" t="s">
        <v>446</v>
      </c>
      <c r="G378" s="23"/>
      <c r="H378" s="41" t="s">
        <v>448</v>
      </c>
      <c r="I378" s="23">
        <f>EXPEDICION!K378-7</f>
        <v>-7</v>
      </c>
      <c r="J378" s="63" t="str">
        <f>PEDIDOS!M378</f>
        <v/>
      </c>
      <c r="K378" s="23"/>
    </row>
    <row r="379" ht="22.5" customHeight="1">
      <c r="A379" s="64">
        <f>PEDIDOS!B379</f>
        <v>46189</v>
      </c>
      <c r="B379" s="65">
        <f>PEDIDOS!C379</f>
        <v>809</v>
      </c>
      <c r="C379" s="65" t="str">
        <f>PEDIDOS!D379</f>
        <v>CAV</v>
      </c>
      <c r="D379" s="66" t="str">
        <f>PEDIDOS!E379</f>
        <v>SHAMPOO BIO MOLECULAR X400ML VITAMIN SHOCK</v>
      </c>
      <c r="E379" s="67">
        <f>PEDIDOS!G379*PEDIDOS!H379/1000</f>
        <v>200</v>
      </c>
      <c r="F379" s="71" t="s">
        <v>446</v>
      </c>
      <c r="G379" s="65"/>
      <c r="H379" s="71" t="s">
        <v>457</v>
      </c>
      <c r="I379" s="76">
        <f>EXPEDICION!K379-7</f>
        <v>46196</v>
      </c>
      <c r="J379" s="69" t="str">
        <f>PEDIDOS!M379</f>
        <v>J26050</v>
      </c>
      <c r="K379" s="65"/>
    </row>
    <row r="380" ht="22.5" customHeight="1">
      <c r="A380" s="47">
        <f>PEDIDOS!B380</f>
        <v>46189</v>
      </c>
      <c r="B380" s="23">
        <f>PEDIDOS!C380</f>
        <v>809</v>
      </c>
      <c r="C380" s="23" t="str">
        <f>PEDIDOS!D380</f>
        <v>CAV</v>
      </c>
      <c r="D380" s="60" t="str">
        <f>PEDIDOS!E380</f>
        <v>SHAMPOO BIO MOLECULAR X900ML VITAMIN SHOCK</v>
      </c>
      <c r="E380" s="61">
        <f>PEDIDOS!G380*PEDIDOS!H380/1000</f>
        <v>180</v>
      </c>
      <c r="F380" s="41" t="s">
        <v>446</v>
      </c>
      <c r="G380" s="23"/>
      <c r="H380" s="41" t="s">
        <v>457</v>
      </c>
      <c r="I380" s="75">
        <f>EXPEDICION!K380-7</f>
        <v>46197</v>
      </c>
      <c r="J380" s="63" t="str">
        <f>PEDIDOS!M380</f>
        <v>J26050</v>
      </c>
      <c r="K380" s="23"/>
    </row>
    <row r="381" ht="22.5" customHeight="1">
      <c r="A381" s="64">
        <f>PEDIDOS!B381</f>
        <v>46189</v>
      </c>
      <c r="B381" s="65">
        <f>PEDIDOS!C381</f>
        <v>809</v>
      </c>
      <c r="C381" s="65" t="str">
        <f>PEDIDOS!D381</f>
        <v>CAV</v>
      </c>
      <c r="D381" s="66" t="str">
        <f>PEDIDOS!E381</f>
        <v>CONDITIONER BIO MOLECULAR X400ML VITAMIN SHOCK</v>
      </c>
      <c r="E381" s="67">
        <f>PEDIDOS!G381*PEDIDOS!H381/1000</f>
        <v>200</v>
      </c>
      <c r="F381" s="71" t="s">
        <v>446</v>
      </c>
      <c r="G381" s="65"/>
      <c r="H381" s="71" t="s">
        <v>451</v>
      </c>
      <c r="I381" s="78">
        <f>EXPEDICION!K381-7</f>
        <v>46197</v>
      </c>
      <c r="J381" s="69" t="str">
        <f>PEDIDOS!M381</f>
        <v>J26051</v>
      </c>
      <c r="K381" s="65"/>
    </row>
    <row r="382" ht="22.5" customHeight="1">
      <c r="A382" s="47">
        <f>PEDIDOS!B382</f>
        <v>46189</v>
      </c>
      <c r="B382" s="23">
        <f>PEDIDOS!C382</f>
        <v>809</v>
      </c>
      <c r="C382" s="23" t="str">
        <f>PEDIDOS!D382</f>
        <v>CAV</v>
      </c>
      <c r="D382" s="60" t="str">
        <f>PEDIDOS!E382</f>
        <v>CONDITIONER BIO MOLECULAR X900ML VITAMIN SHOCK</v>
      </c>
      <c r="E382" s="61">
        <f>PEDIDOS!G382*PEDIDOS!H382/1000</f>
        <v>180</v>
      </c>
      <c r="F382" s="41" t="s">
        <v>446</v>
      </c>
      <c r="G382" s="23"/>
      <c r="H382" s="41" t="s">
        <v>451</v>
      </c>
      <c r="I382" s="23">
        <f>EXPEDICION!K382-7</f>
        <v>-7</v>
      </c>
      <c r="J382" s="63" t="str">
        <f>PEDIDOS!M382</f>
        <v/>
      </c>
      <c r="K382" s="23"/>
    </row>
    <row r="383" ht="22.5" customHeight="1">
      <c r="A383" s="64">
        <f>PEDIDOS!B383</f>
        <v>46189</v>
      </c>
      <c r="B383" s="65">
        <f>PEDIDOS!C383</f>
        <v>809</v>
      </c>
      <c r="C383" s="65" t="str">
        <f>PEDIDOS!D383</f>
        <v>CAV</v>
      </c>
      <c r="D383" s="66" t="str">
        <f>PEDIDOS!E383</f>
        <v>SHAMPOO BIONIC X900ML</v>
      </c>
      <c r="E383" s="67">
        <f>PEDIDOS!G383*PEDIDOS!H383/1000</f>
        <v>180</v>
      </c>
      <c r="F383" s="71" t="s">
        <v>446</v>
      </c>
      <c r="G383" s="65"/>
      <c r="H383" s="71" t="s">
        <v>456</v>
      </c>
      <c r="I383" s="65">
        <f>EXPEDICION!K383-7</f>
        <v>-7</v>
      </c>
      <c r="J383" s="69" t="str">
        <f>PEDIDOS!M383</f>
        <v/>
      </c>
      <c r="K383" s="65"/>
    </row>
    <row r="384" ht="22.5" customHeight="1">
      <c r="A384" s="47">
        <f>PEDIDOS!B384</f>
        <v>46189</v>
      </c>
      <c r="B384" s="23">
        <f>PEDIDOS!C384</f>
        <v>809</v>
      </c>
      <c r="C384" s="23" t="str">
        <f>PEDIDOS!D384</f>
        <v>CAV</v>
      </c>
      <c r="D384" s="60" t="str">
        <f>PEDIDOS!E384</f>
        <v>BALSAMO BIONIC X900ML</v>
      </c>
      <c r="E384" s="61">
        <f>PEDIDOS!G384*PEDIDOS!H384/1000</f>
        <v>180</v>
      </c>
      <c r="F384" s="41" t="s">
        <v>458</v>
      </c>
      <c r="G384" s="23"/>
      <c r="H384" s="41"/>
      <c r="I384" s="23">
        <f>EXPEDICION!K384-7</f>
        <v>-7</v>
      </c>
      <c r="J384" s="63" t="str">
        <f>PEDIDOS!M384</f>
        <v/>
      </c>
      <c r="K384" s="23"/>
    </row>
    <row r="385" ht="22.5" customHeight="1">
      <c r="A385" s="64">
        <f>PEDIDOS!B385</f>
        <v>46189</v>
      </c>
      <c r="B385" s="65">
        <f>PEDIDOS!C385</f>
        <v>809</v>
      </c>
      <c r="C385" s="65" t="str">
        <f>PEDIDOS!D385</f>
        <v>CAV</v>
      </c>
      <c r="D385" s="66" t="str">
        <f>PEDIDOS!E385</f>
        <v>PROTECTOR C-PLEX PASO 3X150ML</v>
      </c>
      <c r="E385" s="67">
        <f>PEDIDOS!G385*PEDIDOS!H385/1000</f>
        <v>75</v>
      </c>
      <c r="F385" s="65" t="s">
        <v>458</v>
      </c>
      <c r="G385" s="65"/>
      <c r="H385" s="65"/>
      <c r="I385" s="65">
        <f>EXPEDICION!K385-7</f>
        <v>-7</v>
      </c>
      <c r="J385" s="69" t="str">
        <f>PEDIDOS!M385</f>
        <v/>
      </c>
      <c r="K385" s="65"/>
    </row>
    <row r="386" ht="22.5" customHeight="1">
      <c r="A386" s="47">
        <f>PEDIDOS!B386</f>
        <v>46189</v>
      </c>
      <c r="B386" s="23">
        <f>PEDIDOS!C386</f>
        <v>809</v>
      </c>
      <c r="C386" s="23" t="str">
        <f>PEDIDOS!D386</f>
        <v>CAV</v>
      </c>
      <c r="D386" s="60" t="str">
        <f>PEDIDOS!E386</f>
        <v>SHAMPOO BIONIC X400ML</v>
      </c>
      <c r="E386" s="61">
        <f>PEDIDOS!G386*PEDIDOS!H386/1000</f>
        <v>200</v>
      </c>
      <c r="F386" s="41" t="s">
        <v>446</v>
      </c>
      <c r="G386" s="23"/>
      <c r="H386" s="41" t="s">
        <v>456</v>
      </c>
      <c r="I386" s="23">
        <f>EXPEDICION!K386-7</f>
        <v>-7</v>
      </c>
      <c r="J386" s="63" t="str">
        <f>PEDIDOS!M386</f>
        <v/>
      </c>
      <c r="K386" s="23"/>
    </row>
    <row r="387" ht="22.5" customHeight="1">
      <c r="A387" s="64">
        <f>PEDIDOS!B387</f>
        <v>46189</v>
      </c>
      <c r="B387" s="65">
        <f>PEDIDOS!C387</f>
        <v>809</v>
      </c>
      <c r="C387" s="65" t="str">
        <f>PEDIDOS!D387</f>
        <v>CAV</v>
      </c>
      <c r="D387" s="66" t="str">
        <f>PEDIDOS!E387</f>
        <v>BALSAMO BIONIC X400ML</v>
      </c>
      <c r="E387" s="67">
        <f>PEDIDOS!G387*PEDIDOS!H387/1000</f>
        <v>200</v>
      </c>
      <c r="F387" s="71" t="s">
        <v>446</v>
      </c>
      <c r="G387" s="65"/>
      <c r="H387" s="71" t="s">
        <v>456</v>
      </c>
      <c r="I387" s="65">
        <f>EXPEDICION!K387-7</f>
        <v>-7</v>
      </c>
      <c r="J387" s="69" t="str">
        <f>PEDIDOS!M387</f>
        <v/>
      </c>
      <c r="K387" s="65"/>
    </row>
    <row r="388" ht="22.5" customHeight="1">
      <c r="A388" s="47">
        <f>PEDIDOS!B388</f>
        <v>46189</v>
      </c>
      <c r="B388" s="23">
        <f>PEDIDOS!C388</f>
        <v>809</v>
      </c>
      <c r="C388" s="23" t="str">
        <f>PEDIDOS!D388</f>
        <v>CAV</v>
      </c>
      <c r="D388" s="60" t="str">
        <f>PEDIDOS!E388</f>
        <v>Mascara BIO Molecular X 300 ml. Vitamin Shock</v>
      </c>
      <c r="E388" s="61">
        <f>PEDIDOS!G388*PEDIDOS!H388/1000</f>
        <v>150</v>
      </c>
      <c r="F388" s="41" t="s">
        <v>446</v>
      </c>
      <c r="G388" s="23"/>
      <c r="H388" s="41" t="s">
        <v>456</v>
      </c>
      <c r="I388" s="23">
        <f>EXPEDICION!K388-7</f>
        <v>-7</v>
      </c>
      <c r="J388" s="63" t="str">
        <f>PEDIDOS!M388</f>
        <v/>
      </c>
      <c r="K388" s="23"/>
    </row>
    <row r="389" ht="22.5" customHeight="1">
      <c r="A389" s="64">
        <f>PEDIDOS!B389</f>
        <v>46189</v>
      </c>
      <c r="B389" s="65" t="str">
        <f>PEDIDOS!C389</f>
        <v/>
      </c>
      <c r="C389" s="65" t="str">
        <f>PEDIDOS!D389</f>
        <v>DERMION / FRANCO</v>
      </c>
      <c r="D389" s="66" t="str">
        <f>PEDIDOS!E389</f>
        <v>SERUM AH + NIACI</v>
      </c>
      <c r="E389" s="67">
        <f>PEDIDOS!G389*PEDIDOS!H389/1000</f>
        <v>30</v>
      </c>
      <c r="F389" s="71" t="s">
        <v>446</v>
      </c>
      <c r="G389" s="65"/>
      <c r="H389" s="71" t="s">
        <v>459</v>
      </c>
      <c r="I389" s="72">
        <f>EXPEDICION!K389-7</f>
        <v>46195</v>
      </c>
      <c r="J389" s="69" t="str">
        <f>PEDIDOS!M389</f>
        <v>J26028</v>
      </c>
      <c r="K389" s="65"/>
    </row>
    <row r="390" ht="22.5" customHeight="1">
      <c r="A390" s="47">
        <f>PEDIDOS!B390</f>
        <v>46189</v>
      </c>
      <c r="B390" s="23" t="str">
        <f>PEDIDOS!C390</f>
        <v/>
      </c>
      <c r="C390" s="23" t="str">
        <f>PEDIDOS!D390</f>
        <v>MACA MODAS</v>
      </c>
      <c r="D390" s="60" t="str">
        <f>PEDIDOS!E390</f>
        <v>SERUM AH + NIACI</v>
      </c>
      <c r="E390" s="61">
        <f>PEDIDOS!G390*PEDIDOS!H390/1000</f>
        <v>15</v>
      </c>
      <c r="F390" s="41" t="s">
        <v>446</v>
      </c>
      <c r="G390" s="23"/>
      <c r="H390" s="41" t="s">
        <v>459</v>
      </c>
      <c r="I390" s="23">
        <f>EXPEDICION!K390-7</f>
        <v>-7</v>
      </c>
      <c r="J390" s="63" t="str">
        <f>PEDIDOS!M390</f>
        <v/>
      </c>
      <c r="K390" s="23"/>
    </row>
    <row r="391" ht="22.5" customHeight="1">
      <c r="A391" s="64">
        <f>PEDIDOS!B391</f>
        <v>46189</v>
      </c>
      <c r="B391" s="65" t="str">
        <f>PEDIDOS!C391</f>
        <v/>
      </c>
      <c r="C391" s="65" t="str">
        <f>PEDIDOS!D391</f>
        <v>MACA MODAS</v>
      </c>
      <c r="D391" s="66" t="str">
        <f>PEDIDOS!E391</f>
        <v>CREMA AH + NIACI</v>
      </c>
      <c r="E391" s="67">
        <f>PEDIDOS!G391*PEDIDOS!H391/1000</f>
        <v>25</v>
      </c>
      <c r="F391" s="71" t="s">
        <v>446</v>
      </c>
      <c r="G391" s="65"/>
      <c r="H391" s="71" t="s">
        <v>459</v>
      </c>
      <c r="I391" s="65">
        <f>EXPEDICION!K391-7</f>
        <v>-7</v>
      </c>
      <c r="J391" s="69" t="str">
        <f>PEDIDOS!M391</f>
        <v/>
      </c>
      <c r="K391" s="65"/>
    </row>
    <row r="392" ht="22.5" customHeight="1">
      <c r="A392" s="47">
        <f>PEDIDOS!B392</f>
        <v>46184</v>
      </c>
      <c r="B392" s="23" t="str">
        <f>PEDIDOS!C392</f>
        <v/>
      </c>
      <c r="C392" s="23" t="str">
        <f>PEDIDOS!D392</f>
        <v>LUCENT</v>
      </c>
      <c r="D392" s="60" t="str">
        <f>PEDIDOS!E392</f>
        <v>SERUM VITAMINA C</v>
      </c>
      <c r="E392" s="61">
        <f>PEDIDOS!G392*PEDIDOS!H392/1000</f>
        <v>10</v>
      </c>
      <c r="F392" s="41" t="s">
        <v>446</v>
      </c>
      <c r="G392" s="23"/>
      <c r="H392" s="41" t="s">
        <v>459</v>
      </c>
      <c r="I392" s="75">
        <f>EXPEDICION!K392-7</f>
        <v>46192</v>
      </c>
      <c r="J392" s="63" t="str">
        <f>PEDIDOS!M392</f>
        <v>J26024</v>
      </c>
      <c r="K392" s="23"/>
    </row>
    <row r="393" ht="22.5" customHeight="1">
      <c r="A393" s="64">
        <f>PEDIDOS!B393</f>
        <v>46184</v>
      </c>
      <c r="B393" s="65" t="str">
        <f>PEDIDOS!C393</f>
        <v/>
      </c>
      <c r="C393" s="65" t="str">
        <f>PEDIDOS!D393</f>
        <v>BL COSMETICS</v>
      </c>
      <c r="D393" s="66" t="str">
        <f>PEDIDOS!E393</f>
        <v>MASCARA ANTIFRIZZ 300ML</v>
      </c>
      <c r="E393" s="67">
        <f>PEDIDOS!G393*PEDIDOS!H393/1000</f>
        <v>900</v>
      </c>
      <c r="F393" s="71" t="s">
        <v>466</v>
      </c>
      <c r="G393" s="65"/>
      <c r="H393" s="71" t="s">
        <v>456</v>
      </c>
      <c r="I393" s="65">
        <f>EXPEDICION!K393-7</f>
        <v>-7</v>
      </c>
      <c r="J393" s="69" t="str">
        <f>PEDIDOS!M393</f>
        <v/>
      </c>
      <c r="K393" s="65"/>
    </row>
    <row r="394" ht="22.5" customHeight="1">
      <c r="A394" s="47">
        <f>PEDIDOS!B394</f>
        <v>46184</v>
      </c>
      <c r="B394" s="23" t="str">
        <f>PEDIDOS!C394</f>
        <v/>
      </c>
      <c r="C394" s="23" t="str">
        <f>PEDIDOS!D394</f>
        <v>BL COSMETICS</v>
      </c>
      <c r="D394" s="60" t="str">
        <f>PEDIDOS!E394</f>
        <v>MASCARA ANTIFRIZZ 1000ML</v>
      </c>
      <c r="E394" s="61">
        <f>PEDIDOS!G394*PEDIDOS!H394/1000</f>
        <v>800</v>
      </c>
      <c r="F394" s="41" t="s">
        <v>466</v>
      </c>
      <c r="G394" s="23"/>
      <c r="H394" s="41" t="s">
        <v>456</v>
      </c>
      <c r="I394" s="23">
        <f>EXPEDICION!K394-7</f>
        <v>-7</v>
      </c>
      <c r="J394" s="63" t="str">
        <f>PEDIDOS!M394</f>
        <v/>
      </c>
      <c r="K394" s="23"/>
    </row>
    <row r="395" ht="22.5" customHeight="1">
      <c r="A395" s="64">
        <f>PEDIDOS!B395</f>
        <v>46196</v>
      </c>
      <c r="B395" s="65" t="str">
        <f>PEDIDOS!C395</f>
        <v/>
      </c>
      <c r="C395" s="65" t="str">
        <f>PEDIDOS!D395</f>
        <v>AGUEDA REY - IKIGAI</v>
      </c>
      <c r="D395" s="66" t="str">
        <f>PEDIDOS!E395</f>
        <v>GEL DE LIMPIEZA FACIAL</v>
      </c>
      <c r="E395" s="67">
        <f>PEDIDOS!G395*PEDIDOS!H395/1000</f>
        <v>90</v>
      </c>
      <c r="F395" s="65" t="s">
        <v>458</v>
      </c>
      <c r="G395" s="65"/>
      <c r="H395" s="65"/>
      <c r="I395" s="65">
        <f>EXPEDICION!K395-7</f>
        <v>-7</v>
      </c>
      <c r="J395" s="69" t="str">
        <f>PEDIDOS!M395</f>
        <v/>
      </c>
      <c r="K395" s="65"/>
    </row>
    <row r="396" ht="22.5" customHeight="1">
      <c r="A396" s="47">
        <f>PEDIDOS!B396</f>
        <v>46197</v>
      </c>
      <c r="B396" s="23" t="str">
        <f>PEDIDOS!C396</f>
        <v/>
      </c>
      <c r="C396" s="23" t="str">
        <f>PEDIDOS!D396</f>
        <v>KALA</v>
      </c>
      <c r="D396" s="60" t="str">
        <f>PEDIDOS!E396</f>
        <v>BALSAMO LABIAL SANDIA</v>
      </c>
      <c r="E396" s="61">
        <f>PEDIDOS!G396*PEDIDOS!H396/1000</f>
        <v>30</v>
      </c>
      <c r="F396" s="41" t="s">
        <v>446</v>
      </c>
      <c r="G396" s="23"/>
      <c r="H396" s="41" t="s">
        <v>460</v>
      </c>
      <c r="I396" s="23">
        <f>EXPEDICION!K396-7</f>
        <v>-7</v>
      </c>
      <c r="J396" s="63" t="str">
        <f>PEDIDOS!M396</f>
        <v/>
      </c>
      <c r="K396" s="23"/>
    </row>
    <row r="397" ht="22.5" customHeight="1">
      <c r="A397" s="64">
        <f>PEDIDOS!B397</f>
        <v>46197</v>
      </c>
      <c r="B397" s="65" t="str">
        <f>PEDIDOS!C397</f>
        <v/>
      </c>
      <c r="C397" s="65" t="str">
        <f>PEDIDOS!D397</f>
        <v>KALA</v>
      </c>
      <c r="D397" s="66" t="str">
        <f>PEDIDOS!E397</f>
        <v>BALSAMO LABIAL MANGO</v>
      </c>
      <c r="E397" s="67">
        <f>PEDIDOS!G397*PEDIDOS!H397/1000</f>
        <v>30</v>
      </c>
      <c r="F397" s="71" t="s">
        <v>446</v>
      </c>
      <c r="G397" s="65"/>
      <c r="H397" s="71" t="s">
        <v>456</v>
      </c>
      <c r="I397" s="65">
        <f>EXPEDICION!K397-7</f>
        <v>-7</v>
      </c>
      <c r="J397" s="69" t="str">
        <f>PEDIDOS!M397</f>
        <v/>
      </c>
      <c r="K397" s="65"/>
    </row>
    <row r="398" ht="22.5" customHeight="1">
      <c r="A398" s="47">
        <f>PEDIDOS!B398</f>
        <v>46197</v>
      </c>
      <c r="B398" s="23">
        <f>PEDIDOS!C398</f>
        <v>149</v>
      </c>
      <c r="C398" s="23" t="str">
        <f>PEDIDOS!D398</f>
        <v>ICONO</v>
      </c>
      <c r="D398" s="60" t="str">
        <f>PEDIDOS!E398</f>
        <v>MASCARA LINEA EQUILIBRANTE x 250GR.</v>
      </c>
      <c r="E398" s="61">
        <f>PEDIDOS!G398*PEDIDOS!H398/1000</f>
        <v>500</v>
      </c>
      <c r="F398" s="41" t="s">
        <v>466</v>
      </c>
      <c r="G398" s="23"/>
      <c r="H398" s="41" t="s">
        <v>448</v>
      </c>
      <c r="I398" s="23">
        <f>EXPEDICION!K398-7</f>
        <v>-7</v>
      </c>
      <c r="J398" s="63" t="str">
        <f>PEDIDOS!M398</f>
        <v/>
      </c>
      <c r="K398" s="23"/>
    </row>
    <row r="399" ht="22.5" customHeight="1">
      <c r="A399" s="64">
        <f>PEDIDOS!B399</f>
        <v>46164</v>
      </c>
      <c r="B399" s="65" t="str">
        <f>PEDIDOS!C399</f>
        <v/>
      </c>
      <c r="C399" s="65" t="str">
        <f>PEDIDOS!D399</f>
        <v>LUCENT</v>
      </c>
      <c r="D399" s="66" t="str">
        <f>PEDIDOS!E399</f>
        <v>SERUM W+</v>
      </c>
      <c r="E399" s="67">
        <f>PEDIDOS!G399*PEDIDOS!H399/1000</f>
        <v>5</v>
      </c>
      <c r="F399" s="71" t="s">
        <v>446</v>
      </c>
      <c r="G399" s="65"/>
      <c r="H399" s="71" t="s">
        <v>459</v>
      </c>
      <c r="I399" s="72">
        <f>EXPEDICION!K399-7</f>
        <v>46192</v>
      </c>
      <c r="J399" s="69" t="str">
        <f>PEDIDOS!M399</f>
        <v>J26031</v>
      </c>
      <c r="K399" s="65"/>
    </row>
    <row r="400" ht="22.5" customHeight="1">
      <c r="A400" s="47">
        <f>PEDIDOS!B400</f>
        <v>46164</v>
      </c>
      <c r="B400" s="23" t="str">
        <f>PEDIDOS!C400</f>
        <v/>
      </c>
      <c r="C400" s="23" t="str">
        <f>PEDIDOS!D400</f>
        <v>LUCENT</v>
      </c>
      <c r="D400" s="60" t="str">
        <f>PEDIDOS!E400</f>
        <v>SERUM N+</v>
      </c>
      <c r="E400" s="61">
        <f>PEDIDOS!G400*PEDIDOS!H400/1000</f>
        <v>5</v>
      </c>
      <c r="F400" s="41" t="s">
        <v>446</v>
      </c>
      <c r="G400" s="23"/>
      <c r="H400" s="41" t="s">
        <v>459</v>
      </c>
      <c r="I400" s="62">
        <f>EXPEDICION!K400-7</f>
        <v>46192</v>
      </c>
      <c r="J400" s="63" t="str">
        <f>PEDIDOS!M400</f>
        <v>J26032</v>
      </c>
      <c r="K400" s="23"/>
    </row>
    <row r="401" ht="22.5" customHeight="1">
      <c r="A401" s="64">
        <f>PEDIDOS!B401</f>
        <v>46192</v>
      </c>
      <c r="B401" s="65">
        <f>PEDIDOS!C401</f>
        <v>15329</v>
      </c>
      <c r="C401" s="65" t="str">
        <f>PEDIDOS!D401</f>
        <v>THELMA Y LOUISE</v>
      </c>
      <c r="D401" s="66" t="str">
        <f>PEDIDOS!E401</f>
        <v>EXFOLIANTE ARROZ</v>
      </c>
      <c r="E401" s="67">
        <f>PEDIDOS!G401*PEDIDOS!H401/1000</f>
        <v>528</v>
      </c>
      <c r="F401" s="71" t="s">
        <v>446</v>
      </c>
      <c r="G401" s="65"/>
      <c r="H401" s="71" t="s">
        <v>459</v>
      </c>
      <c r="I401" s="68">
        <f>EXPEDICION!K401-7</f>
        <v>46196</v>
      </c>
      <c r="J401" s="69" t="str">
        <f>PEDIDOS!M401</f>
        <v>J26026</v>
      </c>
      <c r="K401" s="65"/>
    </row>
    <row r="402" ht="22.5" customHeight="1">
      <c r="A402" s="47">
        <f>PEDIDOS!B402</f>
        <v>46192</v>
      </c>
      <c r="B402" s="23">
        <f>PEDIDOS!C402</f>
        <v>15330</v>
      </c>
      <c r="C402" s="23" t="str">
        <f>PEDIDOS!D402</f>
        <v>THELMA Y LOUISE</v>
      </c>
      <c r="D402" s="60" t="str">
        <f>PEDIDOS!E402</f>
        <v>GEL DE LIMPIEZA ROSAS</v>
      </c>
      <c r="E402" s="61">
        <f>PEDIDOS!G402*PEDIDOS!H402/1000</f>
        <v>582.4</v>
      </c>
      <c r="F402" s="41" t="s">
        <v>446</v>
      </c>
      <c r="G402" s="23"/>
      <c r="H402" s="41" t="s">
        <v>459</v>
      </c>
      <c r="I402" s="23">
        <f>EXPEDICION!K402-7</f>
        <v>-7</v>
      </c>
      <c r="J402" s="63" t="str">
        <f>PEDIDOS!M402</f>
        <v/>
      </c>
      <c r="K402" s="23"/>
    </row>
    <row r="403" ht="22.5" customHeight="1">
      <c r="A403" s="64">
        <f>PEDIDOS!B403</f>
        <v>46198</v>
      </c>
      <c r="B403" s="65">
        <f>PEDIDOS!C403</f>
        <v>15334</v>
      </c>
      <c r="C403" s="65" t="str">
        <f>PEDIDOS!D403</f>
        <v>THELMA Y LOUISE</v>
      </c>
      <c r="D403" s="66" t="str">
        <f>PEDIDOS!E403</f>
        <v>SANITIZANTE BLANCO AGUA DE COCO</v>
      </c>
      <c r="E403" s="67">
        <f>PEDIDOS!G403*PEDIDOS!H403/1000</f>
        <v>9</v>
      </c>
      <c r="F403" s="65" t="s">
        <v>458</v>
      </c>
      <c r="G403" s="65"/>
      <c r="H403" s="65"/>
      <c r="I403" s="65">
        <f>EXPEDICION!K403-7</f>
        <v>-7</v>
      </c>
      <c r="J403" s="69" t="str">
        <f>PEDIDOS!M403</f>
        <v/>
      </c>
      <c r="K403" s="65"/>
    </row>
    <row r="404" ht="22.5" customHeight="1">
      <c r="A404" s="47">
        <f>PEDIDOS!B404</f>
        <v>46198</v>
      </c>
      <c r="B404" s="23">
        <f>PEDIDOS!C404</f>
        <v>15334</v>
      </c>
      <c r="C404" s="23" t="str">
        <f>PEDIDOS!D404</f>
        <v>THELMA Y LOUISE</v>
      </c>
      <c r="D404" s="60" t="str">
        <f>PEDIDOS!E404</f>
        <v>SANITIZANTE VIOLETA UVA</v>
      </c>
      <c r="E404" s="61">
        <f>PEDIDOS!G404*PEDIDOS!H404/1000</f>
        <v>20</v>
      </c>
      <c r="F404" s="23" t="s">
        <v>458</v>
      </c>
      <c r="G404" s="23"/>
      <c r="H404" s="23"/>
      <c r="I404" s="23">
        <f>EXPEDICION!K404-7</f>
        <v>-7</v>
      </c>
      <c r="J404" s="63" t="str">
        <f>PEDIDOS!M404</f>
        <v/>
      </c>
      <c r="K404" s="23"/>
    </row>
    <row r="405" ht="22.5" customHeight="1">
      <c r="A405" s="64">
        <f>PEDIDOS!B405</f>
        <v>46198</v>
      </c>
      <c r="B405" s="65">
        <f>PEDIDOS!C405</f>
        <v>15334</v>
      </c>
      <c r="C405" s="65" t="str">
        <f>PEDIDOS!D405</f>
        <v>THELMA Y LOUISE</v>
      </c>
      <c r="D405" s="66" t="str">
        <f>PEDIDOS!E405</f>
        <v>SANITIZANTE ROJO CHERRY</v>
      </c>
      <c r="E405" s="67">
        <f>PEDIDOS!G405*PEDIDOS!H405/1000</f>
        <v>50</v>
      </c>
      <c r="F405" s="71" t="s">
        <v>468</v>
      </c>
      <c r="G405" s="65"/>
      <c r="H405" s="71" t="s">
        <v>456</v>
      </c>
      <c r="I405" s="65">
        <f>EXPEDICION!K405-7</f>
        <v>-7</v>
      </c>
      <c r="J405" s="69" t="str">
        <f>PEDIDOS!M405</f>
        <v/>
      </c>
      <c r="K405" s="65"/>
    </row>
    <row r="406" ht="22.5" customHeight="1">
      <c r="A406" s="47">
        <f>PEDIDOS!B406</f>
        <v>46198</v>
      </c>
      <c r="B406" s="23">
        <f>PEDIDOS!C406</f>
        <v>15334</v>
      </c>
      <c r="C406" s="23" t="str">
        <f>PEDIDOS!D406</f>
        <v>THELMA Y LOUISE</v>
      </c>
      <c r="D406" s="60" t="str">
        <f>PEDIDOS!E406</f>
        <v>SANITIZANTE ROSA FRUTILLA</v>
      </c>
      <c r="E406" s="61">
        <f>PEDIDOS!G406*PEDIDOS!H406/1000</f>
        <v>61</v>
      </c>
      <c r="F406" s="41" t="s">
        <v>468</v>
      </c>
      <c r="G406" s="23"/>
      <c r="H406" s="41" t="s">
        <v>456</v>
      </c>
      <c r="I406" s="23">
        <f>EXPEDICION!K406-7</f>
        <v>-7</v>
      </c>
      <c r="J406" s="63" t="str">
        <f>PEDIDOS!M406</f>
        <v/>
      </c>
      <c r="K406" s="23"/>
    </row>
    <row r="407" ht="22.5" customHeight="1">
      <c r="A407" s="64">
        <f>PEDIDOS!B407</f>
        <v>46199</v>
      </c>
      <c r="B407" s="65" t="str">
        <f>PEDIDOS!C407</f>
        <v/>
      </c>
      <c r="C407" s="65" t="str">
        <f>PEDIDOS!D407</f>
        <v>UNICA</v>
      </c>
      <c r="D407" s="66" t="str">
        <f>PEDIDOS!E407</f>
        <v>JABON LIQUIDO KARITE</v>
      </c>
      <c r="E407" s="67">
        <f>PEDIDOS!G407*PEDIDOS!H407/1000</f>
        <v>150</v>
      </c>
      <c r="F407" s="71" t="s">
        <v>466</v>
      </c>
      <c r="G407" s="65"/>
      <c r="H407" s="71" t="s">
        <v>456</v>
      </c>
      <c r="I407" s="65">
        <f>EXPEDICION!K407-7</f>
        <v>-7</v>
      </c>
      <c r="J407" s="69" t="str">
        <f>PEDIDOS!M407</f>
        <v/>
      </c>
      <c r="K407" s="65"/>
    </row>
    <row r="408" ht="22.5" customHeight="1">
      <c r="A408" s="47">
        <f>PEDIDOS!B408</f>
        <v>46199</v>
      </c>
      <c r="B408" s="23" t="str">
        <f>PEDIDOS!C408</f>
        <v/>
      </c>
      <c r="C408" s="23" t="str">
        <f>PEDIDOS!D408</f>
        <v>LUCENT</v>
      </c>
      <c r="D408" s="60" t="str">
        <f>PEDIDOS!E408</f>
        <v>SERUM CAPIXYL</v>
      </c>
      <c r="E408" s="61">
        <f>PEDIDOS!G408*PEDIDOS!H408/1000</f>
        <v>10</v>
      </c>
      <c r="F408" s="23" t="s">
        <v>458</v>
      </c>
      <c r="G408" s="23"/>
      <c r="H408" s="23"/>
      <c r="I408" s="23">
        <f>EXPEDICION!K408-7</f>
        <v>-7</v>
      </c>
      <c r="J408" s="63" t="str">
        <f>PEDIDOS!M408</f>
        <v/>
      </c>
      <c r="K408" s="23"/>
    </row>
    <row r="409" ht="22.5" customHeight="1">
      <c r="A409" s="64">
        <f>PEDIDOS!B409</f>
        <v>46199</v>
      </c>
      <c r="B409" s="65">
        <f>PEDIDOS!C409</f>
        <v>147</v>
      </c>
      <c r="C409" s="65" t="str">
        <f>PEDIDOS!D409</f>
        <v>PROFESSIONAL BEAUTY</v>
      </c>
      <c r="D409" s="66" t="str">
        <f>PEDIDOS!E409</f>
        <v>Advance Cafeina + Carnitina</v>
      </c>
      <c r="E409" s="67">
        <f>PEDIDOS!G409*PEDIDOS!H409/1000</f>
        <v>5</v>
      </c>
      <c r="F409" s="71" t="s">
        <v>446</v>
      </c>
      <c r="G409" s="65"/>
      <c r="H409" s="71" t="s">
        <v>448</v>
      </c>
      <c r="I409" s="65">
        <f>EXPEDICION!K409-7</f>
        <v>-7</v>
      </c>
      <c r="J409" s="69" t="str">
        <f>PEDIDOS!M409</f>
        <v/>
      </c>
      <c r="K409" s="65"/>
    </row>
    <row r="410" ht="22.5" customHeight="1">
      <c r="A410" s="47">
        <f>PEDIDOS!B410</f>
        <v>46199</v>
      </c>
      <c r="B410" s="23">
        <f>PEDIDOS!C410</f>
        <v>147</v>
      </c>
      <c r="C410" s="23" t="str">
        <f>PEDIDOS!D410</f>
        <v>PROFESSIONAL BEAUTY</v>
      </c>
      <c r="D410" s="60" t="str">
        <f>PEDIDOS!E410</f>
        <v>Advance Hialurónico 1%</v>
      </c>
      <c r="E410" s="61">
        <f>PEDIDOS!G410*PEDIDOS!H410/1000</f>
        <v>5</v>
      </c>
      <c r="F410" s="41" t="s">
        <v>446</v>
      </c>
      <c r="G410" s="23"/>
      <c r="H410" s="41" t="s">
        <v>460</v>
      </c>
      <c r="I410" s="23">
        <f>EXPEDICION!K410-7</f>
        <v>-7</v>
      </c>
      <c r="J410" s="63" t="str">
        <f>PEDIDOS!M410</f>
        <v/>
      </c>
      <c r="K410" s="23"/>
    </row>
    <row r="411" ht="22.5" customHeight="1">
      <c r="A411" s="64">
        <f>PEDIDOS!B411</f>
        <v>46199</v>
      </c>
      <c r="B411" s="65">
        <f>PEDIDOS!C411</f>
        <v>14491</v>
      </c>
      <c r="C411" s="65" t="str">
        <f>PEDIDOS!D411</f>
        <v>JACTANS - DISNEY</v>
      </c>
      <c r="D411" s="66" t="str">
        <f>PEDIDOS!E411</f>
        <v>DL-024-Laca infantil ROJO (+6)</v>
      </c>
      <c r="E411" s="67">
        <f>PEDIDOS!G411*PEDIDOS!H411/1000</f>
        <v>20</v>
      </c>
      <c r="F411" s="65" t="s">
        <v>458</v>
      </c>
      <c r="G411" s="65"/>
      <c r="H411" s="65"/>
      <c r="I411" s="65">
        <f>EXPEDICION!K411-7</f>
        <v>-7</v>
      </c>
      <c r="J411" s="69" t="str">
        <f>PEDIDOS!M411</f>
        <v/>
      </c>
      <c r="K411" s="65"/>
    </row>
    <row r="412" ht="22.5" customHeight="1">
      <c r="A412" s="47">
        <f>PEDIDOS!B412</f>
        <v>46199</v>
      </c>
      <c r="B412" s="23">
        <f>PEDIDOS!C412</f>
        <v>14491</v>
      </c>
      <c r="C412" s="23" t="str">
        <f>PEDIDOS!D412</f>
        <v>JACTANS - DISNEY</v>
      </c>
      <c r="D412" s="60" t="str">
        <f>PEDIDOS!E412</f>
        <v>DL-023-Laca infantil LILA (+6)</v>
      </c>
      <c r="E412" s="61">
        <f>PEDIDOS!G412*PEDIDOS!H412/1000</f>
        <v>10</v>
      </c>
      <c r="F412" s="23" t="s">
        <v>458</v>
      </c>
      <c r="G412" s="23"/>
      <c r="H412" s="23"/>
      <c r="I412" s="23">
        <f>EXPEDICION!K412-7</f>
        <v>-7</v>
      </c>
      <c r="J412" s="63" t="str">
        <f>PEDIDOS!M412</f>
        <v/>
      </c>
      <c r="K412" s="23"/>
    </row>
    <row r="413" ht="22.5" customHeight="1">
      <c r="A413" s="64">
        <f>PEDIDOS!B413</f>
        <v>46202</v>
      </c>
      <c r="B413" s="65" t="str">
        <f>PEDIDOS!C413</f>
        <v/>
      </c>
      <c r="C413" s="65" t="str">
        <f>PEDIDOS!D413</f>
        <v>ORGANIC WAX</v>
      </c>
      <c r="D413" s="66" t="str">
        <f>PEDIDOS!E413</f>
        <v>SUGAR SCRUB</v>
      </c>
      <c r="E413" s="67">
        <f>PEDIDOS!G413*PEDIDOS!H413/1000</f>
        <v>125</v>
      </c>
      <c r="F413" s="71" t="s">
        <v>466</v>
      </c>
      <c r="G413" s="65"/>
      <c r="H413" s="71" t="s">
        <v>456</v>
      </c>
      <c r="I413" s="65">
        <f>EXPEDICION!K413-7</f>
        <v>-7</v>
      </c>
      <c r="J413" s="69" t="str">
        <f>PEDIDOS!M413</f>
        <v/>
      </c>
      <c r="K413" s="65"/>
    </row>
    <row r="414" ht="22.5" customHeight="1">
      <c r="A414" s="47">
        <f>PEDIDOS!B414</f>
        <v>46202</v>
      </c>
      <c r="B414" s="23" t="str">
        <f>PEDIDOS!C414</f>
        <v/>
      </c>
      <c r="C414" s="23" t="str">
        <f>PEDIDOS!D414</f>
        <v>THE CHEMIST LOOK</v>
      </c>
      <c r="D414" s="60" t="str">
        <f>PEDIDOS!E414</f>
        <v>ACNE PROTOCOL</v>
      </c>
      <c r="E414" s="61">
        <f>PEDIDOS!G414*PEDIDOS!H414/1000</f>
        <v>18</v>
      </c>
      <c r="F414" s="23" t="s">
        <v>458</v>
      </c>
      <c r="G414" s="23"/>
      <c r="H414" s="23"/>
      <c r="I414" s="23">
        <f>EXPEDICION!K414-7</f>
        <v>-7</v>
      </c>
      <c r="J414" s="63" t="str">
        <f>PEDIDOS!M414</f>
        <v/>
      </c>
      <c r="K414" s="23"/>
    </row>
    <row r="415" ht="22.5" customHeight="1">
      <c r="A415" s="64">
        <f>PEDIDOS!B415</f>
        <v>46202</v>
      </c>
      <c r="B415" s="65" t="str">
        <f>PEDIDOS!C415</f>
        <v/>
      </c>
      <c r="C415" s="65" t="str">
        <f>PEDIDOS!D415</f>
        <v>THE CHEMIST LOOK</v>
      </c>
      <c r="D415" s="66" t="str">
        <f>PEDIDOS!E415</f>
        <v>2ND SKIN</v>
      </c>
      <c r="E415" s="67">
        <f>PEDIDOS!G415*PEDIDOS!H415/1000</f>
        <v>24</v>
      </c>
      <c r="F415" s="65" t="s">
        <v>458</v>
      </c>
      <c r="G415" s="65"/>
      <c r="H415" s="65"/>
      <c r="I415" s="65">
        <f>EXPEDICION!K415-7</f>
        <v>-7</v>
      </c>
      <c r="J415" s="69" t="str">
        <f>PEDIDOS!M415</f>
        <v/>
      </c>
      <c r="K415" s="65"/>
    </row>
    <row r="416" ht="22.5" customHeight="1">
      <c r="A416" s="47">
        <f>PEDIDOS!B416</f>
        <v>46203</v>
      </c>
      <c r="B416" s="23">
        <f>PEDIDOS!C416</f>
        <v>1093</v>
      </c>
      <c r="C416" s="23" t="str">
        <f>PEDIDOS!D416</f>
        <v>NIZA</v>
      </c>
      <c r="D416" s="60" t="str">
        <f>PEDIDOS!E416</f>
        <v>AQUA BOMB LIGHT X 50 ML</v>
      </c>
      <c r="E416" s="61">
        <f>PEDIDOS!G416*PEDIDOS!H416/1000</f>
        <v>15</v>
      </c>
      <c r="F416" s="23" t="s">
        <v>458</v>
      </c>
      <c r="G416" s="23"/>
      <c r="H416" s="23"/>
      <c r="I416" s="23">
        <f>EXPEDICION!K416-7</f>
        <v>-7</v>
      </c>
      <c r="J416" s="63" t="str">
        <f>PEDIDOS!M416</f>
        <v/>
      </c>
      <c r="K416" s="23"/>
    </row>
    <row r="417" ht="22.5" customHeight="1">
      <c r="A417" s="64">
        <f>PEDIDOS!B417</f>
        <v>46203</v>
      </c>
      <c r="B417" s="65">
        <f>PEDIDOS!C417</f>
        <v>1093</v>
      </c>
      <c r="C417" s="65" t="str">
        <f>PEDIDOS!D417</f>
        <v>NIZA</v>
      </c>
      <c r="D417" s="66" t="str">
        <f>PEDIDOS!E417</f>
        <v>CLEAR ACNE MASK X 100 G</v>
      </c>
      <c r="E417" s="67">
        <f>PEDIDOS!G417*PEDIDOS!H417/1000</f>
        <v>30</v>
      </c>
      <c r="F417" s="65" t="s">
        <v>458</v>
      </c>
      <c r="G417" s="65"/>
      <c r="H417" s="65"/>
      <c r="I417" s="65">
        <f>EXPEDICION!K417-7</f>
        <v>-7</v>
      </c>
      <c r="J417" s="69" t="str">
        <f>PEDIDOS!M417</f>
        <v/>
      </c>
      <c r="K417" s="65"/>
    </row>
    <row r="418" ht="22.5" customHeight="1">
      <c r="A418" s="47">
        <f>PEDIDOS!B418</f>
        <v>46203</v>
      </c>
      <c r="B418" s="23" t="str">
        <f>PEDIDOS!C418</f>
        <v/>
      </c>
      <c r="C418" s="23" t="str">
        <f>PEDIDOS!D418</f>
        <v>KATALIA</v>
      </c>
      <c r="D418" s="60" t="str">
        <f>PEDIDOS!E418</f>
        <v>BRUMA FIJADORA DE MAQUILLAJE</v>
      </c>
      <c r="E418" s="61">
        <f>PEDIDOS!G418*PEDIDOS!H418/1000</f>
        <v>150</v>
      </c>
      <c r="F418" s="23" t="s">
        <v>458</v>
      </c>
      <c r="G418" s="23"/>
      <c r="H418" s="23"/>
      <c r="I418" s="23">
        <f>EXPEDICION!K418-7</f>
        <v>-7</v>
      </c>
      <c r="J418" s="63" t="str">
        <f>PEDIDOS!M418</f>
        <v/>
      </c>
      <c r="K418" s="23"/>
    </row>
    <row r="419" ht="22.5" customHeight="1">
      <c r="A419" s="64">
        <f>PEDIDOS!B419</f>
        <v>46204</v>
      </c>
      <c r="B419" s="65" t="str">
        <f>PEDIDOS!C419</f>
        <v/>
      </c>
      <c r="C419" s="65" t="str">
        <f>PEDIDOS!D419</f>
        <v>BAHIA EVANS</v>
      </c>
      <c r="D419" s="66" t="str">
        <f>PEDIDOS!E419</f>
        <v>POMADA CREAM WAX FIJACION MEDIA</v>
      </c>
      <c r="E419" s="67">
        <f>PEDIDOS!G419*PEDIDOS!H419/1000</f>
        <v>30</v>
      </c>
      <c r="F419" s="65" t="s">
        <v>458</v>
      </c>
      <c r="G419" s="65"/>
      <c r="H419" s="65"/>
      <c r="I419" s="65">
        <f>EXPEDICION!K419-7</f>
        <v>-7</v>
      </c>
      <c r="J419" s="69" t="str">
        <f>PEDIDOS!M419</f>
        <v/>
      </c>
      <c r="K419" s="65"/>
    </row>
    <row r="420" ht="22.5" customHeight="1">
      <c r="A420" s="47">
        <f>PEDIDOS!B420</f>
        <v>46204</v>
      </c>
      <c r="B420" s="23" t="str">
        <f>PEDIDOS!C420</f>
        <v/>
      </c>
      <c r="C420" s="23" t="str">
        <f>PEDIDOS!D420</f>
        <v>BAHIA EVANS</v>
      </c>
      <c r="D420" s="60" t="str">
        <f>PEDIDOS!E420</f>
        <v>POMADA CREAM WAX ULTRA STRONG</v>
      </c>
      <c r="E420" s="61">
        <f>PEDIDOS!G420*PEDIDOS!H420/1000</f>
        <v>30</v>
      </c>
      <c r="F420" s="23" t="s">
        <v>458</v>
      </c>
      <c r="G420" s="23"/>
      <c r="H420" s="23"/>
      <c r="I420" s="23">
        <f>EXPEDICION!K420-7</f>
        <v>-7</v>
      </c>
      <c r="J420" s="63" t="str">
        <f>PEDIDOS!M420</f>
        <v/>
      </c>
      <c r="K420" s="23"/>
    </row>
    <row r="421" ht="22.5" customHeight="1">
      <c r="A421" s="64">
        <f>PEDIDOS!B421</f>
        <v>46204</v>
      </c>
      <c r="B421" s="65" t="str">
        <f>PEDIDOS!C421</f>
        <v/>
      </c>
      <c r="C421" s="65" t="str">
        <f>PEDIDOS!D421</f>
        <v>BAHIA EVANS</v>
      </c>
      <c r="D421" s="66" t="str">
        <f>PEDIDOS!E421</f>
        <v>POMADA BRILLANTE GOLDEN ULTRA STRONG</v>
      </c>
      <c r="E421" s="67">
        <f>PEDIDOS!G421*PEDIDOS!H421/1000</f>
        <v>30</v>
      </c>
      <c r="F421" s="65" t="s">
        <v>458</v>
      </c>
      <c r="G421" s="65"/>
      <c r="H421" s="65"/>
      <c r="I421" s="65">
        <f>EXPEDICION!K421-7</f>
        <v>-7</v>
      </c>
      <c r="J421" s="69" t="str">
        <f>PEDIDOS!M421</f>
        <v/>
      </c>
      <c r="K421" s="65"/>
    </row>
    <row r="422" ht="22.5" customHeight="1">
      <c r="A422" s="47" t="str">
        <f>PEDIDOS!B422</f>
        <v/>
      </c>
      <c r="B422" s="23" t="str">
        <f>PEDIDOS!C422</f>
        <v/>
      </c>
      <c r="C422" s="23" t="str">
        <f>PEDIDOS!D422</f>
        <v/>
      </c>
      <c r="D422" s="60" t="str">
        <f>PEDIDOS!E422</f>
        <v/>
      </c>
      <c r="E422" s="61">
        <f>PEDIDOS!G422*PEDIDOS!H422/1000</f>
        <v>0</v>
      </c>
      <c r="F422" s="23" t="s">
        <v>458</v>
      </c>
      <c r="G422" s="23"/>
      <c r="H422" s="23"/>
      <c r="I422" s="23">
        <f>EXPEDICION!K422-7</f>
        <v>-7</v>
      </c>
      <c r="J422" s="79" t="str">
        <f>PEDIDOS!M422</f>
        <v/>
      </c>
      <c r="K422" s="23"/>
    </row>
    <row r="423" ht="22.5" customHeight="1">
      <c r="A423" s="64" t="str">
        <f>PEDIDOS!B423</f>
        <v/>
      </c>
      <c r="B423" s="65" t="str">
        <f>PEDIDOS!C423</f>
        <v/>
      </c>
      <c r="C423" s="65" t="str">
        <f>PEDIDOS!D423</f>
        <v/>
      </c>
      <c r="D423" s="66" t="str">
        <f>PEDIDOS!E423</f>
        <v/>
      </c>
      <c r="E423" s="67">
        <f>PEDIDOS!G423*PEDIDOS!H423/1000</f>
        <v>0</v>
      </c>
      <c r="F423" s="65" t="s">
        <v>458</v>
      </c>
      <c r="G423" s="65"/>
      <c r="H423" s="65"/>
      <c r="I423" s="65">
        <f>EXPEDICION!K423-7</f>
        <v>-7</v>
      </c>
      <c r="J423" s="80" t="str">
        <f>PEDIDOS!M423</f>
        <v/>
      </c>
      <c r="K423" s="65"/>
    </row>
    <row r="424" ht="22.5" customHeight="1">
      <c r="A424" s="47" t="str">
        <f>PEDIDOS!B424</f>
        <v/>
      </c>
      <c r="B424" s="23" t="str">
        <f>PEDIDOS!C424</f>
        <v/>
      </c>
      <c r="C424" s="23" t="str">
        <f>PEDIDOS!D424</f>
        <v/>
      </c>
      <c r="D424" s="60" t="str">
        <f>PEDIDOS!E424</f>
        <v/>
      </c>
      <c r="E424" s="61">
        <f>PEDIDOS!G424*PEDIDOS!H424/1000</f>
        <v>0</v>
      </c>
      <c r="F424" s="23" t="s">
        <v>458</v>
      </c>
      <c r="G424" s="23"/>
      <c r="H424" s="23"/>
      <c r="I424" s="23">
        <f>EXPEDICION!K424-7</f>
        <v>-7</v>
      </c>
      <c r="J424" s="79" t="str">
        <f>PEDIDOS!M424</f>
        <v/>
      </c>
      <c r="K424" s="23"/>
    </row>
    <row r="425" ht="22.5" customHeight="1">
      <c r="A425" s="64" t="str">
        <f>PEDIDOS!B425</f>
        <v/>
      </c>
      <c r="B425" s="65" t="str">
        <f>PEDIDOS!C425</f>
        <v/>
      </c>
      <c r="C425" s="65" t="str">
        <f>PEDIDOS!D425</f>
        <v/>
      </c>
      <c r="D425" s="66" t="str">
        <f>PEDIDOS!E425</f>
        <v/>
      </c>
      <c r="E425" s="67">
        <f>PEDIDOS!G425*PEDIDOS!H425/1000</f>
        <v>0</v>
      </c>
      <c r="F425" s="65" t="s">
        <v>458</v>
      </c>
      <c r="G425" s="65"/>
      <c r="H425" s="65"/>
      <c r="I425" s="65">
        <f>EXPEDICION!K425-7</f>
        <v>-7</v>
      </c>
      <c r="J425" s="80" t="str">
        <f>PEDIDOS!M425</f>
        <v/>
      </c>
      <c r="K425" s="65"/>
    </row>
    <row r="426" ht="22.5" customHeight="1">
      <c r="A426" s="81"/>
      <c r="B426" s="49"/>
      <c r="C426" s="49"/>
      <c r="D426" s="82"/>
      <c r="E426" s="83"/>
      <c r="F426" s="49"/>
      <c r="G426" s="49"/>
      <c r="H426" s="49"/>
      <c r="I426" s="49"/>
      <c r="J426" s="50"/>
      <c r="K426" s="49"/>
    </row>
    <row r="427" ht="22.5" customHeight="1">
      <c r="A427" s="84"/>
      <c r="B427" s="85"/>
      <c r="C427" s="85"/>
      <c r="D427" s="86"/>
      <c r="E427" s="87"/>
      <c r="F427" s="85"/>
      <c r="G427" s="85"/>
      <c r="H427" s="85"/>
      <c r="I427" s="85"/>
      <c r="J427" s="88"/>
      <c r="K427" s="85"/>
    </row>
    <row r="428" ht="22.5" customHeight="1">
      <c r="A428" s="81"/>
      <c r="B428" s="49"/>
      <c r="C428" s="49"/>
      <c r="D428" s="82"/>
      <c r="E428" s="83"/>
      <c r="F428" s="49"/>
      <c r="G428" s="49"/>
      <c r="H428" s="49"/>
      <c r="I428" s="49"/>
      <c r="J428" s="50"/>
      <c r="K428" s="49"/>
    </row>
    <row r="429" ht="22.5" customHeight="1">
      <c r="A429" s="84"/>
      <c r="B429" s="85"/>
      <c r="C429" s="85"/>
      <c r="D429" s="86"/>
      <c r="E429" s="87"/>
      <c r="F429" s="85"/>
      <c r="G429" s="85"/>
      <c r="H429" s="85"/>
      <c r="I429" s="85"/>
      <c r="J429" s="88"/>
      <c r="K429" s="85"/>
    </row>
    <row r="430" ht="22.5" customHeight="1">
      <c r="A430" s="81"/>
      <c r="B430" s="49"/>
      <c r="C430" s="49"/>
      <c r="D430" s="82"/>
      <c r="E430" s="83"/>
      <c r="F430" s="49"/>
      <c r="G430" s="49"/>
      <c r="H430" s="49"/>
      <c r="I430" s="49"/>
      <c r="J430" s="50"/>
      <c r="K430" s="49"/>
    </row>
    <row r="431" ht="22.5" customHeight="1">
      <c r="A431" s="84"/>
      <c r="B431" s="85"/>
      <c r="C431" s="85"/>
      <c r="D431" s="86"/>
      <c r="E431" s="87"/>
      <c r="F431" s="85"/>
      <c r="G431" s="85"/>
      <c r="H431" s="85"/>
      <c r="I431" s="85"/>
      <c r="J431" s="88"/>
      <c r="K431" s="85"/>
    </row>
    <row r="432" ht="22.5" customHeight="1">
      <c r="A432" s="81"/>
      <c r="B432" s="49"/>
      <c r="C432" s="49"/>
      <c r="D432" s="82"/>
      <c r="E432" s="83"/>
      <c r="F432" s="49"/>
      <c r="G432" s="49"/>
      <c r="H432" s="49"/>
      <c r="I432" s="49"/>
      <c r="J432" s="50"/>
      <c r="K432" s="49"/>
    </row>
    <row r="433" ht="22.5" customHeight="1">
      <c r="A433" s="84"/>
      <c r="B433" s="85"/>
      <c r="C433" s="85"/>
      <c r="D433" s="86"/>
      <c r="E433" s="87"/>
      <c r="F433" s="85"/>
      <c r="G433" s="85"/>
      <c r="H433" s="85"/>
      <c r="I433" s="85"/>
      <c r="J433" s="88"/>
      <c r="K433" s="85"/>
    </row>
    <row r="434" ht="22.5" customHeight="1">
      <c r="A434" s="81"/>
      <c r="B434" s="49"/>
      <c r="C434" s="49"/>
      <c r="D434" s="82"/>
      <c r="E434" s="83"/>
      <c r="F434" s="49"/>
      <c r="G434" s="49"/>
      <c r="H434" s="49"/>
      <c r="I434" s="49"/>
      <c r="J434" s="50"/>
      <c r="K434" s="49"/>
    </row>
    <row r="435" ht="22.5" customHeight="1">
      <c r="A435" s="84"/>
      <c r="B435" s="85"/>
      <c r="C435" s="85"/>
      <c r="D435" s="86"/>
      <c r="E435" s="87"/>
      <c r="F435" s="85"/>
      <c r="G435" s="85"/>
      <c r="H435" s="85"/>
      <c r="I435" s="85"/>
      <c r="J435" s="88"/>
      <c r="K435" s="85"/>
    </row>
    <row r="436" ht="22.5" customHeight="1">
      <c r="A436" s="81"/>
      <c r="B436" s="49"/>
      <c r="C436" s="49"/>
      <c r="D436" s="82"/>
      <c r="E436" s="83"/>
      <c r="F436" s="49"/>
      <c r="G436" s="49"/>
      <c r="H436" s="49"/>
      <c r="I436" s="49"/>
      <c r="J436" s="50"/>
      <c r="K436" s="49"/>
    </row>
    <row r="437" ht="22.5" customHeight="1">
      <c r="A437" s="84"/>
      <c r="B437" s="85"/>
      <c r="C437" s="85"/>
      <c r="D437" s="86"/>
      <c r="E437" s="87"/>
      <c r="F437" s="85"/>
      <c r="G437" s="85"/>
      <c r="H437" s="85"/>
      <c r="I437" s="85"/>
      <c r="J437" s="88"/>
      <c r="K437" s="85"/>
    </row>
    <row r="438" ht="22.5" customHeight="1">
      <c r="A438" s="81"/>
      <c r="B438" s="49"/>
      <c r="C438" s="49"/>
      <c r="D438" s="82"/>
      <c r="E438" s="83"/>
      <c r="F438" s="49"/>
      <c r="G438" s="49"/>
      <c r="H438" s="49"/>
      <c r="I438" s="49"/>
      <c r="J438" s="50"/>
      <c r="K438" s="49"/>
    </row>
    <row r="439" ht="22.5" customHeight="1">
      <c r="A439" s="84"/>
      <c r="B439" s="85"/>
      <c r="C439" s="85"/>
      <c r="D439" s="86"/>
      <c r="E439" s="87"/>
      <c r="F439" s="85"/>
      <c r="G439" s="85"/>
      <c r="H439" s="85"/>
      <c r="I439" s="85"/>
      <c r="J439" s="88"/>
      <c r="K439" s="85"/>
    </row>
    <row r="440" ht="22.5" customHeight="1">
      <c r="A440" s="81"/>
      <c r="B440" s="49"/>
      <c r="C440" s="49"/>
      <c r="D440" s="82"/>
      <c r="E440" s="83"/>
      <c r="F440" s="49"/>
      <c r="G440" s="49"/>
      <c r="H440" s="49"/>
      <c r="I440" s="49"/>
      <c r="J440" s="50"/>
      <c r="K440" s="49"/>
    </row>
    <row r="441" ht="22.5" customHeight="1">
      <c r="A441" s="84"/>
      <c r="B441" s="85"/>
      <c r="C441" s="85"/>
      <c r="D441" s="86"/>
      <c r="E441" s="87"/>
      <c r="F441" s="85"/>
      <c r="G441" s="85"/>
      <c r="H441" s="85"/>
      <c r="I441" s="85"/>
      <c r="J441" s="88"/>
      <c r="K441" s="85"/>
    </row>
    <row r="442" ht="22.5" customHeight="1">
      <c r="A442" s="81"/>
      <c r="B442" s="49"/>
      <c r="C442" s="49"/>
      <c r="D442" s="82"/>
      <c r="E442" s="83"/>
      <c r="F442" s="49"/>
      <c r="G442" s="49"/>
      <c r="H442" s="49"/>
      <c r="I442" s="49"/>
      <c r="J442" s="50"/>
      <c r="K442" s="49"/>
    </row>
    <row r="443" ht="22.5" customHeight="1">
      <c r="A443" s="84"/>
      <c r="B443" s="85"/>
      <c r="C443" s="85"/>
      <c r="D443" s="86"/>
      <c r="E443" s="87"/>
      <c r="F443" s="85"/>
      <c r="G443" s="85"/>
      <c r="H443" s="85"/>
      <c r="I443" s="85"/>
      <c r="J443" s="88"/>
      <c r="K443" s="85"/>
    </row>
    <row r="444" ht="22.5" customHeight="1">
      <c r="A444" s="81"/>
      <c r="B444" s="49"/>
      <c r="C444" s="49"/>
      <c r="D444" s="82"/>
      <c r="E444" s="83"/>
      <c r="F444" s="49"/>
      <c r="G444" s="49"/>
      <c r="H444" s="49"/>
      <c r="I444" s="49"/>
      <c r="J444" s="50"/>
      <c r="K444" s="49"/>
    </row>
    <row r="445" ht="22.5" customHeight="1">
      <c r="A445" s="84"/>
      <c r="B445" s="85"/>
      <c r="C445" s="85"/>
      <c r="D445" s="86"/>
      <c r="E445" s="87"/>
      <c r="F445" s="85"/>
      <c r="G445" s="85"/>
      <c r="H445" s="85"/>
      <c r="I445" s="85"/>
      <c r="J445" s="88"/>
      <c r="K445" s="85"/>
    </row>
    <row r="446" ht="22.5" customHeight="1">
      <c r="A446" s="81"/>
      <c r="B446" s="49"/>
      <c r="C446" s="49"/>
      <c r="D446" s="82"/>
      <c r="E446" s="83"/>
      <c r="F446" s="49"/>
      <c r="G446" s="49"/>
      <c r="H446" s="49"/>
      <c r="I446" s="49"/>
      <c r="J446" s="50"/>
      <c r="K446" s="49"/>
    </row>
    <row r="447" ht="22.5" customHeight="1">
      <c r="A447" s="84"/>
      <c r="B447" s="85"/>
      <c r="C447" s="85"/>
      <c r="D447" s="86"/>
      <c r="E447" s="87"/>
      <c r="F447" s="85"/>
      <c r="G447" s="85"/>
      <c r="H447" s="85"/>
      <c r="I447" s="85"/>
      <c r="J447" s="88"/>
      <c r="K447" s="85"/>
    </row>
    <row r="448" ht="22.5" customHeight="1">
      <c r="A448" s="81"/>
      <c r="B448" s="49"/>
      <c r="C448" s="49"/>
      <c r="D448" s="82"/>
      <c r="E448" s="83"/>
      <c r="F448" s="49"/>
      <c r="G448" s="49"/>
      <c r="H448" s="49"/>
      <c r="I448" s="49"/>
      <c r="J448" s="50"/>
      <c r="K448" s="49"/>
    </row>
    <row r="449" ht="22.5" customHeight="1">
      <c r="A449" s="84"/>
      <c r="B449" s="85"/>
      <c r="C449" s="85"/>
      <c r="D449" s="86"/>
      <c r="E449" s="87"/>
      <c r="F449" s="85"/>
      <c r="G449" s="85"/>
      <c r="H449" s="85"/>
      <c r="I449" s="85"/>
      <c r="J449" s="88"/>
      <c r="K449" s="85"/>
    </row>
    <row r="450" ht="22.5" customHeight="1">
      <c r="A450" s="81"/>
      <c r="B450" s="49"/>
      <c r="C450" s="49"/>
      <c r="D450" s="82"/>
      <c r="E450" s="83"/>
      <c r="F450" s="49"/>
      <c r="G450" s="49"/>
      <c r="H450" s="49"/>
      <c r="I450" s="49"/>
      <c r="J450" s="50"/>
      <c r="K450" s="49"/>
    </row>
    <row r="451" ht="22.5" customHeight="1">
      <c r="A451" s="84"/>
      <c r="B451" s="85"/>
      <c r="C451" s="85"/>
      <c r="D451" s="86"/>
      <c r="E451" s="87"/>
      <c r="F451" s="85"/>
      <c r="G451" s="85"/>
      <c r="H451" s="85"/>
      <c r="I451" s="85"/>
      <c r="J451" s="88"/>
      <c r="K451" s="85"/>
    </row>
    <row r="452" ht="22.5" customHeight="1">
      <c r="A452" s="81"/>
      <c r="B452" s="49"/>
      <c r="C452" s="49"/>
      <c r="D452" s="82"/>
      <c r="E452" s="83"/>
      <c r="F452" s="49"/>
      <c r="G452" s="49"/>
      <c r="H452" s="49"/>
      <c r="I452" s="49"/>
      <c r="J452" s="50"/>
      <c r="K452" s="49"/>
    </row>
    <row r="453" ht="22.5" customHeight="1">
      <c r="A453" s="84"/>
      <c r="B453" s="85"/>
      <c r="C453" s="85"/>
      <c r="D453" s="86"/>
      <c r="E453" s="87"/>
      <c r="F453" s="85"/>
      <c r="G453" s="85"/>
      <c r="H453" s="85"/>
      <c r="I453" s="85"/>
      <c r="J453" s="88"/>
      <c r="K453" s="85"/>
    </row>
    <row r="454" ht="22.5" customHeight="1">
      <c r="A454" s="81"/>
      <c r="B454" s="49"/>
      <c r="C454" s="49"/>
      <c r="D454" s="82"/>
      <c r="E454" s="83"/>
      <c r="F454" s="49"/>
      <c r="G454" s="49"/>
      <c r="H454" s="49"/>
      <c r="I454" s="49"/>
      <c r="J454" s="50"/>
      <c r="K454" s="49"/>
    </row>
    <row r="455" ht="22.5" customHeight="1">
      <c r="A455" s="84"/>
      <c r="B455" s="85"/>
      <c r="C455" s="85"/>
      <c r="D455" s="86"/>
      <c r="E455" s="87"/>
      <c r="F455" s="85"/>
      <c r="G455" s="85"/>
      <c r="H455" s="85"/>
      <c r="I455" s="85"/>
      <c r="J455" s="88"/>
      <c r="K455" s="85"/>
    </row>
    <row r="456" ht="22.5" customHeight="1">
      <c r="A456" s="81"/>
      <c r="B456" s="49"/>
      <c r="C456" s="49"/>
      <c r="D456" s="82"/>
      <c r="E456" s="83"/>
      <c r="F456" s="49"/>
      <c r="G456" s="49"/>
      <c r="H456" s="49"/>
      <c r="I456" s="49"/>
      <c r="J456" s="50"/>
      <c r="K456" s="49"/>
    </row>
    <row r="457" ht="22.5" customHeight="1">
      <c r="A457" s="84"/>
      <c r="B457" s="85"/>
      <c r="C457" s="85"/>
      <c r="D457" s="86"/>
      <c r="E457" s="87"/>
      <c r="F457" s="85"/>
      <c r="G457" s="85"/>
      <c r="H457" s="85"/>
      <c r="I457" s="85"/>
      <c r="J457" s="88"/>
      <c r="K457" s="85"/>
    </row>
    <row r="458" ht="22.5" customHeight="1">
      <c r="A458" s="81"/>
      <c r="B458" s="49"/>
      <c r="C458" s="49"/>
      <c r="D458" s="82"/>
      <c r="E458" s="83"/>
      <c r="F458" s="49"/>
      <c r="G458" s="49"/>
      <c r="H458" s="49"/>
      <c r="I458" s="49"/>
      <c r="J458" s="50"/>
      <c r="K458" s="49"/>
    </row>
    <row r="459" ht="22.5" customHeight="1">
      <c r="A459" s="84"/>
      <c r="B459" s="85"/>
      <c r="C459" s="85"/>
      <c r="D459" s="86"/>
      <c r="E459" s="87"/>
      <c r="F459" s="85"/>
      <c r="G459" s="85"/>
      <c r="H459" s="85"/>
      <c r="I459" s="85"/>
      <c r="J459" s="88"/>
      <c r="K459" s="85"/>
    </row>
    <row r="460" ht="22.5" customHeight="1">
      <c r="A460" s="81"/>
      <c r="B460" s="49"/>
      <c r="C460" s="49"/>
      <c r="D460" s="82"/>
      <c r="E460" s="83"/>
      <c r="F460" s="49"/>
      <c r="G460" s="49"/>
      <c r="H460" s="49"/>
      <c r="I460" s="49"/>
      <c r="J460" s="50"/>
      <c r="K460" s="49"/>
    </row>
    <row r="461" ht="22.5" customHeight="1">
      <c r="A461" s="84"/>
      <c r="B461" s="85"/>
      <c r="C461" s="85"/>
      <c r="D461" s="86"/>
      <c r="E461" s="87"/>
      <c r="F461" s="85"/>
      <c r="G461" s="85"/>
      <c r="H461" s="85"/>
      <c r="I461" s="85"/>
      <c r="J461" s="88"/>
      <c r="K461" s="85"/>
    </row>
    <row r="462" ht="22.5" customHeight="1">
      <c r="A462" s="81"/>
      <c r="B462" s="49"/>
      <c r="C462" s="49"/>
      <c r="D462" s="82"/>
      <c r="E462" s="83"/>
      <c r="F462" s="49"/>
      <c r="G462" s="49"/>
      <c r="H462" s="49"/>
      <c r="I462" s="49"/>
      <c r="J462" s="50"/>
      <c r="K462" s="49"/>
    </row>
    <row r="463" ht="22.5" customHeight="1">
      <c r="A463" s="84"/>
      <c r="B463" s="85"/>
      <c r="C463" s="85"/>
      <c r="D463" s="86"/>
      <c r="E463" s="87"/>
      <c r="F463" s="85"/>
      <c r="G463" s="85"/>
      <c r="H463" s="85"/>
      <c r="I463" s="85"/>
      <c r="J463" s="88"/>
      <c r="K463" s="85"/>
    </row>
    <row r="464" ht="22.5" customHeight="1">
      <c r="A464" s="81"/>
      <c r="B464" s="49"/>
      <c r="C464" s="49"/>
      <c r="D464" s="82"/>
      <c r="E464" s="83"/>
      <c r="F464" s="49"/>
      <c r="G464" s="49"/>
      <c r="H464" s="49"/>
      <c r="I464" s="49"/>
      <c r="J464" s="50"/>
      <c r="K464" s="49"/>
    </row>
    <row r="465" ht="22.5" customHeight="1">
      <c r="A465" s="84"/>
      <c r="B465" s="85"/>
      <c r="C465" s="85"/>
      <c r="D465" s="86"/>
      <c r="E465" s="87"/>
      <c r="F465" s="85"/>
      <c r="G465" s="85"/>
      <c r="H465" s="85"/>
      <c r="I465" s="85"/>
      <c r="J465" s="88"/>
      <c r="K465" s="85"/>
    </row>
    <row r="466" ht="22.5" customHeight="1">
      <c r="A466" s="81"/>
      <c r="B466" s="49"/>
      <c r="C466" s="49"/>
      <c r="D466" s="82"/>
      <c r="E466" s="83"/>
      <c r="F466" s="49"/>
      <c r="G466" s="49"/>
      <c r="H466" s="49"/>
      <c r="I466" s="49"/>
      <c r="J466" s="50"/>
      <c r="K466" s="49"/>
    </row>
    <row r="467" ht="22.5" customHeight="1">
      <c r="A467" s="84"/>
      <c r="B467" s="85"/>
      <c r="C467" s="85"/>
      <c r="D467" s="86"/>
      <c r="E467" s="87"/>
      <c r="F467" s="85"/>
      <c r="G467" s="85"/>
      <c r="H467" s="85"/>
      <c r="I467" s="85"/>
      <c r="J467" s="88"/>
      <c r="K467" s="85"/>
    </row>
    <row r="468" ht="22.5" customHeight="1">
      <c r="A468" s="81"/>
      <c r="B468" s="49"/>
      <c r="C468" s="49"/>
      <c r="D468" s="82"/>
      <c r="E468" s="83"/>
      <c r="F468" s="49"/>
      <c r="G468" s="49"/>
      <c r="H468" s="49"/>
      <c r="I468" s="49"/>
      <c r="J468" s="50"/>
      <c r="K468" s="49"/>
    </row>
    <row r="469" ht="22.5" customHeight="1">
      <c r="A469" s="84"/>
      <c r="B469" s="85"/>
      <c r="C469" s="85"/>
      <c r="D469" s="86"/>
      <c r="E469" s="87"/>
      <c r="F469" s="85"/>
      <c r="G469" s="85"/>
      <c r="H469" s="85"/>
      <c r="I469" s="85"/>
      <c r="J469" s="88"/>
      <c r="K469" s="85"/>
    </row>
    <row r="470" ht="22.5" customHeight="1">
      <c r="A470" s="81"/>
      <c r="B470" s="49"/>
      <c r="C470" s="49"/>
      <c r="D470" s="82"/>
      <c r="E470" s="83"/>
      <c r="F470" s="49"/>
      <c r="G470" s="49"/>
      <c r="H470" s="49"/>
      <c r="I470" s="49"/>
      <c r="J470" s="50"/>
      <c r="K470" s="49"/>
    </row>
    <row r="471" ht="22.5" customHeight="1">
      <c r="A471" s="84"/>
      <c r="B471" s="85"/>
      <c r="C471" s="85"/>
      <c r="D471" s="86"/>
      <c r="E471" s="87"/>
      <c r="F471" s="85"/>
      <c r="G471" s="85"/>
      <c r="H471" s="85"/>
      <c r="I471" s="85"/>
      <c r="J471" s="88"/>
      <c r="K471" s="85"/>
    </row>
    <row r="472" ht="22.5" customHeight="1">
      <c r="A472" s="81"/>
      <c r="B472" s="49"/>
      <c r="C472" s="49"/>
      <c r="D472" s="82"/>
      <c r="E472" s="83"/>
      <c r="F472" s="49"/>
      <c r="G472" s="49"/>
      <c r="H472" s="49"/>
      <c r="I472" s="49"/>
      <c r="J472" s="50"/>
      <c r="K472" s="49"/>
    </row>
    <row r="473" ht="22.5" customHeight="1">
      <c r="A473" s="84"/>
      <c r="B473" s="85"/>
      <c r="C473" s="85"/>
      <c r="D473" s="86"/>
      <c r="E473" s="87"/>
      <c r="F473" s="85"/>
      <c r="G473" s="85"/>
      <c r="H473" s="85"/>
      <c r="I473" s="85"/>
      <c r="J473" s="88"/>
      <c r="K473" s="85"/>
    </row>
    <row r="474" ht="22.5" customHeight="1">
      <c r="A474" s="81"/>
      <c r="B474" s="49"/>
      <c r="C474" s="49"/>
      <c r="D474" s="82"/>
      <c r="E474" s="83"/>
      <c r="F474" s="49"/>
      <c r="G474" s="49"/>
      <c r="H474" s="49"/>
      <c r="I474" s="49"/>
      <c r="J474" s="50"/>
      <c r="K474" s="49"/>
    </row>
    <row r="475" ht="22.5" customHeight="1">
      <c r="A475" s="84"/>
      <c r="B475" s="85"/>
      <c r="C475" s="85"/>
      <c r="D475" s="86"/>
      <c r="E475" s="87"/>
      <c r="F475" s="85"/>
      <c r="G475" s="85"/>
      <c r="H475" s="85"/>
      <c r="I475" s="85"/>
      <c r="J475" s="88"/>
      <c r="K475" s="85"/>
    </row>
    <row r="476" ht="22.5" customHeight="1">
      <c r="A476" s="81"/>
      <c r="B476" s="49"/>
      <c r="C476" s="49"/>
      <c r="D476" s="82"/>
      <c r="E476" s="83"/>
      <c r="F476" s="49"/>
      <c r="G476" s="49"/>
      <c r="H476" s="49"/>
      <c r="I476" s="49"/>
      <c r="J476" s="50"/>
      <c r="K476" s="49"/>
    </row>
    <row r="477" ht="22.5" customHeight="1">
      <c r="A477" s="84"/>
      <c r="B477" s="85"/>
      <c r="C477" s="85"/>
      <c r="D477" s="86"/>
      <c r="E477" s="87"/>
      <c r="F477" s="85"/>
      <c r="G477" s="85"/>
      <c r="H477" s="85"/>
      <c r="I477" s="85"/>
      <c r="J477" s="88"/>
      <c r="K477" s="85"/>
    </row>
    <row r="478" ht="22.5" customHeight="1">
      <c r="A478" s="81"/>
      <c r="B478" s="49"/>
      <c r="C478" s="49"/>
      <c r="D478" s="82"/>
      <c r="E478" s="83"/>
      <c r="F478" s="49"/>
      <c r="G478" s="49"/>
      <c r="H478" s="49"/>
      <c r="I478" s="49"/>
      <c r="J478" s="50"/>
      <c r="K478" s="49"/>
    </row>
    <row r="479" ht="22.5" customHeight="1">
      <c r="A479" s="84"/>
      <c r="B479" s="85"/>
      <c r="C479" s="85"/>
      <c r="D479" s="86"/>
      <c r="E479" s="87"/>
      <c r="F479" s="85"/>
      <c r="G479" s="85"/>
      <c r="H479" s="85"/>
      <c r="I479" s="85"/>
      <c r="J479" s="88"/>
      <c r="K479" s="85"/>
    </row>
    <row r="480" ht="22.5" customHeight="1">
      <c r="A480" s="81"/>
      <c r="B480" s="49"/>
      <c r="C480" s="49"/>
      <c r="D480" s="82"/>
      <c r="E480" s="83"/>
      <c r="F480" s="49"/>
      <c r="G480" s="49"/>
      <c r="H480" s="49"/>
      <c r="I480" s="49"/>
      <c r="J480" s="50"/>
      <c r="K480" s="49"/>
    </row>
    <row r="481" ht="22.5" customHeight="1">
      <c r="A481" s="84"/>
      <c r="B481" s="85"/>
      <c r="C481" s="85"/>
      <c r="D481" s="86"/>
      <c r="E481" s="87"/>
      <c r="F481" s="85"/>
      <c r="G481" s="85"/>
      <c r="H481" s="85"/>
      <c r="I481" s="85"/>
      <c r="J481" s="88"/>
      <c r="K481" s="85"/>
    </row>
    <row r="482" ht="22.5" customHeight="1">
      <c r="A482" s="81"/>
      <c r="B482" s="49"/>
      <c r="C482" s="49"/>
      <c r="D482" s="82"/>
      <c r="E482" s="83"/>
      <c r="F482" s="49"/>
      <c r="G482" s="49"/>
      <c r="H482" s="49"/>
      <c r="I482" s="49"/>
      <c r="J482" s="50"/>
      <c r="K482" s="49"/>
    </row>
    <row r="483" ht="22.5" customHeight="1">
      <c r="A483" s="84"/>
      <c r="B483" s="85"/>
      <c r="C483" s="85"/>
      <c r="D483" s="86"/>
      <c r="E483" s="87"/>
      <c r="F483" s="85"/>
      <c r="G483" s="85"/>
      <c r="H483" s="85"/>
      <c r="I483" s="85"/>
      <c r="J483" s="88"/>
      <c r="K483" s="85"/>
    </row>
    <row r="484" ht="22.5" customHeight="1">
      <c r="A484" s="81"/>
      <c r="B484" s="49"/>
      <c r="C484" s="49"/>
      <c r="D484" s="82"/>
      <c r="E484" s="83"/>
      <c r="F484" s="49"/>
      <c r="G484" s="49"/>
      <c r="H484" s="49"/>
      <c r="I484" s="49"/>
      <c r="J484" s="50"/>
      <c r="K484" s="49"/>
    </row>
    <row r="485" ht="22.5" customHeight="1">
      <c r="A485" s="84"/>
      <c r="B485" s="85"/>
      <c r="C485" s="85"/>
      <c r="D485" s="86"/>
      <c r="E485" s="87"/>
      <c r="F485" s="85"/>
      <c r="G485" s="85"/>
      <c r="H485" s="85"/>
      <c r="I485" s="85"/>
      <c r="J485" s="88"/>
      <c r="K485" s="85"/>
    </row>
    <row r="486" ht="22.5" customHeight="1">
      <c r="A486" s="81"/>
      <c r="B486" s="49"/>
      <c r="C486" s="49"/>
      <c r="D486" s="82"/>
      <c r="E486" s="83"/>
      <c r="F486" s="49"/>
      <c r="G486" s="49"/>
      <c r="H486" s="49"/>
      <c r="I486" s="49"/>
      <c r="J486" s="50"/>
      <c r="K486" s="49"/>
    </row>
    <row r="487" ht="22.5" customHeight="1">
      <c r="A487" s="84"/>
      <c r="B487" s="85"/>
      <c r="C487" s="85"/>
      <c r="D487" s="86"/>
      <c r="E487" s="87"/>
      <c r="F487" s="85"/>
      <c r="G487" s="85"/>
      <c r="H487" s="85"/>
      <c r="I487" s="85"/>
      <c r="J487" s="88"/>
      <c r="K487" s="85"/>
    </row>
    <row r="488" ht="22.5" customHeight="1">
      <c r="A488" s="81"/>
      <c r="B488" s="49"/>
      <c r="C488" s="49"/>
      <c r="D488" s="82"/>
      <c r="E488" s="83"/>
      <c r="F488" s="49"/>
      <c r="G488" s="49"/>
      <c r="H488" s="49"/>
      <c r="I488" s="49"/>
      <c r="J488" s="50"/>
      <c r="K488" s="49"/>
    </row>
    <row r="489" ht="22.5" customHeight="1">
      <c r="A489" s="84"/>
      <c r="B489" s="85"/>
      <c r="C489" s="85"/>
      <c r="D489" s="86"/>
      <c r="E489" s="87"/>
      <c r="F489" s="85"/>
      <c r="G489" s="85"/>
      <c r="H489" s="85"/>
      <c r="I489" s="85"/>
      <c r="J489" s="88"/>
      <c r="K489" s="85"/>
    </row>
    <row r="490" ht="22.5" customHeight="1">
      <c r="A490" s="81"/>
      <c r="B490" s="49"/>
      <c r="C490" s="49"/>
      <c r="D490" s="82"/>
      <c r="E490" s="83"/>
      <c r="F490" s="49"/>
      <c r="G490" s="49"/>
      <c r="H490" s="49"/>
      <c r="I490" s="49"/>
      <c r="J490" s="50"/>
      <c r="K490" s="49"/>
    </row>
    <row r="491" ht="22.5" customHeight="1">
      <c r="A491" s="84"/>
      <c r="B491" s="85"/>
      <c r="C491" s="85"/>
      <c r="D491" s="86"/>
      <c r="E491" s="87"/>
      <c r="F491" s="85"/>
      <c r="G491" s="85"/>
      <c r="H491" s="85"/>
      <c r="I491" s="85"/>
      <c r="J491" s="88"/>
      <c r="K491" s="85"/>
    </row>
    <row r="492" ht="22.5" customHeight="1">
      <c r="A492" s="81"/>
      <c r="B492" s="49"/>
      <c r="C492" s="49"/>
      <c r="D492" s="82"/>
      <c r="E492" s="83"/>
      <c r="F492" s="49"/>
      <c r="G492" s="49"/>
      <c r="H492" s="49"/>
      <c r="I492" s="49"/>
      <c r="J492" s="50"/>
      <c r="K492" s="49"/>
    </row>
    <row r="493" ht="22.5" customHeight="1">
      <c r="A493" s="84"/>
      <c r="B493" s="85"/>
      <c r="C493" s="85"/>
      <c r="D493" s="86"/>
      <c r="E493" s="87"/>
      <c r="F493" s="85"/>
      <c r="G493" s="85"/>
      <c r="H493" s="85"/>
      <c r="I493" s="85"/>
      <c r="J493" s="88"/>
      <c r="K493" s="85"/>
    </row>
    <row r="494" ht="22.5" customHeight="1">
      <c r="A494" s="81"/>
      <c r="B494" s="49"/>
      <c r="C494" s="49"/>
      <c r="D494" s="82"/>
      <c r="E494" s="83"/>
      <c r="F494" s="49"/>
      <c r="G494" s="49"/>
      <c r="H494" s="49"/>
      <c r="I494" s="49"/>
      <c r="J494" s="50"/>
      <c r="K494" s="49"/>
    </row>
    <row r="495" ht="22.5" customHeight="1">
      <c r="A495" s="84"/>
      <c r="B495" s="85"/>
      <c r="C495" s="85"/>
      <c r="D495" s="86"/>
      <c r="E495" s="87"/>
      <c r="F495" s="85"/>
      <c r="G495" s="85"/>
      <c r="H495" s="85"/>
      <c r="I495" s="85"/>
      <c r="J495" s="88"/>
      <c r="K495" s="85"/>
    </row>
    <row r="496" ht="22.5" customHeight="1">
      <c r="A496" s="81"/>
      <c r="B496" s="49"/>
      <c r="C496" s="49"/>
      <c r="D496" s="82"/>
      <c r="E496" s="83"/>
      <c r="F496" s="49"/>
      <c r="G496" s="49"/>
      <c r="H496" s="49"/>
      <c r="I496" s="49"/>
      <c r="J496" s="50"/>
      <c r="K496" s="49"/>
    </row>
    <row r="497" ht="22.5" customHeight="1">
      <c r="A497" s="84"/>
      <c r="B497" s="85"/>
      <c r="C497" s="85"/>
      <c r="D497" s="86"/>
      <c r="E497" s="87"/>
      <c r="F497" s="85"/>
      <c r="G497" s="85"/>
      <c r="H497" s="85"/>
      <c r="I497" s="85"/>
      <c r="J497" s="88"/>
      <c r="K497" s="85"/>
    </row>
    <row r="498" ht="22.5" customHeight="1">
      <c r="A498" s="81"/>
      <c r="B498" s="49"/>
      <c r="C498" s="49"/>
      <c r="D498" s="82"/>
      <c r="E498" s="83"/>
      <c r="F498" s="49"/>
      <c r="G498" s="49"/>
      <c r="H498" s="49"/>
      <c r="I498" s="49"/>
      <c r="J498" s="50"/>
      <c r="K498" s="49"/>
    </row>
    <row r="499" ht="22.5" customHeight="1">
      <c r="A499" s="84"/>
      <c r="B499" s="85"/>
      <c r="C499" s="85"/>
      <c r="D499" s="86"/>
      <c r="E499" s="87"/>
      <c r="F499" s="85"/>
      <c r="G499" s="85"/>
      <c r="H499" s="85"/>
      <c r="I499" s="85"/>
      <c r="J499" s="88"/>
      <c r="K499" s="85"/>
    </row>
    <row r="500" ht="22.5" customHeight="1">
      <c r="A500" s="81"/>
      <c r="B500" s="49"/>
      <c r="C500" s="49"/>
      <c r="D500" s="82"/>
      <c r="E500" s="83"/>
      <c r="F500" s="49"/>
      <c r="G500" s="49"/>
      <c r="H500" s="49"/>
      <c r="I500" s="49"/>
      <c r="J500" s="50"/>
      <c r="K500" s="49"/>
    </row>
    <row r="501" ht="22.5" customHeight="1">
      <c r="A501" s="84"/>
      <c r="B501" s="85"/>
      <c r="C501" s="85"/>
      <c r="D501" s="86"/>
      <c r="E501" s="87"/>
      <c r="F501" s="85"/>
      <c r="G501" s="85"/>
      <c r="H501" s="85"/>
      <c r="I501" s="85"/>
      <c r="J501" s="88"/>
      <c r="K501" s="85"/>
    </row>
    <row r="502" ht="22.5" customHeight="1">
      <c r="A502" s="81"/>
      <c r="B502" s="49"/>
      <c r="C502" s="49"/>
      <c r="D502" s="82"/>
      <c r="E502" s="83"/>
      <c r="F502" s="49"/>
      <c r="G502" s="49"/>
      <c r="H502" s="49"/>
      <c r="I502" s="49"/>
      <c r="J502" s="50"/>
      <c r="K502" s="49"/>
    </row>
    <row r="503" ht="22.5" customHeight="1">
      <c r="A503" s="84"/>
      <c r="B503" s="85"/>
      <c r="C503" s="85"/>
      <c r="D503" s="86"/>
      <c r="E503" s="87"/>
      <c r="F503" s="85"/>
      <c r="G503" s="85"/>
      <c r="H503" s="85"/>
      <c r="I503" s="85"/>
      <c r="J503" s="88"/>
      <c r="K503" s="85"/>
    </row>
    <row r="504" ht="22.5" customHeight="1">
      <c r="A504" s="81"/>
      <c r="B504" s="49"/>
      <c r="C504" s="49"/>
      <c r="D504" s="82"/>
      <c r="E504" s="83"/>
      <c r="F504" s="49"/>
      <c r="G504" s="49"/>
      <c r="H504" s="49"/>
      <c r="I504" s="49"/>
      <c r="J504" s="50"/>
      <c r="K504" s="49"/>
    </row>
    <row r="505" ht="22.5" customHeight="1">
      <c r="A505" s="84"/>
      <c r="B505" s="85"/>
      <c r="C505" s="85"/>
      <c r="D505" s="86"/>
      <c r="E505" s="87"/>
      <c r="F505" s="85"/>
      <c r="G505" s="85"/>
      <c r="H505" s="85"/>
      <c r="I505" s="85"/>
      <c r="J505" s="88"/>
      <c r="K505" s="85"/>
    </row>
    <row r="506" ht="22.5" customHeight="1">
      <c r="A506" s="81"/>
      <c r="B506" s="49"/>
      <c r="C506" s="49"/>
      <c r="D506" s="82"/>
      <c r="E506" s="83"/>
      <c r="F506" s="49"/>
      <c r="G506" s="49"/>
      <c r="H506" s="49"/>
      <c r="I506" s="49"/>
      <c r="J506" s="50"/>
      <c r="K506" s="49"/>
    </row>
    <row r="507" ht="22.5" customHeight="1">
      <c r="A507" s="84"/>
      <c r="B507" s="85"/>
      <c r="C507" s="85"/>
      <c r="D507" s="86"/>
      <c r="E507" s="87"/>
      <c r="F507" s="85"/>
      <c r="G507" s="85"/>
      <c r="H507" s="85"/>
      <c r="I507" s="85"/>
      <c r="J507" s="88"/>
      <c r="K507" s="85"/>
    </row>
    <row r="508" ht="22.5" customHeight="1">
      <c r="A508" s="81"/>
      <c r="B508" s="49"/>
      <c r="C508" s="49"/>
      <c r="D508" s="82"/>
      <c r="E508" s="83"/>
      <c r="F508" s="49"/>
      <c r="G508" s="49"/>
      <c r="H508" s="49"/>
      <c r="I508" s="49"/>
      <c r="J508" s="50"/>
      <c r="K508" s="49"/>
    </row>
    <row r="509" ht="22.5" customHeight="1">
      <c r="A509" s="84"/>
      <c r="B509" s="85"/>
      <c r="C509" s="85"/>
      <c r="D509" s="86"/>
      <c r="E509" s="87"/>
      <c r="F509" s="85"/>
      <c r="G509" s="85"/>
      <c r="H509" s="85"/>
      <c r="I509" s="85"/>
      <c r="J509" s="88"/>
      <c r="K509" s="85"/>
    </row>
    <row r="510" ht="22.5" customHeight="1">
      <c r="A510" s="81"/>
      <c r="B510" s="49"/>
      <c r="C510" s="49"/>
      <c r="D510" s="82"/>
      <c r="E510" s="83"/>
      <c r="F510" s="49"/>
      <c r="G510" s="49"/>
      <c r="H510" s="49"/>
      <c r="I510" s="49"/>
      <c r="J510" s="50"/>
      <c r="K510" s="49"/>
    </row>
    <row r="511" ht="22.5" customHeight="1">
      <c r="A511" s="84"/>
      <c r="B511" s="85"/>
      <c r="C511" s="85"/>
      <c r="D511" s="86"/>
      <c r="E511" s="87"/>
      <c r="F511" s="85"/>
      <c r="G511" s="85"/>
      <c r="H511" s="85"/>
      <c r="I511" s="85"/>
      <c r="J511" s="88"/>
      <c r="K511" s="85"/>
    </row>
    <row r="512" ht="22.5" customHeight="1">
      <c r="A512" s="81"/>
      <c r="B512" s="49"/>
      <c r="C512" s="49"/>
      <c r="D512" s="82"/>
      <c r="E512" s="83"/>
      <c r="F512" s="49"/>
      <c r="G512" s="49"/>
      <c r="H512" s="49"/>
      <c r="I512" s="49"/>
      <c r="J512" s="50"/>
      <c r="K512" s="49"/>
    </row>
    <row r="513" ht="22.5" customHeight="1">
      <c r="A513" s="84"/>
      <c r="B513" s="85"/>
      <c r="C513" s="85"/>
      <c r="D513" s="86"/>
      <c r="E513" s="87"/>
      <c r="F513" s="85"/>
      <c r="G513" s="85"/>
      <c r="H513" s="85"/>
      <c r="I513" s="85"/>
      <c r="J513" s="88"/>
      <c r="K513" s="85"/>
    </row>
    <row r="514" ht="22.5" customHeight="1">
      <c r="A514" s="81"/>
      <c r="B514" s="49"/>
      <c r="C514" s="49"/>
      <c r="D514" s="82"/>
      <c r="E514" s="83"/>
      <c r="F514" s="49"/>
      <c r="G514" s="49"/>
      <c r="H514" s="49"/>
      <c r="I514" s="49"/>
      <c r="J514" s="50"/>
      <c r="K514" s="49"/>
    </row>
    <row r="515" ht="22.5" customHeight="1">
      <c r="A515" s="84"/>
      <c r="B515" s="85"/>
      <c r="C515" s="85"/>
      <c r="D515" s="86"/>
      <c r="E515" s="87"/>
      <c r="F515" s="85"/>
      <c r="G515" s="85"/>
      <c r="H515" s="85"/>
      <c r="I515" s="85"/>
      <c r="J515" s="88"/>
      <c r="K515" s="85"/>
    </row>
    <row r="516" ht="22.5" customHeight="1">
      <c r="A516" s="81"/>
      <c r="B516" s="49"/>
      <c r="C516" s="49"/>
      <c r="D516" s="82"/>
      <c r="E516" s="83"/>
      <c r="F516" s="49"/>
      <c r="G516" s="49"/>
      <c r="H516" s="49"/>
      <c r="I516" s="49"/>
      <c r="J516" s="50"/>
      <c r="K516" s="49"/>
    </row>
    <row r="517" ht="22.5" customHeight="1">
      <c r="A517" s="84"/>
      <c r="B517" s="85"/>
      <c r="C517" s="85"/>
      <c r="D517" s="86"/>
      <c r="E517" s="87"/>
      <c r="F517" s="85"/>
      <c r="G517" s="85"/>
      <c r="H517" s="85"/>
      <c r="I517" s="85"/>
      <c r="J517" s="88"/>
      <c r="K517" s="85"/>
    </row>
    <row r="518" ht="22.5" customHeight="1">
      <c r="A518" s="81"/>
      <c r="B518" s="49"/>
      <c r="C518" s="49"/>
      <c r="D518" s="82"/>
      <c r="E518" s="83"/>
      <c r="F518" s="49"/>
      <c r="G518" s="49"/>
      <c r="H518" s="49"/>
      <c r="I518" s="49"/>
      <c r="J518" s="50"/>
      <c r="K518" s="49"/>
    </row>
    <row r="519" ht="22.5" customHeight="1">
      <c r="A519" s="84"/>
      <c r="B519" s="85"/>
      <c r="C519" s="85"/>
      <c r="D519" s="86"/>
      <c r="E519" s="87"/>
      <c r="F519" s="85"/>
      <c r="G519" s="85"/>
      <c r="H519" s="85"/>
      <c r="I519" s="85"/>
      <c r="J519" s="88"/>
      <c r="K519" s="85"/>
    </row>
    <row r="520" ht="22.5" customHeight="1">
      <c r="A520" s="81"/>
      <c r="B520" s="49"/>
      <c r="C520" s="49"/>
      <c r="D520" s="82"/>
      <c r="E520" s="83"/>
      <c r="F520" s="49"/>
      <c r="G520" s="49"/>
      <c r="H520" s="49"/>
      <c r="I520" s="49"/>
      <c r="J520" s="50"/>
      <c r="K520" s="49"/>
    </row>
    <row r="521" ht="22.5" customHeight="1">
      <c r="A521" s="84"/>
      <c r="B521" s="85"/>
      <c r="C521" s="85"/>
      <c r="D521" s="86"/>
      <c r="E521" s="87"/>
      <c r="F521" s="85"/>
      <c r="G521" s="85"/>
      <c r="H521" s="85"/>
      <c r="I521" s="85"/>
      <c r="J521" s="88"/>
      <c r="K521" s="85"/>
    </row>
    <row r="522" ht="22.5" customHeight="1">
      <c r="A522" s="81"/>
      <c r="B522" s="49"/>
      <c r="C522" s="49"/>
      <c r="D522" s="82"/>
      <c r="E522" s="83"/>
      <c r="F522" s="49"/>
      <c r="G522" s="49"/>
      <c r="H522" s="49"/>
      <c r="I522" s="49"/>
      <c r="J522" s="50"/>
      <c r="K522" s="49"/>
    </row>
    <row r="523" ht="22.5" customHeight="1">
      <c r="A523" s="84"/>
      <c r="B523" s="85"/>
      <c r="C523" s="85"/>
      <c r="D523" s="86"/>
      <c r="E523" s="87"/>
      <c r="F523" s="85"/>
      <c r="G523" s="85"/>
      <c r="H523" s="85"/>
      <c r="I523" s="85"/>
      <c r="J523" s="88"/>
      <c r="K523" s="85"/>
    </row>
    <row r="524" ht="22.5" customHeight="1">
      <c r="A524" s="81"/>
      <c r="B524" s="49"/>
      <c r="C524" s="49"/>
      <c r="D524" s="82"/>
      <c r="E524" s="83"/>
      <c r="F524" s="49"/>
      <c r="G524" s="49"/>
      <c r="H524" s="49"/>
      <c r="I524" s="49"/>
      <c r="J524" s="50"/>
      <c r="K524" s="49"/>
    </row>
    <row r="525" ht="22.5" customHeight="1">
      <c r="A525" s="84"/>
      <c r="B525" s="85"/>
      <c r="C525" s="85"/>
      <c r="D525" s="86"/>
      <c r="E525" s="87"/>
      <c r="F525" s="85"/>
      <c r="G525" s="85"/>
      <c r="H525" s="85"/>
      <c r="I525" s="85"/>
      <c r="J525" s="88"/>
      <c r="K525" s="85"/>
    </row>
    <row r="526" ht="22.5" customHeight="1">
      <c r="A526" s="81"/>
      <c r="B526" s="49"/>
      <c r="C526" s="49"/>
      <c r="D526" s="82"/>
      <c r="E526" s="83"/>
      <c r="F526" s="49"/>
      <c r="G526" s="49"/>
      <c r="H526" s="49"/>
      <c r="I526" s="49"/>
      <c r="J526" s="50"/>
      <c r="K526" s="49"/>
    </row>
    <row r="527" ht="22.5" customHeight="1">
      <c r="A527" s="84"/>
      <c r="B527" s="85"/>
      <c r="C527" s="85"/>
      <c r="D527" s="86"/>
      <c r="E527" s="87"/>
      <c r="F527" s="85"/>
      <c r="G527" s="85"/>
      <c r="H527" s="85"/>
      <c r="I527" s="85"/>
      <c r="J527" s="88"/>
      <c r="K527" s="85"/>
    </row>
    <row r="528" ht="22.5" customHeight="1">
      <c r="A528" s="81"/>
      <c r="B528" s="49"/>
      <c r="C528" s="49"/>
      <c r="D528" s="82"/>
      <c r="E528" s="83"/>
      <c r="F528" s="49"/>
      <c r="G528" s="49"/>
      <c r="H528" s="49"/>
      <c r="I528" s="49"/>
      <c r="J528" s="50"/>
      <c r="K528" s="49"/>
    </row>
    <row r="529" ht="22.5" customHeight="1">
      <c r="A529" s="84"/>
      <c r="B529" s="85"/>
      <c r="C529" s="85"/>
      <c r="D529" s="86"/>
      <c r="E529" s="87"/>
      <c r="F529" s="85"/>
      <c r="G529" s="85"/>
      <c r="H529" s="85"/>
      <c r="I529" s="85"/>
      <c r="J529" s="88"/>
      <c r="K529" s="85"/>
    </row>
    <row r="530" ht="22.5" customHeight="1">
      <c r="A530" s="81"/>
      <c r="B530" s="49"/>
      <c r="C530" s="49"/>
      <c r="D530" s="82"/>
      <c r="E530" s="83"/>
      <c r="F530" s="49"/>
      <c r="G530" s="49"/>
      <c r="H530" s="49"/>
      <c r="I530" s="49"/>
      <c r="J530" s="50"/>
      <c r="K530" s="49"/>
    </row>
    <row r="531" ht="22.5" customHeight="1">
      <c r="A531" s="84"/>
      <c r="B531" s="85"/>
      <c r="C531" s="85"/>
      <c r="D531" s="86"/>
      <c r="E531" s="87"/>
      <c r="F531" s="85"/>
      <c r="G531" s="85"/>
      <c r="H531" s="85"/>
      <c r="I531" s="85"/>
      <c r="J531" s="88"/>
      <c r="K531" s="85"/>
    </row>
    <row r="532" ht="22.5" customHeight="1">
      <c r="A532" s="81"/>
      <c r="B532" s="49"/>
      <c r="C532" s="49"/>
      <c r="D532" s="82"/>
      <c r="E532" s="83"/>
      <c r="F532" s="49"/>
      <c r="G532" s="49"/>
      <c r="H532" s="49"/>
      <c r="I532" s="49"/>
      <c r="J532" s="50"/>
      <c r="K532" s="49"/>
    </row>
    <row r="533" ht="22.5" customHeight="1">
      <c r="A533" s="84"/>
      <c r="B533" s="85"/>
      <c r="C533" s="85"/>
      <c r="D533" s="86"/>
      <c r="E533" s="87"/>
      <c r="F533" s="85"/>
      <c r="G533" s="85"/>
      <c r="H533" s="85"/>
      <c r="I533" s="85"/>
      <c r="J533" s="88"/>
      <c r="K533" s="85"/>
    </row>
    <row r="534" ht="22.5" customHeight="1">
      <c r="A534" s="81"/>
      <c r="B534" s="49"/>
      <c r="C534" s="49"/>
      <c r="D534" s="82"/>
      <c r="E534" s="83"/>
      <c r="F534" s="49"/>
      <c r="G534" s="49"/>
      <c r="H534" s="49"/>
      <c r="I534" s="49"/>
      <c r="J534" s="50"/>
      <c r="K534" s="49"/>
    </row>
    <row r="535" ht="22.5" customHeight="1">
      <c r="A535" s="84"/>
      <c r="B535" s="85"/>
      <c r="C535" s="85"/>
      <c r="D535" s="86"/>
      <c r="E535" s="87"/>
      <c r="F535" s="85"/>
      <c r="G535" s="85"/>
      <c r="H535" s="85"/>
      <c r="I535" s="85"/>
      <c r="J535" s="88"/>
      <c r="K535" s="85"/>
    </row>
    <row r="536" ht="22.5" customHeight="1">
      <c r="A536" s="81"/>
      <c r="B536" s="49"/>
      <c r="C536" s="49"/>
      <c r="D536" s="82"/>
      <c r="E536" s="83"/>
      <c r="F536" s="49"/>
      <c r="G536" s="49"/>
      <c r="H536" s="49"/>
      <c r="I536" s="49"/>
      <c r="J536" s="50"/>
      <c r="K536" s="49"/>
    </row>
    <row r="537" ht="22.5" customHeight="1">
      <c r="A537" s="84"/>
      <c r="B537" s="85"/>
      <c r="C537" s="85"/>
      <c r="D537" s="86"/>
      <c r="E537" s="87"/>
      <c r="F537" s="85"/>
      <c r="G537" s="85"/>
      <c r="H537" s="85"/>
      <c r="I537" s="85"/>
      <c r="J537" s="88"/>
      <c r="K537" s="85"/>
    </row>
    <row r="538" ht="22.5" customHeight="1">
      <c r="A538" s="81"/>
      <c r="B538" s="49"/>
      <c r="C538" s="49"/>
      <c r="D538" s="82"/>
      <c r="E538" s="83"/>
      <c r="F538" s="49"/>
      <c r="G538" s="49"/>
      <c r="H538" s="49"/>
      <c r="I538" s="49"/>
      <c r="J538" s="50"/>
      <c r="K538" s="49"/>
    </row>
    <row r="539" ht="22.5" customHeight="1">
      <c r="A539" s="84"/>
      <c r="B539" s="85"/>
      <c r="C539" s="85"/>
      <c r="D539" s="86"/>
      <c r="E539" s="87"/>
      <c r="F539" s="85"/>
      <c r="G539" s="85"/>
      <c r="H539" s="85"/>
      <c r="I539" s="85"/>
      <c r="J539" s="88"/>
      <c r="K539" s="85"/>
    </row>
    <row r="540" ht="22.5" customHeight="1">
      <c r="A540" s="81"/>
      <c r="B540" s="49"/>
      <c r="C540" s="49"/>
      <c r="D540" s="82"/>
      <c r="E540" s="83"/>
      <c r="F540" s="49"/>
      <c r="G540" s="49"/>
      <c r="H540" s="49"/>
      <c r="I540" s="49"/>
      <c r="J540" s="50"/>
      <c r="K540" s="49"/>
    </row>
    <row r="541" ht="22.5" customHeight="1">
      <c r="A541" s="84"/>
      <c r="B541" s="85"/>
      <c r="C541" s="85"/>
      <c r="D541" s="86"/>
      <c r="E541" s="87"/>
      <c r="F541" s="85"/>
      <c r="G541" s="85"/>
      <c r="H541" s="85"/>
      <c r="I541" s="85"/>
      <c r="J541" s="88"/>
      <c r="K541" s="85"/>
    </row>
    <row r="542" ht="22.5" customHeight="1">
      <c r="A542" s="81"/>
      <c r="B542" s="49"/>
      <c r="C542" s="49"/>
      <c r="D542" s="82"/>
      <c r="E542" s="83"/>
      <c r="F542" s="49"/>
      <c r="G542" s="49"/>
      <c r="H542" s="49"/>
      <c r="I542" s="49"/>
      <c r="J542" s="50"/>
      <c r="K542" s="49"/>
    </row>
    <row r="543" ht="22.5" customHeight="1">
      <c r="A543" s="84"/>
      <c r="B543" s="85"/>
      <c r="C543" s="85"/>
      <c r="D543" s="86"/>
      <c r="E543" s="87"/>
      <c r="F543" s="85"/>
      <c r="G543" s="85"/>
      <c r="H543" s="85"/>
      <c r="I543" s="85"/>
      <c r="J543" s="88"/>
      <c r="K543" s="85"/>
    </row>
    <row r="544" ht="22.5" customHeight="1">
      <c r="A544" s="81"/>
      <c r="B544" s="49"/>
      <c r="C544" s="49"/>
      <c r="D544" s="82"/>
      <c r="E544" s="83"/>
      <c r="F544" s="49"/>
      <c r="G544" s="49"/>
      <c r="H544" s="49"/>
      <c r="I544" s="49"/>
      <c r="J544" s="50"/>
      <c r="K544" s="49"/>
    </row>
    <row r="545" ht="22.5" customHeight="1">
      <c r="A545" s="84"/>
      <c r="B545" s="85"/>
      <c r="C545" s="85"/>
      <c r="D545" s="86"/>
      <c r="E545" s="87"/>
      <c r="F545" s="85"/>
      <c r="G545" s="85"/>
      <c r="H545" s="85"/>
      <c r="I545" s="85"/>
      <c r="J545" s="88"/>
      <c r="K545" s="85"/>
    </row>
    <row r="546" ht="22.5" customHeight="1">
      <c r="A546" s="81"/>
      <c r="B546" s="49"/>
      <c r="C546" s="49"/>
      <c r="D546" s="82"/>
      <c r="E546" s="83"/>
      <c r="F546" s="49"/>
      <c r="G546" s="49"/>
      <c r="H546" s="49"/>
      <c r="I546" s="49"/>
      <c r="J546" s="50"/>
      <c r="K546" s="49"/>
    </row>
    <row r="547" ht="22.5" customHeight="1">
      <c r="A547" s="84"/>
      <c r="B547" s="85"/>
      <c r="C547" s="85"/>
      <c r="D547" s="86"/>
      <c r="E547" s="87"/>
      <c r="F547" s="85"/>
      <c r="G547" s="85"/>
      <c r="H547" s="85"/>
      <c r="I547" s="85"/>
      <c r="J547" s="88"/>
      <c r="K547" s="85"/>
    </row>
    <row r="548" ht="22.5" customHeight="1">
      <c r="A548" s="81"/>
      <c r="B548" s="49"/>
      <c r="C548" s="49"/>
      <c r="D548" s="82"/>
      <c r="E548" s="83"/>
      <c r="F548" s="49"/>
      <c r="G548" s="49"/>
      <c r="H548" s="49"/>
      <c r="I548" s="49"/>
      <c r="J548" s="50"/>
      <c r="K548" s="49"/>
    </row>
    <row r="549" ht="22.5" customHeight="1">
      <c r="A549" s="84"/>
      <c r="B549" s="85"/>
      <c r="C549" s="85"/>
      <c r="D549" s="86"/>
      <c r="E549" s="87"/>
      <c r="F549" s="85"/>
      <c r="G549" s="85"/>
      <c r="H549" s="85"/>
      <c r="I549" s="85"/>
      <c r="J549" s="88"/>
      <c r="K549" s="85"/>
    </row>
    <row r="550" ht="22.5" customHeight="1">
      <c r="A550" s="81"/>
      <c r="B550" s="49"/>
      <c r="C550" s="49"/>
      <c r="D550" s="82"/>
      <c r="E550" s="83"/>
      <c r="F550" s="49"/>
      <c r="G550" s="49"/>
      <c r="H550" s="49"/>
      <c r="I550" s="49"/>
      <c r="J550" s="50"/>
      <c r="K550" s="49"/>
    </row>
    <row r="551" ht="22.5" customHeight="1">
      <c r="A551" s="84"/>
      <c r="B551" s="85"/>
      <c r="C551" s="85"/>
      <c r="D551" s="86"/>
      <c r="E551" s="87"/>
      <c r="F551" s="85"/>
      <c r="G551" s="85"/>
      <c r="H551" s="85"/>
      <c r="I551" s="85"/>
      <c r="J551" s="88"/>
      <c r="K551" s="85"/>
    </row>
    <row r="552" ht="22.5" customHeight="1">
      <c r="A552" s="81"/>
      <c r="B552" s="49"/>
      <c r="C552" s="49"/>
      <c r="D552" s="82"/>
      <c r="E552" s="83"/>
      <c r="F552" s="49"/>
      <c r="G552" s="49"/>
      <c r="H552" s="49"/>
      <c r="I552" s="49"/>
      <c r="J552" s="50"/>
      <c r="K552" s="49"/>
    </row>
    <row r="553" ht="22.5" customHeight="1">
      <c r="A553" s="84"/>
      <c r="B553" s="85"/>
      <c r="C553" s="85"/>
      <c r="D553" s="86"/>
      <c r="E553" s="87"/>
      <c r="F553" s="85"/>
      <c r="G553" s="85"/>
      <c r="H553" s="85"/>
      <c r="I553" s="85"/>
      <c r="J553" s="88"/>
      <c r="K553" s="85"/>
    </row>
    <row r="554" ht="22.5" customHeight="1">
      <c r="A554" s="81"/>
      <c r="B554" s="49"/>
      <c r="C554" s="49"/>
      <c r="D554" s="82"/>
      <c r="E554" s="83"/>
      <c r="F554" s="49"/>
      <c r="G554" s="49"/>
      <c r="H554" s="49"/>
      <c r="I554" s="49"/>
      <c r="J554" s="50"/>
      <c r="K554" s="49"/>
    </row>
    <row r="555" ht="22.5" customHeight="1">
      <c r="A555" s="84"/>
      <c r="B555" s="85"/>
      <c r="C555" s="85"/>
      <c r="D555" s="86"/>
      <c r="E555" s="87"/>
      <c r="F555" s="85"/>
      <c r="G555" s="85"/>
      <c r="H555" s="85"/>
      <c r="I555" s="85"/>
      <c r="J555" s="88"/>
      <c r="K555" s="85"/>
    </row>
    <row r="556" ht="22.5" customHeight="1">
      <c r="A556" s="81"/>
      <c r="B556" s="49"/>
      <c r="C556" s="49"/>
      <c r="D556" s="82"/>
      <c r="E556" s="83"/>
      <c r="F556" s="49"/>
      <c r="G556" s="49"/>
      <c r="H556" s="49"/>
      <c r="I556" s="49"/>
      <c r="J556" s="50"/>
      <c r="K556" s="49"/>
    </row>
    <row r="557" ht="22.5" customHeight="1">
      <c r="A557" s="84"/>
      <c r="B557" s="85"/>
      <c r="C557" s="85"/>
      <c r="D557" s="86"/>
      <c r="E557" s="87"/>
      <c r="F557" s="85"/>
      <c r="G557" s="85"/>
      <c r="H557" s="85"/>
      <c r="I557" s="85"/>
      <c r="J557" s="88"/>
      <c r="K557" s="85"/>
    </row>
    <row r="558" ht="22.5" customHeight="1">
      <c r="A558" s="81"/>
      <c r="B558" s="49"/>
      <c r="C558" s="49"/>
      <c r="D558" s="82"/>
      <c r="E558" s="83"/>
      <c r="F558" s="49"/>
      <c r="G558" s="49"/>
      <c r="H558" s="49"/>
      <c r="I558" s="49"/>
      <c r="J558" s="50"/>
      <c r="K558" s="49"/>
    </row>
    <row r="559" ht="22.5" customHeight="1">
      <c r="A559" s="84"/>
      <c r="B559" s="85"/>
      <c r="C559" s="85"/>
      <c r="D559" s="86"/>
      <c r="E559" s="87"/>
      <c r="F559" s="85"/>
      <c r="G559" s="85"/>
      <c r="H559" s="85"/>
      <c r="I559" s="85"/>
      <c r="J559" s="88"/>
      <c r="K559" s="85"/>
    </row>
    <row r="560" ht="22.5" customHeight="1">
      <c r="A560" s="81"/>
      <c r="B560" s="49"/>
      <c r="C560" s="49"/>
      <c r="D560" s="82"/>
      <c r="E560" s="83"/>
      <c r="F560" s="49"/>
      <c r="G560" s="49"/>
      <c r="H560" s="49"/>
      <c r="I560" s="49"/>
      <c r="J560" s="50"/>
      <c r="K560" s="49"/>
    </row>
    <row r="561" ht="22.5" customHeight="1">
      <c r="A561" s="84"/>
      <c r="B561" s="85"/>
      <c r="C561" s="85"/>
      <c r="D561" s="86"/>
      <c r="E561" s="87"/>
      <c r="F561" s="85"/>
      <c r="G561" s="85"/>
      <c r="H561" s="85"/>
      <c r="I561" s="85"/>
      <c r="J561" s="88"/>
      <c r="K561" s="85"/>
    </row>
    <row r="562" ht="22.5" customHeight="1">
      <c r="A562" s="81"/>
      <c r="B562" s="49"/>
      <c r="C562" s="49"/>
      <c r="D562" s="82"/>
      <c r="E562" s="83"/>
      <c r="F562" s="49"/>
      <c r="G562" s="49"/>
      <c r="H562" s="49"/>
      <c r="I562" s="49"/>
      <c r="J562" s="50"/>
      <c r="K562" s="49"/>
    </row>
    <row r="563" ht="22.5" customHeight="1">
      <c r="A563" s="84"/>
      <c r="B563" s="85"/>
      <c r="C563" s="85"/>
      <c r="D563" s="86"/>
      <c r="E563" s="87"/>
      <c r="F563" s="85"/>
      <c r="G563" s="85"/>
      <c r="H563" s="85"/>
      <c r="I563" s="85"/>
      <c r="J563" s="88"/>
      <c r="K563" s="85"/>
    </row>
    <row r="564" ht="22.5" customHeight="1">
      <c r="A564" s="81"/>
      <c r="B564" s="49"/>
      <c r="C564" s="49"/>
      <c r="D564" s="82"/>
      <c r="E564" s="83"/>
      <c r="F564" s="49"/>
      <c r="G564" s="49"/>
      <c r="H564" s="49"/>
      <c r="I564" s="49"/>
      <c r="J564" s="50"/>
      <c r="K564" s="49"/>
    </row>
    <row r="565" ht="22.5" customHeight="1">
      <c r="A565" s="84"/>
      <c r="B565" s="85"/>
      <c r="C565" s="85"/>
      <c r="D565" s="86"/>
      <c r="E565" s="87"/>
      <c r="F565" s="85"/>
      <c r="G565" s="85"/>
      <c r="H565" s="85"/>
      <c r="I565" s="85"/>
      <c r="J565" s="88"/>
      <c r="K565" s="85"/>
    </row>
    <row r="566" ht="22.5" customHeight="1">
      <c r="A566" s="81"/>
      <c r="B566" s="49"/>
      <c r="C566" s="49"/>
      <c r="D566" s="82"/>
      <c r="E566" s="83"/>
      <c r="F566" s="49"/>
      <c r="G566" s="49"/>
      <c r="H566" s="49"/>
      <c r="I566" s="49"/>
      <c r="J566" s="50"/>
      <c r="K566" s="49"/>
    </row>
    <row r="567" ht="22.5" customHeight="1">
      <c r="A567" s="84"/>
      <c r="B567" s="85"/>
      <c r="C567" s="85"/>
      <c r="D567" s="86"/>
      <c r="E567" s="87"/>
      <c r="F567" s="85"/>
      <c r="G567" s="85"/>
      <c r="H567" s="85"/>
      <c r="I567" s="85"/>
      <c r="J567" s="88"/>
      <c r="K567" s="85"/>
    </row>
    <row r="568" ht="22.5" customHeight="1">
      <c r="A568" s="81"/>
      <c r="B568" s="49"/>
      <c r="C568" s="49"/>
      <c r="D568" s="82"/>
      <c r="E568" s="83"/>
      <c r="F568" s="49"/>
      <c r="G568" s="49"/>
      <c r="H568" s="49"/>
      <c r="I568" s="49"/>
      <c r="J568" s="50"/>
      <c r="K568" s="49"/>
    </row>
    <row r="569" ht="22.5" customHeight="1">
      <c r="A569" s="84"/>
      <c r="B569" s="85"/>
      <c r="C569" s="85"/>
      <c r="D569" s="86"/>
      <c r="E569" s="87"/>
      <c r="F569" s="85"/>
      <c r="G569" s="85"/>
      <c r="H569" s="85"/>
      <c r="I569" s="85"/>
      <c r="J569" s="88"/>
      <c r="K569" s="85"/>
    </row>
    <row r="570" ht="22.5" customHeight="1">
      <c r="A570" s="81"/>
      <c r="B570" s="49"/>
      <c r="C570" s="49"/>
      <c r="D570" s="82"/>
      <c r="E570" s="83"/>
      <c r="F570" s="49"/>
      <c r="G570" s="49"/>
      <c r="H570" s="49"/>
      <c r="I570" s="49"/>
      <c r="J570" s="50"/>
      <c r="K570" s="49"/>
    </row>
    <row r="571" ht="22.5" customHeight="1">
      <c r="A571" s="84"/>
      <c r="B571" s="85"/>
      <c r="C571" s="85"/>
      <c r="D571" s="86"/>
      <c r="E571" s="87"/>
      <c r="F571" s="85"/>
      <c r="G571" s="85"/>
      <c r="H571" s="85"/>
      <c r="I571" s="85"/>
      <c r="J571" s="88"/>
      <c r="K571" s="85"/>
    </row>
    <row r="572" ht="22.5" customHeight="1">
      <c r="A572" s="81"/>
      <c r="B572" s="49"/>
      <c r="C572" s="49"/>
      <c r="D572" s="82"/>
      <c r="E572" s="83"/>
      <c r="F572" s="49"/>
      <c r="G572" s="49"/>
      <c r="H572" s="49"/>
      <c r="I572" s="49"/>
      <c r="J572" s="50"/>
      <c r="K572" s="49"/>
    </row>
    <row r="573" ht="22.5" customHeight="1">
      <c r="A573" s="84"/>
      <c r="B573" s="85"/>
      <c r="C573" s="85"/>
      <c r="D573" s="86"/>
      <c r="E573" s="87"/>
      <c r="F573" s="85"/>
      <c r="G573" s="85"/>
      <c r="H573" s="85"/>
      <c r="I573" s="85"/>
      <c r="J573" s="88"/>
      <c r="K573" s="85"/>
    </row>
    <row r="574" ht="22.5" customHeight="1">
      <c r="A574" s="81"/>
      <c r="B574" s="49"/>
      <c r="C574" s="49"/>
      <c r="D574" s="82"/>
      <c r="E574" s="83"/>
      <c r="F574" s="49"/>
      <c r="G574" s="49"/>
      <c r="H574" s="49"/>
      <c r="I574" s="49"/>
      <c r="J574" s="50"/>
      <c r="K574" s="49"/>
    </row>
    <row r="575" ht="22.5" customHeight="1">
      <c r="A575" s="84"/>
      <c r="B575" s="85"/>
      <c r="C575" s="85"/>
      <c r="D575" s="86"/>
      <c r="E575" s="87"/>
      <c r="F575" s="85"/>
      <c r="G575" s="85"/>
      <c r="H575" s="85"/>
      <c r="I575" s="85"/>
      <c r="J575" s="88"/>
      <c r="K575" s="85"/>
    </row>
    <row r="576" ht="22.5" customHeight="1">
      <c r="A576" s="81"/>
      <c r="B576" s="49"/>
      <c r="C576" s="49"/>
      <c r="D576" s="82"/>
      <c r="E576" s="83"/>
      <c r="F576" s="49"/>
      <c r="G576" s="49"/>
      <c r="H576" s="49"/>
      <c r="I576" s="49"/>
      <c r="J576" s="50"/>
      <c r="K576" s="49"/>
    </row>
    <row r="577" ht="22.5" customHeight="1">
      <c r="A577" s="84"/>
      <c r="B577" s="85"/>
      <c r="C577" s="85"/>
      <c r="D577" s="86"/>
      <c r="E577" s="87"/>
      <c r="F577" s="85"/>
      <c r="G577" s="85"/>
      <c r="H577" s="85"/>
      <c r="I577" s="85"/>
      <c r="J577" s="88"/>
      <c r="K577" s="85"/>
    </row>
    <row r="578" ht="22.5" customHeight="1">
      <c r="A578" s="81"/>
      <c r="B578" s="49"/>
      <c r="C578" s="49"/>
      <c r="D578" s="82"/>
      <c r="E578" s="83"/>
      <c r="F578" s="49"/>
      <c r="G578" s="49"/>
      <c r="H578" s="49"/>
      <c r="I578" s="49"/>
      <c r="J578" s="50"/>
      <c r="K578" s="49"/>
    </row>
    <row r="579" ht="22.5" customHeight="1">
      <c r="A579" s="84"/>
      <c r="B579" s="85"/>
      <c r="C579" s="85"/>
      <c r="D579" s="86"/>
      <c r="E579" s="87"/>
      <c r="F579" s="85"/>
      <c r="G579" s="85"/>
      <c r="H579" s="85"/>
      <c r="I579" s="85"/>
      <c r="J579" s="88"/>
      <c r="K579" s="85"/>
    </row>
    <row r="580" ht="22.5" customHeight="1">
      <c r="A580" s="81"/>
      <c r="B580" s="49"/>
      <c r="C580" s="49"/>
      <c r="D580" s="82"/>
      <c r="E580" s="83"/>
      <c r="F580" s="49"/>
      <c r="G580" s="49"/>
      <c r="H580" s="49"/>
      <c r="I580" s="49"/>
      <c r="J580" s="50"/>
      <c r="K580" s="49"/>
    </row>
    <row r="581" ht="22.5" customHeight="1">
      <c r="A581" s="84"/>
      <c r="B581" s="85"/>
      <c r="C581" s="85"/>
      <c r="D581" s="86"/>
      <c r="E581" s="87"/>
      <c r="F581" s="85"/>
      <c r="G581" s="85"/>
      <c r="H581" s="85"/>
      <c r="I581" s="85"/>
      <c r="J581" s="88"/>
      <c r="K581" s="85"/>
    </row>
    <row r="582" ht="22.5" customHeight="1">
      <c r="A582" s="81"/>
      <c r="B582" s="49"/>
      <c r="C582" s="49"/>
      <c r="D582" s="82"/>
      <c r="E582" s="83"/>
      <c r="F582" s="49"/>
      <c r="G582" s="49"/>
      <c r="H582" s="49"/>
      <c r="I582" s="49"/>
      <c r="J582" s="50"/>
      <c r="K582" s="49"/>
    </row>
    <row r="583" ht="22.5" customHeight="1">
      <c r="A583" s="84"/>
      <c r="B583" s="85"/>
      <c r="C583" s="85"/>
      <c r="D583" s="86"/>
      <c r="E583" s="87"/>
      <c r="F583" s="85"/>
      <c r="G583" s="85"/>
      <c r="H583" s="85"/>
      <c r="I583" s="85"/>
      <c r="J583" s="88"/>
      <c r="K583" s="85"/>
    </row>
    <row r="584" ht="22.5" customHeight="1">
      <c r="A584" s="81"/>
      <c r="B584" s="49"/>
      <c r="C584" s="49"/>
      <c r="D584" s="82"/>
      <c r="E584" s="83"/>
      <c r="F584" s="49"/>
      <c r="G584" s="49"/>
      <c r="H584" s="49"/>
      <c r="I584" s="49"/>
      <c r="J584" s="50"/>
      <c r="K584" s="49"/>
    </row>
    <row r="585" ht="22.5" customHeight="1">
      <c r="A585" s="84"/>
      <c r="B585" s="85"/>
      <c r="C585" s="85"/>
      <c r="D585" s="86"/>
      <c r="E585" s="87"/>
      <c r="F585" s="85"/>
      <c r="G585" s="85"/>
      <c r="H585" s="85"/>
      <c r="I585" s="85"/>
      <c r="J585" s="88"/>
      <c r="K585" s="85"/>
    </row>
    <row r="586" ht="22.5" customHeight="1">
      <c r="A586" s="81"/>
      <c r="B586" s="49"/>
      <c r="C586" s="49"/>
      <c r="D586" s="82"/>
      <c r="E586" s="83"/>
      <c r="F586" s="49"/>
      <c r="G586" s="49"/>
      <c r="H586" s="49"/>
      <c r="I586" s="49"/>
      <c r="J586" s="50"/>
      <c r="K586" s="49"/>
    </row>
    <row r="587" ht="22.5" customHeight="1">
      <c r="A587" s="84"/>
      <c r="B587" s="85"/>
      <c r="C587" s="85"/>
      <c r="D587" s="86"/>
      <c r="E587" s="87"/>
      <c r="F587" s="85"/>
      <c r="G587" s="85"/>
      <c r="H587" s="85"/>
      <c r="I587" s="85"/>
      <c r="J587" s="88"/>
      <c r="K587" s="85"/>
    </row>
    <row r="588" ht="22.5" customHeight="1">
      <c r="A588" s="81"/>
      <c r="B588" s="49"/>
      <c r="C588" s="49"/>
      <c r="D588" s="82"/>
      <c r="E588" s="83"/>
      <c r="F588" s="49"/>
      <c r="G588" s="49"/>
      <c r="H588" s="49"/>
      <c r="I588" s="49"/>
      <c r="J588" s="50"/>
      <c r="K588" s="49"/>
    </row>
    <row r="589" ht="22.5" customHeight="1">
      <c r="A589" s="84"/>
      <c r="B589" s="85"/>
      <c r="C589" s="85"/>
      <c r="D589" s="86"/>
      <c r="E589" s="87"/>
      <c r="F589" s="85"/>
      <c r="G589" s="85"/>
      <c r="H589" s="85"/>
      <c r="I589" s="85"/>
      <c r="J589" s="88"/>
      <c r="K589" s="85"/>
    </row>
    <row r="590" ht="22.5" customHeight="1">
      <c r="A590" s="81"/>
      <c r="B590" s="49"/>
      <c r="C590" s="49"/>
      <c r="D590" s="82"/>
      <c r="E590" s="83"/>
      <c r="F590" s="49"/>
      <c r="G590" s="49"/>
      <c r="H590" s="49"/>
      <c r="I590" s="49"/>
      <c r="J590" s="50"/>
      <c r="K590" s="49"/>
    </row>
    <row r="591" ht="22.5" customHeight="1">
      <c r="A591" s="84"/>
      <c r="B591" s="85"/>
      <c r="C591" s="85"/>
      <c r="D591" s="86"/>
      <c r="E591" s="87"/>
      <c r="F591" s="85"/>
      <c r="G591" s="85"/>
      <c r="H591" s="85"/>
      <c r="I591" s="85"/>
      <c r="J591" s="88"/>
      <c r="K591" s="85"/>
    </row>
    <row r="592" ht="22.5" customHeight="1">
      <c r="A592" s="81"/>
      <c r="B592" s="49"/>
      <c r="C592" s="49"/>
      <c r="D592" s="82"/>
      <c r="E592" s="83"/>
      <c r="F592" s="49"/>
      <c r="G592" s="49"/>
      <c r="H592" s="49"/>
      <c r="I592" s="49"/>
      <c r="J592" s="50"/>
      <c r="K592" s="49"/>
    </row>
    <row r="593" ht="22.5" customHeight="1">
      <c r="A593" s="84"/>
      <c r="B593" s="85"/>
      <c r="C593" s="85"/>
      <c r="D593" s="86"/>
      <c r="E593" s="87"/>
      <c r="F593" s="85"/>
      <c r="G593" s="85"/>
      <c r="H593" s="85"/>
      <c r="I593" s="85"/>
      <c r="J593" s="88"/>
      <c r="K593" s="85"/>
    </row>
    <row r="594" ht="22.5" customHeight="1">
      <c r="A594" s="81"/>
      <c r="B594" s="49"/>
      <c r="C594" s="49"/>
      <c r="D594" s="82"/>
      <c r="E594" s="83"/>
      <c r="F594" s="49"/>
      <c r="G594" s="49"/>
      <c r="H594" s="49"/>
      <c r="I594" s="49"/>
      <c r="J594" s="50"/>
      <c r="K594" s="49"/>
    </row>
    <row r="595" ht="22.5" customHeight="1">
      <c r="A595" s="84"/>
      <c r="B595" s="85"/>
      <c r="C595" s="85"/>
      <c r="D595" s="86"/>
      <c r="E595" s="87"/>
      <c r="F595" s="85"/>
      <c r="G595" s="85"/>
      <c r="H595" s="85"/>
      <c r="I595" s="85"/>
      <c r="J595" s="88"/>
      <c r="K595" s="85"/>
    </row>
    <row r="596" ht="22.5" customHeight="1">
      <c r="A596" s="81"/>
      <c r="B596" s="49"/>
      <c r="C596" s="49"/>
      <c r="D596" s="82"/>
      <c r="E596" s="83"/>
      <c r="F596" s="49"/>
      <c r="G596" s="49"/>
      <c r="H596" s="49"/>
      <c r="I596" s="49"/>
      <c r="J596" s="50"/>
      <c r="K596" s="49"/>
    </row>
    <row r="597" ht="22.5" customHeight="1">
      <c r="A597" s="84"/>
      <c r="B597" s="85"/>
      <c r="C597" s="85"/>
      <c r="D597" s="86"/>
      <c r="E597" s="87"/>
      <c r="F597" s="85"/>
      <c r="G597" s="85"/>
      <c r="H597" s="85"/>
      <c r="I597" s="85"/>
      <c r="J597" s="88"/>
      <c r="K597" s="85"/>
    </row>
    <row r="598" ht="22.5" customHeight="1">
      <c r="A598" s="81"/>
      <c r="B598" s="49"/>
      <c r="C598" s="49"/>
      <c r="D598" s="82"/>
      <c r="E598" s="83"/>
      <c r="F598" s="49"/>
      <c r="G598" s="49"/>
      <c r="H598" s="49"/>
      <c r="I598" s="49"/>
      <c r="J598" s="50"/>
      <c r="K598" s="49"/>
    </row>
    <row r="599" ht="22.5" customHeight="1">
      <c r="A599" s="84"/>
      <c r="B599" s="85"/>
      <c r="C599" s="85"/>
      <c r="D599" s="86"/>
      <c r="E599" s="87"/>
      <c r="F599" s="85"/>
      <c r="G599" s="85"/>
      <c r="H599" s="85"/>
      <c r="I599" s="85"/>
      <c r="J599" s="88"/>
      <c r="K599" s="85"/>
    </row>
    <row r="600" ht="22.5" customHeight="1">
      <c r="A600" s="81"/>
      <c r="B600" s="49"/>
      <c r="C600" s="49"/>
      <c r="D600" s="82"/>
      <c r="E600" s="83"/>
      <c r="F600" s="49"/>
      <c r="G600" s="49"/>
      <c r="H600" s="49"/>
      <c r="I600" s="49"/>
      <c r="J600" s="50"/>
      <c r="K600" s="49"/>
    </row>
    <row r="601" ht="22.5" customHeight="1">
      <c r="A601" s="84"/>
      <c r="B601" s="85"/>
      <c r="C601" s="85"/>
      <c r="D601" s="86"/>
      <c r="E601" s="87"/>
      <c r="F601" s="85"/>
      <c r="G601" s="85"/>
      <c r="H601" s="85"/>
      <c r="I601" s="85"/>
      <c r="J601" s="88"/>
      <c r="K601" s="85"/>
    </row>
    <row r="602" ht="22.5" customHeight="1">
      <c r="A602" s="81"/>
      <c r="B602" s="49"/>
      <c r="C602" s="49"/>
      <c r="D602" s="82"/>
      <c r="E602" s="83"/>
      <c r="F602" s="49"/>
      <c r="G602" s="49"/>
      <c r="H602" s="49"/>
      <c r="I602" s="49"/>
      <c r="J602" s="50"/>
      <c r="K602" s="49"/>
    </row>
    <row r="603" ht="22.5" customHeight="1">
      <c r="A603" s="84"/>
      <c r="B603" s="85"/>
      <c r="C603" s="85"/>
      <c r="D603" s="86"/>
      <c r="E603" s="87"/>
      <c r="F603" s="85"/>
      <c r="G603" s="85"/>
      <c r="H603" s="85"/>
      <c r="I603" s="85"/>
      <c r="J603" s="88"/>
      <c r="K603" s="85"/>
    </row>
    <row r="604" ht="22.5" customHeight="1">
      <c r="A604" s="81"/>
      <c r="B604" s="49"/>
      <c r="C604" s="49"/>
      <c r="D604" s="82"/>
      <c r="E604" s="83"/>
      <c r="F604" s="49"/>
      <c r="G604" s="49"/>
      <c r="H604" s="49"/>
      <c r="I604" s="49"/>
      <c r="J604" s="50"/>
      <c r="K604" s="49"/>
    </row>
    <row r="605" ht="22.5" customHeight="1">
      <c r="A605" s="84"/>
      <c r="B605" s="85"/>
      <c r="C605" s="85"/>
      <c r="D605" s="86"/>
      <c r="E605" s="87"/>
      <c r="F605" s="85"/>
      <c r="G605" s="85"/>
      <c r="H605" s="85"/>
      <c r="I605" s="85"/>
      <c r="J605" s="88"/>
      <c r="K605" s="85"/>
    </row>
    <row r="606" ht="22.5" customHeight="1">
      <c r="A606" s="81"/>
      <c r="B606" s="49"/>
      <c r="C606" s="49"/>
      <c r="D606" s="82"/>
      <c r="E606" s="83"/>
      <c r="F606" s="49"/>
      <c r="G606" s="49"/>
      <c r="H606" s="49"/>
      <c r="I606" s="49"/>
      <c r="J606" s="50"/>
      <c r="K606" s="49"/>
    </row>
    <row r="607" ht="22.5" customHeight="1">
      <c r="A607" s="84"/>
      <c r="B607" s="85"/>
      <c r="C607" s="85"/>
      <c r="D607" s="86"/>
      <c r="E607" s="87"/>
      <c r="F607" s="85"/>
      <c r="G607" s="85"/>
      <c r="H607" s="85"/>
      <c r="I607" s="85"/>
      <c r="J607" s="88"/>
      <c r="K607" s="85"/>
    </row>
    <row r="608" ht="22.5" customHeight="1">
      <c r="A608" s="81"/>
      <c r="B608" s="49"/>
      <c r="C608" s="49"/>
      <c r="D608" s="82"/>
      <c r="E608" s="83"/>
      <c r="F608" s="49"/>
      <c r="G608" s="49"/>
      <c r="H608" s="49"/>
      <c r="I608" s="49"/>
      <c r="J608" s="50"/>
      <c r="K608" s="49"/>
    </row>
    <row r="609" ht="22.5" customHeight="1">
      <c r="A609" s="84"/>
      <c r="B609" s="85"/>
      <c r="C609" s="85"/>
      <c r="D609" s="86"/>
      <c r="E609" s="87"/>
      <c r="F609" s="85"/>
      <c r="G609" s="85"/>
      <c r="H609" s="85"/>
      <c r="I609" s="85"/>
      <c r="J609" s="88"/>
      <c r="K609" s="85"/>
    </row>
    <row r="610" ht="22.5" customHeight="1">
      <c r="A610" s="81"/>
      <c r="B610" s="49"/>
      <c r="C610" s="49"/>
      <c r="D610" s="82"/>
      <c r="E610" s="83"/>
      <c r="F610" s="49"/>
      <c r="G610" s="49"/>
      <c r="H610" s="49"/>
      <c r="I610" s="49"/>
      <c r="J610" s="50"/>
      <c r="K610" s="49"/>
    </row>
    <row r="611" ht="22.5" customHeight="1">
      <c r="A611" s="84"/>
      <c r="B611" s="85"/>
      <c r="C611" s="85"/>
      <c r="D611" s="86"/>
      <c r="E611" s="87"/>
      <c r="F611" s="85"/>
      <c r="G611" s="85"/>
      <c r="H611" s="85"/>
      <c r="I611" s="85"/>
      <c r="J611" s="88"/>
      <c r="K611" s="85"/>
    </row>
    <row r="612" ht="22.5" customHeight="1">
      <c r="A612" s="81"/>
      <c r="B612" s="49"/>
      <c r="C612" s="49"/>
      <c r="D612" s="82"/>
      <c r="E612" s="83"/>
      <c r="F612" s="49"/>
      <c r="G612" s="49"/>
      <c r="H612" s="49"/>
      <c r="I612" s="49"/>
      <c r="J612" s="50"/>
      <c r="K612" s="49"/>
    </row>
    <row r="613" ht="22.5" customHeight="1">
      <c r="A613" s="84"/>
      <c r="B613" s="85"/>
      <c r="C613" s="85"/>
      <c r="D613" s="86"/>
      <c r="E613" s="87"/>
      <c r="F613" s="85"/>
      <c r="G613" s="85"/>
      <c r="H613" s="85"/>
      <c r="I613" s="85"/>
      <c r="J613" s="88"/>
      <c r="K613" s="85"/>
    </row>
    <row r="614" ht="22.5" customHeight="1">
      <c r="A614" s="81"/>
      <c r="B614" s="49"/>
      <c r="C614" s="49"/>
      <c r="D614" s="82"/>
      <c r="E614" s="83"/>
      <c r="F614" s="49"/>
      <c r="G614" s="49"/>
      <c r="H614" s="49"/>
      <c r="I614" s="49"/>
      <c r="J614" s="50"/>
      <c r="K614" s="49"/>
    </row>
    <row r="615" ht="22.5" customHeight="1">
      <c r="A615" s="84"/>
      <c r="B615" s="85"/>
      <c r="C615" s="85"/>
      <c r="D615" s="86"/>
      <c r="E615" s="87"/>
      <c r="F615" s="85"/>
      <c r="G615" s="85"/>
      <c r="H615" s="85"/>
      <c r="I615" s="85"/>
      <c r="J615" s="88"/>
      <c r="K615" s="85"/>
    </row>
    <row r="616" ht="22.5" customHeight="1">
      <c r="A616" s="81"/>
      <c r="B616" s="49"/>
      <c r="C616" s="49"/>
      <c r="D616" s="82"/>
      <c r="E616" s="83"/>
      <c r="F616" s="49"/>
      <c r="G616" s="49"/>
      <c r="H616" s="49"/>
      <c r="I616" s="49"/>
      <c r="J616" s="50"/>
      <c r="K616" s="49"/>
    </row>
    <row r="617" ht="22.5" customHeight="1">
      <c r="A617" s="84"/>
      <c r="B617" s="85"/>
      <c r="C617" s="85"/>
      <c r="D617" s="86"/>
      <c r="E617" s="87"/>
      <c r="F617" s="85"/>
      <c r="G617" s="85"/>
      <c r="H617" s="85"/>
      <c r="I617" s="85"/>
      <c r="J617" s="88"/>
      <c r="K617" s="85"/>
    </row>
    <row r="618" ht="22.5" customHeight="1">
      <c r="A618" s="81"/>
      <c r="B618" s="49"/>
      <c r="C618" s="49"/>
      <c r="D618" s="82"/>
      <c r="E618" s="83"/>
      <c r="F618" s="49"/>
      <c r="G618" s="49"/>
      <c r="H618" s="49"/>
      <c r="I618" s="49"/>
      <c r="J618" s="50"/>
      <c r="K618" s="49"/>
    </row>
    <row r="619" ht="22.5" customHeight="1">
      <c r="A619" s="84"/>
      <c r="B619" s="85"/>
      <c r="C619" s="85"/>
      <c r="D619" s="86"/>
      <c r="E619" s="87"/>
      <c r="F619" s="85"/>
      <c r="G619" s="85"/>
      <c r="H619" s="85"/>
      <c r="I619" s="85"/>
      <c r="J619" s="88"/>
      <c r="K619" s="85"/>
    </row>
    <row r="620" ht="22.5" customHeight="1">
      <c r="A620" s="81"/>
      <c r="B620" s="49"/>
      <c r="C620" s="49"/>
      <c r="D620" s="82"/>
      <c r="E620" s="83"/>
      <c r="F620" s="49"/>
      <c r="G620" s="49"/>
      <c r="H620" s="49"/>
      <c r="I620" s="49"/>
      <c r="J620" s="50"/>
      <c r="K620" s="49"/>
    </row>
    <row r="621" ht="22.5" customHeight="1">
      <c r="A621" s="84"/>
      <c r="B621" s="85"/>
      <c r="C621" s="85"/>
      <c r="D621" s="86"/>
      <c r="E621" s="87"/>
      <c r="F621" s="85"/>
      <c r="G621" s="85"/>
      <c r="H621" s="85"/>
      <c r="I621" s="85"/>
      <c r="J621" s="88"/>
      <c r="K621" s="85"/>
    </row>
    <row r="622" ht="22.5" customHeight="1">
      <c r="A622" s="81"/>
      <c r="B622" s="49"/>
      <c r="C622" s="49"/>
      <c r="D622" s="82"/>
      <c r="E622" s="83"/>
      <c r="F622" s="49"/>
      <c r="G622" s="49"/>
      <c r="H622" s="49"/>
      <c r="I622" s="49"/>
      <c r="J622" s="50"/>
      <c r="K622" s="49"/>
    </row>
    <row r="623" ht="22.5" customHeight="1">
      <c r="A623" s="84"/>
      <c r="B623" s="85"/>
      <c r="C623" s="85"/>
      <c r="D623" s="86"/>
      <c r="E623" s="87"/>
      <c r="F623" s="85"/>
      <c r="G623" s="85"/>
      <c r="H623" s="85"/>
      <c r="I623" s="85"/>
      <c r="J623" s="88"/>
      <c r="K623" s="85"/>
    </row>
    <row r="624" ht="22.5" customHeight="1">
      <c r="A624" s="81"/>
      <c r="B624" s="49"/>
      <c r="C624" s="49"/>
      <c r="D624" s="82"/>
      <c r="E624" s="83"/>
      <c r="F624" s="49"/>
      <c r="G624" s="49"/>
      <c r="H624" s="49"/>
      <c r="I624" s="49"/>
      <c r="J624" s="50"/>
      <c r="K624" s="49"/>
    </row>
    <row r="625" ht="22.5" customHeight="1">
      <c r="A625" s="84"/>
      <c r="B625" s="85"/>
      <c r="C625" s="85"/>
      <c r="D625" s="86"/>
      <c r="E625" s="87"/>
      <c r="F625" s="85"/>
      <c r="G625" s="85"/>
      <c r="H625" s="85"/>
      <c r="I625" s="85"/>
      <c r="J625" s="88"/>
      <c r="K625" s="85"/>
    </row>
    <row r="626" ht="15.75" customHeight="1">
      <c r="A626" s="89"/>
      <c r="C626" s="89"/>
      <c r="E626" s="89"/>
      <c r="F626" s="89"/>
    </row>
    <row r="627" ht="15.75" customHeight="1">
      <c r="A627" s="89"/>
      <c r="C627" s="89"/>
      <c r="E627" s="89"/>
      <c r="F627" s="89"/>
    </row>
    <row r="628" ht="15.75" customHeight="1">
      <c r="A628" s="89"/>
      <c r="C628" s="89"/>
      <c r="E628" s="89"/>
      <c r="F628" s="89"/>
    </row>
    <row r="629" ht="15.75" customHeight="1">
      <c r="A629" s="89"/>
      <c r="C629" s="89"/>
      <c r="E629" s="89"/>
      <c r="F629" s="89"/>
    </row>
    <row r="630" ht="15.75" customHeight="1">
      <c r="A630" s="89"/>
      <c r="C630" s="89"/>
      <c r="E630" s="89"/>
      <c r="F630" s="89"/>
    </row>
    <row r="631" ht="15.75" customHeight="1">
      <c r="A631" s="89"/>
      <c r="C631" s="89"/>
      <c r="E631" s="89"/>
      <c r="F631" s="89"/>
    </row>
    <row r="632" ht="15.75" customHeight="1">
      <c r="A632" s="89"/>
      <c r="C632" s="89"/>
      <c r="E632" s="89"/>
      <c r="F632" s="89"/>
    </row>
    <row r="633" ht="15.75" customHeight="1">
      <c r="A633" s="89"/>
      <c r="C633" s="89"/>
      <c r="E633" s="89"/>
      <c r="F633" s="89"/>
    </row>
    <row r="634" ht="15.75" customHeight="1">
      <c r="A634" s="89"/>
      <c r="C634" s="89"/>
      <c r="E634" s="89"/>
      <c r="F634" s="89"/>
    </row>
    <row r="635" ht="15.75" customHeight="1">
      <c r="A635" s="89"/>
      <c r="C635" s="89"/>
      <c r="E635" s="89"/>
      <c r="F635" s="89"/>
    </row>
    <row r="636" ht="15.75" customHeight="1">
      <c r="A636" s="89"/>
      <c r="C636" s="89"/>
      <c r="E636" s="89"/>
      <c r="F636" s="89"/>
    </row>
    <row r="637" ht="15.75" customHeight="1">
      <c r="A637" s="89"/>
      <c r="C637" s="89"/>
      <c r="E637" s="89"/>
      <c r="F637" s="89"/>
    </row>
    <row r="638" ht="15.75" customHeight="1">
      <c r="A638" s="89"/>
      <c r="C638" s="89"/>
      <c r="E638" s="89"/>
      <c r="F638" s="89"/>
    </row>
    <row r="639" ht="15.75" customHeight="1">
      <c r="A639" s="89"/>
      <c r="C639" s="89"/>
      <c r="E639" s="89"/>
      <c r="F639" s="89"/>
    </row>
    <row r="640" ht="15.75" customHeight="1">
      <c r="A640" s="89"/>
      <c r="C640" s="89"/>
      <c r="E640" s="89"/>
      <c r="F640" s="89"/>
    </row>
    <row r="641" ht="15.75" customHeight="1">
      <c r="A641" s="89"/>
      <c r="C641" s="89"/>
      <c r="E641" s="89"/>
      <c r="F641" s="89"/>
    </row>
    <row r="642" ht="15.75" customHeight="1">
      <c r="A642" s="89"/>
      <c r="C642" s="89"/>
      <c r="E642" s="89"/>
      <c r="F642" s="89"/>
    </row>
    <row r="643" ht="15.75" customHeight="1">
      <c r="A643" s="89"/>
      <c r="C643" s="89"/>
      <c r="E643" s="89"/>
      <c r="F643" s="89"/>
    </row>
    <row r="644" ht="15.75" customHeight="1">
      <c r="A644" s="89"/>
      <c r="C644" s="89"/>
      <c r="E644" s="89"/>
      <c r="F644" s="89"/>
    </row>
    <row r="645" ht="15.75" customHeight="1">
      <c r="A645" s="89"/>
      <c r="C645" s="89"/>
      <c r="E645" s="89"/>
      <c r="F645" s="89"/>
    </row>
    <row r="646" ht="15.75" customHeight="1">
      <c r="A646" s="89"/>
      <c r="C646" s="89"/>
      <c r="E646" s="89"/>
      <c r="F646" s="89"/>
    </row>
    <row r="647" ht="15.75" customHeight="1">
      <c r="A647" s="89"/>
      <c r="C647" s="89"/>
      <c r="E647" s="89"/>
      <c r="F647" s="89"/>
    </row>
    <row r="648" ht="15.75" customHeight="1">
      <c r="A648" s="89"/>
      <c r="C648" s="89"/>
      <c r="E648" s="89"/>
      <c r="F648" s="89"/>
    </row>
    <row r="649" ht="15.75" customHeight="1">
      <c r="A649" s="89"/>
      <c r="C649" s="89"/>
      <c r="E649" s="89"/>
      <c r="F649" s="89"/>
    </row>
    <row r="650" ht="15.75" customHeight="1">
      <c r="A650" s="89"/>
      <c r="C650" s="89"/>
      <c r="E650" s="89"/>
      <c r="F650" s="89"/>
    </row>
    <row r="651" ht="15.75" customHeight="1">
      <c r="A651" s="89"/>
      <c r="C651" s="89"/>
      <c r="E651" s="89"/>
      <c r="F651" s="89"/>
    </row>
    <row r="652" ht="15.75" customHeight="1">
      <c r="A652" s="89"/>
      <c r="C652" s="89"/>
      <c r="E652" s="89"/>
      <c r="F652" s="89"/>
    </row>
    <row r="653" ht="15.75" customHeight="1">
      <c r="A653" s="89"/>
      <c r="C653" s="89"/>
      <c r="E653" s="89"/>
      <c r="F653" s="89"/>
    </row>
    <row r="654" ht="15.75" customHeight="1">
      <c r="A654" s="89"/>
      <c r="C654" s="89"/>
      <c r="E654" s="89"/>
      <c r="F654" s="89"/>
    </row>
    <row r="655" ht="15.75" customHeight="1">
      <c r="A655" s="89"/>
      <c r="C655" s="89"/>
      <c r="E655" s="89"/>
      <c r="F655" s="89"/>
    </row>
    <row r="656" ht="15.75" customHeight="1">
      <c r="A656" s="89"/>
      <c r="C656" s="89"/>
      <c r="E656" s="89"/>
      <c r="F656" s="89"/>
    </row>
    <row r="657" ht="15.75" customHeight="1">
      <c r="A657" s="89"/>
      <c r="C657" s="89"/>
      <c r="E657" s="89"/>
      <c r="F657" s="89"/>
    </row>
    <row r="658" ht="15.75" customHeight="1">
      <c r="A658" s="89"/>
      <c r="C658" s="89"/>
      <c r="E658" s="89"/>
      <c r="F658" s="89"/>
    </row>
    <row r="659" ht="15.75" customHeight="1">
      <c r="A659" s="89"/>
      <c r="C659" s="89"/>
      <c r="E659" s="89"/>
      <c r="F659" s="89"/>
    </row>
    <row r="660" ht="15.75" customHeight="1">
      <c r="A660" s="89"/>
      <c r="C660" s="89"/>
      <c r="E660" s="89"/>
      <c r="F660" s="89"/>
    </row>
    <row r="661" ht="15.75" customHeight="1">
      <c r="A661" s="89"/>
      <c r="C661" s="89"/>
      <c r="E661" s="89"/>
      <c r="F661" s="89"/>
    </row>
    <row r="662" ht="15.75" customHeight="1">
      <c r="A662" s="89"/>
      <c r="C662" s="89"/>
      <c r="E662" s="89"/>
      <c r="F662" s="89"/>
    </row>
    <row r="663" ht="15.75" customHeight="1">
      <c r="A663" s="89"/>
      <c r="C663" s="89"/>
      <c r="E663" s="89"/>
      <c r="F663" s="89"/>
    </row>
    <row r="664" ht="15.75" customHeight="1">
      <c r="A664" s="89"/>
      <c r="C664" s="89"/>
      <c r="E664" s="89"/>
      <c r="F664" s="89"/>
    </row>
    <row r="665" ht="15.75" customHeight="1">
      <c r="A665" s="89"/>
      <c r="C665" s="89"/>
      <c r="E665" s="89"/>
      <c r="F665" s="89"/>
    </row>
    <row r="666" ht="15.75" customHeight="1">
      <c r="A666" s="89"/>
      <c r="C666" s="89"/>
      <c r="E666" s="89"/>
      <c r="F666" s="89"/>
    </row>
    <row r="667" ht="15.75" customHeight="1">
      <c r="A667" s="89"/>
      <c r="C667" s="89"/>
      <c r="E667" s="89"/>
      <c r="F667" s="89"/>
    </row>
    <row r="668" ht="15.75" customHeight="1">
      <c r="A668" s="89"/>
      <c r="C668" s="89"/>
      <c r="E668" s="89"/>
      <c r="F668" s="89"/>
    </row>
    <row r="669" ht="15.75" customHeight="1">
      <c r="A669" s="89"/>
      <c r="C669" s="89"/>
      <c r="E669" s="89"/>
      <c r="F669" s="89"/>
    </row>
    <row r="670" ht="15.75" customHeight="1">
      <c r="A670" s="89"/>
      <c r="C670" s="89"/>
      <c r="E670" s="89"/>
      <c r="F670" s="89"/>
    </row>
    <row r="671" ht="15.75" customHeight="1">
      <c r="A671" s="89"/>
      <c r="C671" s="89"/>
      <c r="E671" s="89"/>
      <c r="F671" s="89"/>
    </row>
    <row r="672" ht="15.75" customHeight="1">
      <c r="A672" s="89"/>
      <c r="C672" s="89"/>
      <c r="E672" s="89"/>
      <c r="F672" s="89"/>
    </row>
    <row r="673" ht="15.75" customHeight="1">
      <c r="A673" s="89"/>
      <c r="C673" s="89"/>
      <c r="E673" s="89"/>
      <c r="F673" s="89"/>
    </row>
    <row r="674" ht="15.75" customHeight="1">
      <c r="A674" s="89"/>
      <c r="C674" s="89"/>
      <c r="E674" s="89"/>
      <c r="F674" s="89"/>
    </row>
    <row r="675" ht="15.75" customHeight="1">
      <c r="A675" s="89"/>
      <c r="C675" s="89"/>
      <c r="E675" s="89"/>
      <c r="F675" s="89"/>
    </row>
    <row r="676" ht="15.75" customHeight="1">
      <c r="A676" s="89"/>
      <c r="C676" s="89"/>
      <c r="E676" s="89"/>
      <c r="F676" s="89"/>
    </row>
    <row r="677" ht="15.75" customHeight="1">
      <c r="A677" s="89"/>
      <c r="C677" s="89"/>
      <c r="E677" s="89"/>
      <c r="F677" s="89"/>
    </row>
    <row r="678" ht="15.75" customHeight="1">
      <c r="A678" s="89"/>
      <c r="C678" s="89"/>
      <c r="E678" s="89"/>
      <c r="F678" s="89"/>
    </row>
    <row r="679" ht="15.75" customHeight="1">
      <c r="A679" s="89"/>
      <c r="C679" s="89"/>
      <c r="E679" s="89"/>
      <c r="F679" s="89"/>
    </row>
    <row r="680" ht="15.75" customHeight="1">
      <c r="A680" s="89"/>
      <c r="C680" s="89"/>
      <c r="E680" s="89"/>
      <c r="F680" s="89"/>
    </row>
    <row r="681" ht="15.75" customHeight="1">
      <c r="A681" s="89"/>
      <c r="C681" s="89"/>
      <c r="E681" s="89"/>
      <c r="F681" s="89"/>
    </row>
    <row r="682" ht="15.75" customHeight="1">
      <c r="A682" s="89"/>
      <c r="C682" s="89"/>
      <c r="E682" s="89"/>
      <c r="F682" s="89"/>
    </row>
    <row r="683" ht="15.75" customHeight="1">
      <c r="A683" s="89"/>
      <c r="C683" s="89"/>
      <c r="E683" s="89"/>
      <c r="F683" s="89"/>
    </row>
    <row r="684" ht="15.75" customHeight="1">
      <c r="A684" s="89"/>
      <c r="C684" s="89"/>
      <c r="E684" s="89"/>
      <c r="F684" s="89"/>
    </row>
    <row r="685" ht="15.75" customHeight="1">
      <c r="A685" s="89"/>
      <c r="C685" s="89"/>
      <c r="E685" s="89"/>
      <c r="F685" s="89"/>
    </row>
    <row r="686" ht="15.75" customHeight="1">
      <c r="A686" s="89"/>
      <c r="C686" s="89"/>
      <c r="E686" s="89"/>
      <c r="F686" s="89"/>
    </row>
    <row r="687" ht="15.75" customHeight="1">
      <c r="A687" s="89"/>
      <c r="C687" s="89"/>
      <c r="E687" s="89"/>
      <c r="F687" s="89"/>
    </row>
    <row r="688" ht="15.75" customHeight="1">
      <c r="A688" s="89"/>
      <c r="C688" s="89"/>
      <c r="E688" s="89"/>
      <c r="F688" s="89"/>
    </row>
    <row r="689" ht="15.75" customHeight="1">
      <c r="A689" s="89"/>
      <c r="C689" s="89"/>
      <c r="E689" s="89"/>
      <c r="F689" s="89"/>
    </row>
    <row r="690" ht="15.75" customHeight="1">
      <c r="A690" s="89"/>
      <c r="C690" s="89"/>
      <c r="E690" s="89"/>
      <c r="F690" s="89"/>
    </row>
    <row r="691" ht="15.75" customHeight="1">
      <c r="A691" s="89"/>
      <c r="C691" s="89"/>
      <c r="E691" s="89"/>
      <c r="F691" s="89"/>
    </row>
    <row r="692" ht="15.75" customHeight="1">
      <c r="A692" s="89"/>
      <c r="C692" s="89"/>
      <c r="E692" s="89"/>
      <c r="F692" s="89"/>
    </row>
    <row r="693" ht="15.75" customHeight="1">
      <c r="A693" s="89"/>
      <c r="C693" s="89"/>
      <c r="E693" s="89"/>
      <c r="F693" s="89"/>
    </row>
    <row r="694" ht="15.75" customHeight="1">
      <c r="A694" s="89"/>
      <c r="C694" s="89"/>
      <c r="E694" s="89"/>
      <c r="F694" s="89"/>
    </row>
    <row r="695" ht="15.75" customHeight="1">
      <c r="A695" s="89"/>
      <c r="C695" s="89"/>
      <c r="E695" s="89"/>
      <c r="F695" s="89"/>
    </row>
    <row r="696" ht="15.75" customHeight="1">
      <c r="A696" s="89"/>
      <c r="C696" s="89"/>
      <c r="E696" s="89"/>
      <c r="F696" s="89"/>
    </row>
    <row r="697" ht="15.75" customHeight="1">
      <c r="A697" s="89"/>
      <c r="C697" s="89"/>
      <c r="E697" s="89"/>
      <c r="F697" s="89"/>
    </row>
    <row r="698" ht="15.75" customHeight="1">
      <c r="A698" s="89"/>
      <c r="C698" s="89"/>
      <c r="E698" s="89"/>
      <c r="F698" s="89"/>
    </row>
    <row r="699" ht="15.75" customHeight="1">
      <c r="A699" s="89"/>
      <c r="C699" s="89"/>
      <c r="E699" s="89"/>
      <c r="F699" s="89"/>
    </row>
    <row r="700" ht="15.75" customHeight="1">
      <c r="A700" s="89"/>
      <c r="C700" s="89"/>
      <c r="E700" s="89"/>
      <c r="F700" s="89"/>
    </row>
    <row r="701" ht="15.75" customHeight="1">
      <c r="A701" s="89"/>
      <c r="C701" s="89"/>
      <c r="E701" s="89"/>
      <c r="F701" s="89"/>
    </row>
    <row r="702" ht="15.75" customHeight="1">
      <c r="A702" s="89"/>
      <c r="C702" s="89"/>
      <c r="E702" s="89"/>
      <c r="F702" s="89"/>
    </row>
    <row r="703" ht="15.75" customHeight="1">
      <c r="A703" s="89"/>
      <c r="C703" s="89"/>
      <c r="E703" s="89"/>
      <c r="F703" s="89"/>
    </row>
    <row r="704" ht="15.75" customHeight="1">
      <c r="A704" s="89"/>
      <c r="C704" s="89"/>
      <c r="E704" s="89"/>
      <c r="F704" s="89"/>
    </row>
    <row r="705" ht="15.75" customHeight="1">
      <c r="A705" s="89"/>
      <c r="C705" s="89"/>
      <c r="E705" s="89"/>
      <c r="F705" s="89"/>
    </row>
    <row r="706" ht="15.75" customHeight="1">
      <c r="A706" s="89"/>
      <c r="C706" s="89"/>
      <c r="E706" s="89"/>
      <c r="F706" s="89"/>
    </row>
    <row r="707" ht="15.75" customHeight="1">
      <c r="A707" s="89"/>
      <c r="C707" s="89"/>
      <c r="E707" s="89"/>
      <c r="F707" s="89"/>
    </row>
    <row r="708" ht="15.75" customHeight="1">
      <c r="A708" s="89"/>
      <c r="C708" s="89"/>
      <c r="E708" s="89"/>
      <c r="F708" s="89"/>
    </row>
    <row r="709" ht="15.75" customHeight="1">
      <c r="A709" s="89"/>
      <c r="C709" s="89"/>
      <c r="E709" s="89"/>
      <c r="F709" s="89"/>
    </row>
    <row r="710" ht="15.75" customHeight="1">
      <c r="A710" s="89"/>
      <c r="C710" s="89"/>
      <c r="E710" s="89"/>
      <c r="F710" s="89"/>
    </row>
    <row r="711" ht="15.75" customHeight="1">
      <c r="A711" s="89"/>
      <c r="C711" s="89"/>
      <c r="E711" s="89"/>
      <c r="F711" s="89"/>
    </row>
    <row r="712" ht="15.75" customHeight="1">
      <c r="A712" s="89"/>
      <c r="C712" s="89"/>
      <c r="E712" s="89"/>
      <c r="F712" s="89"/>
    </row>
    <row r="713" ht="15.75" customHeight="1">
      <c r="A713" s="89"/>
      <c r="C713" s="89"/>
      <c r="E713" s="89"/>
      <c r="F713" s="89"/>
    </row>
    <row r="714" ht="15.75" customHeight="1">
      <c r="A714" s="89"/>
      <c r="C714" s="89"/>
      <c r="E714" s="89"/>
      <c r="F714" s="89"/>
    </row>
    <row r="715" ht="15.75" customHeight="1">
      <c r="A715" s="89"/>
      <c r="C715" s="89"/>
      <c r="E715" s="89"/>
      <c r="F715" s="89"/>
    </row>
    <row r="716" ht="15.75" customHeight="1">
      <c r="A716" s="89"/>
      <c r="C716" s="89"/>
      <c r="E716" s="89"/>
      <c r="F716" s="89"/>
    </row>
    <row r="717" ht="15.75" customHeight="1">
      <c r="A717" s="89"/>
      <c r="C717" s="89"/>
      <c r="E717" s="89"/>
      <c r="F717" s="89"/>
    </row>
    <row r="718" ht="15.75" customHeight="1">
      <c r="A718" s="89"/>
      <c r="C718" s="89"/>
      <c r="E718" s="89"/>
      <c r="F718" s="89"/>
    </row>
    <row r="719" ht="15.75" customHeight="1">
      <c r="A719" s="89"/>
      <c r="C719" s="89"/>
      <c r="E719" s="89"/>
      <c r="F719" s="89"/>
    </row>
    <row r="720" ht="15.75" customHeight="1">
      <c r="A720" s="89"/>
      <c r="C720" s="89"/>
      <c r="E720" s="89"/>
      <c r="F720" s="89"/>
    </row>
    <row r="721" ht="15.75" customHeight="1">
      <c r="A721" s="89"/>
      <c r="C721" s="89"/>
      <c r="E721" s="89"/>
      <c r="F721" s="89"/>
    </row>
    <row r="722" ht="15.75" customHeight="1">
      <c r="A722" s="89"/>
      <c r="C722" s="89"/>
      <c r="E722" s="89"/>
      <c r="F722" s="89"/>
    </row>
    <row r="723" ht="15.75" customHeight="1">
      <c r="A723" s="89"/>
      <c r="C723" s="89"/>
      <c r="E723" s="89"/>
      <c r="F723" s="89"/>
    </row>
    <row r="724" ht="15.75" customHeight="1">
      <c r="A724" s="89"/>
      <c r="C724" s="89"/>
      <c r="E724" s="89"/>
      <c r="F724" s="89"/>
    </row>
    <row r="725" ht="15.75" customHeight="1">
      <c r="A725" s="89"/>
      <c r="C725" s="89"/>
      <c r="E725" s="89"/>
      <c r="F725" s="89"/>
    </row>
    <row r="726" ht="15.75" customHeight="1">
      <c r="A726" s="89"/>
      <c r="C726" s="89"/>
      <c r="E726" s="89"/>
      <c r="F726" s="89"/>
    </row>
    <row r="727" ht="15.75" customHeight="1">
      <c r="A727" s="89"/>
      <c r="C727" s="89"/>
      <c r="E727" s="89"/>
      <c r="F727" s="89"/>
    </row>
    <row r="728" ht="15.75" customHeight="1">
      <c r="A728" s="89"/>
      <c r="C728" s="89"/>
      <c r="E728" s="89"/>
      <c r="F728" s="89"/>
    </row>
    <row r="729" ht="15.75" customHeight="1">
      <c r="A729" s="89"/>
      <c r="C729" s="89"/>
      <c r="E729" s="89"/>
      <c r="F729" s="89"/>
    </row>
    <row r="730" ht="15.75" customHeight="1">
      <c r="A730" s="89"/>
      <c r="C730" s="89"/>
      <c r="E730" s="89"/>
      <c r="F730" s="89"/>
    </row>
    <row r="731" ht="15.75" customHeight="1">
      <c r="A731" s="89"/>
      <c r="C731" s="89"/>
      <c r="E731" s="89"/>
      <c r="F731" s="89"/>
    </row>
    <row r="732" ht="15.75" customHeight="1">
      <c r="A732" s="89"/>
      <c r="C732" s="89"/>
      <c r="E732" s="89"/>
      <c r="F732" s="89"/>
    </row>
    <row r="733" ht="15.75" customHeight="1">
      <c r="A733" s="89"/>
      <c r="C733" s="89"/>
      <c r="E733" s="89"/>
      <c r="F733" s="89"/>
    </row>
    <row r="734" ht="15.75" customHeight="1">
      <c r="A734" s="89"/>
      <c r="C734" s="89"/>
      <c r="E734" s="89"/>
      <c r="F734" s="89"/>
    </row>
    <row r="735" ht="15.75" customHeight="1">
      <c r="A735" s="89"/>
      <c r="C735" s="89"/>
      <c r="E735" s="89"/>
      <c r="F735" s="89"/>
    </row>
    <row r="736" ht="15.75" customHeight="1">
      <c r="A736" s="89"/>
      <c r="C736" s="89"/>
      <c r="E736" s="89"/>
      <c r="F736" s="89"/>
    </row>
    <row r="737" ht="15.75" customHeight="1">
      <c r="A737" s="89"/>
      <c r="C737" s="89"/>
      <c r="E737" s="89"/>
      <c r="F737" s="89"/>
    </row>
    <row r="738" ht="15.75" customHeight="1">
      <c r="A738" s="89"/>
      <c r="C738" s="89"/>
      <c r="E738" s="89"/>
      <c r="F738" s="89"/>
    </row>
    <row r="739" ht="15.75" customHeight="1">
      <c r="A739" s="89"/>
      <c r="C739" s="89"/>
      <c r="E739" s="89"/>
      <c r="F739" s="89"/>
    </row>
    <row r="740" ht="15.75" customHeight="1">
      <c r="A740" s="89"/>
      <c r="C740" s="89"/>
      <c r="E740" s="89"/>
      <c r="F740" s="89"/>
    </row>
    <row r="741" ht="15.75" customHeight="1">
      <c r="A741" s="89"/>
      <c r="C741" s="89"/>
      <c r="E741" s="89"/>
      <c r="F741" s="89"/>
    </row>
    <row r="742" ht="15.75" customHeight="1">
      <c r="A742" s="89"/>
      <c r="C742" s="89"/>
      <c r="E742" s="89"/>
      <c r="F742" s="89"/>
    </row>
    <row r="743" ht="15.75" customHeight="1">
      <c r="A743" s="89"/>
      <c r="C743" s="89"/>
      <c r="E743" s="89"/>
      <c r="F743" s="89"/>
    </row>
    <row r="744" ht="15.75" customHeight="1">
      <c r="A744" s="89"/>
      <c r="C744" s="89"/>
      <c r="E744" s="89"/>
      <c r="F744" s="89"/>
    </row>
    <row r="745" ht="15.75" customHeight="1">
      <c r="A745" s="89"/>
      <c r="C745" s="89"/>
      <c r="E745" s="89"/>
      <c r="F745" s="89"/>
    </row>
    <row r="746" ht="15.75" customHeight="1">
      <c r="A746" s="89"/>
      <c r="C746" s="89"/>
      <c r="E746" s="89"/>
      <c r="F746" s="89"/>
    </row>
    <row r="747" ht="15.75" customHeight="1">
      <c r="A747" s="89"/>
      <c r="C747" s="89"/>
      <c r="E747" s="89"/>
      <c r="F747" s="89"/>
    </row>
    <row r="748" ht="15.75" customHeight="1">
      <c r="A748" s="89"/>
      <c r="C748" s="89"/>
      <c r="E748" s="89"/>
      <c r="F748" s="89"/>
    </row>
    <row r="749" ht="15.75" customHeight="1">
      <c r="A749" s="89"/>
      <c r="C749" s="89"/>
      <c r="E749" s="89"/>
      <c r="F749" s="89"/>
    </row>
    <row r="750" ht="15.75" customHeight="1">
      <c r="A750" s="89"/>
      <c r="C750" s="89"/>
      <c r="E750" s="89"/>
      <c r="F750" s="89"/>
    </row>
    <row r="751" ht="15.75" customHeight="1">
      <c r="A751" s="89"/>
      <c r="C751" s="89"/>
      <c r="E751" s="89"/>
      <c r="F751" s="89"/>
    </row>
    <row r="752" ht="15.75" customHeight="1">
      <c r="A752" s="89"/>
      <c r="C752" s="89"/>
      <c r="E752" s="89"/>
      <c r="F752" s="89"/>
    </row>
    <row r="753" ht="15.75" customHeight="1">
      <c r="A753" s="89"/>
      <c r="C753" s="89"/>
      <c r="E753" s="89"/>
      <c r="F753" s="89"/>
    </row>
    <row r="754" ht="15.75" customHeight="1">
      <c r="A754" s="89"/>
      <c r="C754" s="89"/>
      <c r="E754" s="89"/>
      <c r="F754" s="89"/>
    </row>
    <row r="755" ht="15.75" customHeight="1">
      <c r="A755" s="89"/>
      <c r="C755" s="89"/>
      <c r="E755" s="89"/>
      <c r="F755" s="89"/>
    </row>
    <row r="756" ht="15.75" customHeight="1">
      <c r="A756" s="89"/>
      <c r="C756" s="89"/>
      <c r="E756" s="89"/>
      <c r="F756" s="89"/>
    </row>
    <row r="757" ht="15.75" customHeight="1">
      <c r="A757" s="89"/>
      <c r="C757" s="89"/>
      <c r="E757" s="89"/>
      <c r="F757" s="89"/>
    </row>
    <row r="758" ht="15.75" customHeight="1">
      <c r="A758" s="89"/>
      <c r="C758" s="89"/>
      <c r="E758" s="89"/>
      <c r="F758" s="89"/>
    </row>
    <row r="759" ht="15.75" customHeight="1">
      <c r="A759" s="89"/>
      <c r="C759" s="89"/>
      <c r="E759" s="89"/>
      <c r="F759" s="89"/>
    </row>
    <row r="760" ht="15.75" customHeight="1">
      <c r="A760" s="89"/>
      <c r="C760" s="89"/>
      <c r="E760" s="89"/>
      <c r="F760" s="89"/>
    </row>
    <row r="761" ht="15.75" customHeight="1">
      <c r="A761" s="89"/>
      <c r="C761" s="89"/>
      <c r="E761" s="89"/>
      <c r="F761" s="89"/>
    </row>
    <row r="762" ht="15.75" customHeight="1">
      <c r="A762" s="89"/>
      <c r="C762" s="89"/>
      <c r="E762" s="89"/>
      <c r="F762" s="89"/>
    </row>
    <row r="763" ht="15.75" customHeight="1">
      <c r="A763" s="89"/>
      <c r="C763" s="89"/>
      <c r="E763" s="89"/>
      <c r="F763" s="89"/>
    </row>
    <row r="764" ht="15.75" customHeight="1">
      <c r="A764" s="89"/>
      <c r="C764" s="89"/>
      <c r="E764" s="89"/>
      <c r="F764" s="89"/>
    </row>
    <row r="765" ht="15.75" customHeight="1">
      <c r="A765" s="89"/>
      <c r="C765" s="89"/>
      <c r="E765" s="89"/>
      <c r="F765" s="89"/>
    </row>
    <row r="766" ht="15.75" customHeight="1">
      <c r="A766" s="89"/>
      <c r="C766" s="89"/>
      <c r="E766" s="89"/>
      <c r="F766" s="89"/>
    </row>
    <row r="767" ht="15.75" customHeight="1">
      <c r="A767" s="89"/>
      <c r="C767" s="89"/>
      <c r="E767" s="89"/>
      <c r="F767" s="89"/>
    </row>
    <row r="768" ht="15.75" customHeight="1">
      <c r="A768" s="89"/>
      <c r="C768" s="89"/>
      <c r="E768" s="89"/>
      <c r="F768" s="89"/>
    </row>
    <row r="769" ht="15.75" customHeight="1">
      <c r="A769" s="89"/>
      <c r="C769" s="89"/>
      <c r="E769" s="89"/>
      <c r="F769" s="89"/>
    </row>
    <row r="770" ht="15.75" customHeight="1">
      <c r="A770" s="89"/>
      <c r="C770" s="89"/>
      <c r="E770" s="89"/>
      <c r="F770" s="89"/>
    </row>
    <row r="771" ht="15.75" customHeight="1">
      <c r="A771" s="89"/>
      <c r="C771" s="89"/>
      <c r="E771" s="89"/>
      <c r="F771" s="89"/>
    </row>
    <row r="772" ht="15.75" customHeight="1">
      <c r="A772" s="89"/>
      <c r="C772" s="89"/>
      <c r="E772" s="89"/>
      <c r="F772" s="89"/>
    </row>
    <row r="773" ht="15.75" customHeight="1">
      <c r="A773" s="89"/>
      <c r="C773" s="89"/>
      <c r="E773" s="89"/>
      <c r="F773" s="89"/>
    </row>
    <row r="774" ht="15.75" customHeight="1">
      <c r="A774" s="89"/>
      <c r="C774" s="89"/>
      <c r="E774" s="89"/>
      <c r="F774" s="89"/>
    </row>
    <row r="775" ht="15.75" customHeight="1">
      <c r="A775" s="89"/>
      <c r="C775" s="89"/>
      <c r="E775" s="89"/>
      <c r="F775" s="89"/>
    </row>
    <row r="776" ht="15.75" customHeight="1">
      <c r="A776" s="89"/>
      <c r="C776" s="89"/>
      <c r="E776" s="89"/>
      <c r="F776" s="89"/>
    </row>
    <row r="777" ht="15.75" customHeight="1">
      <c r="A777" s="89"/>
      <c r="C777" s="89"/>
      <c r="E777" s="89"/>
      <c r="F777" s="89"/>
    </row>
    <row r="778" ht="15.75" customHeight="1">
      <c r="A778" s="89"/>
      <c r="C778" s="89"/>
      <c r="E778" s="89"/>
      <c r="F778" s="89"/>
    </row>
    <row r="779" ht="15.75" customHeight="1">
      <c r="A779" s="89"/>
      <c r="C779" s="89"/>
      <c r="E779" s="89"/>
      <c r="F779" s="89"/>
    </row>
    <row r="780" ht="15.75" customHeight="1">
      <c r="A780" s="89"/>
      <c r="C780" s="89"/>
      <c r="E780" s="89"/>
      <c r="F780" s="89"/>
    </row>
    <row r="781" ht="15.75" customHeight="1">
      <c r="A781" s="89"/>
      <c r="C781" s="89"/>
      <c r="E781" s="89"/>
      <c r="F781" s="89"/>
    </row>
    <row r="782" ht="15.75" customHeight="1">
      <c r="A782" s="89"/>
      <c r="C782" s="89"/>
      <c r="E782" s="89"/>
      <c r="F782" s="89"/>
    </row>
    <row r="783" ht="15.75" customHeight="1">
      <c r="A783" s="89"/>
      <c r="C783" s="89"/>
      <c r="E783" s="89"/>
      <c r="F783" s="89"/>
    </row>
    <row r="784" ht="15.75" customHeight="1">
      <c r="A784" s="89"/>
      <c r="C784" s="89"/>
      <c r="E784" s="89"/>
      <c r="F784" s="89"/>
    </row>
    <row r="785" ht="15.75" customHeight="1">
      <c r="A785" s="89"/>
      <c r="C785" s="89"/>
      <c r="E785" s="89"/>
      <c r="F785" s="89"/>
    </row>
    <row r="786" ht="15.75" customHeight="1">
      <c r="A786" s="89"/>
      <c r="C786" s="89"/>
      <c r="E786" s="89"/>
      <c r="F786" s="89"/>
    </row>
    <row r="787" ht="15.75" customHeight="1">
      <c r="A787" s="89"/>
      <c r="C787" s="89"/>
      <c r="E787" s="89"/>
      <c r="F787" s="89"/>
    </row>
    <row r="788" ht="15.75" customHeight="1">
      <c r="A788" s="89"/>
      <c r="C788" s="89"/>
      <c r="E788" s="89"/>
      <c r="F788" s="89"/>
    </row>
    <row r="789" ht="15.75" customHeight="1">
      <c r="A789" s="89"/>
      <c r="C789" s="89"/>
      <c r="E789" s="89"/>
      <c r="F789" s="89"/>
    </row>
    <row r="790" ht="15.75" customHeight="1">
      <c r="A790" s="89"/>
      <c r="C790" s="89"/>
      <c r="E790" s="89"/>
      <c r="F790" s="89"/>
    </row>
    <row r="791" ht="15.75" customHeight="1">
      <c r="A791" s="89"/>
      <c r="C791" s="89"/>
      <c r="E791" s="89"/>
      <c r="F791" s="89"/>
    </row>
    <row r="792" ht="15.75" customHeight="1">
      <c r="A792" s="89"/>
      <c r="C792" s="89"/>
      <c r="E792" s="89"/>
      <c r="F792" s="89"/>
    </row>
    <row r="793" ht="15.75" customHeight="1">
      <c r="A793" s="89"/>
      <c r="C793" s="89"/>
      <c r="E793" s="89"/>
      <c r="F793" s="89"/>
    </row>
    <row r="794" ht="15.75" customHeight="1">
      <c r="A794" s="89"/>
      <c r="C794" s="89"/>
      <c r="E794" s="89"/>
      <c r="F794" s="89"/>
    </row>
    <row r="795" ht="15.75" customHeight="1">
      <c r="A795" s="89"/>
      <c r="C795" s="89"/>
      <c r="E795" s="89"/>
      <c r="F795" s="89"/>
    </row>
    <row r="796" ht="15.75" customHeight="1">
      <c r="A796" s="89"/>
      <c r="C796" s="89"/>
      <c r="E796" s="89"/>
      <c r="F796" s="89"/>
    </row>
    <row r="797" ht="15.75" customHeight="1">
      <c r="A797" s="89"/>
      <c r="C797" s="89"/>
      <c r="E797" s="89"/>
      <c r="F797" s="89"/>
    </row>
    <row r="798" ht="15.75" customHeight="1">
      <c r="A798" s="89"/>
      <c r="C798" s="89"/>
      <c r="E798" s="89"/>
      <c r="F798" s="89"/>
    </row>
    <row r="799" ht="15.75" customHeight="1">
      <c r="A799" s="89"/>
      <c r="C799" s="89"/>
      <c r="E799" s="89"/>
      <c r="F799" s="89"/>
    </row>
    <row r="800" ht="15.75" customHeight="1">
      <c r="A800" s="89"/>
      <c r="C800" s="89"/>
      <c r="E800" s="89"/>
      <c r="F800" s="89"/>
    </row>
    <row r="801" ht="15.75" customHeight="1">
      <c r="A801" s="89"/>
      <c r="C801" s="89"/>
      <c r="E801" s="89"/>
      <c r="F801" s="89"/>
    </row>
    <row r="802" ht="15.75" customHeight="1">
      <c r="A802" s="89"/>
      <c r="C802" s="89"/>
      <c r="E802" s="89"/>
      <c r="F802" s="89"/>
    </row>
    <row r="803" ht="15.75" customHeight="1">
      <c r="A803" s="89"/>
      <c r="C803" s="89"/>
      <c r="E803" s="89"/>
      <c r="F803" s="89"/>
    </row>
    <row r="804" ht="15.75" customHeight="1">
      <c r="A804" s="89"/>
      <c r="C804" s="89"/>
      <c r="E804" s="89"/>
      <c r="F804" s="89"/>
    </row>
    <row r="805" ht="15.75" customHeight="1">
      <c r="A805" s="89"/>
      <c r="C805" s="89"/>
      <c r="E805" s="89"/>
      <c r="F805" s="89"/>
    </row>
    <row r="806" ht="15.75" customHeight="1">
      <c r="A806" s="89"/>
      <c r="C806" s="89"/>
      <c r="E806" s="89"/>
      <c r="F806" s="89"/>
    </row>
    <row r="807" ht="15.75" customHeight="1">
      <c r="A807" s="89"/>
      <c r="C807" s="89"/>
      <c r="E807" s="89"/>
      <c r="F807" s="89"/>
    </row>
    <row r="808" ht="15.75" customHeight="1">
      <c r="A808" s="89"/>
      <c r="C808" s="89"/>
      <c r="E808" s="89"/>
      <c r="F808" s="89"/>
    </row>
    <row r="809" ht="15.75" customHeight="1">
      <c r="A809" s="89"/>
      <c r="C809" s="89"/>
      <c r="E809" s="89"/>
      <c r="F809" s="89"/>
    </row>
    <row r="810" ht="15.75" customHeight="1">
      <c r="A810" s="89"/>
      <c r="C810" s="89"/>
      <c r="E810" s="89"/>
      <c r="F810" s="89"/>
    </row>
    <row r="811" ht="15.75" customHeight="1">
      <c r="A811" s="89"/>
      <c r="C811" s="89"/>
      <c r="E811" s="89"/>
      <c r="F811" s="89"/>
    </row>
    <row r="812" ht="15.75" customHeight="1">
      <c r="A812" s="89"/>
      <c r="C812" s="89"/>
      <c r="E812" s="89"/>
      <c r="F812" s="89"/>
    </row>
    <row r="813" ht="15.75" customHeight="1">
      <c r="A813" s="89"/>
      <c r="C813" s="89"/>
      <c r="E813" s="89"/>
      <c r="F813" s="89"/>
    </row>
    <row r="814" ht="15.75" customHeight="1">
      <c r="A814" s="89"/>
      <c r="C814" s="89"/>
      <c r="E814" s="89"/>
      <c r="F814" s="89"/>
    </row>
    <row r="815" ht="15.75" customHeight="1">
      <c r="A815" s="89"/>
      <c r="C815" s="89"/>
      <c r="E815" s="89"/>
      <c r="F815" s="89"/>
    </row>
    <row r="816" ht="15.75" customHeight="1">
      <c r="A816" s="89"/>
      <c r="C816" s="89"/>
      <c r="E816" s="89"/>
      <c r="F816" s="89"/>
    </row>
    <row r="817" ht="15.75" customHeight="1">
      <c r="A817" s="89"/>
      <c r="C817" s="89"/>
      <c r="E817" s="89"/>
      <c r="F817" s="89"/>
    </row>
    <row r="818" ht="15.75" customHeight="1">
      <c r="A818" s="89"/>
      <c r="C818" s="89"/>
      <c r="E818" s="89"/>
      <c r="F818" s="89"/>
    </row>
    <row r="819" ht="15.75" customHeight="1">
      <c r="A819" s="89"/>
      <c r="C819" s="89"/>
      <c r="E819" s="89"/>
      <c r="F819" s="89"/>
    </row>
    <row r="820" ht="15.75" customHeight="1">
      <c r="A820" s="89"/>
      <c r="C820" s="89"/>
      <c r="E820" s="89"/>
      <c r="F820" s="89"/>
    </row>
    <row r="821" ht="15.75" customHeight="1">
      <c r="A821" s="89"/>
      <c r="C821" s="89"/>
      <c r="E821" s="89"/>
      <c r="F821" s="89"/>
    </row>
    <row r="822" ht="15.75" customHeight="1">
      <c r="A822" s="89"/>
      <c r="C822" s="89"/>
      <c r="E822" s="89"/>
      <c r="F822" s="89"/>
    </row>
    <row r="823" ht="15.75" customHeight="1">
      <c r="A823" s="89"/>
      <c r="C823" s="89"/>
      <c r="E823" s="89"/>
      <c r="F823" s="89"/>
    </row>
    <row r="824" ht="15.75" customHeight="1">
      <c r="A824" s="89"/>
      <c r="C824" s="89"/>
      <c r="E824" s="89"/>
      <c r="F824" s="89"/>
    </row>
    <row r="825" ht="15.75" customHeight="1">
      <c r="A825" s="89"/>
      <c r="C825" s="89"/>
      <c r="E825" s="89"/>
      <c r="F825" s="89"/>
    </row>
    <row r="826" ht="15.75" customHeight="1">
      <c r="A826" s="89"/>
      <c r="C826" s="89"/>
      <c r="E826" s="89"/>
      <c r="F826" s="89"/>
    </row>
    <row r="827" ht="15.75" customHeight="1">
      <c r="A827" s="89"/>
      <c r="C827" s="89"/>
      <c r="E827" s="89"/>
      <c r="F827" s="89"/>
    </row>
    <row r="828" ht="15.75" customHeight="1">
      <c r="A828" s="89"/>
      <c r="C828" s="89"/>
      <c r="E828" s="89"/>
      <c r="F828" s="89"/>
    </row>
    <row r="829" ht="15.75" customHeight="1">
      <c r="A829" s="89"/>
      <c r="C829" s="89"/>
      <c r="E829" s="89"/>
      <c r="F829" s="89"/>
    </row>
    <row r="830" ht="15.75" customHeight="1">
      <c r="A830" s="89"/>
      <c r="C830" s="89"/>
      <c r="E830" s="89"/>
      <c r="F830" s="89"/>
    </row>
    <row r="831" ht="15.75" customHeight="1">
      <c r="A831" s="89"/>
      <c r="C831" s="89"/>
      <c r="E831" s="89"/>
      <c r="F831" s="89"/>
    </row>
    <row r="832" ht="15.75" customHeight="1">
      <c r="A832" s="89"/>
      <c r="C832" s="89"/>
      <c r="E832" s="89"/>
      <c r="F832" s="89"/>
    </row>
    <row r="833" ht="15.75" customHeight="1">
      <c r="A833" s="89"/>
      <c r="C833" s="89"/>
      <c r="E833" s="89"/>
      <c r="F833" s="89"/>
    </row>
    <row r="834" ht="15.75" customHeight="1">
      <c r="A834" s="89"/>
      <c r="C834" s="89"/>
      <c r="E834" s="89"/>
      <c r="F834" s="89"/>
    </row>
    <row r="835" ht="15.75" customHeight="1">
      <c r="A835" s="89"/>
      <c r="C835" s="89"/>
      <c r="E835" s="89"/>
      <c r="F835" s="89"/>
    </row>
    <row r="836" ht="15.75" customHeight="1">
      <c r="A836" s="89"/>
      <c r="C836" s="89"/>
      <c r="E836" s="89"/>
      <c r="F836" s="89"/>
    </row>
    <row r="837" ht="15.75" customHeight="1">
      <c r="A837" s="89"/>
      <c r="C837" s="89"/>
      <c r="E837" s="89"/>
      <c r="F837" s="89"/>
    </row>
    <row r="838" ht="15.75" customHeight="1">
      <c r="A838" s="89"/>
      <c r="C838" s="89"/>
      <c r="E838" s="89"/>
      <c r="F838" s="89"/>
    </row>
    <row r="839" ht="15.75" customHeight="1">
      <c r="A839" s="89"/>
      <c r="C839" s="89"/>
      <c r="E839" s="89"/>
      <c r="F839" s="89"/>
    </row>
    <row r="840" ht="15.75" customHeight="1">
      <c r="A840" s="89"/>
      <c r="C840" s="89"/>
      <c r="E840" s="89"/>
      <c r="F840" s="89"/>
    </row>
    <row r="841" ht="15.75" customHeight="1">
      <c r="A841" s="89"/>
      <c r="C841" s="89"/>
      <c r="E841" s="89"/>
      <c r="F841" s="89"/>
    </row>
    <row r="842" ht="15.75" customHeight="1">
      <c r="A842" s="89"/>
      <c r="C842" s="89"/>
      <c r="E842" s="89"/>
      <c r="F842" s="89"/>
    </row>
    <row r="843" ht="15.75" customHeight="1">
      <c r="A843" s="89"/>
      <c r="C843" s="89"/>
      <c r="E843" s="89"/>
      <c r="F843" s="89"/>
    </row>
    <row r="844" ht="15.75" customHeight="1">
      <c r="A844" s="89"/>
      <c r="C844" s="89"/>
      <c r="E844" s="89"/>
      <c r="F844" s="89"/>
    </row>
    <row r="845" ht="15.75" customHeight="1">
      <c r="A845" s="89"/>
      <c r="C845" s="89"/>
      <c r="E845" s="89"/>
      <c r="F845" s="89"/>
    </row>
    <row r="846" ht="15.75" customHeight="1">
      <c r="A846" s="89"/>
      <c r="C846" s="89"/>
      <c r="E846" s="89"/>
      <c r="F846" s="89"/>
    </row>
    <row r="847" ht="15.75" customHeight="1">
      <c r="A847" s="89"/>
      <c r="C847" s="89"/>
      <c r="E847" s="89"/>
      <c r="F847" s="89"/>
    </row>
    <row r="848" ht="15.75" customHeight="1">
      <c r="A848" s="89"/>
      <c r="C848" s="89"/>
      <c r="E848" s="89"/>
      <c r="F848" s="89"/>
    </row>
    <row r="849" ht="15.75" customHeight="1">
      <c r="A849" s="89"/>
      <c r="C849" s="89"/>
      <c r="E849" s="89"/>
      <c r="F849" s="89"/>
    </row>
    <row r="850" ht="15.75" customHeight="1">
      <c r="A850" s="89"/>
      <c r="C850" s="89"/>
      <c r="E850" s="89"/>
      <c r="F850" s="89"/>
    </row>
    <row r="851" ht="15.75" customHeight="1">
      <c r="A851" s="89"/>
      <c r="C851" s="89"/>
      <c r="E851" s="89"/>
      <c r="F851" s="89"/>
    </row>
    <row r="852" ht="15.75" customHeight="1">
      <c r="A852" s="89"/>
      <c r="C852" s="89"/>
      <c r="E852" s="89"/>
      <c r="F852" s="89"/>
    </row>
    <row r="853" ht="15.75" customHeight="1">
      <c r="A853" s="89"/>
      <c r="C853" s="89"/>
      <c r="E853" s="89"/>
      <c r="F853" s="89"/>
    </row>
    <row r="854" ht="15.75" customHeight="1">
      <c r="A854" s="89"/>
      <c r="C854" s="89"/>
      <c r="E854" s="89"/>
      <c r="F854" s="89"/>
    </row>
    <row r="855" ht="15.75" customHeight="1">
      <c r="A855" s="89"/>
      <c r="C855" s="89"/>
      <c r="E855" s="89"/>
      <c r="F855" s="89"/>
    </row>
    <row r="856" ht="15.75" customHeight="1">
      <c r="A856" s="89"/>
      <c r="C856" s="89"/>
      <c r="E856" s="89"/>
      <c r="F856" s="89"/>
    </row>
    <row r="857" ht="15.75" customHeight="1">
      <c r="A857" s="89"/>
      <c r="C857" s="89"/>
      <c r="E857" s="89"/>
      <c r="F857" s="89"/>
    </row>
    <row r="858" ht="15.75" customHeight="1">
      <c r="A858" s="89"/>
      <c r="C858" s="89"/>
      <c r="E858" s="89"/>
      <c r="F858" s="89"/>
    </row>
    <row r="859" ht="15.75" customHeight="1">
      <c r="A859" s="89"/>
      <c r="C859" s="89"/>
      <c r="E859" s="89"/>
      <c r="F859" s="89"/>
    </row>
    <row r="860" ht="15.75" customHeight="1">
      <c r="A860" s="89"/>
      <c r="C860" s="89"/>
      <c r="E860" s="89"/>
      <c r="F860" s="89"/>
    </row>
    <row r="861" ht="15.75" customHeight="1">
      <c r="A861" s="89"/>
      <c r="C861" s="89"/>
      <c r="E861" s="89"/>
      <c r="F861" s="89"/>
    </row>
    <row r="862" ht="15.75" customHeight="1">
      <c r="A862" s="89"/>
      <c r="C862" s="89"/>
      <c r="E862" s="89"/>
      <c r="F862" s="89"/>
    </row>
    <row r="863" ht="15.75" customHeight="1">
      <c r="A863" s="89"/>
      <c r="C863" s="89"/>
      <c r="E863" s="89"/>
      <c r="F863" s="89"/>
    </row>
    <row r="864" ht="15.75" customHeight="1">
      <c r="A864" s="89"/>
      <c r="C864" s="89"/>
      <c r="E864" s="89"/>
      <c r="F864" s="89"/>
    </row>
    <row r="865" ht="15.75" customHeight="1">
      <c r="A865" s="89"/>
      <c r="C865" s="89"/>
      <c r="E865" s="89"/>
      <c r="F865" s="89"/>
    </row>
    <row r="866" ht="15.75" customHeight="1">
      <c r="A866" s="89"/>
      <c r="C866" s="89"/>
      <c r="E866" s="89"/>
      <c r="F866" s="89"/>
    </row>
    <row r="867" ht="15.75" customHeight="1">
      <c r="A867" s="89"/>
      <c r="C867" s="89"/>
      <c r="E867" s="89"/>
      <c r="F867" s="89"/>
    </row>
    <row r="868" ht="15.75" customHeight="1">
      <c r="A868" s="89"/>
      <c r="C868" s="89"/>
      <c r="E868" s="89"/>
      <c r="F868" s="89"/>
    </row>
    <row r="869" ht="15.75" customHeight="1">
      <c r="A869" s="89"/>
      <c r="C869" s="89"/>
      <c r="E869" s="89"/>
      <c r="F869" s="89"/>
    </row>
    <row r="870" ht="15.75" customHeight="1">
      <c r="A870" s="89"/>
      <c r="C870" s="89"/>
      <c r="E870" s="89"/>
      <c r="F870" s="89"/>
    </row>
    <row r="871" ht="15.75" customHeight="1">
      <c r="A871" s="89"/>
      <c r="C871" s="89"/>
      <c r="E871" s="89"/>
      <c r="F871" s="89"/>
    </row>
    <row r="872" ht="15.75" customHeight="1">
      <c r="A872" s="89"/>
      <c r="C872" s="89"/>
      <c r="E872" s="89"/>
      <c r="F872" s="89"/>
    </row>
    <row r="873" ht="15.75" customHeight="1">
      <c r="A873" s="89"/>
      <c r="C873" s="89"/>
      <c r="E873" s="89"/>
      <c r="F873" s="89"/>
    </row>
    <row r="874" ht="15.75" customHeight="1">
      <c r="A874" s="89"/>
      <c r="C874" s="89"/>
      <c r="E874" s="89"/>
      <c r="F874" s="89"/>
    </row>
    <row r="875" ht="15.75" customHeight="1">
      <c r="A875" s="89"/>
      <c r="C875" s="89"/>
      <c r="E875" s="89"/>
      <c r="F875" s="89"/>
    </row>
    <row r="876" ht="15.75" customHeight="1">
      <c r="A876" s="89"/>
      <c r="C876" s="89"/>
      <c r="E876" s="89"/>
      <c r="F876" s="89"/>
    </row>
    <row r="877" ht="15.75" customHeight="1">
      <c r="A877" s="89"/>
      <c r="C877" s="89"/>
      <c r="E877" s="89"/>
      <c r="F877" s="89"/>
    </row>
    <row r="878" ht="15.75" customHeight="1">
      <c r="A878" s="89"/>
      <c r="C878" s="89"/>
      <c r="E878" s="89"/>
      <c r="F878" s="89"/>
    </row>
    <row r="879" ht="15.75" customHeight="1">
      <c r="A879" s="89"/>
      <c r="C879" s="89"/>
      <c r="E879" s="89"/>
      <c r="F879" s="89"/>
    </row>
    <row r="880" ht="15.75" customHeight="1">
      <c r="A880" s="89"/>
      <c r="C880" s="89"/>
      <c r="E880" s="89"/>
      <c r="F880" s="89"/>
    </row>
    <row r="881" ht="15.75" customHeight="1">
      <c r="A881" s="89"/>
      <c r="C881" s="89"/>
      <c r="E881" s="89"/>
      <c r="F881" s="89"/>
    </row>
    <row r="882" ht="15.75" customHeight="1">
      <c r="A882" s="89"/>
      <c r="C882" s="89"/>
      <c r="E882" s="89"/>
      <c r="F882" s="89"/>
    </row>
    <row r="883" ht="15.75" customHeight="1">
      <c r="A883" s="89"/>
      <c r="C883" s="89"/>
      <c r="E883" s="89"/>
      <c r="F883" s="89"/>
    </row>
    <row r="884" ht="15.75" customHeight="1">
      <c r="A884" s="89"/>
      <c r="C884" s="89"/>
      <c r="E884" s="89"/>
      <c r="F884" s="89"/>
    </row>
    <row r="885" ht="15.75" customHeight="1">
      <c r="A885" s="89"/>
      <c r="C885" s="89"/>
      <c r="E885" s="89"/>
      <c r="F885" s="89"/>
    </row>
    <row r="886" ht="15.75" customHeight="1">
      <c r="A886" s="89"/>
      <c r="C886" s="89"/>
      <c r="E886" s="89"/>
      <c r="F886" s="89"/>
    </row>
    <row r="887" ht="15.75" customHeight="1">
      <c r="A887" s="89"/>
      <c r="C887" s="89"/>
      <c r="E887" s="89"/>
      <c r="F887" s="89"/>
    </row>
    <row r="888" ht="15.75" customHeight="1">
      <c r="A888" s="89"/>
      <c r="C888" s="89"/>
      <c r="E888" s="89"/>
      <c r="F888" s="89"/>
    </row>
    <row r="889" ht="15.75" customHeight="1">
      <c r="A889" s="89"/>
      <c r="C889" s="89"/>
      <c r="E889" s="89"/>
      <c r="F889" s="89"/>
    </row>
    <row r="890" ht="15.75" customHeight="1">
      <c r="A890" s="89"/>
      <c r="C890" s="89"/>
      <c r="E890" s="89"/>
      <c r="F890" s="89"/>
    </row>
    <row r="891" ht="15.75" customHeight="1">
      <c r="A891" s="89"/>
      <c r="C891" s="89"/>
      <c r="E891" s="89"/>
      <c r="F891" s="89"/>
    </row>
    <row r="892" ht="15.75" customHeight="1">
      <c r="A892" s="89"/>
      <c r="C892" s="89"/>
      <c r="E892" s="89"/>
      <c r="F892" s="89"/>
    </row>
    <row r="893" ht="15.75" customHeight="1">
      <c r="A893" s="89"/>
      <c r="C893" s="89"/>
      <c r="E893" s="89"/>
      <c r="F893" s="89"/>
    </row>
    <row r="894" ht="15.75" customHeight="1">
      <c r="A894" s="89"/>
      <c r="C894" s="89"/>
      <c r="E894" s="89"/>
      <c r="F894" s="89"/>
    </row>
    <row r="895" ht="15.75" customHeight="1">
      <c r="A895" s="89"/>
      <c r="C895" s="89"/>
      <c r="E895" s="89"/>
      <c r="F895" s="89"/>
    </row>
    <row r="896" ht="15.75" customHeight="1">
      <c r="A896" s="89"/>
      <c r="C896" s="89"/>
      <c r="E896" s="89"/>
      <c r="F896" s="89"/>
    </row>
    <row r="897" ht="15.75" customHeight="1">
      <c r="A897" s="89"/>
      <c r="C897" s="89"/>
      <c r="E897" s="89"/>
      <c r="F897" s="89"/>
    </row>
    <row r="898" ht="15.75" customHeight="1">
      <c r="A898" s="89"/>
      <c r="C898" s="89"/>
      <c r="E898" s="89"/>
      <c r="F898" s="89"/>
    </row>
    <row r="899" ht="15.75" customHeight="1">
      <c r="A899" s="89"/>
      <c r="C899" s="89"/>
      <c r="E899" s="89"/>
      <c r="F899" s="89"/>
    </row>
    <row r="900" ht="15.75" customHeight="1">
      <c r="A900" s="89"/>
      <c r="C900" s="89"/>
      <c r="E900" s="89"/>
      <c r="F900" s="89"/>
    </row>
    <row r="901" ht="15.75" customHeight="1">
      <c r="A901" s="89"/>
      <c r="C901" s="89"/>
      <c r="E901" s="89"/>
      <c r="F901" s="89"/>
    </row>
    <row r="902" ht="15.75" customHeight="1">
      <c r="A902" s="89"/>
      <c r="C902" s="89"/>
      <c r="E902" s="89"/>
      <c r="F902" s="89"/>
    </row>
    <row r="903" ht="15.75" customHeight="1">
      <c r="A903" s="89"/>
      <c r="C903" s="89"/>
      <c r="E903" s="89"/>
      <c r="F903" s="89"/>
    </row>
    <row r="904" ht="15.75" customHeight="1">
      <c r="A904" s="89"/>
      <c r="C904" s="89"/>
      <c r="E904" s="89"/>
      <c r="F904" s="89"/>
    </row>
    <row r="905" ht="15.75" customHeight="1">
      <c r="A905" s="89"/>
      <c r="C905" s="89"/>
      <c r="E905" s="89"/>
      <c r="F905" s="89"/>
    </row>
    <row r="906" ht="15.75" customHeight="1">
      <c r="A906" s="89"/>
      <c r="C906" s="89"/>
      <c r="E906" s="89"/>
      <c r="F906" s="89"/>
    </row>
    <row r="907" ht="15.75" customHeight="1">
      <c r="A907" s="89"/>
      <c r="C907" s="89"/>
      <c r="E907" s="89"/>
      <c r="F907" s="89"/>
    </row>
    <row r="908" ht="15.75" customHeight="1">
      <c r="A908" s="89"/>
      <c r="C908" s="89"/>
      <c r="E908" s="89"/>
      <c r="F908" s="89"/>
    </row>
    <row r="909" ht="15.75" customHeight="1">
      <c r="A909" s="89"/>
      <c r="C909" s="89"/>
      <c r="E909" s="89"/>
      <c r="F909" s="89"/>
    </row>
    <row r="910" ht="15.75" customHeight="1">
      <c r="A910" s="89"/>
      <c r="C910" s="89"/>
      <c r="E910" s="89"/>
      <c r="F910" s="89"/>
    </row>
    <row r="911" ht="15.75" customHeight="1">
      <c r="A911" s="89"/>
      <c r="C911" s="89"/>
      <c r="E911" s="89"/>
      <c r="F911" s="89"/>
    </row>
    <row r="912" ht="15.75" customHeight="1">
      <c r="A912" s="89"/>
      <c r="C912" s="89"/>
      <c r="E912" s="89"/>
      <c r="F912" s="89"/>
    </row>
    <row r="913" ht="15.75" customHeight="1">
      <c r="A913" s="89"/>
      <c r="C913" s="89"/>
      <c r="E913" s="89"/>
      <c r="F913" s="89"/>
    </row>
    <row r="914" ht="15.75" customHeight="1">
      <c r="A914" s="89"/>
      <c r="C914" s="89"/>
      <c r="E914" s="89"/>
      <c r="F914" s="89"/>
    </row>
    <row r="915" ht="15.75" customHeight="1">
      <c r="A915" s="89"/>
      <c r="C915" s="89"/>
      <c r="E915" s="89"/>
      <c r="F915" s="89"/>
    </row>
    <row r="916" ht="15.75" customHeight="1">
      <c r="A916" s="89"/>
      <c r="C916" s="89"/>
      <c r="E916" s="89"/>
      <c r="F916" s="89"/>
    </row>
    <row r="917" ht="15.75" customHeight="1">
      <c r="A917" s="89"/>
      <c r="C917" s="89"/>
      <c r="E917" s="89"/>
      <c r="F917" s="89"/>
    </row>
    <row r="918" ht="15.75" customHeight="1">
      <c r="A918" s="89"/>
      <c r="C918" s="89"/>
      <c r="E918" s="89"/>
      <c r="F918" s="89"/>
    </row>
    <row r="919" ht="15.75" customHeight="1">
      <c r="A919" s="89"/>
      <c r="C919" s="89"/>
      <c r="E919" s="89"/>
      <c r="F919" s="89"/>
    </row>
    <row r="920" ht="15.75" customHeight="1">
      <c r="A920" s="89"/>
      <c r="C920" s="89"/>
      <c r="E920" s="89"/>
      <c r="F920" s="89"/>
    </row>
    <row r="921" ht="15.75" customHeight="1">
      <c r="A921" s="89"/>
      <c r="C921" s="89"/>
      <c r="E921" s="89"/>
      <c r="F921" s="89"/>
    </row>
    <row r="922" ht="15.75" customHeight="1">
      <c r="A922" s="89"/>
      <c r="C922" s="89"/>
      <c r="E922" s="89"/>
      <c r="F922" s="89"/>
    </row>
    <row r="923" ht="15.75" customHeight="1">
      <c r="A923" s="89"/>
      <c r="C923" s="89"/>
      <c r="E923" s="89"/>
      <c r="F923" s="89"/>
    </row>
    <row r="924" ht="15.75" customHeight="1">
      <c r="A924" s="89"/>
      <c r="C924" s="89"/>
      <c r="E924" s="89"/>
      <c r="F924" s="89"/>
    </row>
    <row r="925" ht="15.75" customHeight="1">
      <c r="A925" s="89"/>
      <c r="C925" s="89"/>
      <c r="E925" s="89"/>
      <c r="F925" s="89"/>
    </row>
    <row r="926" ht="15.75" customHeight="1">
      <c r="A926" s="89"/>
      <c r="C926" s="89"/>
      <c r="E926" s="89"/>
      <c r="F926" s="89"/>
    </row>
    <row r="927" ht="15.75" customHeight="1">
      <c r="A927" s="89"/>
      <c r="C927" s="89"/>
      <c r="E927" s="89"/>
      <c r="F927" s="89"/>
    </row>
    <row r="928" ht="15.75" customHeight="1">
      <c r="A928" s="89"/>
      <c r="C928" s="89"/>
      <c r="E928" s="89"/>
      <c r="F928" s="89"/>
    </row>
    <row r="929" ht="15.75" customHeight="1">
      <c r="A929" s="89"/>
      <c r="C929" s="89"/>
      <c r="E929" s="89"/>
      <c r="F929" s="89"/>
    </row>
    <row r="930" ht="15.75" customHeight="1">
      <c r="A930" s="89"/>
      <c r="C930" s="89"/>
      <c r="E930" s="89"/>
      <c r="F930" s="89"/>
    </row>
    <row r="931" ht="15.75" customHeight="1">
      <c r="A931" s="89"/>
      <c r="C931" s="89"/>
      <c r="E931" s="89"/>
      <c r="F931" s="89"/>
    </row>
    <row r="932" ht="15.75" customHeight="1">
      <c r="A932" s="89"/>
      <c r="C932" s="89"/>
      <c r="E932" s="89"/>
      <c r="F932" s="89"/>
    </row>
    <row r="933" ht="15.75" customHeight="1">
      <c r="A933" s="89"/>
      <c r="C933" s="89"/>
      <c r="E933" s="89"/>
      <c r="F933" s="89"/>
    </row>
    <row r="934" ht="15.75" customHeight="1">
      <c r="A934" s="89"/>
      <c r="C934" s="89"/>
      <c r="E934" s="89"/>
      <c r="F934" s="89"/>
    </row>
    <row r="935" ht="15.75" customHeight="1">
      <c r="A935" s="89"/>
      <c r="C935" s="89"/>
      <c r="E935" s="89"/>
      <c r="F935" s="89"/>
    </row>
    <row r="936" ht="15.75" customHeight="1">
      <c r="A936" s="89"/>
      <c r="C936" s="89"/>
      <c r="E936" s="89"/>
      <c r="F936" s="89"/>
    </row>
    <row r="937" ht="15.75" customHeight="1">
      <c r="A937" s="89"/>
      <c r="C937" s="89"/>
      <c r="E937" s="89"/>
      <c r="F937" s="89"/>
    </row>
    <row r="938" ht="15.75" customHeight="1">
      <c r="A938" s="89"/>
      <c r="C938" s="89"/>
      <c r="E938" s="89"/>
      <c r="F938" s="89"/>
    </row>
    <row r="939" ht="15.75" customHeight="1">
      <c r="A939" s="89"/>
      <c r="C939" s="89"/>
      <c r="E939" s="89"/>
      <c r="F939" s="89"/>
    </row>
    <row r="940" ht="15.75" customHeight="1">
      <c r="A940" s="89"/>
      <c r="C940" s="89"/>
      <c r="E940" s="89"/>
      <c r="F940" s="89"/>
    </row>
    <row r="941" ht="15.75" customHeight="1">
      <c r="A941" s="89"/>
      <c r="C941" s="89"/>
      <c r="E941" s="89"/>
      <c r="F941" s="89"/>
    </row>
    <row r="942" ht="15.75" customHeight="1">
      <c r="A942" s="89"/>
      <c r="C942" s="89"/>
      <c r="E942" s="89"/>
      <c r="F942" s="89"/>
    </row>
    <row r="943" ht="15.75" customHeight="1">
      <c r="A943" s="89"/>
      <c r="C943" s="89"/>
      <c r="E943" s="89"/>
      <c r="F943" s="89"/>
    </row>
    <row r="944" ht="15.75" customHeight="1">
      <c r="A944" s="89"/>
      <c r="C944" s="89"/>
      <c r="E944" s="89"/>
      <c r="F944" s="89"/>
    </row>
    <row r="945" ht="15.75" customHeight="1">
      <c r="A945" s="89"/>
      <c r="C945" s="89"/>
      <c r="E945" s="89"/>
      <c r="F945" s="89"/>
    </row>
    <row r="946" ht="15.75" customHeight="1">
      <c r="A946" s="89"/>
      <c r="C946" s="89"/>
      <c r="E946" s="89"/>
      <c r="F946" s="89"/>
    </row>
    <row r="947" ht="15.75" customHeight="1">
      <c r="A947" s="89"/>
      <c r="C947" s="89"/>
      <c r="E947" s="89"/>
      <c r="F947" s="89"/>
    </row>
    <row r="948" ht="15.75" customHeight="1">
      <c r="A948" s="89"/>
      <c r="C948" s="89"/>
      <c r="E948" s="89"/>
      <c r="F948" s="89"/>
    </row>
    <row r="949" ht="15.75" customHeight="1">
      <c r="A949" s="89"/>
      <c r="C949" s="89"/>
      <c r="E949" s="89"/>
      <c r="F949" s="89"/>
    </row>
    <row r="950" ht="15.75" customHeight="1">
      <c r="A950" s="89"/>
      <c r="C950" s="89"/>
      <c r="E950" s="89"/>
      <c r="F950" s="89"/>
    </row>
    <row r="951" ht="15.75" customHeight="1">
      <c r="A951" s="89"/>
      <c r="C951" s="89"/>
      <c r="E951" s="89"/>
      <c r="F951" s="89"/>
    </row>
    <row r="952" ht="15.75" customHeight="1">
      <c r="A952" s="89"/>
      <c r="C952" s="89"/>
      <c r="E952" s="89"/>
      <c r="F952" s="89"/>
    </row>
    <row r="953" ht="15.75" customHeight="1">
      <c r="A953" s="89"/>
      <c r="C953" s="89"/>
      <c r="E953" s="89"/>
      <c r="F953" s="89"/>
    </row>
    <row r="954" ht="15.75" customHeight="1">
      <c r="A954" s="89"/>
      <c r="C954" s="89"/>
      <c r="E954" s="89"/>
      <c r="F954" s="89"/>
    </row>
    <row r="955" ht="15.75" customHeight="1">
      <c r="A955" s="89"/>
      <c r="C955" s="89"/>
      <c r="E955" s="89"/>
      <c r="F955" s="89"/>
    </row>
    <row r="956" ht="15.75" customHeight="1">
      <c r="A956" s="89"/>
      <c r="C956" s="89"/>
      <c r="E956" s="89"/>
      <c r="F956" s="89"/>
    </row>
    <row r="957" ht="15.75" customHeight="1">
      <c r="A957" s="89"/>
      <c r="C957" s="89"/>
      <c r="E957" s="89"/>
      <c r="F957" s="89"/>
    </row>
    <row r="958" ht="15.75" customHeight="1">
      <c r="A958" s="89"/>
      <c r="C958" s="89"/>
      <c r="E958" s="89"/>
      <c r="F958" s="89"/>
    </row>
    <row r="959" ht="15.75" customHeight="1">
      <c r="A959" s="89"/>
      <c r="C959" s="89"/>
      <c r="E959" s="89"/>
      <c r="F959" s="89"/>
    </row>
    <row r="960" ht="15.75" customHeight="1">
      <c r="A960" s="89"/>
      <c r="C960" s="89"/>
      <c r="E960" s="89"/>
      <c r="F960" s="89"/>
    </row>
    <row r="961" ht="15.75" customHeight="1">
      <c r="A961" s="89"/>
      <c r="C961" s="89"/>
      <c r="E961" s="89"/>
      <c r="F961" s="89"/>
    </row>
    <row r="962" ht="15.75" customHeight="1">
      <c r="A962" s="89"/>
      <c r="C962" s="89"/>
      <c r="E962" s="89"/>
      <c r="F962" s="89"/>
    </row>
    <row r="963" ht="15.75" customHeight="1">
      <c r="A963" s="89"/>
      <c r="C963" s="89"/>
      <c r="E963" s="89"/>
      <c r="F963" s="89"/>
    </row>
    <row r="964" ht="15.75" customHeight="1">
      <c r="A964" s="89"/>
      <c r="C964" s="89"/>
      <c r="E964" s="89"/>
      <c r="F964" s="89"/>
    </row>
    <row r="965" ht="15.75" customHeight="1">
      <c r="A965" s="89"/>
      <c r="C965" s="89"/>
      <c r="E965" s="89"/>
      <c r="F965" s="89"/>
    </row>
    <row r="966" ht="15.75" customHeight="1">
      <c r="A966" s="89"/>
      <c r="C966" s="89"/>
      <c r="E966" s="89"/>
      <c r="F966" s="89"/>
    </row>
    <row r="967" ht="15.75" customHeight="1">
      <c r="A967" s="89"/>
      <c r="C967" s="89"/>
      <c r="E967" s="89"/>
      <c r="F967" s="89"/>
    </row>
    <row r="968" ht="15.75" customHeight="1">
      <c r="A968" s="89"/>
      <c r="C968" s="89"/>
      <c r="E968" s="89"/>
      <c r="F968" s="89"/>
    </row>
    <row r="969" ht="15.75" customHeight="1">
      <c r="A969" s="89"/>
      <c r="C969" s="89"/>
      <c r="E969" s="89"/>
      <c r="F969" s="89"/>
    </row>
    <row r="970" ht="15.75" customHeight="1">
      <c r="A970" s="89"/>
      <c r="C970" s="89"/>
      <c r="E970" s="89"/>
      <c r="F970" s="89"/>
    </row>
    <row r="971" ht="15.75" customHeight="1">
      <c r="A971" s="89"/>
      <c r="C971" s="89"/>
      <c r="E971" s="89"/>
      <c r="F971" s="89"/>
    </row>
    <row r="972" ht="15.75" customHeight="1">
      <c r="A972" s="89"/>
      <c r="C972" s="89"/>
      <c r="E972" s="89"/>
      <c r="F972" s="89"/>
    </row>
    <row r="973" ht="15.75" customHeight="1">
      <c r="A973" s="89"/>
      <c r="C973" s="89"/>
      <c r="E973" s="89"/>
      <c r="F973" s="89"/>
    </row>
    <row r="974" ht="15.75" customHeight="1">
      <c r="A974" s="89"/>
      <c r="C974" s="89"/>
      <c r="E974" s="89"/>
      <c r="F974" s="89"/>
    </row>
    <row r="975" ht="15.75" customHeight="1">
      <c r="A975" s="89"/>
      <c r="C975" s="89"/>
      <c r="E975" s="89"/>
      <c r="F975" s="89"/>
    </row>
    <row r="976" ht="15.75" customHeight="1">
      <c r="A976" s="89"/>
      <c r="C976" s="89"/>
      <c r="E976" s="89"/>
      <c r="F976" s="89"/>
    </row>
    <row r="977" ht="15.75" customHeight="1">
      <c r="A977" s="89"/>
      <c r="C977" s="89"/>
      <c r="E977" s="89"/>
      <c r="F977" s="89"/>
    </row>
    <row r="978" ht="15.75" customHeight="1">
      <c r="A978" s="89"/>
      <c r="C978" s="89"/>
      <c r="E978" s="89"/>
      <c r="F978" s="89"/>
    </row>
    <row r="979" ht="15.75" customHeight="1">
      <c r="A979" s="89"/>
      <c r="C979" s="89"/>
      <c r="E979" s="89"/>
      <c r="F979" s="89"/>
    </row>
    <row r="980" ht="15.75" customHeight="1">
      <c r="A980" s="89"/>
      <c r="C980" s="89"/>
      <c r="E980" s="89"/>
      <c r="F980" s="89"/>
    </row>
    <row r="981" ht="15.75" customHeight="1">
      <c r="A981" s="89"/>
      <c r="C981" s="89"/>
      <c r="E981" s="89"/>
      <c r="F981" s="89"/>
    </row>
    <row r="982" ht="15.75" customHeight="1">
      <c r="A982" s="89"/>
      <c r="C982" s="89"/>
      <c r="E982" s="89"/>
      <c r="F982" s="89"/>
    </row>
    <row r="983" ht="15.75" customHeight="1">
      <c r="A983" s="89"/>
      <c r="C983" s="89"/>
      <c r="E983" s="89"/>
      <c r="F983" s="89"/>
    </row>
    <row r="984" ht="15.75" customHeight="1">
      <c r="A984" s="89"/>
      <c r="C984" s="89"/>
      <c r="E984" s="89"/>
      <c r="F984" s="89"/>
    </row>
    <row r="985" ht="15.75" customHeight="1">
      <c r="A985" s="89"/>
      <c r="C985" s="89"/>
      <c r="E985" s="89"/>
      <c r="F985" s="89"/>
    </row>
    <row r="986" ht="15.75" customHeight="1">
      <c r="A986" s="89"/>
      <c r="C986" s="89"/>
      <c r="E986" s="89"/>
      <c r="F986" s="89"/>
    </row>
    <row r="987" ht="15.75" customHeight="1">
      <c r="A987" s="89"/>
      <c r="C987" s="89"/>
      <c r="E987" s="89"/>
      <c r="F987" s="89"/>
    </row>
    <row r="988" ht="15.75" customHeight="1">
      <c r="A988" s="89"/>
      <c r="C988" s="89"/>
      <c r="E988" s="89"/>
      <c r="F988" s="89"/>
    </row>
    <row r="989" ht="15.75" customHeight="1">
      <c r="A989" s="89"/>
      <c r="C989" s="89"/>
      <c r="E989" s="89"/>
      <c r="F989" s="89"/>
    </row>
    <row r="990" ht="15.75" customHeight="1">
      <c r="A990" s="89"/>
      <c r="C990" s="89"/>
      <c r="E990" s="89"/>
      <c r="F990" s="89"/>
    </row>
    <row r="991" ht="15.75" customHeight="1">
      <c r="A991" s="89"/>
      <c r="C991" s="89"/>
      <c r="E991" s="89"/>
      <c r="F991" s="89"/>
    </row>
    <row r="992" ht="15.75" customHeight="1">
      <c r="A992" s="89"/>
      <c r="C992" s="89"/>
      <c r="E992" s="89"/>
      <c r="F992" s="89"/>
    </row>
    <row r="993" ht="15.75" customHeight="1">
      <c r="A993" s="89"/>
      <c r="C993" s="89"/>
      <c r="E993" s="89"/>
      <c r="F993" s="89"/>
    </row>
    <row r="994" ht="15.75" customHeight="1">
      <c r="A994" s="89"/>
      <c r="C994" s="89"/>
      <c r="E994" s="89"/>
      <c r="F994" s="89"/>
    </row>
    <row r="995" ht="15.75" customHeight="1">
      <c r="A995" s="89"/>
      <c r="C995" s="89"/>
      <c r="E995" s="89"/>
      <c r="F995" s="89"/>
    </row>
    <row r="996" ht="15.75" customHeight="1">
      <c r="A996" s="89"/>
      <c r="C996" s="89"/>
      <c r="E996" s="89"/>
      <c r="F996" s="89"/>
    </row>
    <row r="997" ht="15.75" customHeight="1">
      <c r="A997" s="89"/>
      <c r="C997" s="89"/>
      <c r="E997" s="89"/>
      <c r="F997" s="89"/>
    </row>
    <row r="998" ht="15.75" customHeight="1">
      <c r="A998" s="89"/>
      <c r="C998" s="89"/>
      <c r="E998" s="89"/>
      <c r="F998" s="89"/>
    </row>
    <row r="999" ht="15.75" customHeight="1">
      <c r="A999" s="89"/>
      <c r="C999" s="89"/>
      <c r="E999" s="89"/>
      <c r="F999" s="89"/>
    </row>
    <row r="1000" ht="15.75" customHeight="1">
      <c r="A1000" s="89"/>
      <c r="C1000" s="89"/>
      <c r="E1000" s="89"/>
      <c r="F1000" s="89"/>
    </row>
  </sheetData>
  <autoFilter ref="$A$1:$AA$425"/>
  <conditionalFormatting sqref="E1:F1000 G1:K1">
    <cfRule type="containsText" dxfId="4" priority="1" operator="containsText" text="listo P/cheq">
      <formula>NOT(ISERROR(SEARCH(("listo P/cheq"),(E1))))</formula>
    </cfRule>
  </conditionalFormatting>
  <conditionalFormatting sqref="E1:F1000 G1:K1">
    <cfRule type="containsText" dxfId="5" priority="2" operator="containsText" text="en proceso">
      <formula>NOT(ISERROR(SEARCH(("en proceso"),(E1))))</formula>
    </cfRule>
  </conditionalFormatting>
  <conditionalFormatting sqref="F1:F1000">
    <cfRule type="containsText" dxfId="6" priority="3" operator="containsText" text="APROBADO">
      <formula>NOT(ISERROR(SEARCH(("APROBADO"),(F1))))</formula>
    </cfRule>
  </conditionalFormatting>
  <dataValidations>
    <dataValidation type="custom" allowBlank="1" showDropDown="1" sqref="A2:A1000 C2:C1000">
      <formula1>OR(NOT(ISERROR(DATEVALUE(A2))), AND(ISNUMBER(A2), LEFT(CELL("format", A2))="D"))</formula1>
    </dataValidation>
    <dataValidation type="list" allowBlank="1" showErrorMessage="1" sqref="F2:F1000">
      <formula1>"LISTO P/CHEQ,EN PROCESO,APROBADO,-"</formula1>
    </dataValidation>
    <dataValidation type="custom" allowBlank="1" showDropDown="1" sqref="E2:E1000">
      <formula1>AND(ISNUMBER(E2),(NOT(OR(NOT(ISERROR(DATEVALUE(E2))), AND(ISNUMBER(E2), LEFT(CELL("format", E2))="D")))))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15.14"/>
    <col customWidth="1" min="3" max="3" width="12.0"/>
    <col customWidth="1" min="4" max="4" width="18.29"/>
    <col customWidth="1" min="5" max="5" width="58.86"/>
    <col customWidth="1" min="6" max="6" width="12.14"/>
    <col customWidth="1" min="7" max="7" width="9.43"/>
    <col customWidth="1" min="8" max="8" width="8.43"/>
    <col customWidth="1" min="9" max="9" width="12.29"/>
    <col customWidth="1" min="10" max="10" width="26.43"/>
    <col customWidth="1" min="11" max="11" width="10.57"/>
    <col customWidth="1" min="12" max="12" width="22.14"/>
    <col customWidth="1" min="13" max="13" width="25.43"/>
    <col customWidth="1" min="15" max="15" width="32.71"/>
  </cols>
  <sheetData>
    <row r="1" ht="33.75" customHeight="1">
      <c r="A1" s="90" t="s">
        <v>469</v>
      </c>
      <c r="B1" s="91" t="s">
        <v>1</v>
      </c>
      <c r="C1" s="92" t="s">
        <v>2</v>
      </c>
      <c r="D1" s="93" t="s">
        <v>3</v>
      </c>
      <c r="E1" s="94" t="s">
        <v>4</v>
      </c>
      <c r="F1" s="94" t="s">
        <v>470</v>
      </c>
      <c r="G1" s="94" t="s">
        <v>471</v>
      </c>
      <c r="H1" s="92" t="s">
        <v>5</v>
      </c>
      <c r="I1" s="90" t="s">
        <v>472</v>
      </c>
      <c r="J1" s="90" t="s">
        <v>473</v>
      </c>
      <c r="K1" s="90" t="s">
        <v>474</v>
      </c>
      <c r="L1" s="92" t="s">
        <v>8</v>
      </c>
      <c r="M1" s="90" t="s">
        <v>475</v>
      </c>
      <c r="N1" s="95" t="s">
        <v>476</v>
      </c>
      <c r="O1" s="96" t="s">
        <v>477</v>
      </c>
    </row>
    <row r="2" ht="22.5" hidden="1" customHeight="1">
      <c r="A2" s="49">
        <f>PEDIDOS!A2</f>
        <v>25293</v>
      </c>
      <c r="B2" s="81">
        <f>PEDIDOS!B2</f>
        <v>46035</v>
      </c>
      <c r="C2" s="97">
        <f>PEDIDOS!C2</f>
        <v>163</v>
      </c>
      <c r="D2" s="81" t="str">
        <f>PEDIDOS!D2</f>
        <v>THE MINIMAL CO</v>
      </c>
      <c r="E2" s="81" t="str">
        <f>PEDIDOS!E2</f>
        <v>MILKY TONER</v>
      </c>
      <c r="F2" s="98">
        <f>PEDIDOS!G2</f>
        <v>900</v>
      </c>
      <c r="G2" s="98">
        <f>25*35+24</f>
        <v>899</v>
      </c>
      <c r="H2" s="97" t="str">
        <f>PEDIDOS!F2</f>
        <v>P</v>
      </c>
      <c r="I2" s="99">
        <f t="shared" ref="I2:I132" si="1">IF(G2&lt;&gt;"",-(F2-G2)/F2+1, "")</f>
        <v>0.9988888889</v>
      </c>
      <c r="J2" s="49" t="s">
        <v>478</v>
      </c>
      <c r="K2" s="100">
        <v>46076.0</v>
      </c>
      <c r="L2" s="49" t="str">
        <f t="shared" ref="L2:L681" si="2">IF(N2&lt;&gt;"","ENTREGADO",IF(K2&lt;&gt;"","LISTO PARA ENTREGAR","EN PROCESO" ))</f>
        <v>ENTREGADO</v>
      </c>
      <c r="M2" s="49" t="s">
        <v>479</v>
      </c>
      <c r="N2" s="49">
        <v>3351.0</v>
      </c>
    </row>
    <row r="3" ht="22.5" hidden="1" customHeight="1">
      <c r="A3" s="101">
        <f>PEDIDOS!A3</f>
        <v>25294</v>
      </c>
      <c r="B3" s="102">
        <f>PEDIDOS!B3</f>
        <v>46035</v>
      </c>
      <c r="C3" s="103">
        <f>PEDIDOS!C3</f>
        <v>14297</v>
      </c>
      <c r="D3" s="102" t="str">
        <f>PEDIDOS!D3</f>
        <v>JACTANS</v>
      </c>
      <c r="E3" s="102" t="str">
        <f>PEDIDOS!E3</f>
        <v>JS-941 AGUA MICELAR BIFASCIA</v>
      </c>
      <c r="F3" s="104">
        <f>PEDIDOS!G3</f>
        <v>1000</v>
      </c>
      <c r="G3" s="104">
        <v>1011.0</v>
      </c>
      <c r="H3" s="103" t="str">
        <f>PEDIDOS!F3</f>
        <v>P</v>
      </c>
      <c r="I3" s="99">
        <f t="shared" si="1"/>
        <v>1.011</v>
      </c>
      <c r="J3" s="101" t="s">
        <v>480</v>
      </c>
      <c r="K3" s="105">
        <v>46080.0</v>
      </c>
      <c r="L3" s="101" t="str">
        <f t="shared" si="2"/>
        <v>ENTREGADO</v>
      </c>
      <c r="M3" s="101" t="s">
        <v>481</v>
      </c>
      <c r="N3" s="101">
        <v>3376.0</v>
      </c>
    </row>
    <row r="4" ht="22.5" hidden="1" customHeight="1">
      <c r="A4" s="49">
        <f>PEDIDOS!A4</f>
        <v>25295</v>
      </c>
      <c r="B4" s="81">
        <f>PEDIDOS!B4</f>
        <v>46035</v>
      </c>
      <c r="C4" s="97">
        <f>PEDIDOS!C4</f>
        <v>15074</v>
      </c>
      <c r="D4" s="81" t="str">
        <f>PEDIDOS!D4</f>
        <v>THELMA Y LOUISE</v>
      </c>
      <c r="E4" s="81" t="str">
        <f>PEDIDOS!E4</f>
        <v>AGUA TERMAL</v>
      </c>
      <c r="F4" s="98">
        <f>PEDIDOS!G4</f>
        <v>2940</v>
      </c>
      <c r="G4" s="98">
        <v>2912.0</v>
      </c>
      <c r="H4" s="97" t="str">
        <f>PEDIDOS!F4</f>
        <v>P</v>
      </c>
      <c r="I4" s="99">
        <f t="shared" si="1"/>
        <v>0.9904761905</v>
      </c>
      <c r="J4" s="49" t="s">
        <v>482</v>
      </c>
      <c r="K4" s="106">
        <v>46083.0</v>
      </c>
      <c r="L4" s="49" t="str">
        <f t="shared" si="2"/>
        <v>ENTREGADO</v>
      </c>
      <c r="M4" s="49" t="s">
        <v>483</v>
      </c>
      <c r="N4" s="49">
        <v>3368.0</v>
      </c>
    </row>
    <row r="5" ht="22.5" hidden="1" customHeight="1">
      <c r="A5" s="101">
        <f>PEDIDOS!A5</f>
        <v>25296</v>
      </c>
      <c r="B5" s="102">
        <f>PEDIDOS!B5</f>
        <v>46035</v>
      </c>
      <c r="C5" s="103" t="str">
        <f>PEDIDOS!C5</f>
        <v/>
      </c>
      <c r="D5" s="102" t="str">
        <f>PEDIDOS!D5</f>
        <v>LIORA</v>
      </c>
      <c r="E5" s="102" t="str">
        <f>PEDIDOS!E5</f>
        <v>CREMA PARA PEINAR RULOS</v>
      </c>
      <c r="F5" s="104">
        <f>PEDIDOS!G5</f>
        <v>170</v>
      </c>
      <c r="G5" s="107">
        <v>147.0</v>
      </c>
      <c r="H5" s="103" t="str">
        <f>PEDIDOS!F5</f>
        <v>P</v>
      </c>
      <c r="I5" s="99">
        <f t="shared" si="1"/>
        <v>0.8647058824</v>
      </c>
      <c r="J5" s="108" t="s">
        <v>484</v>
      </c>
      <c r="K5" s="109">
        <v>46161.0</v>
      </c>
      <c r="L5" s="101" t="str">
        <f t="shared" si="2"/>
        <v>ENTREGADO</v>
      </c>
      <c r="M5" s="108" t="s">
        <v>485</v>
      </c>
      <c r="N5" s="108">
        <v>3496.0</v>
      </c>
    </row>
    <row r="6" ht="22.5" hidden="1" customHeight="1">
      <c r="A6" s="49">
        <f>PEDIDOS!A6</f>
        <v>25298</v>
      </c>
      <c r="B6" s="81">
        <f>PEDIDOS!B6</f>
        <v>46042</v>
      </c>
      <c r="C6" s="97" t="str">
        <f>PEDIDOS!C6</f>
        <v>P01203</v>
      </c>
      <c r="D6" s="81" t="str">
        <f>PEDIDOS!D6</f>
        <v>BIOESENCIA</v>
      </c>
      <c r="E6" s="81" t="str">
        <f>PEDIDOS!E6</f>
        <v>SERUM ORIGENES</v>
      </c>
      <c r="F6" s="98">
        <f>PEDIDOS!G6</f>
        <v>1600</v>
      </c>
      <c r="G6" s="98">
        <f>6*220+79+203</f>
        <v>1602</v>
      </c>
      <c r="H6" s="97" t="str">
        <f>PEDIDOS!F6</f>
        <v>P</v>
      </c>
      <c r="I6" s="99">
        <f t="shared" si="1"/>
        <v>1.00125</v>
      </c>
      <c r="J6" s="49" t="s">
        <v>486</v>
      </c>
      <c r="K6" s="100">
        <v>46077.0</v>
      </c>
      <c r="L6" s="49" t="str">
        <f t="shared" si="2"/>
        <v>ENTREGADO</v>
      </c>
      <c r="M6" s="49">
        <v>240201.0</v>
      </c>
      <c r="N6" s="49" t="s">
        <v>487</v>
      </c>
    </row>
    <row r="7" ht="22.5" hidden="1" customHeight="1">
      <c r="A7" s="101">
        <f>PEDIDOS!A7</f>
        <v>25299</v>
      </c>
      <c r="B7" s="102">
        <f>PEDIDOS!B7</f>
        <v>46042</v>
      </c>
      <c r="C7" s="103" t="str">
        <f>PEDIDOS!C7</f>
        <v/>
      </c>
      <c r="D7" s="102" t="str">
        <f>PEDIDOS!D7</f>
        <v>WSABI</v>
      </c>
      <c r="E7" s="102" t="str">
        <f>PEDIDOS!E7</f>
        <v>SERUM INTIMO</v>
      </c>
      <c r="F7" s="104">
        <f>PEDIDOS!G7</f>
        <v>300</v>
      </c>
      <c r="G7" s="104">
        <v>293.0</v>
      </c>
      <c r="H7" s="103" t="str">
        <f>PEDIDOS!F7</f>
        <v>P</v>
      </c>
      <c r="I7" s="99">
        <f t="shared" si="1"/>
        <v>0.9766666667</v>
      </c>
      <c r="J7" s="101" t="s">
        <v>488</v>
      </c>
      <c r="K7" s="110">
        <v>46087.0</v>
      </c>
      <c r="L7" s="101" t="str">
        <f t="shared" si="2"/>
        <v>ENTREGADO</v>
      </c>
      <c r="M7" s="101" t="s">
        <v>489</v>
      </c>
      <c r="N7" s="101">
        <v>3371.0</v>
      </c>
    </row>
    <row r="8" ht="22.5" hidden="1" customHeight="1">
      <c r="A8" s="49">
        <f>PEDIDOS!A8</f>
        <v>25300</v>
      </c>
      <c r="B8" s="81">
        <f>PEDIDOS!B8</f>
        <v>46042</v>
      </c>
      <c r="C8" s="97" t="str">
        <f>PEDIDOS!C8</f>
        <v/>
      </c>
      <c r="D8" s="81" t="str">
        <f>PEDIDOS!D8</f>
        <v>MERMER</v>
      </c>
      <c r="E8" s="81" t="str">
        <f>PEDIDOS!E8</f>
        <v>ACEITE CORPORAL LAVANDA</v>
      </c>
      <c r="F8" s="98">
        <f>PEDIDOS!G8</f>
        <v>300</v>
      </c>
      <c r="G8" s="98">
        <v>509.0</v>
      </c>
      <c r="H8" s="97" t="str">
        <f>PEDIDOS!F8</f>
        <v>P</v>
      </c>
      <c r="I8" s="99">
        <f t="shared" si="1"/>
        <v>1.696666667</v>
      </c>
      <c r="J8" s="49" t="s">
        <v>490</v>
      </c>
      <c r="K8" s="111">
        <v>46050.0</v>
      </c>
      <c r="L8" s="49" t="str">
        <f t="shared" si="2"/>
        <v>ENTREGADO</v>
      </c>
      <c r="M8" s="49" t="s">
        <v>491</v>
      </c>
      <c r="N8" s="49">
        <v>2997.0</v>
      </c>
    </row>
    <row r="9" ht="22.5" hidden="1" customHeight="1">
      <c r="A9" s="101">
        <f>PEDIDOS!A9</f>
        <v>25300</v>
      </c>
      <c r="B9" s="102">
        <f>PEDIDOS!B9</f>
        <v>46042</v>
      </c>
      <c r="C9" s="103" t="str">
        <f>PEDIDOS!C9</f>
        <v/>
      </c>
      <c r="D9" s="102" t="str">
        <f>PEDIDOS!D9</f>
        <v>MERMER</v>
      </c>
      <c r="E9" s="102" t="str">
        <f>PEDIDOS!E9</f>
        <v>ACEITE CORPORAL ALMENDRA</v>
      </c>
      <c r="F9" s="104">
        <f>PEDIDOS!G9</f>
        <v>300</v>
      </c>
      <c r="G9" s="104">
        <v>306.0</v>
      </c>
      <c r="H9" s="103" t="str">
        <f>PEDIDOS!F9</f>
        <v>P</v>
      </c>
      <c r="I9" s="99">
        <f t="shared" si="1"/>
        <v>1.02</v>
      </c>
      <c r="J9" s="101" t="s">
        <v>492</v>
      </c>
      <c r="K9" s="110">
        <v>46050.0</v>
      </c>
      <c r="L9" s="101" t="str">
        <f t="shared" si="2"/>
        <v>ENTREGADO</v>
      </c>
      <c r="M9" s="101" t="s">
        <v>493</v>
      </c>
      <c r="N9" s="101">
        <v>2997.0</v>
      </c>
    </row>
    <row r="10" ht="22.5" hidden="1" customHeight="1">
      <c r="A10" s="49">
        <f>PEDIDOS!A10</f>
        <v>25300</v>
      </c>
      <c r="B10" s="81">
        <f>PEDIDOS!B10</f>
        <v>46042</v>
      </c>
      <c r="C10" s="97" t="str">
        <f>PEDIDOS!C10</f>
        <v/>
      </c>
      <c r="D10" s="81" t="str">
        <f>PEDIDOS!D10</f>
        <v>MERMER</v>
      </c>
      <c r="E10" s="81" t="str">
        <f>PEDIDOS!E10</f>
        <v>ACEITE CORPORAL ROSAS</v>
      </c>
      <c r="F10" s="98">
        <f>PEDIDOS!G10</f>
        <v>300</v>
      </c>
      <c r="G10" s="98">
        <v>303.0</v>
      </c>
      <c r="H10" s="97" t="str">
        <f>PEDIDOS!F10</f>
        <v>P</v>
      </c>
      <c r="I10" s="99">
        <f t="shared" si="1"/>
        <v>1.01</v>
      </c>
      <c r="J10" s="49" t="s">
        <v>494</v>
      </c>
      <c r="K10" s="111">
        <v>46050.0</v>
      </c>
      <c r="L10" s="49" t="str">
        <f t="shared" si="2"/>
        <v>ENTREGADO</v>
      </c>
      <c r="M10" s="49" t="s">
        <v>495</v>
      </c>
      <c r="N10" s="49">
        <v>2997.0</v>
      </c>
    </row>
    <row r="11" ht="22.5" hidden="1" customHeight="1">
      <c r="A11" s="101">
        <f>PEDIDOS!A11</f>
        <v>25300</v>
      </c>
      <c r="B11" s="102">
        <f>PEDIDOS!B11</f>
        <v>46042</v>
      </c>
      <c r="C11" s="103" t="str">
        <f>PEDIDOS!C11</f>
        <v/>
      </c>
      <c r="D11" s="102" t="str">
        <f>PEDIDOS!D11</f>
        <v>MERMER</v>
      </c>
      <c r="E11" s="102" t="str">
        <f>PEDIDOS!E11</f>
        <v>ACEITE CORPORAL SESAMO</v>
      </c>
      <c r="F11" s="104">
        <f>PEDIDOS!G11</f>
        <v>300</v>
      </c>
      <c r="G11" s="104">
        <v>312.0</v>
      </c>
      <c r="H11" s="103" t="str">
        <f>PEDIDOS!F11</f>
        <v>P</v>
      </c>
      <c r="I11" s="99">
        <f t="shared" si="1"/>
        <v>1.04</v>
      </c>
      <c r="J11" s="101" t="s">
        <v>496</v>
      </c>
      <c r="K11" s="110">
        <v>46050.0</v>
      </c>
      <c r="L11" s="101" t="str">
        <f t="shared" si="2"/>
        <v>ENTREGADO</v>
      </c>
      <c r="M11" s="101" t="s">
        <v>497</v>
      </c>
      <c r="N11" s="101">
        <v>2997.0</v>
      </c>
    </row>
    <row r="12" ht="22.5" hidden="1" customHeight="1">
      <c r="A12" s="49">
        <f>PEDIDOS!A12</f>
        <v>25300</v>
      </c>
      <c r="B12" s="81">
        <f>PEDIDOS!B12</f>
        <v>46042</v>
      </c>
      <c r="C12" s="97" t="str">
        <f>PEDIDOS!C12</f>
        <v/>
      </c>
      <c r="D12" s="81" t="str">
        <f>PEDIDOS!D12</f>
        <v>MERMER</v>
      </c>
      <c r="E12" s="81" t="str">
        <f>PEDIDOS!E12</f>
        <v>ACEITE CORPORAL INCIENSO</v>
      </c>
      <c r="F12" s="98">
        <f>PEDIDOS!G12</f>
        <v>300</v>
      </c>
      <c r="G12" s="98">
        <v>306.0</v>
      </c>
      <c r="H12" s="97" t="str">
        <f>PEDIDOS!F12</f>
        <v>P</v>
      </c>
      <c r="I12" s="99">
        <f t="shared" si="1"/>
        <v>1.02</v>
      </c>
      <c r="J12" s="49" t="s">
        <v>492</v>
      </c>
      <c r="K12" s="111">
        <v>46050.0</v>
      </c>
      <c r="L12" s="49" t="str">
        <f t="shared" si="2"/>
        <v>ENTREGADO</v>
      </c>
      <c r="M12" s="49" t="s">
        <v>498</v>
      </c>
      <c r="N12" s="49">
        <v>2997.0</v>
      </c>
    </row>
    <row r="13" ht="22.5" hidden="1" customHeight="1">
      <c r="A13" s="101">
        <f>PEDIDOS!A13</f>
        <v>25300</v>
      </c>
      <c r="B13" s="102">
        <f>PEDIDOS!B13</f>
        <v>46042</v>
      </c>
      <c r="C13" s="103" t="str">
        <f>PEDIDOS!C13</f>
        <v/>
      </c>
      <c r="D13" s="102" t="str">
        <f>PEDIDOS!D13</f>
        <v>MERMER</v>
      </c>
      <c r="E13" s="102" t="str">
        <f>PEDIDOS!E13</f>
        <v>ACEITE CORPORAL ARNICA</v>
      </c>
      <c r="F13" s="104">
        <f>PEDIDOS!G13</f>
        <v>300</v>
      </c>
      <c r="G13" s="104">
        <v>304.0</v>
      </c>
      <c r="H13" s="103" t="str">
        <f>PEDIDOS!F13</f>
        <v>P</v>
      </c>
      <c r="I13" s="99">
        <f t="shared" si="1"/>
        <v>1.013333333</v>
      </c>
      <c r="J13" s="101" t="s">
        <v>499</v>
      </c>
      <c r="K13" s="110">
        <v>46050.0</v>
      </c>
      <c r="L13" s="101" t="str">
        <f t="shared" si="2"/>
        <v>ENTREGADO</v>
      </c>
      <c r="M13" s="101" t="s">
        <v>500</v>
      </c>
      <c r="N13" s="101">
        <v>2997.0</v>
      </c>
    </row>
    <row r="14" ht="22.5" hidden="1" customHeight="1">
      <c r="A14" s="49">
        <f>PEDIDOS!A14</f>
        <v>25300</v>
      </c>
      <c r="B14" s="81">
        <f>PEDIDOS!B14</f>
        <v>46042</v>
      </c>
      <c r="C14" s="97" t="str">
        <f>PEDIDOS!C14</f>
        <v/>
      </c>
      <c r="D14" s="81" t="str">
        <f>PEDIDOS!D14</f>
        <v>MERMER</v>
      </c>
      <c r="E14" s="81" t="str">
        <f>PEDIDOS!E14</f>
        <v>LOCION CAPILAR</v>
      </c>
      <c r="F14" s="98">
        <f>PEDIDOS!G14</f>
        <v>400</v>
      </c>
      <c r="G14" s="98">
        <f>8*46+32</f>
        <v>400</v>
      </c>
      <c r="H14" s="97" t="str">
        <f>PEDIDOS!F14</f>
        <v>P</v>
      </c>
      <c r="I14" s="99">
        <f t="shared" si="1"/>
        <v>1</v>
      </c>
      <c r="J14" s="49" t="s">
        <v>501</v>
      </c>
      <c r="K14" s="100">
        <v>46111.0</v>
      </c>
      <c r="L14" s="49" t="str">
        <f t="shared" si="2"/>
        <v>ENTREGADO</v>
      </c>
      <c r="M14" s="49" t="s">
        <v>502</v>
      </c>
      <c r="N14" s="49">
        <v>4312.0</v>
      </c>
    </row>
    <row r="15" ht="22.5" hidden="1" customHeight="1">
      <c r="A15" s="101">
        <f>PEDIDOS!A15</f>
        <v>25300</v>
      </c>
      <c r="B15" s="102">
        <f>PEDIDOS!B15</f>
        <v>46042</v>
      </c>
      <c r="C15" s="103" t="str">
        <f>PEDIDOS!C15</f>
        <v/>
      </c>
      <c r="D15" s="102" t="str">
        <f>PEDIDOS!D15</f>
        <v>MERMER</v>
      </c>
      <c r="E15" s="102" t="str">
        <f>PEDIDOS!E15</f>
        <v>SERUM CAPILAR</v>
      </c>
      <c r="F15" s="104">
        <f>PEDIDOS!G15</f>
        <v>400</v>
      </c>
      <c r="G15" s="104">
        <f>9*45+10</f>
        <v>415</v>
      </c>
      <c r="H15" s="103" t="str">
        <f>PEDIDOS!F15</f>
        <v>P</v>
      </c>
      <c r="I15" s="99">
        <f t="shared" si="1"/>
        <v>1.0375</v>
      </c>
      <c r="J15" s="101" t="s">
        <v>503</v>
      </c>
      <c r="K15" s="112">
        <v>46112.0</v>
      </c>
      <c r="L15" s="101" t="str">
        <f t="shared" si="2"/>
        <v>ENTREGADO</v>
      </c>
      <c r="M15" s="101" t="s">
        <v>504</v>
      </c>
      <c r="N15" s="101">
        <v>3412.0</v>
      </c>
    </row>
    <row r="16" ht="22.5" hidden="1" customHeight="1">
      <c r="A16" s="49">
        <f>PEDIDOS!A16</f>
        <v>25301</v>
      </c>
      <c r="B16" s="81">
        <f>PEDIDOS!B16</f>
        <v>46049</v>
      </c>
      <c r="C16" s="97">
        <f>PEDIDOS!C16</f>
        <v>1708</v>
      </c>
      <c r="D16" s="81" t="str">
        <f>PEDIDOS!D16</f>
        <v>LABORATORIO ONCE</v>
      </c>
      <c r="E16" s="81" t="str">
        <f>PEDIDOS!E16</f>
        <v>SERUM ACIDO HIALURONICO + NIACINAMIDA</v>
      </c>
      <c r="F16" s="98">
        <f>PEDIDOS!G16</f>
        <v>1653</v>
      </c>
      <c r="G16" s="98">
        <v>1549.0</v>
      </c>
      <c r="H16" s="97" t="str">
        <f>PEDIDOS!F16</f>
        <v>P</v>
      </c>
      <c r="I16" s="99">
        <f t="shared" si="1"/>
        <v>0.9370840895</v>
      </c>
      <c r="J16" s="49" t="s">
        <v>505</v>
      </c>
      <c r="K16" s="100">
        <v>46083.0</v>
      </c>
      <c r="L16" s="49" t="str">
        <f t="shared" si="2"/>
        <v>ENTREGADO</v>
      </c>
      <c r="M16" s="49" t="s">
        <v>506</v>
      </c>
      <c r="N16" s="49">
        <v>3362.0</v>
      </c>
    </row>
    <row r="17" ht="22.5" hidden="1" customHeight="1">
      <c r="A17" s="101">
        <f>PEDIDOS!A17</f>
        <v>25302</v>
      </c>
      <c r="B17" s="102">
        <f>PEDIDOS!B17</f>
        <v>46050</v>
      </c>
      <c r="C17" s="103">
        <f>PEDIDOS!C17</f>
        <v>15098</v>
      </c>
      <c r="D17" s="102" t="str">
        <f>PEDIDOS!D17</f>
        <v>THELMA Y LOUISE</v>
      </c>
      <c r="E17" s="102" t="str">
        <f>PEDIDOS!E17</f>
        <v>CREMA BIFASICA CHERRY</v>
      </c>
      <c r="F17" s="104">
        <f>PEDIDOS!G17</f>
        <v>1640</v>
      </c>
      <c r="G17" s="104">
        <f>37*37+22</f>
        <v>1391</v>
      </c>
      <c r="H17" s="103" t="str">
        <f>PEDIDOS!F17</f>
        <v>M</v>
      </c>
      <c r="I17" s="99">
        <f t="shared" si="1"/>
        <v>0.8481707317</v>
      </c>
      <c r="J17" s="101" t="s">
        <v>507</v>
      </c>
      <c r="K17" s="101"/>
      <c r="L17" s="101" t="str">
        <f t="shared" si="2"/>
        <v>ENTREGADO</v>
      </c>
      <c r="M17" s="101"/>
      <c r="N17" s="108">
        <v>7.0</v>
      </c>
    </row>
    <row r="18" ht="22.5" hidden="1" customHeight="1">
      <c r="A18" s="49">
        <f>PEDIDOS!A18</f>
        <v>25303</v>
      </c>
      <c r="B18" s="81">
        <f>PEDIDOS!B18</f>
        <v>46052</v>
      </c>
      <c r="C18" s="97" t="str">
        <f>PEDIDOS!C18</f>
        <v/>
      </c>
      <c r="D18" s="81" t="str">
        <f>PEDIDOS!D18</f>
        <v>ALL BEAUTY</v>
      </c>
      <c r="E18" s="81" t="str">
        <f>PEDIDOS!E18</f>
        <v>SERUM ACIDO HIALURONICO</v>
      </c>
      <c r="F18" s="98">
        <f>PEDIDOS!G18</f>
        <v>1000</v>
      </c>
      <c r="G18" s="98">
        <f>13*70+15</f>
        <v>925</v>
      </c>
      <c r="H18" s="97" t="str">
        <f>PEDIDOS!F18</f>
        <v>P</v>
      </c>
      <c r="I18" s="99">
        <f t="shared" si="1"/>
        <v>0.925</v>
      </c>
      <c r="J18" s="49" t="s">
        <v>508</v>
      </c>
      <c r="K18" s="100">
        <v>46077.0</v>
      </c>
      <c r="L18" s="49" t="str">
        <f t="shared" si="2"/>
        <v>ENTREGADO</v>
      </c>
      <c r="M18" s="49" t="s">
        <v>509</v>
      </c>
      <c r="N18" s="49">
        <v>3353.0</v>
      </c>
    </row>
    <row r="19" ht="22.5" hidden="1" customHeight="1">
      <c r="A19" s="101">
        <f>PEDIDOS!A19</f>
        <v>25304</v>
      </c>
      <c r="B19" s="102">
        <f>PEDIDOS!B19</f>
        <v>46044</v>
      </c>
      <c r="C19" s="103" t="str">
        <f>PEDIDOS!C19</f>
        <v/>
      </c>
      <c r="D19" s="102" t="str">
        <f>PEDIDOS!D19</f>
        <v>DWUAM</v>
      </c>
      <c r="E19" s="102" t="str">
        <f>PEDIDOS!E19</f>
        <v>BASE DE MAQUILLAJE TONO 1</v>
      </c>
      <c r="F19" s="104">
        <f>PEDIDOS!G19</f>
        <v>500</v>
      </c>
      <c r="G19" s="104">
        <v>419.0</v>
      </c>
      <c r="H19" s="103" t="str">
        <f>PEDIDOS!F19</f>
        <v>P</v>
      </c>
      <c r="I19" s="99">
        <f t="shared" si="1"/>
        <v>0.838</v>
      </c>
      <c r="J19" s="101"/>
      <c r="K19" s="110">
        <v>46051.0</v>
      </c>
      <c r="L19" s="101" t="str">
        <f t="shared" si="2"/>
        <v>ENTREGADO</v>
      </c>
      <c r="M19" s="101" t="s">
        <v>510</v>
      </c>
      <c r="N19" s="101">
        <v>3001.0</v>
      </c>
    </row>
    <row r="20" ht="22.5" hidden="1" customHeight="1">
      <c r="A20" s="49">
        <f>PEDIDOS!A20</f>
        <v>26001</v>
      </c>
      <c r="B20" s="81">
        <f>PEDIDOS!B20</f>
        <v>46071</v>
      </c>
      <c r="C20" s="97">
        <f>PEDIDOS!C20</f>
        <v>6433</v>
      </c>
      <c r="D20" s="81" t="str">
        <f>PEDIDOS!D20</f>
        <v>HEBURN</v>
      </c>
      <c r="E20" s="81" t="str">
        <f>PEDIDOS!E20</f>
        <v>BRUMA FIJADORA de MAQUILLAJE x 125 cc</v>
      </c>
      <c r="F20" s="98">
        <f>PEDIDOS!G20</f>
        <v>600</v>
      </c>
      <c r="G20" s="98">
        <v>490.0</v>
      </c>
      <c r="H20" s="97" t="str">
        <f>PEDIDOS!F20</f>
        <v>P</v>
      </c>
      <c r="I20" s="99">
        <f t="shared" si="1"/>
        <v>0.8166666667</v>
      </c>
      <c r="J20" s="49" t="s">
        <v>511</v>
      </c>
      <c r="K20" s="106">
        <v>46086.0</v>
      </c>
      <c r="L20" s="49" t="str">
        <f t="shared" si="2"/>
        <v>ENTREGADO</v>
      </c>
      <c r="M20" s="49" t="s">
        <v>512</v>
      </c>
      <c r="N20" s="49">
        <v>3396.0</v>
      </c>
    </row>
    <row r="21" ht="22.5" hidden="1" customHeight="1">
      <c r="A21" s="101">
        <f>PEDIDOS!A21</f>
        <v>26002</v>
      </c>
      <c r="B21" s="102">
        <f>PEDIDOS!B21</f>
        <v>46052</v>
      </c>
      <c r="C21" s="103" t="str">
        <f>PEDIDOS!C21</f>
        <v/>
      </c>
      <c r="D21" s="102" t="str">
        <f>PEDIDOS!D21</f>
        <v>ALL BEAUTY</v>
      </c>
      <c r="E21" s="102" t="str">
        <f>PEDIDOS!E21</f>
        <v>CREMA FACIAL HIDRATANTE X 50gr (DIA)</v>
      </c>
      <c r="F21" s="104">
        <f>PEDIDOS!G21</f>
        <v>1000</v>
      </c>
      <c r="G21" s="104">
        <f>34*24+15+60+42</f>
        <v>933</v>
      </c>
      <c r="H21" s="103" t="str">
        <f>PEDIDOS!F21</f>
        <v>P</v>
      </c>
      <c r="I21" s="99">
        <f t="shared" si="1"/>
        <v>0.933</v>
      </c>
      <c r="J21" s="101" t="s">
        <v>513</v>
      </c>
      <c r="K21" s="112">
        <v>46079.0</v>
      </c>
      <c r="L21" s="101" t="str">
        <f t="shared" si="2"/>
        <v>ENTREGADO</v>
      </c>
      <c r="M21" s="101" t="s">
        <v>514</v>
      </c>
      <c r="N21" s="101">
        <v>3353.0</v>
      </c>
    </row>
    <row r="22" ht="22.5" hidden="1" customHeight="1">
      <c r="A22" s="49">
        <f>PEDIDOS!A22</f>
        <v>26002</v>
      </c>
      <c r="B22" s="81">
        <f>PEDIDOS!B22</f>
        <v>46052</v>
      </c>
      <c r="C22" s="97" t="str">
        <f>PEDIDOS!C22</f>
        <v/>
      </c>
      <c r="D22" s="81" t="str">
        <f>PEDIDOS!D22</f>
        <v>ALL BEAUTY</v>
      </c>
      <c r="E22" s="81" t="str">
        <f>PEDIDOS!E22</f>
        <v>UNGÜENTO POMADA OLEO 30 + 1 X 10gr</v>
      </c>
      <c r="F22" s="98">
        <f>PEDIDOS!G22</f>
        <v>1000</v>
      </c>
      <c r="G22" s="98">
        <f>374*2+233</f>
        <v>981</v>
      </c>
      <c r="H22" s="97" t="str">
        <f>PEDIDOS!F22</f>
        <v>P</v>
      </c>
      <c r="I22" s="99">
        <f t="shared" si="1"/>
        <v>0.981</v>
      </c>
      <c r="J22" s="49" t="s">
        <v>515</v>
      </c>
      <c r="K22" s="100">
        <v>46085.0</v>
      </c>
      <c r="L22" s="49" t="str">
        <f t="shared" si="2"/>
        <v>ENTREGADO</v>
      </c>
      <c r="M22" s="49" t="s">
        <v>516</v>
      </c>
      <c r="N22" s="49">
        <v>3366.0</v>
      </c>
    </row>
    <row r="23" ht="22.5" hidden="1" customHeight="1">
      <c r="A23" s="101">
        <f>PEDIDOS!A23</f>
        <v>26002</v>
      </c>
      <c r="B23" s="102">
        <f>PEDIDOS!B23</f>
        <v>46052</v>
      </c>
      <c r="C23" s="103" t="str">
        <f>PEDIDOS!C23</f>
        <v/>
      </c>
      <c r="D23" s="102" t="str">
        <f>PEDIDOS!D23</f>
        <v>ALL BEAUTY</v>
      </c>
      <c r="E23" s="102" t="str">
        <f>PEDIDOS!E23</f>
        <v>CREMA DE ORDEÑE X 300gr</v>
      </c>
      <c r="F23" s="104">
        <f>PEDIDOS!G23</f>
        <v>1500</v>
      </c>
      <c r="G23" s="104">
        <v>1483.0</v>
      </c>
      <c r="H23" s="103" t="str">
        <f>PEDIDOS!F23</f>
        <v>M</v>
      </c>
      <c r="I23" s="99">
        <f t="shared" si="1"/>
        <v>0.9886666667</v>
      </c>
      <c r="J23" s="101" t="s">
        <v>517</v>
      </c>
      <c r="K23" s="105">
        <v>46080.0</v>
      </c>
      <c r="L23" s="101" t="str">
        <f t="shared" si="2"/>
        <v>ENTREGADO</v>
      </c>
      <c r="M23" s="101" t="s">
        <v>518</v>
      </c>
      <c r="N23" s="101">
        <v>3366.0</v>
      </c>
    </row>
    <row r="24" ht="22.5" hidden="1" customHeight="1">
      <c r="A24" s="49">
        <f>PEDIDOS!A24</f>
        <v>26003</v>
      </c>
      <c r="B24" s="81">
        <f>PEDIDOS!B24</f>
        <v>46043</v>
      </c>
      <c r="C24" s="97">
        <f>PEDIDOS!C24</f>
        <v>103</v>
      </c>
      <c r="D24" s="81" t="str">
        <f>PEDIDOS!D24</f>
        <v>UNICA</v>
      </c>
      <c r="E24" s="81" t="str">
        <f>PEDIDOS!E24</f>
        <v>CREMA ENEBRO</v>
      </c>
      <c r="F24" s="98">
        <f>PEDIDOS!G24</f>
        <v>500</v>
      </c>
      <c r="G24" s="98">
        <f>9*50+55</f>
        <v>505</v>
      </c>
      <c r="H24" s="97" t="str">
        <f>PEDIDOS!F24</f>
        <v>M</v>
      </c>
      <c r="I24" s="99">
        <f t="shared" si="1"/>
        <v>1.01</v>
      </c>
      <c r="J24" s="49" t="s">
        <v>519</v>
      </c>
      <c r="K24" s="100">
        <v>46101.0</v>
      </c>
      <c r="L24" s="49" t="str">
        <f t="shared" si="2"/>
        <v>ENTREGADO</v>
      </c>
      <c r="M24" s="49">
        <v>200301.0</v>
      </c>
      <c r="N24" s="49">
        <v>250326.0</v>
      </c>
    </row>
    <row r="25" ht="22.5" hidden="1" customHeight="1">
      <c r="A25" s="101">
        <f>PEDIDOS!A25</f>
        <v>26004</v>
      </c>
      <c r="B25" s="102">
        <f>PEDIDOS!B25</f>
        <v>46066</v>
      </c>
      <c r="C25" s="103">
        <f>PEDIDOS!C25</f>
        <v>15114</v>
      </c>
      <c r="D25" s="102" t="str">
        <f>PEDIDOS!D25</f>
        <v>THELMA Y LOUISE</v>
      </c>
      <c r="E25" s="102" t="str">
        <f>PEDIDOS!E25</f>
        <v>SERUM BIFASICO JOJOBA-POMELO</v>
      </c>
      <c r="F25" s="104">
        <f>PEDIDOS!G25</f>
        <v>3024</v>
      </c>
      <c r="G25" s="104">
        <f>30*100+15</f>
        <v>3015</v>
      </c>
      <c r="H25" s="103" t="str">
        <f>PEDIDOS!F25</f>
        <v>M</v>
      </c>
      <c r="I25" s="99">
        <f t="shared" si="1"/>
        <v>0.9970238095</v>
      </c>
      <c r="J25" s="101" t="s">
        <v>520</v>
      </c>
      <c r="K25" s="112">
        <v>46099.0</v>
      </c>
      <c r="L25" s="101" t="str">
        <f t="shared" si="2"/>
        <v>ENTREGADO</v>
      </c>
      <c r="M25" s="101" t="s">
        <v>521</v>
      </c>
      <c r="N25" s="101">
        <v>3402.0</v>
      </c>
    </row>
    <row r="26" ht="22.5" hidden="1" customHeight="1">
      <c r="A26" s="49">
        <f>PEDIDOS!A26</f>
        <v>26004</v>
      </c>
      <c r="B26" s="81">
        <f>PEDIDOS!B26</f>
        <v>46066</v>
      </c>
      <c r="C26" s="97">
        <f>PEDIDOS!C26</f>
        <v>15114</v>
      </c>
      <c r="D26" s="81" t="str">
        <f>PEDIDOS!D26</f>
        <v>THELMA Y LOUISE</v>
      </c>
      <c r="E26" s="81" t="str">
        <f>PEDIDOS!E26</f>
        <v>SERUM BIFASICO PEPINO-HAMAMELIS</v>
      </c>
      <c r="F26" s="98">
        <f>PEDIDOS!G26</f>
        <v>3024</v>
      </c>
      <c r="G26" s="98">
        <f>29*100+103</f>
        <v>3003</v>
      </c>
      <c r="H26" s="97" t="str">
        <f>PEDIDOS!F26</f>
        <v>M</v>
      </c>
      <c r="I26" s="99">
        <f t="shared" si="1"/>
        <v>0.9930555556</v>
      </c>
      <c r="J26" s="49" t="s">
        <v>522</v>
      </c>
      <c r="K26" s="100">
        <v>46107.0</v>
      </c>
      <c r="L26" s="49" t="str">
        <f t="shared" si="2"/>
        <v>ENTREGADO</v>
      </c>
      <c r="M26" s="49" t="s">
        <v>523</v>
      </c>
      <c r="N26" s="49">
        <v>3413.0</v>
      </c>
    </row>
    <row r="27" ht="22.5" hidden="1" customHeight="1">
      <c r="A27" s="101">
        <f>PEDIDOS!A27</f>
        <v>26004</v>
      </c>
      <c r="B27" s="102">
        <f>PEDIDOS!B27</f>
        <v>46066</v>
      </c>
      <c r="C27" s="103">
        <f>PEDIDOS!C27</f>
        <v>15114</v>
      </c>
      <c r="D27" s="102" t="str">
        <f>PEDIDOS!D27</f>
        <v>THELMA Y LOUISE</v>
      </c>
      <c r="E27" s="102" t="str">
        <f>PEDIDOS!E27</f>
        <v>SERUM BIFASICO LAVANDA-BLUEBERRY</v>
      </c>
      <c r="F27" s="104">
        <f>PEDIDOS!G27</f>
        <v>3024</v>
      </c>
      <c r="G27" s="104">
        <f>30*100+16</f>
        <v>3016</v>
      </c>
      <c r="H27" s="103" t="str">
        <f>PEDIDOS!F27</f>
        <v>M</v>
      </c>
      <c r="I27" s="99">
        <f t="shared" si="1"/>
        <v>0.9973544974</v>
      </c>
      <c r="J27" s="101" t="s">
        <v>524</v>
      </c>
      <c r="K27" s="112">
        <v>46093.0</v>
      </c>
      <c r="L27" s="101" t="str">
        <f t="shared" si="2"/>
        <v>ENTREGADO</v>
      </c>
      <c r="M27" s="101" t="s">
        <v>525</v>
      </c>
      <c r="N27" s="101">
        <v>3387.0</v>
      </c>
    </row>
    <row r="28" ht="22.5" hidden="1" customHeight="1">
      <c r="A28" s="49">
        <f>PEDIDOS!A28</f>
        <v>26004</v>
      </c>
      <c r="B28" s="81">
        <f>PEDIDOS!B28</f>
        <v>46066</v>
      </c>
      <c r="C28" s="97">
        <f>PEDIDOS!C28</f>
        <v>15114</v>
      </c>
      <c r="D28" s="81" t="str">
        <f>PEDIDOS!D28</f>
        <v>THELMA Y LOUISE</v>
      </c>
      <c r="E28" s="81" t="str">
        <f>PEDIDOS!E28</f>
        <v>SERUM BIFASICO ROSA MOSQUETA-ROSAS</v>
      </c>
      <c r="F28" s="98">
        <f>PEDIDOS!G28</f>
        <v>3024</v>
      </c>
      <c r="G28" s="98">
        <f>30*100+13</f>
        <v>3013</v>
      </c>
      <c r="H28" s="97" t="str">
        <f>PEDIDOS!F28</f>
        <v>M</v>
      </c>
      <c r="I28" s="99">
        <f t="shared" si="1"/>
        <v>0.9963624339</v>
      </c>
      <c r="J28" s="49" t="s">
        <v>526</v>
      </c>
      <c r="K28" s="100">
        <v>46108.0</v>
      </c>
      <c r="L28" s="49" t="str">
        <f t="shared" si="2"/>
        <v>ENTREGADO</v>
      </c>
      <c r="M28" s="49" t="s">
        <v>527</v>
      </c>
      <c r="N28" s="49">
        <v>3413.0</v>
      </c>
    </row>
    <row r="29" ht="22.5" customHeight="1">
      <c r="A29" s="101">
        <f>PEDIDOS!A29</f>
        <v>26005</v>
      </c>
      <c r="B29" s="102">
        <f>PEDIDOS!B29</f>
        <v>46071</v>
      </c>
      <c r="C29" s="103">
        <f>PEDIDOS!C29</f>
        <v>772</v>
      </c>
      <c r="D29" s="102" t="str">
        <f>PEDIDOS!D29</f>
        <v>CAV</v>
      </c>
      <c r="E29" s="102" t="str">
        <f>PEDIDOS!E29</f>
        <v>SHAMPOO BIO MOLECULAR X400ML VITAMIN SHOCK</v>
      </c>
      <c r="F29" s="104">
        <f>PEDIDOS!G29</f>
        <v>700</v>
      </c>
      <c r="G29" s="104">
        <f>10*12+7</f>
        <v>127</v>
      </c>
      <c r="H29" s="103" t="str">
        <f>PEDIDOS!F29</f>
        <v>M</v>
      </c>
      <c r="I29" s="99">
        <f t="shared" si="1"/>
        <v>0.1814285714</v>
      </c>
      <c r="J29" s="101" t="s">
        <v>528</v>
      </c>
      <c r="K29" s="112">
        <v>46087.0</v>
      </c>
      <c r="L29" s="101" t="str">
        <f t="shared" si="2"/>
        <v>ENTREGADO</v>
      </c>
      <c r="M29" s="101" t="s">
        <v>529</v>
      </c>
      <c r="N29" s="101">
        <v>3403.0</v>
      </c>
    </row>
    <row r="30" ht="22.5" customHeight="1">
      <c r="A30" s="49">
        <f>PEDIDOS!A30</f>
        <v>26005</v>
      </c>
      <c r="B30" s="81">
        <f>PEDIDOS!B30</f>
        <v>46071</v>
      </c>
      <c r="C30" s="97">
        <f>PEDIDOS!C30</f>
        <v>772</v>
      </c>
      <c r="D30" s="81" t="str">
        <f>PEDIDOS!D30</f>
        <v>CAV</v>
      </c>
      <c r="E30" s="81" t="str">
        <f>PEDIDOS!E30</f>
        <v>SERUM BIO MOLUECULAR X30ML VITAMIN SHOCK</v>
      </c>
      <c r="F30" s="98">
        <f>PEDIDOS!G30</f>
        <v>300</v>
      </c>
      <c r="G30" s="98">
        <f>70+65+2*82+47</f>
        <v>346</v>
      </c>
      <c r="H30" s="97" t="str">
        <f>PEDIDOS!F30</f>
        <v>P</v>
      </c>
      <c r="I30" s="99">
        <f t="shared" si="1"/>
        <v>1.153333333</v>
      </c>
      <c r="J30" s="49" t="s">
        <v>530</v>
      </c>
      <c r="K30" s="100">
        <v>46094.0</v>
      </c>
      <c r="L30" s="49" t="str">
        <f t="shared" si="2"/>
        <v>ENTREGADO</v>
      </c>
      <c r="M30" s="49" t="s">
        <v>531</v>
      </c>
      <c r="N30" s="49">
        <v>3386.0</v>
      </c>
    </row>
    <row r="31" ht="22.5" customHeight="1">
      <c r="A31" s="101">
        <f>PEDIDOS!A31</f>
        <v>26005</v>
      </c>
      <c r="B31" s="102">
        <f>PEDIDOS!B31</f>
        <v>46071</v>
      </c>
      <c r="C31" s="103">
        <f>PEDIDOS!C31</f>
        <v>772</v>
      </c>
      <c r="D31" s="102" t="str">
        <f>PEDIDOS!D31</f>
        <v>CAV</v>
      </c>
      <c r="E31" s="102" t="str">
        <f>PEDIDOS!E31</f>
        <v>BALSAMO X400ML BIOMIC C/ ACIDO HIAL + CAPIMAX</v>
      </c>
      <c r="F31" s="104">
        <f>PEDIDOS!G31</f>
        <v>400</v>
      </c>
      <c r="G31" s="104"/>
      <c r="H31" s="103" t="str">
        <f>PEDIDOS!F31</f>
        <v>M</v>
      </c>
      <c r="I31" s="99" t="str">
        <f t="shared" si="1"/>
        <v/>
      </c>
      <c r="J31" s="101"/>
      <c r="K31" s="101"/>
      <c r="L31" s="101" t="str">
        <f t="shared" si="2"/>
        <v>EN PROCESO</v>
      </c>
      <c r="M31" s="101"/>
      <c r="N31" s="101"/>
    </row>
    <row r="32" ht="22.5" customHeight="1">
      <c r="A32" s="49">
        <f>PEDIDOS!A32</f>
        <v>26005</v>
      </c>
      <c r="B32" s="81">
        <f>PEDIDOS!B32</f>
        <v>46071</v>
      </c>
      <c r="C32" s="97">
        <f>PEDIDOS!C32</f>
        <v>772</v>
      </c>
      <c r="D32" s="81" t="str">
        <f>PEDIDOS!D32</f>
        <v>CAV</v>
      </c>
      <c r="E32" s="81" t="str">
        <f>PEDIDOS!E32</f>
        <v>MASCARA BIO MOLECULAR VITAMIN SHOCK X300ML</v>
      </c>
      <c r="F32" s="98">
        <f>PEDIDOS!G32</f>
        <v>700</v>
      </c>
      <c r="G32" s="98">
        <f>238+21*15</f>
        <v>553</v>
      </c>
      <c r="H32" s="97" t="str">
        <f>PEDIDOS!F32</f>
        <v>M</v>
      </c>
      <c r="I32" s="99">
        <f t="shared" si="1"/>
        <v>0.79</v>
      </c>
      <c r="J32" s="49" t="s">
        <v>532</v>
      </c>
      <c r="K32" s="100">
        <v>46097.0</v>
      </c>
      <c r="L32" s="49" t="str">
        <f t="shared" si="2"/>
        <v>ENTREGADO</v>
      </c>
      <c r="M32" s="49" t="s">
        <v>533</v>
      </c>
      <c r="N32" s="49" t="s">
        <v>534</v>
      </c>
    </row>
    <row r="33" ht="22.5" hidden="1" customHeight="1">
      <c r="A33" s="101">
        <f>PEDIDOS!A33</f>
        <v>26006</v>
      </c>
      <c r="B33" s="102">
        <f>PEDIDOS!B33</f>
        <v>46071</v>
      </c>
      <c r="C33" s="103">
        <f>PEDIDOS!C33</f>
        <v>14329</v>
      </c>
      <c r="D33" s="102" t="str">
        <f>PEDIDOS!D33</f>
        <v>JACTANS - DISNEY</v>
      </c>
      <c r="E33" s="102" t="str">
        <f>PEDIDOS!E33</f>
        <v>DSH-41823-Shampoo infantil fco pvc x45ml</v>
      </c>
      <c r="F33" s="104">
        <f>PEDIDOS!G33</f>
        <v>3000</v>
      </c>
      <c r="G33" s="104">
        <f>26*110+29</f>
        <v>2889</v>
      </c>
      <c r="H33" s="103" t="str">
        <f>PEDIDOS!F33</f>
        <v>M</v>
      </c>
      <c r="I33" s="99">
        <f t="shared" si="1"/>
        <v>0.963</v>
      </c>
      <c r="J33" s="101" t="s">
        <v>535</v>
      </c>
      <c r="K33" s="105">
        <v>46086.0</v>
      </c>
      <c r="L33" s="101" t="str">
        <f t="shared" si="2"/>
        <v>ENTREGADO</v>
      </c>
      <c r="M33" s="101" t="s">
        <v>536</v>
      </c>
      <c r="N33" s="101">
        <v>3381.0</v>
      </c>
    </row>
    <row r="34" ht="22.5" hidden="1" customHeight="1">
      <c r="A34" s="49">
        <f>PEDIDOS!A34</f>
        <v>26006</v>
      </c>
      <c r="B34" s="81">
        <f>PEDIDOS!B34</f>
        <v>46071</v>
      </c>
      <c r="C34" s="97">
        <f>PEDIDOS!C34</f>
        <v>14329</v>
      </c>
      <c r="D34" s="81" t="str">
        <f>PEDIDOS!D34</f>
        <v>JACTANS - DISNEY</v>
      </c>
      <c r="E34" s="81" t="str">
        <f>PEDIDOS!E34</f>
        <v>DES-41823-Espuma de Baño infantil fco pvc x45ml</v>
      </c>
      <c r="F34" s="98">
        <f>PEDIDOS!G34</f>
        <v>3000</v>
      </c>
      <c r="G34" s="98">
        <v>2885.0</v>
      </c>
      <c r="H34" s="97" t="str">
        <f>PEDIDOS!F34</f>
        <v>M</v>
      </c>
      <c r="I34" s="99">
        <f t="shared" si="1"/>
        <v>0.9616666667</v>
      </c>
      <c r="J34" s="49" t="s">
        <v>537</v>
      </c>
      <c r="K34" s="106">
        <v>46085.0</v>
      </c>
      <c r="L34" s="49" t="str">
        <f t="shared" si="2"/>
        <v>ENTREGADO</v>
      </c>
      <c r="M34" s="49" t="s">
        <v>538</v>
      </c>
      <c r="N34" s="49">
        <v>3381.0</v>
      </c>
    </row>
    <row r="35" ht="22.5" hidden="1" customHeight="1">
      <c r="A35" s="101">
        <f>PEDIDOS!A35</f>
        <v>26007</v>
      </c>
      <c r="B35" s="102">
        <f>PEDIDOS!B35</f>
        <v>46071</v>
      </c>
      <c r="C35" s="103" t="str">
        <f>PEDIDOS!C35</f>
        <v/>
      </c>
      <c r="D35" s="102" t="str">
        <f>PEDIDOS!D35</f>
        <v>BL COSMETICS</v>
      </c>
      <c r="E35" s="102" t="str">
        <f>PEDIDOS!E35</f>
        <v>ALISADO EXPERT</v>
      </c>
      <c r="F35" s="104">
        <f>PEDIDOS!G35</f>
        <v>500</v>
      </c>
      <c r="G35" s="104">
        <v>500.0</v>
      </c>
      <c r="H35" s="103" t="str">
        <f>PEDIDOS!F35</f>
        <v>M</v>
      </c>
      <c r="I35" s="99">
        <f t="shared" si="1"/>
        <v>1</v>
      </c>
      <c r="J35" s="101" t="s">
        <v>539</v>
      </c>
      <c r="K35" s="105">
        <v>46085.0</v>
      </c>
      <c r="L35" s="101" t="str">
        <f t="shared" si="2"/>
        <v>ENTREGADO</v>
      </c>
      <c r="M35" s="101" t="s">
        <v>540</v>
      </c>
      <c r="N35" s="101">
        <v>3378.0</v>
      </c>
    </row>
    <row r="36" ht="22.5" hidden="1" customHeight="1">
      <c r="A36" s="49">
        <f>PEDIDOS!A36</f>
        <v>26007</v>
      </c>
      <c r="B36" s="81">
        <f>PEDIDOS!B36</f>
        <v>46071</v>
      </c>
      <c r="C36" s="97" t="str">
        <f>PEDIDOS!C36</f>
        <v/>
      </c>
      <c r="D36" s="81" t="str">
        <f>PEDIDOS!D36</f>
        <v>BL COSMETICS</v>
      </c>
      <c r="E36" s="81" t="str">
        <f>PEDIDOS!E36</f>
        <v>ALISADO EXPERT X1KG</v>
      </c>
      <c r="F36" s="98">
        <f>PEDIDOS!G36</f>
        <v>500</v>
      </c>
      <c r="G36" s="98">
        <v>460.0</v>
      </c>
      <c r="H36" s="97" t="str">
        <f>PEDIDOS!F36</f>
        <v>M</v>
      </c>
      <c r="I36" s="99">
        <f t="shared" si="1"/>
        <v>0.92</v>
      </c>
      <c r="J36" s="49" t="s">
        <v>541</v>
      </c>
      <c r="K36" s="106">
        <v>46087.0</v>
      </c>
      <c r="L36" s="49" t="str">
        <f t="shared" si="2"/>
        <v>ENTREGADO</v>
      </c>
      <c r="M36" s="49" t="s">
        <v>540</v>
      </c>
      <c r="N36" s="49">
        <v>3378.0</v>
      </c>
    </row>
    <row r="37" ht="22.5" hidden="1" customHeight="1">
      <c r="A37" s="101">
        <f>PEDIDOS!A37</f>
        <v>26007</v>
      </c>
      <c r="B37" s="102">
        <f>PEDIDOS!B37</f>
        <v>46071</v>
      </c>
      <c r="C37" s="103" t="str">
        <f>PEDIDOS!C37</f>
        <v/>
      </c>
      <c r="D37" s="102" t="str">
        <f>PEDIDOS!D37</f>
        <v>BL COSMETICS</v>
      </c>
      <c r="E37" s="102" t="str">
        <f>PEDIDOS!E37</f>
        <v>ALISADO KERATIN</v>
      </c>
      <c r="F37" s="104">
        <f>PEDIDOS!G37</f>
        <v>1000</v>
      </c>
      <c r="G37" s="104">
        <v>1003.0</v>
      </c>
      <c r="H37" s="103" t="str">
        <f>PEDIDOS!F37</f>
        <v>M</v>
      </c>
      <c r="I37" s="99">
        <f t="shared" si="1"/>
        <v>1.003</v>
      </c>
      <c r="J37" s="101" t="s">
        <v>542</v>
      </c>
      <c r="K37" s="105">
        <v>46090.0</v>
      </c>
      <c r="L37" s="101" t="str">
        <f t="shared" si="2"/>
        <v>ENTREGADO</v>
      </c>
      <c r="M37" s="101" t="s">
        <v>543</v>
      </c>
      <c r="N37" s="101">
        <v>3378.0</v>
      </c>
    </row>
    <row r="38" ht="22.5" hidden="1" customHeight="1">
      <c r="A38" s="49">
        <f>PEDIDOS!A38</f>
        <v>26008</v>
      </c>
      <c r="B38" s="81">
        <f>PEDIDOS!B38</f>
        <v>46071</v>
      </c>
      <c r="C38" s="97" t="str">
        <f>PEDIDOS!C38</f>
        <v>P00147</v>
      </c>
      <c r="D38" s="81" t="str">
        <f>PEDIDOS!D38</f>
        <v>LURE</v>
      </c>
      <c r="E38" s="81" t="str">
        <f>PEDIDOS!E38</f>
        <v>GOLD MASK</v>
      </c>
      <c r="F38" s="98">
        <f>PEDIDOS!G38</f>
        <v>600</v>
      </c>
      <c r="G38" s="98">
        <v>585.0</v>
      </c>
      <c r="H38" s="97" t="str">
        <f>PEDIDOS!F38</f>
        <v>M</v>
      </c>
      <c r="I38" s="99">
        <f t="shared" si="1"/>
        <v>0.975</v>
      </c>
      <c r="J38" s="49" t="s">
        <v>544</v>
      </c>
      <c r="K38" s="106">
        <v>46080.0</v>
      </c>
      <c r="L38" s="49" t="str">
        <f t="shared" si="2"/>
        <v>ENTREGADO</v>
      </c>
      <c r="M38" s="49" t="s">
        <v>545</v>
      </c>
      <c r="N38" s="49" t="s">
        <v>546</v>
      </c>
    </row>
    <row r="39" ht="22.5" hidden="1" customHeight="1">
      <c r="A39" s="101">
        <f>PEDIDOS!A39</f>
        <v>26009</v>
      </c>
      <c r="B39" s="102">
        <f>PEDIDOS!B39</f>
        <v>46071</v>
      </c>
      <c r="C39" s="103" t="str">
        <f>PEDIDOS!C39</f>
        <v>TCL 2025-02-28</v>
      </c>
      <c r="D39" s="102" t="str">
        <f>PEDIDOS!D39</f>
        <v>THE CHEMIST LOOK</v>
      </c>
      <c r="E39" s="102" t="str">
        <f>PEDIDOS!E39</f>
        <v>MANCHAS 5ML - PIGMENT PROTOCOL</v>
      </c>
      <c r="F39" s="104">
        <f>PEDIDOS!G39</f>
        <v>1000</v>
      </c>
      <c r="G39" s="104">
        <f>250+87+20</f>
        <v>357</v>
      </c>
      <c r="H39" s="103" t="str">
        <f>PEDIDOS!F39</f>
        <v>P</v>
      </c>
      <c r="I39" s="99">
        <f t="shared" si="1"/>
        <v>0.357</v>
      </c>
      <c r="J39" s="101" t="s">
        <v>547</v>
      </c>
      <c r="K39" s="112">
        <v>46100.0</v>
      </c>
      <c r="L39" s="101" t="str">
        <f t="shared" si="2"/>
        <v>ENTREGADO</v>
      </c>
      <c r="M39" s="101" t="s">
        <v>548</v>
      </c>
      <c r="N39" s="101">
        <v>3397.0</v>
      </c>
    </row>
    <row r="40" ht="22.5" hidden="1" customHeight="1">
      <c r="A40" s="49">
        <f>PEDIDOS!A40</f>
        <v>26009</v>
      </c>
      <c r="B40" s="81">
        <f>PEDIDOS!B40</f>
        <v>46071</v>
      </c>
      <c r="C40" s="97" t="str">
        <f>PEDIDOS!C40</f>
        <v>TCL 2025-02-28</v>
      </c>
      <c r="D40" s="81" t="str">
        <f>PEDIDOS!D40</f>
        <v>THE CHEMIST LOOK</v>
      </c>
      <c r="E40" s="81" t="str">
        <f>PEDIDOS!E40</f>
        <v>MANCHAS 30ML - PIGMENT PROTOCOL</v>
      </c>
      <c r="F40" s="98">
        <f>PEDIDOS!G40</f>
        <v>2000</v>
      </c>
      <c r="G40" s="98">
        <f>18*110+10</f>
        <v>1990</v>
      </c>
      <c r="H40" s="97" t="str">
        <f>PEDIDOS!F40</f>
        <v>P</v>
      </c>
      <c r="I40" s="99">
        <f t="shared" si="1"/>
        <v>0.995</v>
      </c>
      <c r="J40" s="49" t="s">
        <v>549</v>
      </c>
      <c r="K40" s="100">
        <v>46100.0</v>
      </c>
      <c r="L40" s="49" t="str">
        <f t="shared" si="2"/>
        <v>ENTREGADO</v>
      </c>
      <c r="M40" s="49" t="s">
        <v>548</v>
      </c>
      <c r="N40" s="49">
        <v>3397.0</v>
      </c>
    </row>
    <row r="41" ht="22.5" hidden="1" customHeight="1">
      <c r="A41" s="101">
        <f>PEDIDOS!A41</f>
        <v>26009</v>
      </c>
      <c r="B41" s="102">
        <f>PEDIDOS!B41</f>
        <v>46071</v>
      </c>
      <c r="C41" s="103" t="str">
        <f>PEDIDOS!C41</f>
        <v>TCL 2025-02-28</v>
      </c>
      <c r="D41" s="102" t="str">
        <f>PEDIDOS!D41</f>
        <v>THE CHEMIST LOOK</v>
      </c>
      <c r="E41" s="102" t="str">
        <f>PEDIDOS!E41</f>
        <v>BOOSTER VIT C/GLUT</v>
      </c>
      <c r="F41" s="104">
        <f>PEDIDOS!G41</f>
        <v>3000</v>
      </c>
      <c r="G41" s="104">
        <f>18*158+54</f>
        <v>2898</v>
      </c>
      <c r="H41" s="103" t="str">
        <f>PEDIDOS!F41</f>
        <v>P</v>
      </c>
      <c r="I41" s="99">
        <f t="shared" si="1"/>
        <v>0.966</v>
      </c>
      <c r="J41" s="101" t="s">
        <v>550</v>
      </c>
      <c r="K41" s="112">
        <v>46087.0</v>
      </c>
      <c r="L41" s="101" t="str">
        <f t="shared" si="2"/>
        <v>ENTREGADO</v>
      </c>
      <c r="M41" s="101" t="s">
        <v>551</v>
      </c>
      <c r="N41" s="101">
        <v>3377.0</v>
      </c>
    </row>
    <row r="42" ht="22.5" hidden="1" customHeight="1">
      <c r="A42" s="49">
        <f>PEDIDOS!A42</f>
        <v>26009</v>
      </c>
      <c r="B42" s="81">
        <f>PEDIDOS!B42</f>
        <v>46071</v>
      </c>
      <c r="C42" s="97" t="str">
        <f>PEDIDOS!C42</f>
        <v>TCL 2025-02-28</v>
      </c>
      <c r="D42" s="81" t="str">
        <f>PEDIDOS!D42</f>
        <v>THE CHEMIST LOOK</v>
      </c>
      <c r="E42" s="81" t="str">
        <f>PEDIDOS!E42</f>
        <v>BOOSTER NIACI/ZN</v>
      </c>
      <c r="F42" s="98">
        <f>PEDIDOS!G42</f>
        <v>3500</v>
      </c>
      <c r="G42" s="98">
        <f>20*158+10+2*158+60</f>
        <v>3546</v>
      </c>
      <c r="H42" s="97" t="str">
        <f>PEDIDOS!F42</f>
        <v>P</v>
      </c>
      <c r="I42" s="99">
        <f t="shared" si="1"/>
        <v>1.013142857</v>
      </c>
      <c r="J42" s="49" t="s">
        <v>552</v>
      </c>
      <c r="K42" s="100">
        <v>46087.0</v>
      </c>
      <c r="L42" s="49" t="str">
        <f t="shared" si="2"/>
        <v>ENTREGADO</v>
      </c>
      <c r="M42" s="49" t="s">
        <v>553</v>
      </c>
      <c r="N42" s="49">
        <v>3377.0</v>
      </c>
    </row>
    <row r="43" ht="22.5" hidden="1" customHeight="1">
      <c r="A43" s="101">
        <f>PEDIDOS!A43</f>
        <v>26009</v>
      </c>
      <c r="B43" s="102">
        <f>PEDIDOS!B43</f>
        <v>46071</v>
      </c>
      <c r="C43" s="103" t="str">
        <f>PEDIDOS!C43</f>
        <v>TCL 2025-02-28</v>
      </c>
      <c r="D43" s="102" t="str">
        <f>PEDIDOS!D43</f>
        <v>THE CHEMIST LOOK</v>
      </c>
      <c r="E43" s="102" t="str">
        <f>PEDIDOS!E43</f>
        <v>BOOSTER HYALU-A/SI</v>
      </c>
      <c r="F43" s="104">
        <f>PEDIDOS!G43</f>
        <v>2400</v>
      </c>
      <c r="G43" s="104">
        <f>15*158+37+10</f>
        <v>2417</v>
      </c>
      <c r="H43" s="103" t="str">
        <f>PEDIDOS!F43</f>
        <v>P</v>
      </c>
      <c r="I43" s="99">
        <f t="shared" si="1"/>
        <v>1.007083333</v>
      </c>
      <c r="J43" s="101" t="s">
        <v>554</v>
      </c>
      <c r="K43" s="112">
        <v>46090.0</v>
      </c>
      <c r="L43" s="101" t="str">
        <f t="shared" si="2"/>
        <v>ENTREGADO</v>
      </c>
      <c r="M43" s="101" t="s">
        <v>555</v>
      </c>
      <c r="N43" s="101">
        <v>3377.0</v>
      </c>
    </row>
    <row r="44" ht="22.5" hidden="1" customHeight="1">
      <c r="A44" s="49">
        <f>PEDIDOS!A44</f>
        <v>26009</v>
      </c>
      <c r="B44" s="81">
        <f>PEDIDOS!B44</f>
        <v>46071</v>
      </c>
      <c r="C44" s="97" t="str">
        <f>PEDIDOS!C44</f>
        <v>TCL 2025-02-28</v>
      </c>
      <c r="D44" s="81" t="str">
        <f>PEDIDOS!D44</f>
        <v>THE CHEMIST LOOK</v>
      </c>
      <c r="E44" s="81" t="str">
        <f>PEDIDOS!E44</f>
        <v>BOOSTER MUNAP-18</v>
      </c>
      <c r="F44" s="98">
        <f>PEDIDOS!G44</f>
        <v>3000</v>
      </c>
      <c r="G44" s="98">
        <f>7*160+91</f>
        <v>1211</v>
      </c>
      <c r="H44" s="97" t="str">
        <f>PEDIDOS!F44</f>
        <v>P</v>
      </c>
      <c r="I44" s="99">
        <f t="shared" si="1"/>
        <v>0.4036666667</v>
      </c>
      <c r="J44" s="43" t="s">
        <v>556</v>
      </c>
      <c r="K44" s="113">
        <v>46168.0</v>
      </c>
      <c r="L44" s="49" t="str">
        <f t="shared" si="2"/>
        <v>ENTREGADO</v>
      </c>
      <c r="M44" s="43" t="s">
        <v>557</v>
      </c>
      <c r="N44" s="43">
        <v>3496.0</v>
      </c>
    </row>
    <row r="45" ht="22.5" hidden="1" customHeight="1">
      <c r="A45" s="101">
        <f>PEDIDOS!A45</f>
        <v>26009</v>
      </c>
      <c r="B45" s="102">
        <f>PEDIDOS!B45</f>
        <v>46071</v>
      </c>
      <c r="C45" s="103" t="str">
        <f>PEDIDOS!C45</f>
        <v>TCL 2025-02-28</v>
      </c>
      <c r="D45" s="102" t="str">
        <f>PEDIDOS!D45</f>
        <v>THE CHEMIST LOOK</v>
      </c>
      <c r="E45" s="102" t="str">
        <f>PEDIDOS!E45</f>
        <v>TAN BOOSTER</v>
      </c>
      <c r="F45" s="104">
        <f>PEDIDOS!G45</f>
        <v>500</v>
      </c>
      <c r="G45" s="104"/>
      <c r="H45" s="103" t="str">
        <f>PEDIDOS!F45</f>
        <v>P</v>
      </c>
      <c r="I45" s="99" t="str">
        <f t="shared" si="1"/>
        <v/>
      </c>
      <c r="J45" s="101"/>
      <c r="K45" s="101"/>
      <c r="L45" s="101" t="str">
        <f t="shared" si="2"/>
        <v>EN PROCESO</v>
      </c>
      <c r="M45" s="101"/>
      <c r="N45" s="101"/>
    </row>
    <row r="46" ht="22.5" hidden="1" customHeight="1">
      <c r="A46" s="49">
        <f>PEDIDOS!A46</f>
        <v>26009</v>
      </c>
      <c r="B46" s="81">
        <f>PEDIDOS!B46</f>
        <v>46071</v>
      </c>
      <c r="C46" s="97" t="str">
        <f>PEDIDOS!C46</f>
        <v>TCL 2025-02-28</v>
      </c>
      <c r="D46" s="81" t="str">
        <f>PEDIDOS!D46</f>
        <v>THE CHEMIST LOOK</v>
      </c>
      <c r="E46" s="81" t="str">
        <f>PEDIDOS!E46</f>
        <v>BOOSTER RETIN</v>
      </c>
      <c r="F46" s="98">
        <f>PEDIDOS!G46</f>
        <v>2000</v>
      </c>
      <c r="G46" s="98">
        <f>4*160+136+10+160*2+80</f>
        <v>1186</v>
      </c>
      <c r="H46" s="97" t="str">
        <f>PEDIDOS!F46</f>
        <v>P</v>
      </c>
      <c r="I46" s="99">
        <f t="shared" si="1"/>
        <v>0.593</v>
      </c>
      <c r="J46" s="43" t="s">
        <v>558</v>
      </c>
      <c r="K46" s="100">
        <v>46142.0</v>
      </c>
      <c r="L46" s="49" t="str">
        <f t="shared" si="2"/>
        <v>ENTREGADO</v>
      </c>
      <c r="M46" s="49" t="s">
        <v>559</v>
      </c>
      <c r="N46" s="49">
        <v>3450.0</v>
      </c>
    </row>
    <row r="47" ht="22.5" hidden="1" customHeight="1">
      <c r="A47" s="101">
        <f>PEDIDOS!A47</f>
        <v>26009</v>
      </c>
      <c r="B47" s="102">
        <f>PEDIDOS!B47</f>
        <v>46071</v>
      </c>
      <c r="C47" s="103" t="str">
        <f>PEDIDOS!C47</f>
        <v>TCL 2025-02-28</v>
      </c>
      <c r="D47" s="102" t="str">
        <f>PEDIDOS!D47</f>
        <v>THE CHEMIST LOOK</v>
      </c>
      <c r="E47" s="102" t="str">
        <f>PEDIDOS!E47</f>
        <v>2ND SKIN</v>
      </c>
      <c r="F47" s="104">
        <f>PEDIDOS!G47</f>
        <v>1000</v>
      </c>
      <c r="G47" s="104"/>
      <c r="H47" s="103" t="str">
        <f>PEDIDOS!F47</f>
        <v>P</v>
      </c>
      <c r="I47" s="99" t="str">
        <f t="shared" si="1"/>
        <v/>
      </c>
      <c r="J47" s="101"/>
      <c r="K47" s="101"/>
      <c r="L47" s="101" t="str">
        <f t="shared" si="2"/>
        <v>EN PROCESO</v>
      </c>
      <c r="M47" s="101"/>
      <c r="N47" s="101"/>
    </row>
    <row r="48" ht="22.5" hidden="1" customHeight="1">
      <c r="A48" s="49">
        <f>PEDIDOS!A48</f>
        <v>26010</v>
      </c>
      <c r="B48" s="81">
        <f>PEDIDOS!B48</f>
        <v>46071</v>
      </c>
      <c r="C48" s="97">
        <f>PEDIDOS!C48</f>
        <v>14331</v>
      </c>
      <c r="D48" s="81" t="str">
        <f>PEDIDOS!D48</f>
        <v>JACTANS</v>
      </c>
      <c r="E48" s="81" t="str">
        <f>PEDIDOS!E48</f>
        <v>JS-736 BRUMA FIJADORA FACIAL</v>
      </c>
      <c r="F48" s="98">
        <f>PEDIDOS!G48</f>
        <v>2000</v>
      </c>
      <c r="G48" s="114">
        <v>1528.0</v>
      </c>
      <c r="H48" s="97" t="str">
        <f>PEDIDOS!F48</f>
        <v>M</v>
      </c>
      <c r="I48" s="99">
        <f t="shared" si="1"/>
        <v>0.764</v>
      </c>
      <c r="J48" s="43" t="s">
        <v>560</v>
      </c>
      <c r="K48" s="115">
        <v>46164.0</v>
      </c>
      <c r="L48" s="49" t="str">
        <f t="shared" si="2"/>
        <v>ENTREGADO</v>
      </c>
      <c r="M48" s="43" t="s">
        <v>561</v>
      </c>
      <c r="N48" s="43">
        <v>3494.0</v>
      </c>
    </row>
    <row r="49" ht="22.5" hidden="1" customHeight="1">
      <c r="A49" s="101">
        <f>PEDIDOS!A49</f>
        <v>26011</v>
      </c>
      <c r="B49" s="102">
        <f>PEDIDOS!B49</f>
        <v>46072</v>
      </c>
      <c r="C49" s="103" t="str">
        <f>PEDIDOS!C49</f>
        <v/>
      </c>
      <c r="D49" s="102" t="str">
        <f>PEDIDOS!D49</f>
        <v>KALA</v>
      </c>
      <c r="E49" s="102" t="str">
        <f>PEDIDOS!E49</f>
        <v>AGUA DE ROSAS</v>
      </c>
      <c r="F49" s="104">
        <f>PEDIDOS!G49</f>
        <v>650</v>
      </c>
      <c r="G49" s="104">
        <f>20*24+15+3*37+33</f>
        <v>639</v>
      </c>
      <c r="H49" s="103" t="str">
        <f>PEDIDOS!F49</f>
        <v>M</v>
      </c>
      <c r="I49" s="99">
        <f t="shared" si="1"/>
        <v>0.9830769231</v>
      </c>
      <c r="J49" s="101" t="s">
        <v>562</v>
      </c>
      <c r="K49" s="110">
        <v>46086.0</v>
      </c>
      <c r="L49" s="101" t="str">
        <f t="shared" si="2"/>
        <v>ENTREGADO</v>
      </c>
      <c r="M49" s="101" t="s">
        <v>563</v>
      </c>
      <c r="N49" s="101">
        <v>3372.0</v>
      </c>
    </row>
    <row r="50" ht="22.5" hidden="1" customHeight="1">
      <c r="A50" s="49">
        <f>PEDIDOS!A50</f>
        <v>26012</v>
      </c>
      <c r="B50" s="81">
        <f>PEDIDOS!B50</f>
        <v>46073</v>
      </c>
      <c r="C50" s="97" t="str">
        <f>PEDIDOS!C50</f>
        <v/>
      </c>
      <c r="D50" s="81" t="str">
        <f>PEDIDOS!D50</f>
        <v>INTENCIONAL</v>
      </c>
      <c r="E50" s="81" t="str">
        <f>PEDIDOS!E50</f>
        <v>CREMA DE ORDEÑE</v>
      </c>
      <c r="F50" s="98">
        <f>PEDIDOS!G50</f>
        <v>2000</v>
      </c>
      <c r="G50" s="98">
        <v>1998.0</v>
      </c>
      <c r="H50" s="97" t="str">
        <f>PEDIDOS!F50</f>
        <v>M</v>
      </c>
      <c r="I50" s="99">
        <f t="shared" si="1"/>
        <v>0.999</v>
      </c>
      <c r="J50" s="49" t="s">
        <v>564</v>
      </c>
      <c r="K50" s="106">
        <v>46094.0</v>
      </c>
      <c r="L50" s="49" t="str">
        <f t="shared" si="2"/>
        <v>ENTREGADO</v>
      </c>
      <c r="M50" s="49" t="s">
        <v>565</v>
      </c>
      <c r="N50" s="49">
        <v>3391.0</v>
      </c>
    </row>
    <row r="51" ht="22.5" hidden="1" customHeight="1">
      <c r="A51" s="101">
        <f>PEDIDOS!A51</f>
        <v>26014</v>
      </c>
      <c r="B51" s="102">
        <f>PEDIDOS!B51</f>
        <v>46073</v>
      </c>
      <c r="C51" s="103" t="str">
        <f>PEDIDOS!C51</f>
        <v>P01256</v>
      </c>
      <c r="D51" s="102" t="str">
        <f>PEDIDOS!D51</f>
        <v>BIOESENCIA</v>
      </c>
      <c r="E51" s="102" t="str">
        <f>PEDIDOS!E51</f>
        <v>CREMA BABA DE CARACOL</v>
      </c>
      <c r="F51" s="104">
        <f>PEDIDOS!G51</f>
        <v>1000</v>
      </c>
      <c r="G51" s="104">
        <v>1013.0</v>
      </c>
      <c r="H51" s="103" t="str">
        <f>PEDIDOS!F51</f>
        <v>M</v>
      </c>
      <c r="I51" s="99">
        <f t="shared" si="1"/>
        <v>1.013</v>
      </c>
      <c r="J51" s="101" t="s">
        <v>566</v>
      </c>
      <c r="K51" s="105">
        <v>46083.0</v>
      </c>
      <c r="L51" s="101" t="str">
        <f t="shared" si="2"/>
        <v>ENTREGADO</v>
      </c>
      <c r="M51" s="101">
        <v>270201.0</v>
      </c>
      <c r="N51" s="110">
        <v>46085.0</v>
      </c>
    </row>
    <row r="52" ht="22.5" hidden="1" customHeight="1">
      <c r="A52" s="49">
        <f>PEDIDOS!A52</f>
        <v>25298</v>
      </c>
      <c r="B52" s="81">
        <f>PEDIDOS!B52</f>
        <v>46042</v>
      </c>
      <c r="C52" s="97" t="str">
        <f>PEDIDOS!C52</f>
        <v>P01203</v>
      </c>
      <c r="D52" s="81" t="str">
        <f>PEDIDOS!D52</f>
        <v>BIOESENCIA</v>
      </c>
      <c r="E52" s="81" t="str">
        <f>PEDIDOS!E52</f>
        <v>SHAMPOO BABY</v>
      </c>
      <c r="F52" s="98">
        <f>PEDIDOS!G52</f>
        <v>500</v>
      </c>
      <c r="G52" s="98">
        <v>486.0</v>
      </c>
      <c r="H52" s="97" t="str">
        <f>PEDIDOS!F52</f>
        <v>M</v>
      </c>
      <c r="I52" s="99">
        <f t="shared" si="1"/>
        <v>0.972</v>
      </c>
      <c r="J52" s="49" t="s">
        <v>567</v>
      </c>
      <c r="K52" s="106">
        <v>46073.0</v>
      </c>
      <c r="L52" s="49" t="str">
        <f t="shared" si="2"/>
        <v>ENTREGADO</v>
      </c>
      <c r="M52" s="49" t="s">
        <v>568</v>
      </c>
      <c r="N52" s="49">
        <v>3352.0</v>
      </c>
      <c r="O52" s="116" t="s">
        <v>569</v>
      </c>
    </row>
    <row r="53" ht="22.5" hidden="1" customHeight="1">
      <c r="A53" s="101">
        <f>PEDIDOS!A53</f>
        <v>25298</v>
      </c>
      <c r="B53" s="102">
        <f>PEDIDOS!B53</f>
        <v>46042</v>
      </c>
      <c r="C53" s="103" t="str">
        <f>PEDIDOS!C53</f>
        <v>P01203</v>
      </c>
      <c r="D53" s="102" t="str">
        <f>PEDIDOS!D53</f>
        <v>BIOESENCIA</v>
      </c>
      <c r="E53" s="102" t="str">
        <f>PEDIDOS!E53</f>
        <v>SERUM PROBIOTICOS</v>
      </c>
      <c r="F53" s="104">
        <f>PEDIDOS!G53</f>
        <v>1000</v>
      </c>
      <c r="G53" s="104">
        <v>1001.0</v>
      </c>
      <c r="H53" s="103" t="str">
        <f>PEDIDOS!F53</f>
        <v>M</v>
      </c>
      <c r="I53" s="99">
        <f t="shared" si="1"/>
        <v>1.001</v>
      </c>
      <c r="J53" s="101" t="s">
        <v>570</v>
      </c>
      <c r="K53" s="105">
        <v>46073.0</v>
      </c>
      <c r="L53" s="101" t="str">
        <f t="shared" si="2"/>
        <v>ENTREGADO</v>
      </c>
      <c r="M53" s="101" t="s">
        <v>571</v>
      </c>
      <c r="N53" s="101">
        <v>3352.0</v>
      </c>
    </row>
    <row r="54" ht="22.5" hidden="1" customHeight="1">
      <c r="A54" s="49">
        <f>PEDIDOS!A54</f>
        <v>26013</v>
      </c>
      <c r="B54" s="81">
        <f>PEDIDOS!B54</f>
        <v>46073</v>
      </c>
      <c r="C54" s="97" t="str">
        <f>PEDIDOS!C54</f>
        <v/>
      </c>
      <c r="D54" s="81" t="str">
        <f>PEDIDOS!D54</f>
        <v>OSSPRET</v>
      </c>
      <c r="E54" s="81" t="str">
        <f>PEDIDOS!E54</f>
        <v>CREMA DE ORDEÑE</v>
      </c>
      <c r="F54" s="98">
        <f>PEDIDOS!G54</f>
        <v>300</v>
      </c>
      <c r="G54" s="98">
        <v>300.0</v>
      </c>
      <c r="H54" s="97" t="str">
        <f>PEDIDOS!F54</f>
        <v>M</v>
      </c>
      <c r="I54" s="99">
        <f t="shared" si="1"/>
        <v>1</v>
      </c>
      <c r="J54" s="49" t="s">
        <v>572</v>
      </c>
      <c r="K54" s="111">
        <v>46090.0</v>
      </c>
      <c r="L54" s="49" t="str">
        <f t="shared" si="2"/>
        <v>ENTREGADO</v>
      </c>
      <c r="M54" s="49" t="s">
        <v>573</v>
      </c>
      <c r="N54" s="49">
        <v>3375.0</v>
      </c>
    </row>
    <row r="55" ht="22.5" hidden="1" customHeight="1">
      <c r="A55" s="101">
        <f>PEDIDOS!A55</f>
        <v>26014</v>
      </c>
      <c r="B55" s="102">
        <f>PEDIDOS!B55</f>
        <v>46073</v>
      </c>
      <c r="C55" s="103" t="str">
        <f>PEDIDOS!C55</f>
        <v>P01256</v>
      </c>
      <c r="D55" s="102" t="str">
        <f>PEDIDOS!D55</f>
        <v>BIOESENCIA</v>
      </c>
      <c r="E55" s="102" t="str">
        <f>PEDIDOS!E55</f>
        <v>UNGUENTO PROPOLEO</v>
      </c>
      <c r="F55" s="104">
        <f>PEDIDOS!G55</f>
        <v>1000</v>
      </c>
      <c r="G55" s="104">
        <f>4*230+24</f>
        <v>944</v>
      </c>
      <c r="H55" s="103" t="str">
        <f>PEDIDOS!F55</f>
        <v>M</v>
      </c>
      <c r="I55" s="99">
        <f t="shared" si="1"/>
        <v>0.944</v>
      </c>
      <c r="J55" s="101" t="s">
        <v>574</v>
      </c>
      <c r="K55" s="112">
        <v>46091.0</v>
      </c>
      <c r="L55" s="101" t="str">
        <f t="shared" si="2"/>
        <v>ENTREGADO</v>
      </c>
      <c r="M55" s="101" t="s">
        <v>575</v>
      </c>
      <c r="N55" s="101">
        <v>3379.0</v>
      </c>
    </row>
    <row r="56" ht="22.5" hidden="1" customHeight="1">
      <c r="A56" s="49">
        <f>PEDIDOS!A56</f>
        <v>26014</v>
      </c>
      <c r="B56" s="81">
        <f>PEDIDOS!B56</f>
        <v>46073</v>
      </c>
      <c r="C56" s="97" t="str">
        <f>PEDIDOS!C56</f>
        <v>P01257</v>
      </c>
      <c r="D56" s="81" t="str">
        <f>PEDIDOS!D56</f>
        <v>BIOESENCIA</v>
      </c>
      <c r="E56" s="81" t="str">
        <f>PEDIDOS!E56</f>
        <v>BAÑO BE KERATINA BE VEGAN</v>
      </c>
      <c r="F56" s="98">
        <f>PEDIDOS!G56</f>
        <v>1000</v>
      </c>
      <c r="G56" s="98">
        <f>14*60+43+60+58</f>
        <v>1001</v>
      </c>
      <c r="H56" s="97" t="str">
        <f>PEDIDOS!F56</f>
        <v>M</v>
      </c>
      <c r="I56" s="99">
        <f t="shared" si="1"/>
        <v>1.001</v>
      </c>
      <c r="J56" s="49" t="s">
        <v>576</v>
      </c>
      <c r="K56" s="106">
        <v>46112.0</v>
      </c>
      <c r="L56" s="49" t="str">
        <f t="shared" si="2"/>
        <v>ENTREGADO</v>
      </c>
      <c r="M56" s="49">
        <v>180302.0</v>
      </c>
      <c r="N56" s="49" t="s">
        <v>577</v>
      </c>
    </row>
    <row r="57" ht="22.5" hidden="1" customHeight="1">
      <c r="A57" s="101">
        <f>PEDIDOS!A57</f>
        <v>26014</v>
      </c>
      <c r="B57" s="102">
        <f>PEDIDOS!B57</f>
        <v>46073</v>
      </c>
      <c r="C57" s="103" t="str">
        <f>PEDIDOS!C57</f>
        <v>P01258</v>
      </c>
      <c r="D57" s="102" t="str">
        <f>PEDIDOS!D57</f>
        <v>BIOESENCIA</v>
      </c>
      <c r="E57" s="102" t="str">
        <f>PEDIDOS!E57</f>
        <v>REPARADOR DE PUNTAS</v>
      </c>
      <c r="F57" s="104">
        <f>PEDIDOS!G57</f>
        <v>1000</v>
      </c>
      <c r="G57" s="107">
        <v>982.0</v>
      </c>
      <c r="H57" s="103" t="str">
        <f>PEDIDOS!F57</f>
        <v>P</v>
      </c>
      <c r="I57" s="99">
        <f t="shared" si="1"/>
        <v>0.982</v>
      </c>
      <c r="J57" s="108" t="s">
        <v>578</v>
      </c>
      <c r="K57" s="109">
        <v>46183.0</v>
      </c>
      <c r="L57" s="101" t="str">
        <f t="shared" si="2"/>
        <v>ENTREGADO</v>
      </c>
      <c r="M57" s="108">
        <v>100601.0</v>
      </c>
      <c r="N57" s="101">
        <v>120526.0</v>
      </c>
    </row>
    <row r="58" ht="22.5" hidden="1" customHeight="1">
      <c r="A58" s="49">
        <f>PEDIDOS!A58</f>
        <v>26014</v>
      </c>
      <c r="B58" s="81">
        <f>PEDIDOS!B58</f>
        <v>46073</v>
      </c>
      <c r="C58" s="97" t="str">
        <f>PEDIDOS!C58</f>
        <v>P01259</v>
      </c>
      <c r="D58" s="81" t="str">
        <f>PEDIDOS!D58</f>
        <v>BIOESENCIA</v>
      </c>
      <c r="E58" s="81" t="str">
        <f>PEDIDOS!E58</f>
        <v>BRUMA FACIAL ORIGENES</v>
      </c>
      <c r="F58" s="98">
        <f>PEDIDOS!G58</f>
        <v>1000</v>
      </c>
      <c r="G58" s="98">
        <v>1004.0</v>
      </c>
      <c r="H58" s="97" t="str">
        <f>PEDIDOS!F58</f>
        <v>P</v>
      </c>
      <c r="I58" s="99">
        <f t="shared" si="1"/>
        <v>1.004</v>
      </c>
      <c r="J58" s="49" t="s">
        <v>579</v>
      </c>
      <c r="K58" s="106">
        <v>46099.0</v>
      </c>
      <c r="L58" s="49" t="str">
        <f t="shared" si="2"/>
        <v>ENTREGADO</v>
      </c>
      <c r="M58" s="49">
        <v>130302.0</v>
      </c>
      <c r="N58" s="49">
        <v>180326.0</v>
      </c>
    </row>
    <row r="59" ht="22.5" hidden="1" customHeight="1">
      <c r="A59" s="101">
        <f>PEDIDOS!A59</f>
        <v>26014</v>
      </c>
      <c r="B59" s="102">
        <f>PEDIDOS!B59</f>
        <v>46073</v>
      </c>
      <c r="C59" s="103" t="str">
        <f>PEDIDOS!C59</f>
        <v>P01260</v>
      </c>
      <c r="D59" s="102" t="str">
        <f>PEDIDOS!D59</f>
        <v>BIOESENCIA</v>
      </c>
      <c r="E59" s="102" t="str">
        <f>PEDIDOS!E59</f>
        <v>EMULSION CORPORAL PROBIOTICOS</v>
      </c>
      <c r="F59" s="104">
        <f>PEDIDOS!G59</f>
        <v>1000</v>
      </c>
      <c r="G59" s="104">
        <v>987.0</v>
      </c>
      <c r="H59" s="103" t="str">
        <f>PEDIDOS!F59</f>
        <v>M</v>
      </c>
      <c r="I59" s="99">
        <f t="shared" si="1"/>
        <v>0.987</v>
      </c>
      <c r="J59" s="101" t="s">
        <v>580</v>
      </c>
      <c r="K59" s="105">
        <v>46099.0</v>
      </c>
      <c r="L59" s="101" t="str">
        <f t="shared" si="2"/>
        <v>ENTREGADO</v>
      </c>
      <c r="M59" s="101" t="s">
        <v>581</v>
      </c>
      <c r="N59" s="101">
        <v>3394.0</v>
      </c>
    </row>
    <row r="60" ht="22.5" hidden="1" customHeight="1">
      <c r="A60" s="49">
        <f>PEDIDOS!A60</f>
        <v>26014</v>
      </c>
      <c r="B60" s="81">
        <f>PEDIDOS!B60</f>
        <v>46073</v>
      </c>
      <c r="C60" s="97" t="str">
        <f>PEDIDOS!C60</f>
        <v>P01261</v>
      </c>
      <c r="D60" s="81" t="str">
        <f>PEDIDOS!D60</f>
        <v>BIOESENCIA</v>
      </c>
      <c r="E60" s="81" t="str">
        <f>PEDIDOS!E60</f>
        <v>CREMA DIA/NOCHE ULTRAHIDRATANTE VEGAN</v>
      </c>
      <c r="F60" s="98">
        <f>PEDIDOS!G60</f>
        <v>1000</v>
      </c>
      <c r="G60" s="98">
        <v>923.0</v>
      </c>
      <c r="H60" s="97" t="str">
        <f>PEDIDOS!F60</f>
        <v>M</v>
      </c>
      <c r="I60" s="99">
        <f t="shared" si="1"/>
        <v>0.923</v>
      </c>
      <c r="J60" s="49" t="s">
        <v>582</v>
      </c>
      <c r="K60" s="106">
        <v>46094.0</v>
      </c>
      <c r="L60" s="49" t="str">
        <f t="shared" si="2"/>
        <v>ENTREGADO</v>
      </c>
      <c r="M60" s="49">
        <v>120301.0</v>
      </c>
      <c r="N60" s="49">
        <v>180326.0</v>
      </c>
    </row>
    <row r="61" ht="22.5" hidden="1" customHeight="1">
      <c r="A61" s="101">
        <f>PEDIDOS!A61</f>
        <v>26015</v>
      </c>
      <c r="B61" s="102">
        <f>PEDIDOS!B61</f>
        <v>46076</v>
      </c>
      <c r="C61" s="103" t="str">
        <f>PEDIDOS!C61</f>
        <v/>
      </c>
      <c r="D61" s="102" t="str">
        <f>PEDIDOS!D61</f>
        <v>AGUEDA REY - ALMA HAIR</v>
      </c>
      <c r="E61" s="102" t="str">
        <f>PEDIDOS!E61</f>
        <v>ACONDICIONADOR CON EXTRACTO DE CEBOLLA</v>
      </c>
      <c r="F61" s="104">
        <f>PEDIDOS!G61</f>
        <v>1050</v>
      </c>
      <c r="G61" s="104">
        <v>1020.0</v>
      </c>
      <c r="H61" s="103" t="str">
        <f>PEDIDOS!F61</f>
        <v>M</v>
      </c>
      <c r="I61" s="99">
        <f t="shared" si="1"/>
        <v>0.9714285714</v>
      </c>
      <c r="J61" s="101" t="s">
        <v>583</v>
      </c>
      <c r="K61" s="105">
        <v>46118.0</v>
      </c>
      <c r="L61" s="101" t="str">
        <f t="shared" si="2"/>
        <v>ENTREGADO</v>
      </c>
      <c r="M61" s="101" t="s">
        <v>584</v>
      </c>
      <c r="N61" s="101" t="s">
        <v>585</v>
      </c>
    </row>
    <row r="62" ht="22.5" customHeight="1">
      <c r="A62" s="49">
        <f>PEDIDOS!A62</f>
        <v>26016</v>
      </c>
      <c r="B62" s="81">
        <f>PEDIDOS!B62</f>
        <v>46076</v>
      </c>
      <c r="C62" s="97">
        <f>PEDIDOS!C62</f>
        <v>774</v>
      </c>
      <c r="D62" s="81" t="str">
        <f>PEDIDOS!D62</f>
        <v>CAV</v>
      </c>
      <c r="E62" s="81" t="str">
        <f>PEDIDOS!E62</f>
        <v>CRISTAL LIQ (BRIGHT CRYSTAL) CAV EXPRESSION</v>
      </c>
      <c r="F62" s="98">
        <f>PEDIDOS!G62</f>
        <v>250</v>
      </c>
      <c r="G62" s="98">
        <f>82+18+82+67</f>
        <v>249</v>
      </c>
      <c r="H62" s="97" t="str">
        <f>PEDIDOS!F62</f>
        <v>P</v>
      </c>
      <c r="I62" s="99">
        <f t="shared" si="1"/>
        <v>0.996</v>
      </c>
      <c r="J62" s="49" t="s">
        <v>586</v>
      </c>
      <c r="K62" s="100">
        <v>46094.0</v>
      </c>
      <c r="L62" s="49" t="str">
        <f t="shared" si="2"/>
        <v>ENTREGADO</v>
      </c>
      <c r="M62" s="49" t="s">
        <v>587</v>
      </c>
      <c r="N62" s="49" t="s">
        <v>588</v>
      </c>
    </row>
    <row r="63" ht="22.5" customHeight="1">
      <c r="A63" s="101">
        <f>PEDIDOS!A63</f>
        <v>26016</v>
      </c>
      <c r="B63" s="102">
        <f>PEDIDOS!B63</f>
        <v>46076</v>
      </c>
      <c r="C63" s="103">
        <f>PEDIDOS!C63</f>
        <v>774</v>
      </c>
      <c r="D63" s="102" t="str">
        <f>PEDIDOS!D63</f>
        <v>CAV</v>
      </c>
      <c r="E63" s="102" t="str">
        <f>PEDIDOS!E63</f>
        <v>Protector C-Plex x150 Paso 3</v>
      </c>
      <c r="F63" s="104">
        <f>PEDIDOS!G63</f>
        <v>300</v>
      </c>
      <c r="G63" s="104">
        <f>7*36+20</f>
        <v>272</v>
      </c>
      <c r="H63" s="103" t="str">
        <f>PEDIDOS!F63</f>
        <v>P</v>
      </c>
      <c r="I63" s="99">
        <f t="shared" si="1"/>
        <v>0.9066666667</v>
      </c>
      <c r="J63" s="101" t="s">
        <v>589</v>
      </c>
      <c r="K63" s="112">
        <v>46094.0</v>
      </c>
      <c r="L63" s="101" t="str">
        <f t="shared" si="2"/>
        <v>ENTREGADO</v>
      </c>
      <c r="M63" s="101" t="s">
        <v>590</v>
      </c>
      <c r="N63" s="101">
        <v>3388.0</v>
      </c>
    </row>
    <row r="64" ht="22.5" hidden="1" customHeight="1">
      <c r="A64" s="49">
        <f>PEDIDOS!A64</f>
        <v>26017</v>
      </c>
      <c r="B64" s="81">
        <f>PEDIDOS!B64</f>
        <v>46076</v>
      </c>
      <c r="C64" s="97" t="str">
        <f>PEDIDOS!C64</f>
        <v/>
      </c>
      <c r="D64" s="81" t="str">
        <f>PEDIDOS!D64</f>
        <v>WSABI</v>
      </c>
      <c r="E64" s="81" t="str">
        <f>PEDIDOS!E64</f>
        <v>CONTORNO DE OJOS</v>
      </c>
      <c r="F64" s="98">
        <f>PEDIDOS!G64</f>
        <v>480</v>
      </c>
      <c r="G64" s="98">
        <f>10*48</f>
        <v>480</v>
      </c>
      <c r="H64" s="97" t="str">
        <f>PEDIDOS!F64</f>
        <v>P</v>
      </c>
      <c r="I64" s="99">
        <f t="shared" si="1"/>
        <v>1</v>
      </c>
      <c r="J64" s="49" t="s">
        <v>591</v>
      </c>
      <c r="K64" s="106">
        <v>46098.0</v>
      </c>
      <c r="L64" s="49" t="str">
        <f t="shared" si="2"/>
        <v>ENTREGADO</v>
      </c>
      <c r="M64" s="49" t="s">
        <v>592</v>
      </c>
      <c r="N64" s="49">
        <v>3393.0</v>
      </c>
    </row>
    <row r="65" ht="22.5" hidden="1" customHeight="1">
      <c r="A65" s="101">
        <f>PEDIDOS!A65</f>
        <v>26017</v>
      </c>
      <c r="B65" s="102">
        <f>PEDIDOS!B65</f>
        <v>46076</v>
      </c>
      <c r="C65" s="103" t="str">
        <f>PEDIDOS!C65</f>
        <v/>
      </c>
      <c r="D65" s="102" t="str">
        <f>PEDIDOS!D65</f>
        <v>WSABI</v>
      </c>
      <c r="E65" s="102" t="str">
        <f>PEDIDOS!E65</f>
        <v>LECHE DE LIMPIEZA</v>
      </c>
      <c r="F65" s="104">
        <f>PEDIDOS!G65</f>
        <v>500</v>
      </c>
      <c r="G65" s="104">
        <v>496.0</v>
      </c>
      <c r="H65" s="103" t="str">
        <f>PEDIDOS!F65</f>
        <v>P</v>
      </c>
      <c r="I65" s="99">
        <f t="shared" si="1"/>
        <v>0.992</v>
      </c>
      <c r="J65" s="101" t="s">
        <v>593</v>
      </c>
      <c r="K65" s="112">
        <v>46092.0</v>
      </c>
      <c r="L65" s="101" t="str">
        <f t="shared" si="2"/>
        <v>ENTREGADO</v>
      </c>
      <c r="M65" s="101" t="s">
        <v>594</v>
      </c>
      <c r="N65" s="101">
        <v>3393.0</v>
      </c>
    </row>
    <row r="66" ht="22.5" hidden="1" customHeight="1">
      <c r="A66" s="49">
        <f>PEDIDOS!A66</f>
        <v>26017</v>
      </c>
      <c r="B66" s="81">
        <f>PEDIDOS!B66</f>
        <v>46076</v>
      </c>
      <c r="C66" s="97" t="str">
        <f>PEDIDOS!C66</f>
        <v/>
      </c>
      <c r="D66" s="81" t="str">
        <f>PEDIDOS!D66</f>
        <v>WSABI</v>
      </c>
      <c r="E66" s="81" t="str">
        <f>PEDIDOS!E66</f>
        <v>SERUM ANTIOXIDANTE VIT C</v>
      </c>
      <c r="F66" s="98">
        <f>PEDIDOS!G66</f>
        <v>300</v>
      </c>
      <c r="G66" s="98">
        <f>8*34+36</f>
        <v>308</v>
      </c>
      <c r="H66" s="97" t="str">
        <f>PEDIDOS!F66</f>
        <v>P</v>
      </c>
      <c r="I66" s="99">
        <f t="shared" si="1"/>
        <v>1.026666667</v>
      </c>
      <c r="J66" s="49" t="s">
        <v>595</v>
      </c>
      <c r="K66" s="111">
        <v>46098.0</v>
      </c>
      <c r="L66" s="49" t="str">
        <f t="shared" si="2"/>
        <v>ENTREGADO</v>
      </c>
      <c r="M66" s="49" t="s">
        <v>596</v>
      </c>
      <c r="N66" s="49">
        <v>3393.0</v>
      </c>
    </row>
    <row r="67" ht="22.5" hidden="1" customHeight="1">
      <c r="A67" s="101">
        <f>PEDIDOS!A67</f>
        <v>26017</v>
      </c>
      <c r="B67" s="102">
        <f>PEDIDOS!B67</f>
        <v>46076</v>
      </c>
      <c r="C67" s="103" t="str">
        <f>PEDIDOS!C67</f>
        <v/>
      </c>
      <c r="D67" s="102" t="str">
        <f>PEDIDOS!D67</f>
        <v>WSABI</v>
      </c>
      <c r="E67" s="102" t="str">
        <f>PEDIDOS!E67</f>
        <v>TONICO CORPORAL EQUILIBRIO</v>
      </c>
      <c r="F67" s="104">
        <f>PEDIDOS!G67</f>
        <v>1000</v>
      </c>
      <c r="G67" s="104">
        <v>1002.0</v>
      </c>
      <c r="H67" s="103" t="str">
        <f>PEDIDOS!F67</f>
        <v>P</v>
      </c>
      <c r="I67" s="99">
        <f t="shared" si="1"/>
        <v>1.002</v>
      </c>
      <c r="J67" s="101" t="s">
        <v>597</v>
      </c>
      <c r="K67" s="105">
        <v>46093.0</v>
      </c>
      <c r="L67" s="101" t="str">
        <f t="shared" si="2"/>
        <v>ENTREGADO</v>
      </c>
      <c r="M67" s="101" t="s">
        <v>598</v>
      </c>
      <c r="N67" s="101">
        <v>3393.0</v>
      </c>
    </row>
    <row r="68" ht="22.5" hidden="1" customHeight="1">
      <c r="A68" s="49">
        <f>PEDIDOS!A68</f>
        <v>26018</v>
      </c>
      <c r="B68" s="81">
        <f>PEDIDOS!B68</f>
        <v>46063</v>
      </c>
      <c r="C68" s="97">
        <f>PEDIDOS!C68</f>
        <v>15125</v>
      </c>
      <c r="D68" s="81" t="str">
        <f>PEDIDOS!D68</f>
        <v>THELMA Y LOUISE</v>
      </c>
      <c r="E68" s="81" t="str">
        <f>PEDIDOS!E68</f>
        <v>SERUM ANTIAGE</v>
      </c>
      <c r="F68" s="98">
        <f>PEDIDOS!G68</f>
        <v>2100</v>
      </c>
      <c r="G68" s="98">
        <f t="shared" ref="G68:G69" si="3">20*100+87</f>
        <v>2087</v>
      </c>
      <c r="H68" s="97" t="str">
        <f>PEDIDOS!F68</f>
        <v>M</v>
      </c>
      <c r="I68" s="99">
        <f t="shared" si="1"/>
        <v>0.9938095238</v>
      </c>
      <c r="J68" s="49" t="s">
        <v>599</v>
      </c>
      <c r="K68" s="100">
        <v>46090.0</v>
      </c>
      <c r="L68" s="49" t="str">
        <f t="shared" si="2"/>
        <v>ENTREGADO</v>
      </c>
      <c r="M68" s="49" t="s">
        <v>600</v>
      </c>
      <c r="N68" s="49">
        <v>3387.0</v>
      </c>
    </row>
    <row r="69" ht="22.5" hidden="1" customHeight="1">
      <c r="A69" s="101">
        <f>PEDIDOS!A69</f>
        <v>26018</v>
      </c>
      <c r="B69" s="102">
        <f>PEDIDOS!B69</f>
        <v>46063</v>
      </c>
      <c r="C69" s="103">
        <f>PEDIDOS!C69</f>
        <v>15125</v>
      </c>
      <c r="D69" s="102" t="str">
        <f>PEDIDOS!D69</f>
        <v>THELMA Y LOUISE</v>
      </c>
      <c r="E69" s="102" t="str">
        <f>PEDIDOS!E69</f>
        <v>SERUM DESCONGESTIVO</v>
      </c>
      <c r="F69" s="104">
        <f>PEDIDOS!G69</f>
        <v>2100</v>
      </c>
      <c r="G69" s="104">
        <f t="shared" si="3"/>
        <v>2087</v>
      </c>
      <c r="H69" s="103" t="str">
        <f>PEDIDOS!F69</f>
        <v>M</v>
      </c>
      <c r="I69" s="99">
        <f t="shared" si="1"/>
        <v>0.9938095238</v>
      </c>
      <c r="J69" s="101" t="s">
        <v>599</v>
      </c>
      <c r="K69" s="112">
        <v>46092.0</v>
      </c>
      <c r="L69" s="101" t="str">
        <f t="shared" si="2"/>
        <v>ENTREGADO</v>
      </c>
      <c r="M69" s="101" t="s">
        <v>601</v>
      </c>
      <c r="N69" s="101">
        <v>3387.0</v>
      </c>
    </row>
    <row r="70" ht="22.5" customHeight="1">
      <c r="A70" s="49">
        <f>PEDIDOS!A70</f>
        <v>26019</v>
      </c>
      <c r="B70" s="81">
        <f>PEDIDOS!B70</f>
        <v>46076</v>
      </c>
      <c r="C70" s="97">
        <f>PEDIDOS!C70</f>
        <v>775</v>
      </c>
      <c r="D70" s="81" t="str">
        <f>PEDIDOS!D70</f>
        <v>CAV</v>
      </c>
      <c r="E70" s="81" t="str">
        <f>PEDIDOS!E70</f>
        <v>Rebond C-Plex CAV x 500 ml (Paso 1)</v>
      </c>
      <c r="F70" s="98">
        <f>PEDIDOS!G70</f>
        <v>200</v>
      </c>
      <c r="G70" s="98">
        <f>16*9+5</f>
        <v>149</v>
      </c>
      <c r="H70" s="97" t="str">
        <f>PEDIDOS!F70</f>
        <v>M</v>
      </c>
      <c r="I70" s="99">
        <f t="shared" si="1"/>
        <v>0.745</v>
      </c>
      <c r="J70" s="49" t="s">
        <v>602</v>
      </c>
      <c r="K70" s="100">
        <v>46101.0</v>
      </c>
      <c r="L70" s="49" t="str">
        <f t="shared" si="2"/>
        <v>ENTREGADO</v>
      </c>
      <c r="M70" s="49" t="s">
        <v>603</v>
      </c>
      <c r="N70" s="49">
        <v>3403.0</v>
      </c>
    </row>
    <row r="71" ht="22.5" customHeight="1">
      <c r="A71" s="101">
        <f>PEDIDOS!A71</f>
        <v>26019</v>
      </c>
      <c r="B71" s="102">
        <f>PEDIDOS!B71</f>
        <v>46076</v>
      </c>
      <c r="C71" s="103">
        <f>PEDIDOS!C71</f>
        <v>775</v>
      </c>
      <c r="D71" s="102" t="str">
        <f>PEDIDOS!D71</f>
        <v>CAV</v>
      </c>
      <c r="E71" s="102" t="str">
        <f>PEDIDOS!E71</f>
        <v>Finishing C-Plex CAV x 500 ml (Paso 2)</v>
      </c>
      <c r="F71" s="104">
        <f>PEDIDOS!G71</f>
        <v>400</v>
      </c>
      <c r="G71" s="104">
        <f>38*9+2</f>
        <v>344</v>
      </c>
      <c r="H71" s="103" t="str">
        <f>PEDIDOS!F71</f>
        <v>M</v>
      </c>
      <c r="I71" s="99">
        <f t="shared" si="1"/>
        <v>0.86</v>
      </c>
      <c r="J71" s="101" t="s">
        <v>604</v>
      </c>
      <c r="K71" s="112">
        <v>46101.0</v>
      </c>
      <c r="L71" s="101" t="str">
        <f t="shared" si="2"/>
        <v>ENTREGADO</v>
      </c>
      <c r="M71" s="101" t="s">
        <v>605</v>
      </c>
      <c r="N71" s="101">
        <v>3403.0</v>
      </c>
    </row>
    <row r="72" ht="22.5" hidden="1" customHeight="1">
      <c r="A72" s="49">
        <f>PEDIDOS!A72</f>
        <v>26020</v>
      </c>
      <c r="B72" s="81">
        <f>PEDIDOS!B72</f>
        <v>46077</v>
      </c>
      <c r="C72" s="97">
        <f>PEDIDOS!C72</f>
        <v>1704</v>
      </c>
      <c r="D72" s="81" t="str">
        <f>PEDIDOS!D72</f>
        <v>LABORATORIO ONCE</v>
      </c>
      <c r="E72" s="81" t="str">
        <f>PEDIDOS!E72</f>
        <v>ALBA SERUM X 30 ML DRA ROSSI</v>
      </c>
      <c r="F72" s="98">
        <f>PEDIDOS!G72</f>
        <v>300</v>
      </c>
      <c r="G72" s="98"/>
      <c r="H72" s="97" t="str">
        <f>PEDIDOS!F72</f>
        <v>P</v>
      </c>
      <c r="I72" s="99" t="str">
        <f t="shared" si="1"/>
        <v/>
      </c>
      <c r="J72" s="49"/>
      <c r="K72" s="49"/>
      <c r="L72" s="49" t="str">
        <f t="shared" si="2"/>
        <v>EN PROCESO</v>
      </c>
      <c r="M72" s="49"/>
      <c r="N72" s="49"/>
    </row>
    <row r="73" ht="22.5" hidden="1" customHeight="1">
      <c r="A73" s="101">
        <f>PEDIDOS!A73</f>
        <v>26021</v>
      </c>
      <c r="B73" s="102">
        <f>PEDIDOS!B73</f>
        <v>46078</v>
      </c>
      <c r="C73" s="103" t="str">
        <f>PEDIDOS!C73</f>
        <v/>
      </c>
      <c r="D73" s="102" t="str">
        <f>PEDIDOS!D73</f>
        <v>UNICA</v>
      </c>
      <c r="E73" s="102" t="str">
        <f>PEDIDOS!E73</f>
        <v>CREMA CORPORAL HUMECTANTE KARITE</v>
      </c>
      <c r="F73" s="104">
        <f>PEDIDOS!G73</f>
        <v>500</v>
      </c>
      <c r="G73" s="104">
        <v>486.0</v>
      </c>
      <c r="H73" s="103" t="str">
        <f>PEDIDOS!F73</f>
        <v>M</v>
      </c>
      <c r="I73" s="99">
        <f t="shared" si="1"/>
        <v>0.972</v>
      </c>
      <c r="J73" s="101" t="s">
        <v>606</v>
      </c>
      <c r="K73" s="105">
        <v>46101.0</v>
      </c>
      <c r="L73" s="101" t="str">
        <f t="shared" si="2"/>
        <v>ENTREGADO</v>
      </c>
      <c r="M73" s="101">
        <v>110301.0</v>
      </c>
      <c r="N73" s="101">
        <v>250326.0</v>
      </c>
    </row>
    <row r="74" ht="22.5" hidden="1" customHeight="1">
      <c r="A74" s="49">
        <f>PEDIDOS!A74</f>
        <v>26022</v>
      </c>
      <c r="B74" s="81">
        <f>PEDIDOS!B74</f>
        <v>46078</v>
      </c>
      <c r="C74" s="97" t="str">
        <f>PEDIDOS!C74</f>
        <v/>
      </c>
      <c r="D74" s="81" t="str">
        <f>PEDIDOS!D74</f>
        <v>OLANN</v>
      </c>
      <c r="E74" s="81" t="str">
        <f>PEDIDOS!E74</f>
        <v>Serum hialurónico 30 ml </v>
      </c>
      <c r="F74" s="98">
        <f>PEDIDOS!G74</f>
        <v>250</v>
      </c>
      <c r="G74" s="98">
        <f>2*110+33</f>
        <v>253</v>
      </c>
      <c r="H74" s="97" t="str">
        <f>PEDIDOS!F74</f>
        <v>P</v>
      </c>
      <c r="I74" s="99">
        <f t="shared" si="1"/>
        <v>1.012</v>
      </c>
      <c r="J74" s="49" t="s">
        <v>607</v>
      </c>
      <c r="K74" s="100">
        <v>46136.0</v>
      </c>
      <c r="L74" s="49" t="str">
        <f t="shared" si="2"/>
        <v>ENTREGADO</v>
      </c>
      <c r="M74" s="49" t="s">
        <v>608</v>
      </c>
      <c r="N74" s="49">
        <v>3455.0</v>
      </c>
    </row>
    <row r="75" ht="22.5" hidden="1" customHeight="1">
      <c r="A75" s="101">
        <f>PEDIDOS!A75</f>
        <v>26022</v>
      </c>
      <c r="B75" s="102">
        <f>PEDIDOS!B75</f>
        <v>46078</v>
      </c>
      <c r="C75" s="103" t="str">
        <f>PEDIDOS!C75</f>
        <v/>
      </c>
      <c r="D75" s="102" t="str">
        <f>PEDIDOS!D75</f>
        <v>OLANN</v>
      </c>
      <c r="E75" s="102" t="str">
        <f>PEDIDOS!E75</f>
        <v>BRUMA FACIAL</v>
      </c>
      <c r="F75" s="104">
        <f>PEDIDOS!G75</f>
        <v>250</v>
      </c>
      <c r="G75" s="104">
        <f>6*45</f>
        <v>270</v>
      </c>
      <c r="H75" s="103" t="str">
        <f>PEDIDOS!F75</f>
        <v>P</v>
      </c>
      <c r="I75" s="99">
        <f t="shared" si="1"/>
        <v>1.08</v>
      </c>
      <c r="J75" s="101" t="s">
        <v>609</v>
      </c>
      <c r="K75" s="112">
        <v>46136.0</v>
      </c>
      <c r="L75" s="101" t="str">
        <f t="shared" si="2"/>
        <v>ENTREGADO</v>
      </c>
      <c r="M75" s="101" t="s">
        <v>610</v>
      </c>
      <c r="N75" s="101">
        <v>3455.0</v>
      </c>
    </row>
    <row r="76" ht="22.5" hidden="1" customHeight="1">
      <c r="A76" s="49">
        <f>PEDIDOS!A76</f>
        <v>26022</v>
      </c>
      <c r="B76" s="81">
        <f>PEDIDOS!B76</f>
        <v>46078</v>
      </c>
      <c r="C76" s="97" t="str">
        <f>PEDIDOS!C76</f>
        <v/>
      </c>
      <c r="D76" s="81" t="str">
        <f>PEDIDOS!D76</f>
        <v>OLANN</v>
      </c>
      <c r="E76" s="81" t="str">
        <f>PEDIDOS!E76</f>
        <v>CREMA FACIAL DE DIA ULTRAHUMECTANTE</v>
      </c>
      <c r="F76" s="98">
        <f>PEDIDOS!G76</f>
        <v>250</v>
      </c>
      <c r="G76" s="98">
        <f>3*60+55</f>
        <v>235</v>
      </c>
      <c r="H76" s="97" t="str">
        <f>PEDIDOS!F76</f>
        <v>P</v>
      </c>
      <c r="I76" s="99">
        <f t="shared" si="1"/>
        <v>0.94</v>
      </c>
      <c r="J76" s="49" t="s">
        <v>611</v>
      </c>
      <c r="K76" s="100">
        <v>46118.0</v>
      </c>
      <c r="L76" s="49" t="str">
        <f t="shared" si="2"/>
        <v>ENTREGADO</v>
      </c>
      <c r="M76" s="49" t="s">
        <v>612</v>
      </c>
      <c r="N76" s="49">
        <v>3458.0</v>
      </c>
    </row>
    <row r="77" ht="22.5" hidden="1" customHeight="1">
      <c r="A77" s="101">
        <f>PEDIDOS!A77</f>
        <v>26022</v>
      </c>
      <c r="B77" s="102">
        <f>PEDIDOS!B77</f>
        <v>46078</v>
      </c>
      <c r="C77" s="103" t="str">
        <f>PEDIDOS!C77</f>
        <v/>
      </c>
      <c r="D77" s="102" t="str">
        <f>PEDIDOS!D77</f>
        <v>OLANN</v>
      </c>
      <c r="E77" s="102" t="str">
        <f>PEDIDOS!E77</f>
        <v>CREMA FACIAL DE NOCHE TENSORA</v>
      </c>
      <c r="F77" s="104">
        <f>PEDIDOS!G77</f>
        <v>250</v>
      </c>
      <c r="G77" s="104">
        <f>3*60+57</f>
        <v>237</v>
      </c>
      <c r="H77" s="103" t="str">
        <f>PEDIDOS!F77</f>
        <v>P</v>
      </c>
      <c r="I77" s="99">
        <f t="shared" si="1"/>
        <v>0.948</v>
      </c>
      <c r="J77" s="101" t="s">
        <v>613</v>
      </c>
      <c r="K77" s="112">
        <v>46118.0</v>
      </c>
      <c r="L77" s="101" t="str">
        <f t="shared" si="2"/>
        <v>ENTREGADO</v>
      </c>
      <c r="M77" s="101" t="s">
        <v>614</v>
      </c>
      <c r="N77" s="101">
        <v>3458.0</v>
      </c>
    </row>
    <row r="78" ht="22.5" hidden="1" customHeight="1">
      <c r="A78" s="49">
        <f>PEDIDOS!A78</f>
        <v>26022</v>
      </c>
      <c r="B78" s="81">
        <f>PEDIDOS!B78</f>
        <v>46078</v>
      </c>
      <c r="C78" s="97" t="str">
        <f>PEDIDOS!C78</f>
        <v/>
      </c>
      <c r="D78" s="81" t="str">
        <f>PEDIDOS!D78</f>
        <v>OLANN</v>
      </c>
      <c r="E78" s="81" t="str">
        <f>PEDIDOS!E78</f>
        <v>CONTORNO DE OJOS</v>
      </c>
      <c r="F78" s="98">
        <f>PEDIDOS!G78</f>
        <v>250</v>
      </c>
      <c r="G78" s="98">
        <f>2*100+60</f>
        <v>260</v>
      </c>
      <c r="H78" s="97" t="str">
        <f>PEDIDOS!F78</f>
        <v>P</v>
      </c>
      <c r="I78" s="99">
        <f t="shared" si="1"/>
        <v>1.04</v>
      </c>
      <c r="J78" s="49" t="s">
        <v>615</v>
      </c>
      <c r="K78" s="100">
        <v>46136.0</v>
      </c>
      <c r="L78" s="49" t="str">
        <f t="shared" si="2"/>
        <v>ENTREGADO</v>
      </c>
      <c r="M78" s="49" t="s">
        <v>616</v>
      </c>
      <c r="N78" s="49">
        <v>3455.0</v>
      </c>
    </row>
    <row r="79" ht="22.5" hidden="1" customHeight="1">
      <c r="A79" s="101">
        <f>PEDIDOS!A79</f>
        <v>26023</v>
      </c>
      <c r="B79" s="102">
        <f>PEDIDOS!B79</f>
        <v>46083</v>
      </c>
      <c r="C79" s="103" t="str">
        <f>PEDIDOS!C79</f>
        <v/>
      </c>
      <c r="D79" s="102" t="str">
        <f>PEDIDOS!D79</f>
        <v>ECODERM - AGUAZU</v>
      </c>
      <c r="E79" s="102" t="str">
        <f>PEDIDOS!E79</f>
        <v>ESPUMA DE BAÑO ADULTO</v>
      </c>
      <c r="F79" s="104">
        <f>PEDIDOS!G79</f>
        <v>200</v>
      </c>
      <c r="G79" s="104">
        <f>6*30+20</f>
        <v>200</v>
      </c>
      <c r="H79" s="103" t="str">
        <f>PEDIDOS!F79</f>
        <v>M</v>
      </c>
      <c r="I79" s="99">
        <f t="shared" si="1"/>
        <v>1</v>
      </c>
      <c r="J79" s="101" t="s">
        <v>617</v>
      </c>
      <c r="K79" s="112">
        <v>46099.0</v>
      </c>
      <c r="L79" s="101" t="str">
        <f t="shared" si="2"/>
        <v>ENTREGADO</v>
      </c>
      <c r="M79" s="101" t="s">
        <v>618</v>
      </c>
      <c r="N79" s="101">
        <v>3398.0</v>
      </c>
    </row>
    <row r="80" ht="22.5" hidden="1" customHeight="1">
      <c r="A80" s="49">
        <f>PEDIDOS!A80</f>
        <v>26023</v>
      </c>
      <c r="B80" s="81">
        <f>PEDIDOS!B80</f>
        <v>46083</v>
      </c>
      <c r="C80" s="97" t="str">
        <f>PEDIDOS!C80</f>
        <v/>
      </c>
      <c r="D80" s="81" t="str">
        <f>PEDIDOS!D80</f>
        <v>ECODERM - AGUAZU</v>
      </c>
      <c r="E80" s="81" t="str">
        <f>PEDIDOS!E80</f>
        <v>ESPUMA DE BAÑO BALLENA</v>
      </c>
      <c r="F80" s="98">
        <f>PEDIDOS!G80</f>
        <v>200</v>
      </c>
      <c r="G80" s="98">
        <f>6*30+16</f>
        <v>196</v>
      </c>
      <c r="H80" s="97" t="str">
        <f>PEDIDOS!F80</f>
        <v>M</v>
      </c>
      <c r="I80" s="99">
        <f t="shared" si="1"/>
        <v>0.98</v>
      </c>
      <c r="J80" s="49" t="s">
        <v>619</v>
      </c>
      <c r="K80" s="100">
        <v>46099.0</v>
      </c>
      <c r="L80" s="49" t="str">
        <f t="shared" si="2"/>
        <v>ENTREGADO</v>
      </c>
      <c r="M80" s="49" t="s">
        <v>618</v>
      </c>
      <c r="N80" s="49">
        <v>3398.0</v>
      </c>
    </row>
    <row r="81" ht="22.5" hidden="1" customHeight="1">
      <c r="A81" s="101">
        <f>PEDIDOS!A81</f>
        <v>26023</v>
      </c>
      <c r="B81" s="102">
        <f>PEDIDOS!B81</f>
        <v>46083</v>
      </c>
      <c r="C81" s="103" t="str">
        <f>PEDIDOS!C81</f>
        <v/>
      </c>
      <c r="D81" s="102" t="str">
        <f>PEDIDOS!D81</f>
        <v>ECODERM - AGUAZU</v>
      </c>
      <c r="E81" s="102" t="str">
        <f>PEDIDOS!E81</f>
        <v>ESPUMA DE BAÑO BALLENA X500</v>
      </c>
      <c r="F81" s="104">
        <f>PEDIDOS!G81</f>
        <v>100</v>
      </c>
      <c r="G81" s="104">
        <f t="shared" ref="G81:G82" si="4">9*11</f>
        <v>99</v>
      </c>
      <c r="H81" s="103" t="str">
        <f>PEDIDOS!F81</f>
        <v>M</v>
      </c>
      <c r="I81" s="99">
        <f t="shared" si="1"/>
        <v>0.99</v>
      </c>
      <c r="J81" s="101" t="s">
        <v>620</v>
      </c>
      <c r="K81" s="112">
        <v>46099.0</v>
      </c>
      <c r="L81" s="101" t="str">
        <f t="shared" si="2"/>
        <v>ENTREGADO</v>
      </c>
      <c r="M81" s="101" t="s">
        <v>618</v>
      </c>
      <c r="N81" s="101">
        <v>3398.0</v>
      </c>
    </row>
    <row r="82" ht="22.5" hidden="1" customHeight="1">
      <c r="A82" s="49">
        <f>PEDIDOS!A82</f>
        <v>26023</v>
      </c>
      <c r="B82" s="81">
        <f>PEDIDOS!B82</f>
        <v>46083</v>
      </c>
      <c r="C82" s="97" t="str">
        <f>PEDIDOS!C82</f>
        <v/>
      </c>
      <c r="D82" s="81" t="str">
        <f>PEDIDOS!D82</f>
        <v>ECODERM - AGUAZU</v>
      </c>
      <c r="E82" s="81" t="str">
        <f>PEDIDOS!E82</f>
        <v>ESPUMA DE BAÑO ADULTO X500</v>
      </c>
      <c r="F82" s="98">
        <f>PEDIDOS!G82</f>
        <v>100</v>
      </c>
      <c r="G82" s="98">
        <f t="shared" si="4"/>
        <v>99</v>
      </c>
      <c r="H82" s="97" t="str">
        <f>PEDIDOS!F82</f>
        <v>M</v>
      </c>
      <c r="I82" s="99">
        <f t="shared" si="1"/>
        <v>0.99</v>
      </c>
      <c r="J82" s="49" t="s">
        <v>620</v>
      </c>
      <c r="K82" s="100">
        <v>46099.0</v>
      </c>
      <c r="L82" s="49" t="str">
        <f t="shared" si="2"/>
        <v>ENTREGADO</v>
      </c>
      <c r="M82" s="49" t="s">
        <v>618</v>
      </c>
      <c r="N82" s="49">
        <v>3398.0</v>
      </c>
    </row>
    <row r="83" ht="22.5" hidden="1" customHeight="1">
      <c r="A83" s="101">
        <f>PEDIDOS!A83</f>
        <v>26023</v>
      </c>
      <c r="B83" s="102">
        <f>PEDIDOS!B83</f>
        <v>46083</v>
      </c>
      <c r="C83" s="103" t="str">
        <f>PEDIDOS!C83</f>
        <v/>
      </c>
      <c r="D83" s="102" t="str">
        <f>PEDIDOS!D83</f>
        <v>ECODERM - AGUAZU</v>
      </c>
      <c r="E83" s="102" t="str">
        <f>PEDIDOS!E83</f>
        <v>BALSAMO HERBAL</v>
      </c>
      <c r="F83" s="104">
        <f>PEDIDOS!G83</f>
        <v>300</v>
      </c>
      <c r="G83" s="104">
        <v>282.0</v>
      </c>
      <c r="H83" s="103" t="str">
        <f>PEDIDOS!F83</f>
        <v>M</v>
      </c>
      <c r="I83" s="99">
        <f t="shared" si="1"/>
        <v>0.94</v>
      </c>
      <c r="J83" s="101" t="s">
        <v>621</v>
      </c>
      <c r="K83" s="110">
        <v>46099.0</v>
      </c>
      <c r="L83" s="101" t="str">
        <f t="shared" si="2"/>
        <v>ENTREGADO</v>
      </c>
      <c r="M83" s="101" t="s">
        <v>622</v>
      </c>
      <c r="N83" s="101">
        <v>3398.0</v>
      </c>
    </row>
    <row r="84" ht="22.5" hidden="1" customHeight="1">
      <c r="A84" s="49">
        <f>PEDIDOS!A84</f>
        <v>26023</v>
      </c>
      <c r="B84" s="81">
        <f>PEDIDOS!B84</f>
        <v>46083</v>
      </c>
      <c r="C84" s="97" t="str">
        <f>PEDIDOS!C84</f>
        <v/>
      </c>
      <c r="D84" s="81" t="str">
        <f>PEDIDOS!D84</f>
        <v>ECODERM - DUGA</v>
      </c>
      <c r="E84" s="81" t="str">
        <f>PEDIDOS!E84</f>
        <v>ACONDICIONADOR INFANTIL</v>
      </c>
      <c r="F84" s="98">
        <f>PEDIDOS!G84</f>
        <v>300</v>
      </c>
      <c r="G84" s="98">
        <f>6*42+28</f>
        <v>280</v>
      </c>
      <c r="H84" s="97" t="str">
        <f>PEDIDOS!F84</f>
        <v>P</v>
      </c>
      <c r="I84" s="99">
        <f t="shared" si="1"/>
        <v>0.9333333333</v>
      </c>
      <c r="J84" s="49" t="s">
        <v>623</v>
      </c>
      <c r="K84" s="100">
        <v>46107.0</v>
      </c>
      <c r="L84" s="49" t="str">
        <f t="shared" si="2"/>
        <v>ENTREGADO</v>
      </c>
      <c r="M84" s="49" t="s">
        <v>624</v>
      </c>
      <c r="N84" s="49">
        <v>3406.0</v>
      </c>
    </row>
    <row r="85" ht="22.5" hidden="1" customHeight="1">
      <c r="A85" s="101">
        <f>PEDIDOS!A85</f>
        <v>26024</v>
      </c>
      <c r="B85" s="102">
        <f>PEDIDOS!B85</f>
        <v>46083</v>
      </c>
      <c r="C85" s="103">
        <f>PEDIDOS!C85</f>
        <v>15134</v>
      </c>
      <c r="D85" s="102" t="str">
        <f>PEDIDOS!D85</f>
        <v>THELMA Y LOUISE</v>
      </c>
      <c r="E85" s="102" t="str">
        <f>PEDIDOS!E85</f>
        <v>ALCOHOL EN GEL SANDIA FARMACITY KIDS</v>
      </c>
      <c r="F85" s="104">
        <f>PEDIDOS!G85</f>
        <v>6000</v>
      </c>
      <c r="G85" s="104">
        <f>27*216+78</f>
        <v>5910</v>
      </c>
      <c r="H85" s="103" t="str">
        <f>PEDIDOS!F85</f>
        <v>M</v>
      </c>
      <c r="I85" s="99">
        <f t="shared" si="1"/>
        <v>0.985</v>
      </c>
      <c r="J85" s="101" t="s">
        <v>625</v>
      </c>
      <c r="K85" s="110">
        <v>46094.0</v>
      </c>
      <c r="L85" s="101" t="str">
        <f t="shared" si="2"/>
        <v>ENTREGADO</v>
      </c>
      <c r="M85" s="101"/>
      <c r="N85" s="101">
        <v>170326.0</v>
      </c>
    </row>
    <row r="86" ht="22.5" hidden="1" customHeight="1">
      <c r="A86" s="49">
        <f>PEDIDOS!A86</f>
        <v>26024</v>
      </c>
      <c r="B86" s="81">
        <f>PEDIDOS!B86</f>
        <v>46083</v>
      </c>
      <c r="C86" s="97">
        <f>PEDIDOS!C86</f>
        <v>15134</v>
      </c>
      <c r="D86" s="81" t="str">
        <f>PEDIDOS!D86</f>
        <v>THELMA Y LOUISE</v>
      </c>
      <c r="E86" s="81" t="str">
        <f>PEDIDOS!E86</f>
        <v>ALCOHOL EN GEL CHICLE FARMACITY KIDS</v>
      </c>
      <c r="F86" s="98">
        <f>PEDIDOS!G86</f>
        <v>6000</v>
      </c>
      <c r="G86" s="98">
        <v>5798.0</v>
      </c>
      <c r="H86" s="97" t="str">
        <f>PEDIDOS!F86</f>
        <v>M</v>
      </c>
      <c r="I86" s="99">
        <f t="shared" si="1"/>
        <v>0.9663333333</v>
      </c>
      <c r="J86" s="49" t="s">
        <v>626</v>
      </c>
      <c r="K86" s="106">
        <v>46098.0</v>
      </c>
      <c r="L86" s="49" t="str">
        <f t="shared" si="2"/>
        <v>ENTREGADO</v>
      </c>
      <c r="M86" s="49">
        <v>120302.0</v>
      </c>
      <c r="N86" s="49">
        <v>170326.0</v>
      </c>
    </row>
    <row r="87" ht="22.5" hidden="1" customHeight="1">
      <c r="A87" s="101">
        <f>PEDIDOS!A87</f>
        <v>26025</v>
      </c>
      <c r="B87" s="102">
        <f>PEDIDOS!B87</f>
        <v>46083</v>
      </c>
      <c r="C87" s="103">
        <f>PEDIDOS!C87</f>
        <v>15133</v>
      </c>
      <c r="D87" s="102" t="str">
        <f>PEDIDOS!D87</f>
        <v>THELMA Y LOUISE</v>
      </c>
      <c r="E87" s="102" t="str">
        <f>PEDIDOS!E87</f>
        <v>ALCOHOL EN GEL CHICLE TYL</v>
      </c>
      <c r="F87" s="104">
        <f>PEDIDOS!G87</f>
        <v>2000</v>
      </c>
      <c r="G87" s="104">
        <v>1989.0</v>
      </c>
      <c r="H87" s="103" t="str">
        <f>PEDIDOS!F87</f>
        <v>M</v>
      </c>
      <c r="I87" s="99">
        <f t="shared" si="1"/>
        <v>0.9945</v>
      </c>
      <c r="J87" s="101" t="s">
        <v>627</v>
      </c>
      <c r="K87" s="105">
        <v>46101.0</v>
      </c>
      <c r="L87" s="101" t="str">
        <f t="shared" si="2"/>
        <v>ENTREGADO</v>
      </c>
      <c r="M87" s="101">
        <v>160303.0</v>
      </c>
      <c r="N87" s="101">
        <v>200326.0</v>
      </c>
    </row>
    <row r="88" ht="22.5" hidden="1" customHeight="1">
      <c r="A88" s="49">
        <f>PEDIDOS!A88</f>
        <v>26025</v>
      </c>
      <c r="B88" s="81">
        <f>PEDIDOS!B88</f>
        <v>46083</v>
      </c>
      <c r="C88" s="97">
        <f>PEDIDOS!C88</f>
        <v>15133</v>
      </c>
      <c r="D88" s="81" t="str">
        <f>PEDIDOS!D88</f>
        <v>THELMA Y LOUISE</v>
      </c>
      <c r="E88" s="81" t="str">
        <f>PEDIDOS!E88</f>
        <v>ALCOHOL EN GEL FRUTOS ROJOS TYL</v>
      </c>
      <c r="F88" s="98">
        <f>PEDIDOS!G88</f>
        <v>2000</v>
      </c>
      <c r="G88" s="98">
        <f>8*216+201</f>
        <v>1929</v>
      </c>
      <c r="H88" s="97" t="str">
        <f>PEDIDOS!F88</f>
        <v>M</v>
      </c>
      <c r="I88" s="99">
        <f t="shared" si="1"/>
        <v>0.9645</v>
      </c>
      <c r="J88" s="49" t="s">
        <v>628</v>
      </c>
      <c r="K88" s="111">
        <v>46093.0</v>
      </c>
      <c r="L88" s="49" t="str">
        <f t="shared" si="2"/>
        <v>ENTREGADO</v>
      </c>
      <c r="M88" s="49"/>
      <c r="N88" s="49">
        <v>130325.0</v>
      </c>
    </row>
    <row r="89" ht="22.5" hidden="1" customHeight="1">
      <c r="A89" s="101">
        <f>PEDIDOS!A89</f>
        <v>26025</v>
      </c>
      <c r="B89" s="102">
        <f>PEDIDOS!B89</f>
        <v>46083</v>
      </c>
      <c r="C89" s="103">
        <f>PEDIDOS!C89</f>
        <v>15133</v>
      </c>
      <c r="D89" s="102" t="str">
        <f>PEDIDOS!D89</f>
        <v>THELMA Y LOUISE</v>
      </c>
      <c r="E89" s="102" t="str">
        <f>PEDIDOS!E89</f>
        <v>ALCOHOL EN GEL DURAZNO TYL</v>
      </c>
      <c r="F89" s="104">
        <f>PEDIDOS!G89</f>
        <v>2000</v>
      </c>
      <c r="G89" s="104">
        <f>8*216+202</f>
        <v>1930</v>
      </c>
      <c r="H89" s="103" t="str">
        <f>PEDIDOS!F89</f>
        <v>M</v>
      </c>
      <c r="I89" s="99">
        <f t="shared" si="1"/>
        <v>0.965</v>
      </c>
      <c r="J89" s="101" t="s">
        <v>629</v>
      </c>
      <c r="K89" s="110">
        <v>46101.0</v>
      </c>
      <c r="L89" s="101" t="str">
        <f t="shared" si="2"/>
        <v>ENTREGADO</v>
      </c>
      <c r="M89" s="101"/>
      <c r="N89" s="101">
        <v>200326.0</v>
      </c>
    </row>
    <row r="90" ht="22.5" hidden="1" customHeight="1">
      <c r="A90" s="49">
        <f>PEDIDOS!A90</f>
        <v>26025</v>
      </c>
      <c r="B90" s="81">
        <f>PEDIDOS!B90</f>
        <v>46083</v>
      </c>
      <c r="C90" s="97">
        <f>PEDIDOS!C90</f>
        <v>15133</v>
      </c>
      <c r="D90" s="81" t="str">
        <f>PEDIDOS!D90</f>
        <v>THELMA Y LOUISE</v>
      </c>
      <c r="E90" s="81" t="str">
        <f>PEDIDOS!E90</f>
        <v>ALCOHOL EN GEL COCO TYL</v>
      </c>
      <c r="F90" s="98">
        <f>PEDIDOS!G90</f>
        <v>2000</v>
      </c>
      <c r="G90" s="98">
        <f>10*216+109</f>
        <v>2269</v>
      </c>
      <c r="H90" s="97" t="str">
        <f>PEDIDOS!F90</f>
        <v>M</v>
      </c>
      <c r="I90" s="99">
        <f t="shared" si="1"/>
        <v>1.1345</v>
      </c>
      <c r="J90" s="49" t="s">
        <v>630</v>
      </c>
      <c r="K90" s="111">
        <v>46101.0</v>
      </c>
      <c r="L90" s="49" t="str">
        <f t="shared" si="2"/>
        <v>ENTREGADO</v>
      </c>
      <c r="M90" s="49"/>
      <c r="N90" s="49">
        <v>10426.0</v>
      </c>
    </row>
    <row r="91" ht="22.5" hidden="1" customHeight="1">
      <c r="A91" s="101">
        <f>PEDIDOS!A91</f>
        <v>26025</v>
      </c>
      <c r="B91" s="102">
        <f>PEDIDOS!B91</f>
        <v>46083</v>
      </c>
      <c r="C91" s="103">
        <f>PEDIDOS!C91</f>
        <v>15133</v>
      </c>
      <c r="D91" s="102" t="str">
        <f>PEDIDOS!D91</f>
        <v>THELMA Y LOUISE</v>
      </c>
      <c r="E91" s="102" t="str">
        <f>PEDIDOS!E91</f>
        <v>ALCOHOL EN GEL VAINILLA TYL</v>
      </c>
      <c r="F91" s="104">
        <f>PEDIDOS!G91</f>
        <v>2000</v>
      </c>
      <c r="G91" s="104">
        <f>9*216+39</f>
        <v>1983</v>
      </c>
      <c r="H91" s="103" t="str">
        <f>PEDIDOS!F91</f>
        <v>M</v>
      </c>
      <c r="I91" s="99">
        <f t="shared" si="1"/>
        <v>0.9915</v>
      </c>
      <c r="J91" s="101" t="s">
        <v>631</v>
      </c>
      <c r="K91" s="110">
        <v>46101.0</v>
      </c>
      <c r="L91" s="101" t="str">
        <f t="shared" si="2"/>
        <v>ENTREGADO</v>
      </c>
      <c r="M91" s="101"/>
      <c r="N91" s="101">
        <v>200326.0</v>
      </c>
    </row>
    <row r="92" ht="22.5" hidden="1" customHeight="1">
      <c r="A92" s="49">
        <f>PEDIDOS!A92</f>
        <v>26026</v>
      </c>
      <c r="B92" s="81">
        <f>PEDIDOS!B92</f>
        <v>46083</v>
      </c>
      <c r="C92" s="97" t="str">
        <f>PEDIDOS!C92</f>
        <v/>
      </c>
      <c r="D92" s="81" t="str">
        <f>PEDIDOS!D92</f>
        <v>DERMION / FRANCO</v>
      </c>
      <c r="E92" s="81" t="str">
        <f>PEDIDOS!E92</f>
        <v>SERUM NIACINAMIDA</v>
      </c>
      <c r="F92" s="98">
        <f>PEDIDOS!G92</f>
        <v>500</v>
      </c>
      <c r="G92" s="98">
        <f>4*112+57</f>
        <v>505</v>
      </c>
      <c r="H92" s="97" t="str">
        <f>PEDIDOS!F92</f>
        <v>P</v>
      </c>
      <c r="I92" s="99">
        <f t="shared" si="1"/>
        <v>1.01</v>
      </c>
      <c r="J92" s="49" t="s">
        <v>632</v>
      </c>
      <c r="K92" s="111">
        <v>46085.0</v>
      </c>
      <c r="L92" s="49" t="str">
        <f t="shared" si="2"/>
        <v>ENTREGADO</v>
      </c>
      <c r="M92" s="49" t="s">
        <v>633</v>
      </c>
      <c r="N92" s="49">
        <v>3369.0</v>
      </c>
    </row>
    <row r="93" ht="22.5" hidden="1" customHeight="1">
      <c r="A93" s="101">
        <f>PEDIDOS!A93</f>
        <v>26027</v>
      </c>
      <c r="B93" s="102">
        <f>PEDIDOS!B93</f>
        <v>46083</v>
      </c>
      <c r="C93" s="103" t="str">
        <f>PEDIDOS!C93</f>
        <v/>
      </c>
      <c r="D93" s="102" t="str">
        <f>PEDIDOS!D93</f>
        <v>THE GLOW FACTOR</v>
      </c>
      <c r="E93" s="102" t="str">
        <f>PEDIDOS!E93</f>
        <v>CREMA CLARITÉ</v>
      </c>
      <c r="F93" s="104">
        <f>PEDIDOS!G93</f>
        <v>1000</v>
      </c>
      <c r="G93" s="104">
        <f>63*16+26+12</f>
        <v>1046</v>
      </c>
      <c r="H93" s="103" t="str">
        <f>PEDIDOS!F93</f>
        <v>P</v>
      </c>
      <c r="I93" s="99">
        <f t="shared" si="1"/>
        <v>1.046</v>
      </c>
      <c r="J93" s="101" t="s">
        <v>634</v>
      </c>
      <c r="K93" s="112">
        <v>46098.0</v>
      </c>
      <c r="L93" s="101" t="str">
        <f t="shared" si="2"/>
        <v>ENTREGADO</v>
      </c>
      <c r="M93" s="101" t="s">
        <v>635</v>
      </c>
      <c r="N93" s="101" t="s">
        <v>636</v>
      </c>
    </row>
    <row r="94" ht="22.5" customHeight="1">
      <c r="A94" s="49">
        <f>PEDIDOS!A94</f>
        <v>26028</v>
      </c>
      <c r="B94" s="81">
        <f>PEDIDOS!B94</f>
        <v>46086</v>
      </c>
      <c r="C94" s="97">
        <f>PEDIDOS!C94</f>
        <v>777</v>
      </c>
      <c r="D94" s="81" t="str">
        <f>PEDIDOS!D94</f>
        <v>CAV</v>
      </c>
      <c r="E94" s="81" t="str">
        <f>PEDIDOS!E94</f>
        <v>SHAMPOO MAXLISS X400ML</v>
      </c>
      <c r="F94" s="98">
        <f>PEDIDOS!G94</f>
        <v>200</v>
      </c>
      <c r="G94" s="98">
        <f>16*12+9</f>
        <v>201</v>
      </c>
      <c r="H94" s="97" t="str">
        <f>PEDIDOS!F94</f>
        <v>M</v>
      </c>
      <c r="I94" s="99">
        <f t="shared" si="1"/>
        <v>1.005</v>
      </c>
      <c r="J94" s="49" t="s">
        <v>637</v>
      </c>
      <c r="K94" s="106">
        <v>46097.0</v>
      </c>
      <c r="L94" s="49" t="str">
        <f t="shared" si="2"/>
        <v>ENTREGADO</v>
      </c>
      <c r="M94" s="49" t="s">
        <v>638</v>
      </c>
      <c r="N94" s="49">
        <v>3403.0</v>
      </c>
    </row>
    <row r="95" ht="22.5" customHeight="1">
      <c r="A95" s="101">
        <f>PEDIDOS!A95</f>
        <v>26028</v>
      </c>
      <c r="B95" s="102">
        <f>PEDIDOS!B95</f>
        <v>46086</v>
      </c>
      <c r="C95" s="103">
        <f>PEDIDOS!C95</f>
        <v>777</v>
      </c>
      <c r="D95" s="102" t="str">
        <f>PEDIDOS!D95</f>
        <v>CAV</v>
      </c>
      <c r="E95" s="102" t="str">
        <f>PEDIDOS!E95</f>
        <v>CONDITIONER MAXLISS X400G</v>
      </c>
      <c r="F95" s="104">
        <f>PEDIDOS!G95</f>
        <v>200</v>
      </c>
      <c r="G95" s="104">
        <f>17*12+8</f>
        <v>212</v>
      </c>
      <c r="H95" s="103" t="str">
        <f>PEDIDOS!F95</f>
        <v>M</v>
      </c>
      <c r="I95" s="99">
        <f t="shared" si="1"/>
        <v>1.06</v>
      </c>
      <c r="J95" s="101" t="s">
        <v>639</v>
      </c>
      <c r="K95" s="112">
        <v>46101.0</v>
      </c>
      <c r="L95" s="101" t="str">
        <f t="shared" si="2"/>
        <v>ENTREGADO</v>
      </c>
      <c r="M95" s="101" t="s">
        <v>640</v>
      </c>
      <c r="N95" s="101">
        <v>3403.0</v>
      </c>
    </row>
    <row r="96" ht="22.5" customHeight="1">
      <c r="A96" s="49">
        <f>PEDIDOS!A96</f>
        <v>26028</v>
      </c>
      <c r="B96" s="81">
        <f>PEDIDOS!B96</f>
        <v>46086</v>
      </c>
      <c r="C96" s="97">
        <f>PEDIDOS!C96</f>
        <v>777</v>
      </c>
      <c r="D96" s="81" t="str">
        <f>PEDIDOS!D96</f>
        <v>CAV</v>
      </c>
      <c r="E96" s="81" t="str">
        <f>PEDIDOS!E96</f>
        <v>VITAMIN SHOCK X150G</v>
      </c>
      <c r="F96" s="98">
        <f>PEDIDOS!G96</f>
        <v>700</v>
      </c>
      <c r="G96" s="98">
        <f>27*25</f>
        <v>675</v>
      </c>
      <c r="H96" s="97" t="str">
        <f>PEDIDOS!F96</f>
        <v>P</v>
      </c>
      <c r="I96" s="99">
        <f t="shared" si="1"/>
        <v>0.9642857143</v>
      </c>
      <c r="J96" s="49" t="s">
        <v>641</v>
      </c>
      <c r="K96" s="100">
        <v>46112.0</v>
      </c>
      <c r="L96" s="49" t="str">
        <f t="shared" si="2"/>
        <v>ENTREGADO</v>
      </c>
      <c r="M96" s="49" t="s">
        <v>642</v>
      </c>
      <c r="N96" s="49">
        <v>3415.0</v>
      </c>
    </row>
    <row r="97" ht="22.5" hidden="1" customHeight="1">
      <c r="A97" s="101">
        <f>PEDIDOS!A97</f>
        <v>26029</v>
      </c>
      <c r="B97" s="102">
        <f>PEDIDOS!B97</f>
        <v>46086</v>
      </c>
      <c r="C97" s="103">
        <f>PEDIDOS!C97</f>
        <v>1080</v>
      </c>
      <c r="D97" s="102" t="str">
        <f>PEDIDOS!D97</f>
        <v>NIZA</v>
      </c>
      <c r="E97" s="102" t="str">
        <f>PEDIDOS!E97</f>
        <v>CLEAR ACNE LOTION</v>
      </c>
      <c r="F97" s="104">
        <f>PEDIDOS!G97</f>
        <v>300</v>
      </c>
      <c r="G97" s="104">
        <f>12*24+12</f>
        <v>300</v>
      </c>
      <c r="H97" s="103" t="str">
        <f>PEDIDOS!F97</f>
        <v>P</v>
      </c>
      <c r="I97" s="99">
        <f t="shared" si="1"/>
        <v>1</v>
      </c>
      <c r="J97" s="101" t="s">
        <v>643</v>
      </c>
      <c r="K97" s="112">
        <v>46113.0</v>
      </c>
      <c r="L97" s="101" t="str">
        <f t="shared" si="2"/>
        <v>ENTREGADO</v>
      </c>
      <c r="M97" s="101" t="s">
        <v>644</v>
      </c>
      <c r="N97" s="101">
        <v>3417.0</v>
      </c>
    </row>
    <row r="98" ht="22.5" hidden="1" customHeight="1">
      <c r="A98" s="49">
        <f>PEDIDOS!A98</f>
        <v>26029</v>
      </c>
      <c r="B98" s="81">
        <f>PEDIDOS!B98</f>
        <v>46086</v>
      </c>
      <c r="C98" s="97">
        <f>PEDIDOS!C98</f>
        <v>1080</v>
      </c>
      <c r="D98" s="81" t="str">
        <f>PEDIDOS!D98</f>
        <v>NIZA</v>
      </c>
      <c r="E98" s="81" t="str">
        <f>PEDIDOS!E98</f>
        <v>SIGNATURE AGE REVERSE</v>
      </c>
      <c r="F98" s="98">
        <f>PEDIDOS!G98</f>
        <v>500</v>
      </c>
      <c r="G98" s="98">
        <f>18*28+21</f>
        <v>525</v>
      </c>
      <c r="H98" s="97" t="str">
        <f>PEDIDOS!F98</f>
        <v>P</v>
      </c>
      <c r="I98" s="99">
        <f t="shared" si="1"/>
        <v>1.05</v>
      </c>
      <c r="J98" s="49" t="s">
        <v>645</v>
      </c>
      <c r="K98" s="100">
        <v>46113.0</v>
      </c>
      <c r="L98" s="49" t="str">
        <f t="shared" si="2"/>
        <v>ENTREGADO</v>
      </c>
      <c r="M98" s="49" t="s">
        <v>646</v>
      </c>
      <c r="N98" s="49">
        <v>3417.0</v>
      </c>
    </row>
    <row r="99" ht="22.5" hidden="1" customHeight="1">
      <c r="A99" s="101">
        <f>PEDIDOS!A99</f>
        <v>26030</v>
      </c>
      <c r="B99" s="102">
        <f>PEDIDOS!B99</f>
        <v>46086</v>
      </c>
      <c r="C99" s="103" t="str">
        <f>PEDIDOS!C99</f>
        <v/>
      </c>
      <c r="D99" s="102" t="str">
        <f>PEDIDOS!D99</f>
        <v>THE CURIOUS SKIN</v>
      </c>
      <c r="E99" s="102" t="str">
        <f>PEDIDOS!E99</f>
        <v>SERUM  BOOSTER Telangyn </v>
      </c>
      <c r="F99" s="104">
        <f>PEDIDOS!G99</f>
        <v>500</v>
      </c>
      <c r="G99" s="104">
        <f>10*48+22</f>
        <v>502</v>
      </c>
      <c r="H99" s="103" t="str">
        <f>PEDIDOS!F99</f>
        <v>P</v>
      </c>
      <c r="I99" s="99">
        <f t="shared" si="1"/>
        <v>1.004</v>
      </c>
      <c r="J99" s="108" t="s">
        <v>647</v>
      </c>
      <c r="K99" s="109">
        <v>46171.0</v>
      </c>
      <c r="L99" s="101" t="str">
        <f t="shared" si="2"/>
        <v>ENTREGADO</v>
      </c>
      <c r="M99" s="108" t="s">
        <v>648</v>
      </c>
      <c r="N99" s="108">
        <v>3506.0</v>
      </c>
    </row>
    <row r="100" ht="22.5" hidden="1" customHeight="1">
      <c r="A100" s="49">
        <f>PEDIDOS!A100</f>
        <v>26030</v>
      </c>
      <c r="B100" s="81">
        <f>PEDIDOS!B100</f>
        <v>46086</v>
      </c>
      <c r="C100" s="97" t="str">
        <f>PEDIDOS!C100</f>
        <v/>
      </c>
      <c r="D100" s="81" t="str">
        <f>PEDIDOS!D100</f>
        <v>THE CURIOUS SKIN</v>
      </c>
      <c r="E100" s="81" t="str">
        <f>PEDIDOS!E100</f>
        <v>CARROT OIL</v>
      </c>
      <c r="F100" s="98">
        <f>PEDIDOS!G100</f>
        <v>500</v>
      </c>
      <c r="G100" s="98">
        <f>20*24+22</f>
        <v>502</v>
      </c>
      <c r="H100" s="97" t="str">
        <f>PEDIDOS!F100</f>
        <v>P</v>
      </c>
      <c r="I100" s="99">
        <f t="shared" si="1"/>
        <v>1.004</v>
      </c>
      <c r="J100" s="43" t="s">
        <v>649</v>
      </c>
      <c r="K100" s="113">
        <v>46171.0</v>
      </c>
      <c r="L100" s="49" t="str">
        <f t="shared" si="2"/>
        <v>ENTREGADO</v>
      </c>
      <c r="M100" s="43" t="s">
        <v>650</v>
      </c>
      <c r="N100" s="43">
        <v>3506.0</v>
      </c>
    </row>
    <row r="101" ht="22.5" hidden="1" customHeight="1">
      <c r="A101" s="101">
        <f>PEDIDOS!A101</f>
        <v>26031</v>
      </c>
      <c r="B101" s="102">
        <f>PEDIDOS!B101</f>
        <v>46087</v>
      </c>
      <c r="C101" s="103" t="str">
        <f>PEDIDOS!C101</f>
        <v/>
      </c>
      <c r="D101" s="102" t="str">
        <f>PEDIDOS!D101</f>
        <v>WSABI</v>
      </c>
      <c r="E101" s="102" t="str">
        <f>PEDIDOS!E101</f>
        <v>CREMA HIDTANATE LIGERA</v>
      </c>
      <c r="F101" s="104">
        <f>PEDIDOS!G101</f>
        <v>500</v>
      </c>
      <c r="G101" s="104">
        <f>9*42+2*36+22</f>
        <v>472</v>
      </c>
      <c r="H101" s="103" t="str">
        <f>PEDIDOS!F101</f>
        <v>P</v>
      </c>
      <c r="I101" s="99">
        <f t="shared" si="1"/>
        <v>0.944</v>
      </c>
      <c r="J101" s="101" t="s">
        <v>651</v>
      </c>
      <c r="K101" s="112">
        <v>46119.0</v>
      </c>
      <c r="L101" s="101" t="str">
        <f t="shared" si="2"/>
        <v>ENTREGADO</v>
      </c>
      <c r="M101" s="101" t="s">
        <v>652</v>
      </c>
      <c r="N101" s="101">
        <v>3419.0</v>
      </c>
    </row>
    <row r="102" ht="22.5" hidden="1" customHeight="1">
      <c r="A102" s="49">
        <f>PEDIDOS!A102</f>
        <v>26032</v>
      </c>
      <c r="B102" s="81">
        <f>PEDIDOS!B102</f>
        <v>46087</v>
      </c>
      <c r="C102" s="97">
        <f>PEDIDOS!C102</f>
        <v>1594</v>
      </c>
      <c r="D102" s="81" t="str">
        <f>PEDIDOS!D102</f>
        <v>NE</v>
      </c>
      <c r="E102" s="81" t="str">
        <f>PEDIDOS!E102</f>
        <v>BRUMA FACIAL</v>
      </c>
      <c r="F102" s="98">
        <f>PEDIDOS!G102</f>
        <v>500</v>
      </c>
      <c r="G102" s="98">
        <f>18*24+15</f>
        <v>447</v>
      </c>
      <c r="H102" s="97" t="str">
        <f>PEDIDOS!F102</f>
        <v>P</v>
      </c>
      <c r="I102" s="99">
        <f t="shared" si="1"/>
        <v>0.894</v>
      </c>
      <c r="J102" s="49" t="s">
        <v>653</v>
      </c>
      <c r="K102" s="100">
        <v>46101.0</v>
      </c>
      <c r="L102" s="49" t="str">
        <f t="shared" si="2"/>
        <v>ENTREGADO</v>
      </c>
      <c r="M102" s="49" t="s">
        <v>654</v>
      </c>
      <c r="N102" s="49">
        <v>3400.0</v>
      </c>
    </row>
    <row r="103" ht="22.5" hidden="1" customHeight="1">
      <c r="A103" s="101">
        <f>PEDIDOS!A103</f>
        <v>26032</v>
      </c>
      <c r="B103" s="102">
        <f>PEDIDOS!B103</f>
        <v>46087</v>
      </c>
      <c r="C103" s="103">
        <f>PEDIDOS!C103</f>
        <v>1594</v>
      </c>
      <c r="D103" s="102" t="str">
        <f>PEDIDOS!D103</f>
        <v>NE</v>
      </c>
      <c r="E103" s="102" t="str">
        <f>PEDIDOS!E103</f>
        <v>CREMA CORPORAL</v>
      </c>
      <c r="F103" s="104">
        <f>PEDIDOS!G103</f>
        <v>500</v>
      </c>
      <c r="G103" s="104">
        <f>14*20+18</f>
        <v>298</v>
      </c>
      <c r="H103" s="103" t="str">
        <f>PEDIDOS!F103</f>
        <v>P</v>
      </c>
      <c r="I103" s="99">
        <f t="shared" si="1"/>
        <v>0.596</v>
      </c>
      <c r="J103" s="101" t="s">
        <v>655</v>
      </c>
      <c r="K103" s="112">
        <v>46101.0</v>
      </c>
      <c r="L103" s="101" t="str">
        <f t="shared" si="2"/>
        <v>ENTREGADO</v>
      </c>
      <c r="M103" s="101" t="s">
        <v>656</v>
      </c>
      <c r="N103" s="101">
        <v>3400.0</v>
      </c>
    </row>
    <row r="104" ht="22.5" hidden="1" customHeight="1">
      <c r="A104" s="49">
        <f>PEDIDOS!A104</f>
        <v>26033</v>
      </c>
      <c r="B104" s="81">
        <f>PEDIDOS!B104</f>
        <v>46087</v>
      </c>
      <c r="C104" s="97">
        <f>PEDIDOS!C104</f>
        <v>1597</v>
      </c>
      <c r="D104" s="81" t="str">
        <f>PEDIDOS!D104</f>
        <v>NE</v>
      </c>
      <c r="E104" s="81" t="str">
        <f>PEDIDOS!E104</f>
        <v>CREMA FACIAL NOCHE</v>
      </c>
      <c r="F104" s="98">
        <f>PEDIDOS!G104</f>
        <v>500</v>
      </c>
      <c r="G104" s="98">
        <f>20*24+16</f>
        <v>496</v>
      </c>
      <c r="H104" s="97" t="str">
        <f>PEDIDOS!F104</f>
        <v>P</v>
      </c>
      <c r="I104" s="99">
        <f t="shared" si="1"/>
        <v>0.992</v>
      </c>
      <c r="J104" s="49" t="s">
        <v>657</v>
      </c>
      <c r="K104" s="100">
        <v>46101.0</v>
      </c>
      <c r="L104" s="49" t="str">
        <f t="shared" si="2"/>
        <v>ENTREGADO</v>
      </c>
      <c r="M104" s="49" t="s">
        <v>658</v>
      </c>
      <c r="N104" s="49">
        <v>3400.0</v>
      </c>
    </row>
    <row r="105" ht="22.5" hidden="1" customHeight="1">
      <c r="A105" s="101">
        <f>PEDIDOS!A105</f>
        <v>26034</v>
      </c>
      <c r="B105" s="102">
        <f>PEDIDOS!B105</f>
        <v>46087</v>
      </c>
      <c r="C105" s="103">
        <f>PEDIDOS!C105</f>
        <v>140</v>
      </c>
      <c r="D105" s="102" t="str">
        <f>PEDIDOS!D105</f>
        <v>ICONO</v>
      </c>
      <c r="E105" s="102" t="str">
        <f>PEDIDOS!E105</f>
        <v>MASCARA DESINCRUSTANTE DE PAPAYA x 250GR.</v>
      </c>
      <c r="F105" s="104">
        <f>PEDIDOS!G105</f>
        <v>3000</v>
      </c>
      <c r="G105" s="104">
        <v>3103.0</v>
      </c>
      <c r="H105" s="103" t="str">
        <f>PEDIDOS!F105</f>
        <v>M</v>
      </c>
      <c r="I105" s="99">
        <f t="shared" si="1"/>
        <v>1.034333333</v>
      </c>
      <c r="J105" s="101" t="s">
        <v>659</v>
      </c>
      <c r="K105" s="105">
        <v>46108.0</v>
      </c>
      <c r="L105" s="101" t="str">
        <f t="shared" si="2"/>
        <v>ENTREGADO</v>
      </c>
      <c r="M105" s="101" t="s">
        <v>660</v>
      </c>
      <c r="N105" s="101">
        <v>3408.0</v>
      </c>
    </row>
    <row r="106" ht="22.5" hidden="1" customHeight="1">
      <c r="A106" s="49">
        <f>PEDIDOS!A106</f>
        <v>26035</v>
      </c>
      <c r="B106" s="81">
        <f>PEDIDOS!B106</f>
        <v>46087</v>
      </c>
      <c r="C106" s="97">
        <f>PEDIDOS!C106</f>
        <v>140</v>
      </c>
      <c r="D106" s="81" t="str">
        <f>PEDIDOS!D106</f>
        <v>ICONO</v>
      </c>
      <c r="E106" s="81" t="str">
        <f>PEDIDOS!E106</f>
        <v>CREMA EFECTO TENSOR x 50GR.</v>
      </c>
      <c r="F106" s="98">
        <f>PEDIDOS!G106</f>
        <v>2000</v>
      </c>
      <c r="G106" s="98">
        <f>55*36</f>
        <v>1980</v>
      </c>
      <c r="H106" s="97" t="str">
        <f>PEDIDOS!F106</f>
        <v>P</v>
      </c>
      <c r="I106" s="99">
        <f t="shared" si="1"/>
        <v>0.99</v>
      </c>
      <c r="J106" s="49" t="s">
        <v>661</v>
      </c>
      <c r="K106" s="100">
        <v>46108.0</v>
      </c>
      <c r="L106" s="49" t="str">
        <f t="shared" si="2"/>
        <v>ENTREGADO</v>
      </c>
      <c r="M106" s="49" t="s">
        <v>662</v>
      </c>
      <c r="N106" s="49">
        <v>3408.0</v>
      </c>
    </row>
    <row r="107" ht="22.5" hidden="1" customHeight="1">
      <c r="A107" s="101">
        <f>PEDIDOS!A107</f>
        <v>26036</v>
      </c>
      <c r="B107" s="102">
        <f>PEDIDOS!B107</f>
        <v>46090</v>
      </c>
      <c r="C107" s="103" t="str">
        <f>PEDIDOS!C107</f>
        <v>15170/15169</v>
      </c>
      <c r="D107" s="102" t="str">
        <f>PEDIDOS!D107</f>
        <v>THELMA Y LOUISE</v>
      </c>
      <c r="E107" s="102" t="str">
        <f>PEDIDOS!E107</f>
        <v>ALCOHOL EN GEL CHICLE FRUTILLA</v>
      </c>
      <c r="F107" s="104">
        <f>PEDIDOS!G107</f>
        <v>4000</v>
      </c>
      <c r="G107" s="104">
        <v>3734.0</v>
      </c>
      <c r="H107" s="103" t="str">
        <f>PEDIDOS!F107</f>
        <v>M</v>
      </c>
      <c r="I107" s="99">
        <f t="shared" si="1"/>
        <v>0.9335</v>
      </c>
      <c r="J107" s="101" t="s">
        <v>663</v>
      </c>
      <c r="K107" s="110">
        <v>46111.0</v>
      </c>
      <c r="L107" s="101" t="str">
        <f t="shared" si="2"/>
        <v>ENTREGADO</v>
      </c>
      <c r="M107" s="101"/>
      <c r="N107" s="101">
        <v>300326.0</v>
      </c>
    </row>
    <row r="108" ht="22.5" hidden="1" customHeight="1">
      <c r="A108" s="49">
        <f>PEDIDOS!A108</f>
        <v>26036</v>
      </c>
      <c r="B108" s="81">
        <f>PEDIDOS!B108</f>
        <v>46090</v>
      </c>
      <c r="C108" s="97" t="str">
        <f>PEDIDOS!C108</f>
        <v>15170/15169</v>
      </c>
      <c r="D108" s="81" t="str">
        <f>PEDIDOS!D108</f>
        <v>THELMA Y LOUISE</v>
      </c>
      <c r="E108" s="81" t="str">
        <f>PEDIDOS!E108</f>
        <v>ALCOHOL EN GEL CHERRY</v>
      </c>
      <c r="F108" s="98">
        <f>PEDIDOS!G108</f>
        <v>5000</v>
      </c>
      <c r="G108" s="98">
        <v>3888.0</v>
      </c>
      <c r="H108" s="97" t="str">
        <f>PEDIDOS!F108</f>
        <v>M</v>
      </c>
      <c r="I108" s="99">
        <f t="shared" si="1"/>
        <v>0.7776</v>
      </c>
      <c r="J108" s="49" t="s">
        <v>664</v>
      </c>
      <c r="K108" s="100">
        <v>46111.0</v>
      </c>
      <c r="L108" s="49" t="str">
        <f t="shared" si="2"/>
        <v>ENTREGADO</v>
      </c>
      <c r="M108" s="49"/>
      <c r="N108" s="49">
        <v>300326.0</v>
      </c>
    </row>
    <row r="109" ht="22.5" hidden="1" customHeight="1">
      <c r="A109" s="101">
        <f>PEDIDOS!A109</f>
        <v>26036</v>
      </c>
      <c r="B109" s="102">
        <f>PEDIDOS!B109</f>
        <v>46090</v>
      </c>
      <c r="C109" s="103">
        <f>PEDIDOS!C109</f>
        <v>15170</v>
      </c>
      <c r="D109" s="102" t="str">
        <f>PEDIDOS!D109</f>
        <v>THELMA Y LOUISE</v>
      </c>
      <c r="E109" s="102" t="str">
        <f>PEDIDOS!E109</f>
        <v>ALCOHOL EN GEL CAPUCHINO - esencia vany love</v>
      </c>
      <c r="F109" s="104">
        <f>PEDIDOS!G109</f>
        <v>3000</v>
      </c>
      <c r="G109" s="104">
        <v>3003.0</v>
      </c>
      <c r="H109" s="103" t="str">
        <f>PEDIDOS!F109</f>
        <v>M</v>
      </c>
      <c r="I109" s="99">
        <f t="shared" si="1"/>
        <v>1.001</v>
      </c>
      <c r="J109" s="101" t="s">
        <v>665</v>
      </c>
      <c r="K109" s="110">
        <v>46125.0</v>
      </c>
      <c r="L109" s="101" t="str">
        <f t="shared" si="2"/>
        <v>ENTREGADO</v>
      </c>
      <c r="M109" s="101"/>
      <c r="N109" s="101">
        <v>140426.0</v>
      </c>
    </row>
    <row r="110" ht="22.5" hidden="1" customHeight="1">
      <c r="A110" s="49">
        <f>PEDIDOS!A110</f>
        <v>26036</v>
      </c>
      <c r="B110" s="81">
        <f>PEDIDOS!B110</f>
        <v>46090</v>
      </c>
      <c r="C110" s="97">
        <f>PEDIDOS!C110</f>
        <v>15170</v>
      </c>
      <c r="D110" s="81" t="str">
        <f>PEDIDOS!D110</f>
        <v>THELMA Y LOUISE</v>
      </c>
      <c r="E110" s="81" t="str">
        <f>PEDIDOS!E110</f>
        <v>ALCOHOL EN GL NEUTRO PERRO SALCHICHA</v>
      </c>
      <c r="F110" s="98">
        <f>PEDIDOS!G110</f>
        <v>3000</v>
      </c>
      <c r="G110" s="98">
        <f>14*216</f>
        <v>3024</v>
      </c>
      <c r="H110" s="97" t="str">
        <f>PEDIDOS!F110</f>
        <v>M</v>
      </c>
      <c r="I110" s="99">
        <f t="shared" si="1"/>
        <v>1.008</v>
      </c>
      <c r="J110" s="49" t="s">
        <v>666</v>
      </c>
      <c r="K110" s="111">
        <v>46119.0</v>
      </c>
      <c r="L110" s="49" t="str">
        <f t="shared" si="2"/>
        <v>ENTREGADO</v>
      </c>
      <c r="M110" s="49"/>
      <c r="N110" s="49">
        <v>70426.0</v>
      </c>
    </row>
    <row r="111" ht="22.5" hidden="1" customHeight="1">
      <c r="A111" s="101">
        <f>PEDIDOS!A111</f>
        <v>26037</v>
      </c>
      <c r="B111" s="102">
        <f>PEDIDOS!B111</f>
        <v>46090</v>
      </c>
      <c r="C111" s="103" t="str">
        <f>PEDIDOS!C111</f>
        <v/>
      </c>
      <c r="D111" s="102" t="str">
        <f>PEDIDOS!D111</f>
        <v>PROFESSIONAL BEAUTY</v>
      </c>
      <c r="E111" s="102" t="str">
        <f>PEDIDOS!E111</f>
        <v>ADVANCE ACIDO HIALURONICO 1%</v>
      </c>
      <c r="F111" s="104">
        <f>PEDIDOS!G111</f>
        <v>500</v>
      </c>
      <c r="G111" s="104">
        <f>128+354</f>
        <v>482</v>
      </c>
      <c r="H111" s="103" t="str">
        <f>PEDIDOS!F111</f>
        <v>P</v>
      </c>
      <c r="I111" s="99">
        <f t="shared" si="1"/>
        <v>0.964</v>
      </c>
      <c r="J111" s="101" t="s">
        <v>667</v>
      </c>
      <c r="K111" s="112">
        <v>46107.0</v>
      </c>
      <c r="L111" s="101" t="str">
        <f t="shared" si="2"/>
        <v>ENTREGADO</v>
      </c>
      <c r="M111" s="101" t="s">
        <v>668</v>
      </c>
      <c r="N111" s="101">
        <v>3411.0</v>
      </c>
    </row>
    <row r="112" ht="22.5" hidden="1" customHeight="1">
      <c r="A112" s="49">
        <f>PEDIDOS!A112</f>
        <v>26037</v>
      </c>
      <c r="B112" s="81">
        <f>PEDIDOS!B112</f>
        <v>46090</v>
      </c>
      <c r="C112" s="97" t="str">
        <f>PEDIDOS!C112</f>
        <v/>
      </c>
      <c r="D112" s="81" t="str">
        <f>PEDIDOS!D112</f>
        <v>PROFESSIONAL BEAUTY</v>
      </c>
      <c r="E112" s="81" t="str">
        <f>PEDIDOS!E112</f>
        <v>ADVANCE SILICIO+ OLIGOELEMENTOS</v>
      </c>
      <c r="F112" s="98">
        <f>PEDIDOS!G112</f>
        <v>500</v>
      </c>
      <c r="G112" s="98">
        <v>496.0</v>
      </c>
      <c r="H112" s="97" t="str">
        <f>PEDIDOS!F112</f>
        <v>P</v>
      </c>
      <c r="I112" s="99">
        <f t="shared" si="1"/>
        <v>0.992</v>
      </c>
      <c r="J112" s="49" t="s">
        <v>669</v>
      </c>
      <c r="K112" s="100">
        <v>46111.0</v>
      </c>
      <c r="L112" s="49" t="str">
        <f t="shared" si="2"/>
        <v>ENTREGADO</v>
      </c>
      <c r="M112" s="49" t="s">
        <v>670</v>
      </c>
      <c r="N112" s="49">
        <v>3411.0</v>
      </c>
    </row>
    <row r="113" ht="22.5" hidden="1" customHeight="1">
      <c r="A113" s="101">
        <f>PEDIDOS!A113</f>
        <v>26037</v>
      </c>
      <c r="B113" s="102">
        <f>PEDIDOS!B113</f>
        <v>46090</v>
      </c>
      <c r="C113" s="103" t="str">
        <f>PEDIDOS!C113</f>
        <v/>
      </c>
      <c r="D113" s="102" t="str">
        <f>PEDIDOS!D113</f>
        <v>PROFESSIONAL BEAUTY</v>
      </c>
      <c r="E113" s="102" t="str">
        <f>PEDIDOS!E113</f>
        <v>ADVANCE VIT C</v>
      </c>
      <c r="F113" s="104">
        <f>PEDIDOS!G113</f>
        <v>500</v>
      </c>
      <c r="G113" s="104">
        <v>500.0</v>
      </c>
      <c r="H113" s="103" t="str">
        <f>PEDIDOS!F113</f>
        <v>P</v>
      </c>
      <c r="I113" s="99">
        <f t="shared" si="1"/>
        <v>1</v>
      </c>
      <c r="J113" s="101" t="s">
        <v>671</v>
      </c>
      <c r="K113" s="112">
        <v>46111.0</v>
      </c>
      <c r="L113" s="101" t="str">
        <f t="shared" si="2"/>
        <v>ENTREGADO</v>
      </c>
      <c r="M113" s="101" t="s">
        <v>672</v>
      </c>
      <c r="N113" s="101">
        <v>3411.0</v>
      </c>
    </row>
    <row r="114" ht="22.5" hidden="1" customHeight="1">
      <c r="A114" s="49">
        <f>PEDIDOS!A114</f>
        <v>26037</v>
      </c>
      <c r="B114" s="81">
        <f>PEDIDOS!B114</f>
        <v>46090</v>
      </c>
      <c r="C114" s="97" t="str">
        <f>PEDIDOS!C114</f>
        <v/>
      </c>
      <c r="D114" s="81" t="str">
        <f>PEDIDOS!D114</f>
        <v>PROFESSIONAL BEAUTY</v>
      </c>
      <c r="E114" s="81" t="str">
        <f>PEDIDOS!E114</f>
        <v>ADVANCE CONTROL CAIDA</v>
      </c>
      <c r="F114" s="98">
        <f>PEDIDOS!G114</f>
        <v>500</v>
      </c>
      <c r="G114" s="98">
        <v>500.0</v>
      </c>
      <c r="H114" s="97" t="str">
        <f>PEDIDOS!F114</f>
        <v>P</v>
      </c>
      <c r="I114" s="99">
        <f t="shared" si="1"/>
        <v>1</v>
      </c>
      <c r="J114" s="49" t="s">
        <v>671</v>
      </c>
      <c r="K114" s="100">
        <v>46111.0</v>
      </c>
      <c r="L114" s="49" t="str">
        <f t="shared" si="2"/>
        <v>ENTREGADO</v>
      </c>
      <c r="M114" s="49" t="s">
        <v>673</v>
      </c>
      <c r="N114" s="49">
        <v>3411.0</v>
      </c>
    </row>
    <row r="115" ht="22.5" hidden="1" customHeight="1">
      <c r="A115" s="101">
        <f>PEDIDOS!A115</f>
        <v>26037</v>
      </c>
      <c r="B115" s="102">
        <f>PEDIDOS!B115</f>
        <v>46090</v>
      </c>
      <c r="C115" s="103" t="str">
        <f>PEDIDOS!C115</f>
        <v/>
      </c>
      <c r="D115" s="102" t="str">
        <f>PEDIDOS!D115</f>
        <v>PROFESSIONAL BEAUTY</v>
      </c>
      <c r="E115" s="102" t="str">
        <f>PEDIDOS!E115</f>
        <v>ADVANCE DMAE 7%</v>
      </c>
      <c r="F115" s="104">
        <f>PEDIDOS!G115</f>
        <v>500</v>
      </c>
      <c r="G115" s="104">
        <v>501.0</v>
      </c>
      <c r="H115" s="103" t="str">
        <f>PEDIDOS!F115</f>
        <v>P</v>
      </c>
      <c r="I115" s="99">
        <f t="shared" si="1"/>
        <v>1.002</v>
      </c>
      <c r="J115" s="101" t="s">
        <v>674</v>
      </c>
      <c r="K115" s="112">
        <v>46111.0</v>
      </c>
      <c r="L115" s="101" t="str">
        <f t="shared" si="2"/>
        <v>ENTREGADO</v>
      </c>
      <c r="M115" s="101" t="s">
        <v>675</v>
      </c>
      <c r="N115" s="101">
        <v>3411.0</v>
      </c>
    </row>
    <row r="116" ht="22.5" hidden="1" customHeight="1">
      <c r="A116" s="49">
        <f>PEDIDOS!A116</f>
        <v>26038</v>
      </c>
      <c r="B116" s="81">
        <f>PEDIDOS!B116</f>
        <v>46090</v>
      </c>
      <c r="C116" s="97">
        <f>PEDIDOS!C116</f>
        <v>14348</v>
      </c>
      <c r="D116" s="81" t="str">
        <f>PEDIDOS!D116</f>
        <v>JACTANS</v>
      </c>
      <c r="E116" s="81" t="str">
        <f>PEDIDOS!E116</f>
        <v>Agua Micelar JS-693</v>
      </c>
      <c r="F116" s="98">
        <f>PEDIDOS!G116</f>
        <v>1000</v>
      </c>
      <c r="G116" s="98">
        <v>1028.0</v>
      </c>
      <c r="H116" s="97" t="str">
        <f>PEDIDOS!F116</f>
        <v>M</v>
      </c>
      <c r="I116" s="99">
        <f t="shared" si="1"/>
        <v>1.028</v>
      </c>
      <c r="J116" s="49" t="s">
        <v>676</v>
      </c>
      <c r="K116" s="106">
        <v>46108.0</v>
      </c>
      <c r="L116" s="49" t="str">
        <f t="shared" si="2"/>
        <v>ENTREGADO</v>
      </c>
      <c r="M116" s="49" t="s">
        <v>677</v>
      </c>
      <c r="N116" s="49">
        <v>3410.0</v>
      </c>
    </row>
    <row r="117" ht="22.5" hidden="1" customHeight="1">
      <c r="A117" s="101">
        <f>PEDIDOS!A117</f>
        <v>26038</v>
      </c>
      <c r="B117" s="102">
        <f>PEDIDOS!B117</f>
        <v>46090</v>
      </c>
      <c r="C117" s="103">
        <f>PEDIDOS!C117</f>
        <v>14348</v>
      </c>
      <c r="D117" s="102" t="str">
        <f>PEDIDOS!D117</f>
        <v>JACTANS</v>
      </c>
      <c r="E117" s="102" t="str">
        <f>PEDIDOS!E117</f>
        <v>Bruma Fijadora Facial JS-736</v>
      </c>
      <c r="F117" s="104">
        <f>PEDIDOS!G117</f>
        <v>2000</v>
      </c>
      <c r="G117" s="104">
        <v>2477.0</v>
      </c>
      <c r="H117" s="103" t="str">
        <f>PEDIDOS!F117</f>
        <v>M</v>
      </c>
      <c r="I117" s="99">
        <f t="shared" si="1"/>
        <v>1.2385</v>
      </c>
      <c r="J117" s="101" t="s">
        <v>678</v>
      </c>
      <c r="K117" s="105">
        <v>46108.0</v>
      </c>
      <c r="L117" s="101" t="str">
        <f t="shared" si="2"/>
        <v>ENTREGADO</v>
      </c>
      <c r="M117" s="101" t="s">
        <v>679</v>
      </c>
      <c r="N117" s="101">
        <v>3410.0</v>
      </c>
    </row>
    <row r="118" ht="22.5" hidden="1" customHeight="1">
      <c r="A118" s="49">
        <f>PEDIDOS!A118</f>
        <v>26038</v>
      </c>
      <c r="B118" s="81">
        <f>PEDIDOS!B118</f>
        <v>46090</v>
      </c>
      <c r="C118" s="97">
        <f>PEDIDOS!C118</f>
        <v>14348</v>
      </c>
      <c r="D118" s="81" t="str">
        <f>PEDIDOS!D118</f>
        <v>JACTANS</v>
      </c>
      <c r="E118" s="81" t="str">
        <f>PEDIDOS!E118</f>
        <v>Agua Micelar Bifasica x 105ml JS-941</v>
      </c>
      <c r="F118" s="98">
        <f>PEDIDOS!G118</f>
        <v>1000</v>
      </c>
      <c r="G118" s="98">
        <v>1018.0</v>
      </c>
      <c r="H118" s="97" t="str">
        <f>PEDIDOS!F118</f>
        <v>M</v>
      </c>
      <c r="I118" s="99">
        <f t="shared" si="1"/>
        <v>1.018</v>
      </c>
      <c r="J118" s="49" t="s">
        <v>680</v>
      </c>
      <c r="K118" s="106">
        <v>46112.0</v>
      </c>
      <c r="L118" s="49" t="str">
        <f t="shared" si="2"/>
        <v>ENTREGADO</v>
      </c>
      <c r="M118" s="49" t="s">
        <v>681</v>
      </c>
      <c r="N118" s="49">
        <v>3421.0</v>
      </c>
    </row>
    <row r="119" ht="22.5" hidden="1" customHeight="1">
      <c r="A119" s="101">
        <f>PEDIDOS!A119</f>
        <v>26039</v>
      </c>
      <c r="B119" s="102">
        <f>PEDIDOS!B119</f>
        <v>46034</v>
      </c>
      <c r="C119" s="103">
        <f>PEDIDOS!C119</f>
        <v>14258</v>
      </c>
      <c r="D119" s="102" t="str">
        <f>PEDIDOS!D119</f>
        <v>JACTANS</v>
      </c>
      <c r="E119" s="102" t="str">
        <f>PEDIDOS!E119</f>
        <v>Desmaquillante Bifasico JS-737</v>
      </c>
      <c r="F119" s="104">
        <f>PEDIDOS!G119</f>
        <v>1500</v>
      </c>
      <c r="G119" s="104">
        <v>1480.0</v>
      </c>
      <c r="H119" s="103" t="str">
        <f>PEDIDOS!F119</f>
        <v>M</v>
      </c>
      <c r="I119" s="99">
        <f t="shared" si="1"/>
        <v>0.9866666667</v>
      </c>
      <c r="J119" s="101" t="s">
        <v>682</v>
      </c>
      <c r="K119" s="105">
        <v>46101.0</v>
      </c>
      <c r="L119" s="101" t="str">
        <f t="shared" si="2"/>
        <v>ENTREGADO</v>
      </c>
      <c r="M119" s="101" t="s">
        <v>683</v>
      </c>
      <c r="N119" s="101">
        <v>3399.0</v>
      </c>
    </row>
    <row r="120" ht="22.5" hidden="1" customHeight="1">
      <c r="A120" s="49">
        <f>PEDIDOS!A120</f>
        <v>26040</v>
      </c>
      <c r="B120" s="81">
        <f>PEDIDOS!B120</f>
        <v>46076</v>
      </c>
      <c r="C120" s="97">
        <f>PEDIDOS!C120</f>
        <v>1716</v>
      </c>
      <c r="D120" s="81" t="str">
        <f>PEDIDOS!D120</f>
        <v>LABORATORIO ONCE</v>
      </c>
      <c r="E120" s="81" t="str">
        <f>PEDIDOS!E120</f>
        <v>SERUM CONCENTRADO AH</v>
      </c>
      <c r="F120" s="98">
        <f>PEDIDOS!G120</f>
        <v>1500</v>
      </c>
      <c r="G120" s="98">
        <f>90*6+10+10*90+57</f>
        <v>1507</v>
      </c>
      <c r="H120" s="97" t="str">
        <f>PEDIDOS!F120</f>
        <v>P</v>
      </c>
      <c r="I120" s="99">
        <f t="shared" si="1"/>
        <v>1.004666667</v>
      </c>
      <c r="J120" s="49" t="s">
        <v>684</v>
      </c>
      <c r="K120" s="100">
        <v>46101.0</v>
      </c>
      <c r="L120" s="49" t="str">
        <f t="shared" si="2"/>
        <v>ENTREGADO</v>
      </c>
      <c r="M120" s="49" t="s">
        <v>685</v>
      </c>
      <c r="N120" s="49" t="s">
        <v>686</v>
      </c>
    </row>
    <row r="121" ht="22.5" hidden="1" customHeight="1">
      <c r="A121" s="101">
        <f>PEDIDOS!A121</f>
        <v>26041</v>
      </c>
      <c r="B121" s="102">
        <f>PEDIDOS!B121</f>
        <v>46076</v>
      </c>
      <c r="C121" s="103">
        <f>PEDIDOS!C121</f>
        <v>1715</v>
      </c>
      <c r="D121" s="102" t="str">
        <f>PEDIDOS!D121</f>
        <v>LABORATORIO ONCE</v>
      </c>
      <c r="E121" s="102" t="str">
        <f>PEDIDOS!E121</f>
        <v>GEL UNIESFERAS VITAMINA C</v>
      </c>
      <c r="F121" s="104">
        <f>PEDIDOS!G121</f>
        <v>2000</v>
      </c>
      <c r="G121" s="104">
        <f>31*60+45</f>
        <v>1905</v>
      </c>
      <c r="H121" s="103" t="str">
        <f>PEDIDOS!F121</f>
        <v>P</v>
      </c>
      <c r="I121" s="99">
        <f t="shared" si="1"/>
        <v>0.9525</v>
      </c>
      <c r="J121" s="101" t="s">
        <v>687</v>
      </c>
      <c r="K121" s="112">
        <v>46097.0</v>
      </c>
      <c r="L121" s="101" t="str">
        <f t="shared" si="2"/>
        <v>ENTREGADO</v>
      </c>
      <c r="M121" s="101" t="s">
        <v>688</v>
      </c>
      <c r="N121" s="101">
        <v>3389.0</v>
      </c>
    </row>
    <row r="122" ht="22.5" hidden="1" customHeight="1">
      <c r="A122" s="49">
        <f>PEDIDOS!A122</f>
        <v>26042</v>
      </c>
      <c r="B122" s="81">
        <f>PEDIDOS!B122</f>
        <v>46168</v>
      </c>
      <c r="C122" s="97" t="str">
        <f>PEDIDOS!C122</f>
        <v/>
      </c>
      <c r="D122" s="81" t="str">
        <f>PEDIDOS!D122</f>
        <v>AGUEDA REY - IHC CAPILARES</v>
      </c>
      <c r="E122" s="81" t="str">
        <f>PEDIDOS!E122</f>
        <v>Shampoo Fortalecedor Anticaida D: 250203-3</v>
      </c>
      <c r="F122" s="98">
        <f>PEDIDOS!G122</f>
        <v>1000</v>
      </c>
      <c r="G122" s="114">
        <v>997.0</v>
      </c>
      <c r="H122" s="97" t="str">
        <f>PEDIDOS!F122</f>
        <v>P</v>
      </c>
      <c r="I122" s="99">
        <f t="shared" si="1"/>
        <v>0.997</v>
      </c>
      <c r="J122" s="43" t="s">
        <v>689</v>
      </c>
      <c r="K122" s="115">
        <v>46177.0</v>
      </c>
      <c r="L122" s="49" t="str">
        <f t="shared" si="2"/>
        <v>ENTREGADO</v>
      </c>
      <c r="M122" s="43" t="s">
        <v>690</v>
      </c>
      <c r="N122" s="43" t="s">
        <v>691</v>
      </c>
    </row>
    <row r="123" ht="22.5" hidden="1" customHeight="1">
      <c r="A123" s="101">
        <f>PEDIDOS!A123</f>
        <v>26042</v>
      </c>
      <c r="B123" s="102">
        <f>PEDIDOS!B123</f>
        <v>46168</v>
      </c>
      <c r="C123" s="103" t="str">
        <f>PEDIDOS!C123</f>
        <v/>
      </c>
      <c r="D123" s="102" t="str">
        <f>PEDIDOS!D123</f>
        <v>AGUEDA REY - IHC CAPILARES</v>
      </c>
      <c r="E123" s="102" t="str">
        <f>PEDIDOS!E123</f>
        <v>Shampoo Anti Caspa D250204-3</v>
      </c>
      <c r="F123" s="104">
        <f>PEDIDOS!G123</f>
        <v>1000</v>
      </c>
      <c r="G123" s="107">
        <v>1020.0</v>
      </c>
      <c r="H123" s="103" t="str">
        <f>PEDIDOS!F123</f>
        <v>P</v>
      </c>
      <c r="I123" s="99">
        <f t="shared" si="1"/>
        <v>1.02</v>
      </c>
      <c r="J123" s="108" t="s">
        <v>692</v>
      </c>
      <c r="K123" s="117">
        <v>46177.0</v>
      </c>
      <c r="L123" s="101" t="str">
        <f t="shared" si="2"/>
        <v>ENTREGADO</v>
      </c>
      <c r="M123" s="108" t="s">
        <v>693</v>
      </c>
      <c r="N123" s="108" t="s">
        <v>691</v>
      </c>
    </row>
    <row r="124" ht="22.5" hidden="1" customHeight="1">
      <c r="A124" s="49">
        <f>PEDIDOS!A124</f>
        <v>26042</v>
      </c>
      <c r="B124" s="81">
        <f>PEDIDOS!B124</f>
        <v>46168</v>
      </c>
      <c r="C124" s="97" t="str">
        <f>PEDIDOS!C124</f>
        <v/>
      </c>
      <c r="D124" s="81" t="str">
        <f>PEDIDOS!D124</f>
        <v>AGUEDA REY - IHC CAPILARES</v>
      </c>
      <c r="E124" s="81" t="str">
        <f>PEDIDOS!E124</f>
        <v>Shampoo Anti Sebo D250205-3</v>
      </c>
      <c r="F124" s="98">
        <f>PEDIDOS!G124</f>
        <v>1000</v>
      </c>
      <c r="G124" s="114">
        <v>992.0</v>
      </c>
      <c r="H124" s="97" t="str">
        <f>PEDIDOS!F124</f>
        <v>P</v>
      </c>
      <c r="I124" s="99">
        <f t="shared" si="1"/>
        <v>0.992</v>
      </c>
      <c r="J124" s="43" t="s">
        <v>694</v>
      </c>
      <c r="K124" s="115">
        <v>46177.0</v>
      </c>
      <c r="L124" s="49" t="str">
        <f t="shared" si="2"/>
        <v>ENTREGADO</v>
      </c>
      <c r="M124" s="43" t="s">
        <v>695</v>
      </c>
      <c r="N124" s="43" t="s">
        <v>691</v>
      </c>
    </row>
    <row r="125" ht="22.5" hidden="1" customHeight="1">
      <c r="A125" s="101">
        <f>PEDIDOS!A125</f>
        <v>26042</v>
      </c>
      <c r="B125" s="102">
        <f>PEDIDOS!B125</f>
        <v>46168</v>
      </c>
      <c r="C125" s="103" t="str">
        <f>PEDIDOS!C125</f>
        <v/>
      </c>
      <c r="D125" s="102" t="str">
        <f>PEDIDOS!D125</f>
        <v>AGUEDA REY - IHC CAPILARES</v>
      </c>
      <c r="E125" s="102" t="str">
        <f>PEDIDOS!E125</f>
        <v>Shampo Engrosador D250210-3</v>
      </c>
      <c r="F125" s="104">
        <f>PEDIDOS!G125</f>
        <v>1000</v>
      </c>
      <c r="G125" s="107">
        <v>977.0</v>
      </c>
      <c r="H125" s="103" t="str">
        <f>PEDIDOS!F125</f>
        <v>P</v>
      </c>
      <c r="I125" s="99">
        <f t="shared" si="1"/>
        <v>0.977</v>
      </c>
      <c r="J125" s="108" t="s">
        <v>696</v>
      </c>
      <c r="K125" s="117">
        <v>46177.0</v>
      </c>
      <c r="L125" s="101" t="str">
        <f t="shared" si="2"/>
        <v>ENTREGADO</v>
      </c>
      <c r="M125" s="108" t="s">
        <v>697</v>
      </c>
      <c r="N125" s="108" t="s">
        <v>691</v>
      </c>
    </row>
    <row r="126" ht="22.5" hidden="1" customHeight="1">
      <c r="A126" s="49">
        <f>PEDIDOS!A126</f>
        <v>26042</v>
      </c>
      <c r="B126" s="81">
        <f>PEDIDOS!B126</f>
        <v>46168</v>
      </c>
      <c r="C126" s="97" t="str">
        <f>PEDIDOS!C126</f>
        <v/>
      </c>
      <c r="D126" s="81" t="str">
        <f>PEDIDOS!D126</f>
        <v>AGUEDA REY - IHC CAPILARES</v>
      </c>
      <c r="E126" s="81" t="str">
        <f>PEDIDOS!E126</f>
        <v>Acondicionador Biotina D: 250207-3</v>
      </c>
      <c r="F126" s="98">
        <f>PEDIDOS!G126</f>
        <v>1000</v>
      </c>
      <c r="G126" s="114">
        <v>994.0</v>
      </c>
      <c r="H126" s="97" t="str">
        <f>PEDIDOS!F126</f>
        <v>P</v>
      </c>
      <c r="I126" s="99">
        <f t="shared" si="1"/>
        <v>0.994</v>
      </c>
      <c r="J126" s="43" t="s">
        <v>698</v>
      </c>
      <c r="K126" s="115">
        <v>46177.0</v>
      </c>
      <c r="L126" s="49" t="str">
        <f t="shared" si="2"/>
        <v>ENTREGADO</v>
      </c>
      <c r="M126" s="43" t="s">
        <v>699</v>
      </c>
      <c r="N126" s="43" t="s">
        <v>691</v>
      </c>
    </row>
    <row r="127" ht="22.5" hidden="1" customHeight="1">
      <c r="A127" s="101">
        <f>PEDIDOS!A127</f>
        <v>26047</v>
      </c>
      <c r="B127" s="102">
        <f>PEDIDOS!B127</f>
        <v>46162</v>
      </c>
      <c r="C127" s="103" t="str">
        <f>PEDIDOS!C127</f>
        <v/>
      </c>
      <c r="D127" s="102" t="str">
        <f>PEDIDOS!D127</f>
        <v>LABORATORIO ONCE</v>
      </c>
      <c r="E127" s="102" t="str">
        <f>PEDIDOS!E127</f>
        <v>SERUM HOME PEEL SERUM PEPITAS DE UVA</v>
      </c>
      <c r="F127" s="104">
        <f>PEDIDOS!G127</f>
        <v>600</v>
      </c>
      <c r="G127" s="104">
        <f>6*100+9</f>
        <v>609</v>
      </c>
      <c r="H127" s="103" t="str">
        <f>PEDIDOS!F127</f>
        <v>P</v>
      </c>
      <c r="I127" s="99">
        <f t="shared" si="1"/>
        <v>1.015</v>
      </c>
      <c r="J127" s="108" t="s">
        <v>700</v>
      </c>
      <c r="K127" s="109">
        <v>46177.0</v>
      </c>
      <c r="L127" s="101" t="str">
        <f t="shared" si="2"/>
        <v>ENTREGADO</v>
      </c>
      <c r="M127" s="108" t="s">
        <v>701</v>
      </c>
      <c r="N127" s="108">
        <v>9.0</v>
      </c>
    </row>
    <row r="128" ht="22.5" hidden="1" customHeight="1">
      <c r="A128" s="49">
        <f>PEDIDOS!A128</f>
        <v>26048</v>
      </c>
      <c r="B128" s="81">
        <f>PEDIDOS!B128</f>
        <v>46097</v>
      </c>
      <c r="C128" s="97" t="str">
        <f>PEDIDOS!C128</f>
        <v/>
      </c>
      <c r="D128" s="81" t="str">
        <f>PEDIDOS!D128</f>
        <v>BL COSMETICS</v>
      </c>
      <c r="E128" s="81" t="str">
        <f>PEDIDOS!E128</f>
        <v>GEL ANTIFRIZZ </v>
      </c>
      <c r="F128" s="98">
        <f>PEDIDOS!G128</f>
        <v>3000</v>
      </c>
      <c r="G128" s="98">
        <f>4*644+379</f>
        <v>2955</v>
      </c>
      <c r="H128" s="97" t="str">
        <f>PEDIDOS!F128</f>
        <v>P</v>
      </c>
      <c r="I128" s="99">
        <f t="shared" si="1"/>
        <v>0.985</v>
      </c>
      <c r="J128" s="49" t="s">
        <v>702</v>
      </c>
      <c r="K128" s="100">
        <v>46141.0</v>
      </c>
      <c r="L128" s="49" t="str">
        <f t="shared" si="2"/>
        <v>ENTREGADO</v>
      </c>
      <c r="M128" s="49" t="s">
        <v>703</v>
      </c>
      <c r="N128" s="49">
        <v>3447.0</v>
      </c>
    </row>
    <row r="129" ht="22.5" hidden="1" customHeight="1">
      <c r="A129" s="101">
        <f>PEDIDOS!A129</f>
        <v>26049</v>
      </c>
      <c r="B129" s="102">
        <f>PEDIDOS!B129</f>
        <v>46097</v>
      </c>
      <c r="C129" s="103" t="str">
        <f>PEDIDOS!C129</f>
        <v/>
      </c>
      <c r="D129" s="102" t="str">
        <f>PEDIDOS!D129</f>
        <v>BL COSMETICS</v>
      </c>
      <c r="E129" s="102" t="str">
        <f>PEDIDOS!E129</f>
        <v>SHAMPOO CONTROL LISS</v>
      </c>
      <c r="F129" s="104">
        <f>PEDIDOS!G129</f>
        <v>3000</v>
      </c>
      <c r="G129" s="104">
        <v>2999.0</v>
      </c>
      <c r="H129" s="103" t="str">
        <f>PEDIDOS!F129</f>
        <v>M</v>
      </c>
      <c r="I129" s="99">
        <f t="shared" si="1"/>
        <v>0.9996666667</v>
      </c>
      <c r="J129" s="101" t="s">
        <v>704</v>
      </c>
      <c r="K129" s="105">
        <v>46128.0</v>
      </c>
      <c r="L129" s="101" t="str">
        <f t="shared" si="2"/>
        <v>ENTREGADO</v>
      </c>
      <c r="M129" s="101" t="s">
        <v>705</v>
      </c>
      <c r="N129" s="101">
        <v>3430.0</v>
      </c>
    </row>
    <row r="130" ht="22.5" hidden="1" customHeight="1">
      <c r="A130" s="49">
        <f>PEDIDOS!A130</f>
        <v>26049</v>
      </c>
      <c r="B130" s="81">
        <f>PEDIDOS!B130</f>
        <v>46097</v>
      </c>
      <c r="C130" s="97" t="str">
        <f>PEDIDOS!C130</f>
        <v/>
      </c>
      <c r="D130" s="81" t="str">
        <f>PEDIDOS!D130</f>
        <v>BL COSMETICS</v>
      </c>
      <c r="E130" s="81" t="str">
        <f>PEDIDOS!E130</f>
        <v>ACONDICIONADOR CONTROL LISS</v>
      </c>
      <c r="F130" s="98">
        <f>PEDIDOS!G130</f>
        <v>3000</v>
      </c>
      <c r="G130" s="98">
        <v>2837.0</v>
      </c>
      <c r="H130" s="97" t="str">
        <f>PEDIDOS!F130</f>
        <v>M</v>
      </c>
      <c r="I130" s="99">
        <f t="shared" si="1"/>
        <v>0.9456666667</v>
      </c>
      <c r="J130" s="49" t="s">
        <v>706</v>
      </c>
      <c r="K130" s="106">
        <v>46128.0</v>
      </c>
      <c r="L130" s="49" t="str">
        <f t="shared" si="2"/>
        <v>ENTREGADO</v>
      </c>
      <c r="M130" s="49" t="s">
        <v>707</v>
      </c>
      <c r="N130" s="49">
        <v>3430.0</v>
      </c>
    </row>
    <row r="131" ht="22.5" hidden="1" customHeight="1">
      <c r="A131" s="101">
        <f>PEDIDOS!A131</f>
        <v>26049</v>
      </c>
      <c r="B131" s="102">
        <f>PEDIDOS!B131</f>
        <v>46097</v>
      </c>
      <c r="C131" s="103" t="str">
        <f>PEDIDOS!C131</f>
        <v/>
      </c>
      <c r="D131" s="102" t="str">
        <f>PEDIDOS!D131</f>
        <v>BL COSMETICS</v>
      </c>
      <c r="E131" s="102" t="str">
        <f>PEDIDOS!E131</f>
        <v>SERUM ARGAN (nuevo)</v>
      </c>
      <c r="F131" s="104">
        <f>PEDIDOS!G131</f>
        <v>3000</v>
      </c>
      <c r="G131" s="104">
        <f>20*144+115</f>
        <v>2995</v>
      </c>
      <c r="H131" s="103" t="str">
        <f>PEDIDOS!F131</f>
        <v>P</v>
      </c>
      <c r="I131" s="99">
        <f t="shared" si="1"/>
        <v>0.9983333333</v>
      </c>
      <c r="J131" s="101" t="s">
        <v>708</v>
      </c>
      <c r="K131" s="112">
        <v>46129.0</v>
      </c>
      <c r="L131" s="101" t="str">
        <f t="shared" si="2"/>
        <v>ENTREGADO</v>
      </c>
      <c r="M131" s="101" t="s">
        <v>709</v>
      </c>
      <c r="N131" s="101">
        <v>3430.0</v>
      </c>
    </row>
    <row r="132" ht="22.5" hidden="1" customHeight="1">
      <c r="A132" s="49">
        <f>PEDIDOS!A132</f>
        <v>26050</v>
      </c>
      <c r="B132" s="81">
        <f>PEDIDOS!B132</f>
        <v>46098</v>
      </c>
      <c r="C132" s="97" t="str">
        <f>PEDIDOS!C132</f>
        <v/>
      </c>
      <c r="D132" s="81" t="str">
        <f>PEDIDOS!D132</f>
        <v>AGUEDA REY - IKIGAI</v>
      </c>
      <c r="E132" s="81" t="str">
        <f>PEDIDOS!E132</f>
        <v>Serum VITAMINA C Cod 230345</v>
      </c>
      <c r="F132" s="98">
        <f>PEDIDOS!G132</f>
        <v>1000</v>
      </c>
      <c r="G132" s="98">
        <v>955.0</v>
      </c>
      <c r="H132" s="97" t="str">
        <f>PEDIDOS!F132</f>
        <v>P</v>
      </c>
      <c r="I132" s="99">
        <f t="shared" si="1"/>
        <v>0.955</v>
      </c>
      <c r="J132" s="49" t="s">
        <v>710</v>
      </c>
      <c r="K132" s="100">
        <v>46147.0</v>
      </c>
      <c r="L132" s="49" t="str">
        <f t="shared" si="2"/>
        <v>ENTREGADO</v>
      </c>
      <c r="M132" s="49" t="s">
        <v>711</v>
      </c>
      <c r="N132" s="43" t="s">
        <v>691</v>
      </c>
    </row>
    <row r="133" ht="22.5" hidden="1" customHeight="1">
      <c r="A133" s="101">
        <f>PEDIDOS!A133</f>
        <v>26051</v>
      </c>
      <c r="B133" s="102">
        <f>PEDIDOS!B133</f>
        <v>46098</v>
      </c>
      <c r="C133" s="103" t="str">
        <f>PEDIDOS!C133</f>
        <v/>
      </c>
      <c r="D133" s="102" t="str">
        <f>PEDIDOS!D133</f>
        <v>ORIGINAL BLACK</v>
      </c>
      <c r="E133" s="102" t="str">
        <f>PEDIDOS!E133</f>
        <v>AFTER SHAVE VIOLETA</v>
      </c>
      <c r="F133" s="104">
        <f>PEDIDOS!G133</f>
        <v>8000</v>
      </c>
      <c r="G133" s="107">
        <f>166*12</f>
        <v>1992</v>
      </c>
      <c r="H133" s="103" t="str">
        <f>PEDIDOS!F133</f>
        <v>M</v>
      </c>
      <c r="I133" s="99"/>
      <c r="J133" s="108" t="s">
        <v>712</v>
      </c>
      <c r="K133" s="101"/>
      <c r="L133" s="101" t="str">
        <f t="shared" si="2"/>
        <v>ENTREGADO</v>
      </c>
      <c r="M133" s="101"/>
      <c r="N133" s="108" t="s">
        <v>713</v>
      </c>
    </row>
    <row r="134" ht="22.5" hidden="1" customHeight="1">
      <c r="A134" s="49">
        <f>PEDIDOS!A134</f>
        <v>26051</v>
      </c>
      <c r="B134" s="81">
        <f>PEDIDOS!B134</f>
        <v>46098</v>
      </c>
      <c r="C134" s="97" t="str">
        <f>PEDIDOS!C134</f>
        <v/>
      </c>
      <c r="D134" s="81" t="str">
        <f>PEDIDOS!D134</f>
        <v>ORIGINAL BLACK</v>
      </c>
      <c r="E134" s="81" t="str">
        <f>PEDIDOS!E134</f>
        <v>AFTER SHAVE AZUL</v>
      </c>
      <c r="F134" s="98">
        <f>PEDIDOS!G134</f>
        <v>8000</v>
      </c>
      <c r="G134" s="98">
        <f>1452+165*12+147*12</f>
        <v>5196</v>
      </c>
      <c r="H134" s="97" t="str">
        <f>PEDIDOS!F134</f>
        <v>M</v>
      </c>
      <c r="I134" s="99"/>
      <c r="J134" s="43" t="s">
        <v>714</v>
      </c>
      <c r="K134" s="106">
        <v>46118.0</v>
      </c>
      <c r="L134" s="49" t="str">
        <f t="shared" si="2"/>
        <v>ENTREGADO</v>
      </c>
      <c r="M134" s="49" t="s">
        <v>715</v>
      </c>
      <c r="N134" s="49" t="s">
        <v>716</v>
      </c>
    </row>
    <row r="135" ht="22.5" hidden="1" customHeight="1">
      <c r="A135" s="101">
        <f>PEDIDOS!A135</f>
        <v>26051</v>
      </c>
      <c r="B135" s="102">
        <f>PEDIDOS!B135</f>
        <v>46098</v>
      </c>
      <c r="C135" s="103" t="str">
        <f>PEDIDOS!C135</f>
        <v/>
      </c>
      <c r="D135" s="102" t="str">
        <f>PEDIDOS!D135</f>
        <v>ORIGINAL BLACK</v>
      </c>
      <c r="E135" s="102" t="str">
        <f>PEDIDOS!E135</f>
        <v>AFTER SHAVE VERDE</v>
      </c>
      <c r="F135" s="104">
        <f>PEDIDOS!G135</f>
        <v>4000</v>
      </c>
      <c r="G135" s="104">
        <f>1200+25*12+80*12+106*12</f>
        <v>3732</v>
      </c>
      <c r="H135" s="103" t="str">
        <f>PEDIDOS!F135</f>
        <v>M</v>
      </c>
      <c r="I135" s="99">
        <f t="shared" ref="I135:I1117" si="5">IF(G135&lt;&gt;"",-(F135-G135)/F135+1, "")</f>
        <v>0.933</v>
      </c>
      <c r="J135" s="108" t="s">
        <v>717</v>
      </c>
      <c r="K135" s="110">
        <v>46119.0</v>
      </c>
      <c r="L135" s="101" t="str">
        <f t="shared" si="2"/>
        <v>ENTREGADO</v>
      </c>
      <c r="M135" s="101" t="s">
        <v>718</v>
      </c>
      <c r="N135" s="108" t="s">
        <v>713</v>
      </c>
    </row>
    <row r="136" ht="22.5" hidden="1" customHeight="1">
      <c r="A136" s="49">
        <f>PEDIDOS!A136</f>
        <v>26051</v>
      </c>
      <c r="B136" s="81">
        <f>PEDIDOS!B136</f>
        <v>46098</v>
      </c>
      <c r="C136" s="97" t="str">
        <f>PEDIDOS!C136</f>
        <v/>
      </c>
      <c r="D136" s="81" t="str">
        <f>PEDIDOS!D136</f>
        <v>ORIGINAL BLACK</v>
      </c>
      <c r="E136" s="81" t="str">
        <f>PEDIDOS!E136</f>
        <v>POMADA MATE X50G</v>
      </c>
      <c r="F136" s="98">
        <f>PEDIDOS!G136</f>
        <v>2460</v>
      </c>
      <c r="G136" s="98">
        <v>2451.0</v>
      </c>
      <c r="H136" s="97" t="str">
        <f>PEDIDOS!F136</f>
        <v>M</v>
      </c>
      <c r="I136" s="99">
        <f t="shared" si="5"/>
        <v>0.9963414634</v>
      </c>
      <c r="J136" s="49" t="s">
        <v>719</v>
      </c>
      <c r="K136" s="106">
        <v>46121.0</v>
      </c>
      <c r="L136" s="49" t="str">
        <f t="shared" si="2"/>
        <v>ENTREGADO</v>
      </c>
      <c r="M136" s="49" t="s">
        <v>720</v>
      </c>
      <c r="N136" s="49">
        <v>3425.0</v>
      </c>
    </row>
    <row r="137" ht="22.5" hidden="1" customHeight="1">
      <c r="A137" s="101">
        <f>PEDIDOS!A137</f>
        <v>26051</v>
      </c>
      <c r="B137" s="102">
        <f>PEDIDOS!B137</f>
        <v>46098</v>
      </c>
      <c r="C137" s="103" t="str">
        <f>PEDIDOS!C137</f>
        <v/>
      </c>
      <c r="D137" s="102" t="str">
        <f>PEDIDOS!D137</f>
        <v>ORIGINAL BLACK</v>
      </c>
      <c r="E137" s="102" t="str">
        <f>PEDIDOS!E137</f>
        <v>POMADA RED WAX X100G</v>
      </c>
      <c r="F137" s="104">
        <f>PEDIDOS!G137</f>
        <v>2400</v>
      </c>
      <c r="G137" s="104">
        <v>2375.0</v>
      </c>
      <c r="H137" s="103" t="str">
        <f>PEDIDOS!F137</f>
        <v>M</v>
      </c>
      <c r="I137" s="99">
        <f t="shared" si="5"/>
        <v>0.9895833333</v>
      </c>
      <c r="J137" s="101" t="s">
        <v>721</v>
      </c>
      <c r="K137" s="105">
        <v>46140.0</v>
      </c>
      <c r="L137" s="101" t="str">
        <f t="shared" si="2"/>
        <v>ENTREGADO</v>
      </c>
      <c r="M137" s="101" t="s">
        <v>722</v>
      </c>
      <c r="N137" s="101">
        <v>3445.0</v>
      </c>
    </row>
    <row r="138" ht="22.5" hidden="1" customHeight="1">
      <c r="A138" s="49">
        <f>PEDIDOS!A138</f>
        <v>26052</v>
      </c>
      <c r="B138" s="81">
        <f>PEDIDOS!B138</f>
        <v>46098</v>
      </c>
      <c r="C138" s="97" t="str">
        <f>PEDIDOS!C138</f>
        <v>TCL 2026-01-02</v>
      </c>
      <c r="D138" s="81" t="str">
        <f>PEDIDOS!D138</f>
        <v>THE CHEMIST LOOK</v>
      </c>
      <c r="E138" s="81" t="str">
        <f>PEDIDOS!E138</f>
        <v>BOOSTER HYALU-A/SI</v>
      </c>
      <c r="F138" s="98">
        <f>PEDIDOS!G138</f>
        <v>1000</v>
      </c>
      <c r="G138" s="98"/>
      <c r="H138" s="97" t="str">
        <f>PEDIDOS!F138</f>
        <v>P</v>
      </c>
      <c r="I138" s="99" t="str">
        <f t="shared" si="5"/>
        <v/>
      </c>
      <c r="J138" s="49"/>
      <c r="K138" s="49"/>
      <c r="L138" s="49" t="str">
        <f t="shared" si="2"/>
        <v>EN PROCESO</v>
      </c>
      <c r="M138" s="49"/>
      <c r="N138" s="49"/>
    </row>
    <row r="139" ht="22.5" hidden="1" customHeight="1">
      <c r="A139" s="101">
        <f>PEDIDOS!A139</f>
        <v>26052</v>
      </c>
      <c r="B139" s="102">
        <f>PEDIDOS!B139</f>
        <v>46098</v>
      </c>
      <c r="C139" s="103" t="str">
        <f>PEDIDOS!C139</f>
        <v>TCL 2026-01-02</v>
      </c>
      <c r="D139" s="102" t="str">
        <f>PEDIDOS!D139</f>
        <v>THE CHEMIST LOOK</v>
      </c>
      <c r="E139" s="102" t="str">
        <f>PEDIDOS!E139</f>
        <v>BOOSTER HYALU-A/SI</v>
      </c>
      <c r="F139" s="104">
        <f>PEDIDOS!G139</f>
        <v>1000</v>
      </c>
      <c r="G139" s="104">
        <f>8*110+104+20</f>
        <v>1004</v>
      </c>
      <c r="H139" s="103" t="str">
        <f>PEDIDOS!F139</f>
        <v>P</v>
      </c>
      <c r="I139" s="99">
        <f t="shared" si="5"/>
        <v>1.004</v>
      </c>
      <c r="J139" s="101" t="s">
        <v>723</v>
      </c>
      <c r="K139" s="112">
        <v>46139.0</v>
      </c>
      <c r="L139" s="101" t="str">
        <f t="shared" si="2"/>
        <v>ENTREGADO</v>
      </c>
      <c r="M139" s="101" t="s">
        <v>724</v>
      </c>
      <c r="N139" s="101" t="s">
        <v>725</v>
      </c>
    </row>
    <row r="140" ht="22.5" hidden="1" customHeight="1">
      <c r="A140" s="49">
        <f>PEDIDOS!A140</f>
        <v>26052</v>
      </c>
      <c r="B140" s="81">
        <f>PEDIDOS!B140</f>
        <v>46098</v>
      </c>
      <c r="C140" s="97" t="str">
        <f>PEDIDOS!C140</f>
        <v>TCL 2026-01-02</v>
      </c>
      <c r="D140" s="81" t="str">
        <f>PEDIDOS!D140</f>
        <v>THE CHEMIST LOOK</v>
      </c>
      <c r="E140" s="81" t="str">
        <f>PEDIDOS!E140</f>
        <v>BOOSTER NIACI/ZN</v>
      </c>
      <c r="F140" s="98">
        <f>PEDIDOS!G140</f>
        <v>1000</v>
      </c>
      <c r="G140" s="98">
        <f>8*112+93+20</f>
        <v>1009</v>
      </c>
      <c r="H140" s="97" t="str">
        <f>PEDIDOS!F140</f>
        <v>P</v>
      </c>
      <c r="I140" s="99">
        <f t="shared" si="5"/>
        <v>1.009</v>
      </c>
      <c r="J140" s="49" t="s">
        <v>726</v>
      </c>
      <c r="K140" s="100">
        <v>46136.0</v>
      </c>
      <c r="L140" s="49" t="str">
        <f t="shared" si="2"/>
        <v>ENTREGADO</v>
      </c>
      <c r="M140" s="49" t="s">
        <v>727</v>
      </c>
      <c r="N140" s="49" t="s">
        <v>725</v>
      </c>
    </row>
    <row r="141" ht="22.5" hidden="1" customHeight="1">
      <c r="A141" s="101">
        <f>PEDIDOS!A141</f>
        <v>26052</v>
      </c>
      <c r="B141" s="102">
        <f>PEDIDOS!B141</f>
        <v>46098</v>
      </c>
      <c r="C141" s="103" t="str">
        <f>PEDIDOS!C141</f>
        <v>TCL 2026-01-02</v>
      </c>
      <c r="D141" s="102" t="str">
        <f>PEDIDOS!D141</f>
        <v>THE CHEMIST LOOK</v>
      </c>
      <c r="E141" s="102" t="str">
        <f>PEDIDOS!E141</f>
        <v>BOOSTER VIT C/GLUT</v>
      </c>
      <c r="F141" s="104">
        <f>PEDIDOS!G141</f>
        <v>2500</v>
      </c>
      <c r="G141" s="104">
        <f>11*170+31+10</f>
        <v>1911</v>
      </c>
      <c r="H141" s="103" t="str">
        <f>PEDIDOS!F141</f>
        <v>P</v>
      </c>
      <c r="I141" s="99">
        <f t="shared" si="5"/>
        <v>0.7644</v>
      </c>
      <c r="J141" s="108" t="s">
        <v>728</v>
      </c>
      <c r="K141" s="109">
        <v>46182.0</v>
      </c>
      <c r="L141" s="101" t="str">
        <f t="shared" si="2"/>
        <v>ENTREGADO</v>
      </c>
      <c r="M141" s="108" t="s">
        <v>729</v>
      </c>
      <c r="N141" s="108">
        <v>19.0</v>
      </c>
    </row>
    <row r="142" ht="22.5" hidden="1" customHeight="1">
      <c r="A142" s="49">
        <f>PEDIDOS!A142</f>
        <v>26052</v>
      </c>
      <c r="B142" s="81">
        <f>PEDIDOS!B142</f>
        <v>46098</v>
      </c>
      <c r="C142" s="97" t="str">
        <f>PEDIDOS!C142</f>
        <v>TCL 2026-01-02</v>
      </c>
      <c r="D142" s="81" t="str">
        <f>PEDIDOS!D142</f>
        <v>THE CHEMIST LOOK</v>
      </c>
      <c r="E142" s="81" t="str">
        <f>PEDIDOS!E142</f>
        <v>COLLAGENE</v>
      </c>
      <c r="F142" s="98">
        <f>PEDIDOS!G142</f>
        <v>1200</v>
      </c>
      <c r="G142" s="98">
        <f>8*110+82+10</f>
        <v>972</v>
      </c>
      <c r="H142" s="97" t="str">
        <f>PEDIDOS!F142</f>
        <v>P</v>
      </c>
      <c r="I142" s="99">
        <f t="shared" si="5"/>
        <v>0.81</v>
      </c>
      <c r="J142" s="43" t="s">
        <v>730</v>
      </c>
      <c r="K142" s="113">
        <v>46183.0</v>
      </c>
      <c r="L142" s="49" t="str">
        <f t="shared" si="2"/>
        <v>ENTREGADO</v>
      </c>
      <c r="M142" s="43" t="s">
        <v>731</v>
      </c>
      <c r="N142" s="43">
        <v>19.0</v>
      </c>
    </row>
    <row r="143" ht="22.5" hidden="1" customHeight="1">
      <c r="A143" s="101">
        <f>PEDIDOS!A143</f>
        <v>26052</v>
      </c>
      <c r="B143" s="102">
        <f>PEDIDOS!B143</f>
        <v>46098</v>
      </c>
      <c r="C143" s="103" t="str">
        <f>PEDIDOS!C143</f>
        <v>TCL 2026-01-02</v>
      </c>
      <c r="D143" s="102" t="str">
        <f>PEDIDOS!D143</f>
        <v>THE CHEMIST LOOK</v>
      </c>
      <c r="E143" s="102" t="str">
        <f>PEDIDOS!E143</f>
        <v>EXFOLIANTE GA</v>
      </c>
      <c r="F143" s="104">
        <f>PEDIDOS!G143</f>
        <v>1000</v>
      </c>
      <c r="G143" s="104">
        <f>8*110+105</f>
        <v>985</v>
      </c>
      <c r="H143" s="103" t="str">
        <f>PEDIDOS!F143</f>
        <v>P</v>
      </c>
      <c r="I143" s="99">
        <f t="shared" si="5"/>
        <v>0.985</v>
      </c>
      <c r="J143" s="101" t="s">
        <v>732</v>
      </c>
      <c r="K143" s="112">
        <v>46135.0</v>
      </c>
      <c r="L143" s="101" t="str">
        <f t="shared" si="2"/>
        <v>ENTREGADO</v>
      </c>
      <c r="M143" s="101" t="s">
        <v>733</v>
      </c>
      <c r="N143" s="101">
        <v>3437.0</v>
      </c>
    </row>
    <row r="144" ht="22.5" hidden="1" customHeight="1">
      <c r="A144" s="49">
        <f>PEDIDOS!A144</f>
        <v>26053</v>
      </c>
      <c r="B144" s="81">
        <f>PEDIDOS!B144</f>
        <v>46098</v>
      </c>
      <c r="C144" s="97" t="str">
        <f>PEDIDOS!C144</f>
        <v/>
      </c>
      <c r="D144" s="81" t="str">
        <f>PEDIDOS!D144</f>
        <v>COSMECEUTICALS</v>
      </c>
      <c r="E144" s="81" t="str">
        <f>PEDIDOS!E144</f>
        <v>SERUM DEEP</v>
      </c>
      <c r="F144" s="98">
        <f>PEDIDOS!G144</f>
        <v>500</v>
      </c>
      <c r="G144" s="98">
        <f>8*56+50</f>
        <v>498</v>
      </c>
      <c r="H144" s="97" t="str">
        <f>PEDIDOS!F144</f>
        <v>P</v>
      </c>
      <c r="I144" s="99">
        <f t="shared" si="5"/>
        <v>0.996</v>
      </c>
      <c r="J144" s="49" t="s">
        <v>734</v>
      </c>
      <c r="K144" s="100">
        <v>46126.0</v>
      </c>
      <c r="L144" s="49" t="str">
        <f t="shared" si="2"/>
        <v>ENTREGADO</v>
      </c>
      <c r="M144" s="49" t="s">
        <v>735</v>
      </c>
      <c r="N144" s="49">
        <v>3427.0</v>
      </c>
    </row>
    <row r="145" ht="22.5" hidden="1" customHeight="1">
      <c r="A145" s="101">
        <f>PEDIDOS!A145</f>
        <v>26053</v>
      </c>
      <c r="B145" s="102">
        <f>PEDIDOS!B145</f>
        <v>46098</v>
      </c>
      <c r="C145" s="103" t="str">
        <f>PEDIDOS!C145</f>
        <v/>
      </c>
      <c r="D145" s="102" t="str">
        <f>PEDIDOS!D145</f>
        <v>COSMECEUTICALS</v>
      </c>
      <c r="E145" s="102" t="str">
        <f>PEDIDOS!E145</f>
        <v>SERUM VITAMINA C</v>
      </c>
      <c r="F145" s="104">
        <f>PEDIDOS!G145</f>
        <v>500</v>
      </c>
      <c r="G145" s="104">
        <f>7*56+44</f>
        <v>436</v>
      </c>
      <c r="H145" s="103" t="str">
        <f>PEDIDOS!F145</f>
        <v>P</v>
      </c>
      <c r="I145" s="99">
        <f t="shared" si="5"/>
        <v>0.872</v>
      </c>
      <c r="J145" s="101" t="s">
        <v>736</v>
      </c>
      <c r="K145" s="112">
        <v>46127.0</v>
      </c>
      <c r="L145" s="101" t="str">
        <f t="shared" si="2"/>
        <v>ENTREGADO</v>
      </c>
      <c r="M145" s="101" t="s">
        <v>737</v>
      </c>
      <c r="N145" s="101">
        <v>3427.0</v>
      </c>
    </row>
    <row r="146" ht="22.5" hidden="1" customHeight="1">
      <c r="A146" s="49">
        <f>PEDIDOS!A146</f>
        <v>26054</v>
      </c>
      <c r="B146" s="81">
        <f>PEDIDOS!B146</f>
        <v>46099</v>
      </c>
      <c r="C146" s="97">
        <f>PEDIDOS!C146</f>
        <v>15190</v>
      </c>
      <c r="D146" s="81" t="str">
        <f>PEDIDOS!D146</f>
        <v>THELMA Y LOUISE</v>
      </c>
      <c r="E146" s="81" t="str">
        <f>PEDIDOS!E146</f>
        <v>ALCOHOL EN GEL SANDIA FARMACITY KIDS</v>
      </c>
      <c r="F146" s="98">
        <f>PEDIDOS!G146</f>
        <v>6000</v>
      </c>
      <c r="G146" s="114">
        <v>5923.0</v>
      </c>
      <c r="H146" s="97" t="str">
        <f>PEDIDOS!F146</f>
        <v>M</v>
      </c>
      <c r="I146" s="99">
        <f t="shared" si="5"/>
        <v>0.9871666667</v>
      </c>
      <c r="J146" s="43" t="s">
        <v>738</v>
      </c>
      <c r="K146" s="118">
        <v>46125.0</v>
      </c>
      <c r="L146" s="49" t="str">
        <f t="shared" si="2"/>
        <v>ENTREGADO</v>
      </c>
      <c r="M146" s="49"/>
      <c r="N146" s="43">
        <v>170426.0</v>
      </c>
    </row>
    <row r="147" ht="22.5" hidden="1" customHeight="1">
      <c r="A147" s="101">
        <f>PEDIDOS!A147</f>
        <v>26054</v>
      </c>
      <c r="B147" s="102">
        <f>PEDIDOS!B147</f>
        <v>46099</v>
      </c>
      <c r="C147" s="103">
        <f>PEDIDOS!C147</f>
        <v>15190</v>
      </c>
      <c r="D147" s="102" t="str">
        <f>PEDIDOS!D147</f>
        <v>THELMA Y LOUISE</v>
      </c>
      <c r="E147" s="102" t="str">
        <f>PEDIDOS!E147</f>
        <v>ALCOHOL EN GEL CHICLE FARMACITY KIDS</v>
      </c>
      <c r="F147" s="104">
        <f>PEDIDOS!G147</f>
        <v>6000</v>
      </c>
      <c r="G147" s="104">
        <f>22*216+98+6*234+135</f>
        <v>6389</v>
      </c>
      <c r="H147" s="103" t="str">
        <f>PEDIDOS!F147</f>
        <v>M</v>
      </c>
      <c r="I147" s="99">
        <f t="shared" si="5"/>
        <v>1.064833333</v>
      </c>
      <c r="J147" s="101" t="s">
        <v>739</v>
      </c>
      <c r="K147" s="110">
        <v>46125.0</v>
      </c>
      <c r="L147" s="101" t="str">
        <f t="shared" si="2"/>
        <v>ENTREGADO</v>
      </c>
      <c r="M147" s="101"/>
      <c r="N147" s="101">
        <v>130426.0</v>
      </c>
    </row>
    <row r="148" ht="22.5" hidden="1" customHeight="1">
      <c r="A148" s="49">
        <f>PEDIDOS!A148</f>
        <v>26055</v>
      </c>
      <c r="B148" s="81">
        <f>PEDIDOS!B148</f>
        <v>46099</v>
      </c>
      <c r="C148" s="97">
        <f>PEDIDOS!C148</f>
        <v>141</v>
      </c>
      <c r="D148" s="81" t="str">
        <f>PEDIDOS!D148</f>
        <v>ICONO</v>
      </c>
      <c r="E148" s="81" t="str">
        <f>PEDIDOS!E148</f>
        <v>CREMA EFECTO TENSOR x 250 GR.</v>
      </c>
      <c r="F148" s="98">
        <f>PEDIDOS!G148</f>
        <v>2000</v>
      </c>
      <c r="G148" s="98">
        <v>2079.0</v>
      </c>
      <c r="H148" s="97" t="str">
        <f>PEDIDOS!F148</f>
        <v>M</v>
      </c>
      <c r="I148" s="99">
        <f t="shared" si="5"/>
        <v>1.0395</v>
      </c>
      <c r="J148" s="49" t="s">
        <v>740</v>
      </c>
      <c r="K148" s="100">
        <v>46126.0</v>
      </c>
      <c r="L148" s="49" t="str">
        <f t="shared" si="2"/>
        <v>ENTREGADO</v>
      </c>
      <c r="M148" s="49" t="s">
        <v>741</v>
      </c>
      <c r="N148" s="49">
        <v>3429.0</v>
      </c>
    </row>
    <row r="149" ht="22.5" hidden="1" customHeight="1">
      <c r="A149" s="101">
        <f>PEDIDOS!A149</f>
        <v>26055</v>
      </c>
      <c r="B149" s="102">
        <f>PEDIDOS!B149</f>
        <v>46099</v>
      </c>
      <c r="C149" s="103">
        <f>PEDIDOS!C149</f>
        <v>141</v>
      </c>
      <c r="D149" s="102" t="str">
        <f>PEDIDOS!D149</f>
        <v>ICONO</v>
      </c>
      <c r="E149" s="102" t="str">
        <f>PEDIDOS!E149</f>
        <v>MASCARA EFECTO TENSOR x 95 GR.</v>
      </c>
      <c r="F149" s="104">
        <f>PEDIDOS!G149</f>
        <v>2000</v>
      </c>
      <c r="G149" s="104">
        <f>42*49</f>
        <v>2058</v>
      </c>
      <c r="H149" s="103" t="str">
        <f>PEDIDOS!F149</f>
        <v>P</v>
      </c>
      <c r="I149" s="99">
        <f t="shared" si="5"/>
        <v>1.029</v>
      </c>
      <c r="J149" s="101" t="s">
        <v>742</v>
      </c>
      <c r="K149" s="112">
        <v>46125.0</v>
      </c>
      <c r="L149" s="101" t="str">
        <f t="shared" si="2"/>
        <v>ENTREGADO</v>
      </c>
      <c r="M149" s="101" t="s">
        <v>743</v>
      </c>
      <c r="N149" s="101">
        <v>3429.0</v>
      </c>
    </row>
    <row r="150" ht="22.5" hidden="1" customHeight="1">
      <c r="A150" s="49">
        <f>PEDIDOS!A150</f>
        <v>26055</v>
      </c>
      <c r="B150" s="81">
        <f>PEDIDOS!B150</f>
        <v>46099</v>
      </c>
      <c r="C150" s="97">
        <f>PEDIDOS!C150</f>
        <v>141</v>
      </c>
      <c r="D150" s="81" t="str">
        <f>PEDIDOS!D150</f>
        <v>ICONO</v>
      </c>
      <c r="E150" s="81" t="str">
        <f>PEDIDOS!E150</f>
        <v>MASCARA EFECTO TENSOR x 250 GR.</v>
      </c>
      <c r="F150" s="98">
        <f>PEDIDOS!G150</f>
        <v>2000</v>
      </c>
      <c r="G150" s="98">
        <v>1872.0</v>
      </c>
      <c r="H150" s="97" t="str">
        <f>PEDIDOS!F150</f>
        <v>M</v>
      </c>
      <c r="I150" s="99">
        <f t="shared" si="5"/>
        <v>0.936</v>
      </c>
      <c r="J150" s="49" t="s">
        <v>744</v>
      </c>
      <c r="K150" s="106">
        <v>46128.0</v>
      </c>
      <c r="L150" s="49" t="str">
        <f t="shared" si="2"/>
        <v>ENTREGADO</v>
      </c>
      <c r="M150" s="49" t="s">
        <v>743</v>
      </c>
      <c r="N150" s="49">
        <v>3429.0</v>
      </c>
    </row>
    <row r="151" ht="22.5" hidden="1" customHeight="1">
      <c r="A151" s="101">
        <f>PEDIDOS!A151</f>
        <v>26056</v>
      </c>
      <c r="B151" s="102">
        <f>PEDIDOS!B151</f>
        <v>46099</v>
      </c>
      <c r="C151" s="103" t="str">
        <f>PEDIDOS!C151</f>
        <v/>
      </c>
      <c r="D151" s="102" t="str">
        <f>PEDIDOS!D151</f>
        <v>LUCENT</v>
      </c>
      <c r="E151" s="102" t="str">
        <f>PEDIDOS!E151</f>
        <v>BB LIPS natural Lips</v>
      </c>
      <c r="F151" s="104">
        <f>PEDIDOS!G151</f>
        <v>500</v>
      </c>
      <c r="G151" s="104">
        <f>4*100+92</f>
        <v>492</v>
      </c>
      <c r="H151" s="103" t="str">
        <f>PEDIDOS!F151</f>
        <v>P</v>
      </c>
      <c r="I151" s="99">
        <f t="shared" si="5"/>
        <v>0.984</v>
      </c>
      <c r="J151" s="101" t="s">
        <v>745</v>
      </c>
      <c r="K151" s="112">
        <v>46087.0</v>
      </c>
      <c r="L151" s="101" t="str">
        <f t="shared" si="2"/>
        <v>ENTREGADO</v>
      </c>
      <c r="M151" s="101" t="s">
        <v>746</v>
      </c>
      <c r="N151" s="101">
        <v>3426.0</v>
      </c>
    </row>
    <row r="152" ht="22.5" hidden="1" customHeight="1">
      <c r="A152" s="49">
        <f>PEDIDOS!A152</f>
        <v>26057</v>
      </c>
      <c r="B152" s="81">
        <f>PEDIDOS!B152</f>
        <v>46100</v>
      </c>
      <c r="C152" s="97">
        <f>PEDIDOS!C152</f>
        <v>169</v>
      </c>
      <c r="D152" s="81" t="str">
        <f>PEDIDOS!D152</f>
        <v>THE MINIMAL CO</v>
      </c>
      <c r="E152" s="81" t="str">
        <f>PEDIDOS!E152</f>
        <v>Serum Oil Reparador</v>
      </c>
      <c r="F152" s="98">
        <f>PEDIDOS!G152</f>
        <v>720</v>
      </c>
      <c r="G152" s="98">
        <f>12*56+42</f>
        <v>714</v>
      </c>
      <c r="H152" s="97" t="str">
        <f>PEDIDOS!F152</f>
        <v>P</v>
      </c>
      <c r="I152" s="99">
        <f t="shared" si="5"/>
        <v>0.9916666667</v>
      </c>
      <c r="J152" s="49" t="s">
        <v>747</v>
      </c>
      <c r="K152" s="100">
        <v>46142.0</v>
      </c>
      <c r="L152" s="49" t="str">
        <f t="shared" si="2"/>
        <v>ENTREGADO</v>
      </c>
      <c r="M152" s="49" t="s">
        <v>748</v>
      </c>
      <c r="N152" s="49">
        <v>3452.0</v>
      </c>
    </row>
    <row r="153" ht="22.5" hidden="1" customHeight="1">
      <c r="A153" s="101">
        <f>PEDIDOS!A153</f>
        <v>26058</v>
      </c>
      <c r="B153" s="102">
        <f>PEDIDOS!B153</f>
        <v>46101</v>
      </c>
      <c r="C153" s="103">
        <f>PEDIDOS!C153</f>
        <v>14363</v>
      </c>
      <c r="D153" s="102" t="str">
        <f>PEDIDOS!D153</f>
        <v>JACTANS - DISNEY</v>
      </c>
      <c r="E153" s="102" t="str">
        <f>PEDIDOS!E153</f>
        <v>DJ-48235-Jabon liquido PERSONAJES 2D 250ML</v>
      </c>
      <c r="F153" s="104">
        <f>PEDIDOS!G153</f>
        <v>2500</v>
      </c>
      <c r="G153" s="104">
        <v>2512.0</v>
      </c>
      <c r="H153" s="103" t="str">
        <f>PEDIDOS!F153</f>
        <v>M</v>
      </c>
      <c r="I153" s="99">
        <f t="shared" si="5"/>
        <v>1.0048</v>
      </c>
      <c r="J153" s="101" t="s">
        <v>749</v>
      </c>
      <c r="K153" s="105">
        <v>46147.0</v>
      </c>
      <c r="L153" s="101" t="str">
        <f t="shared" si="2"/>
        <v>ENTREGADO</v>
      </c>
      <c r="M153" s="101" t="s">
        <v>750</v>
      </c>
      <c r="N153" s="101">
        <v>3457.0</v>
      </c>
    </row>
    <row r="154" ht="22.5" hidden="1" customHeight="1">
      <c r="A154" s="49">
        <f>PEDIDOS!A154</f>
        <v>26059</v>
      </c>
      <c r="B154" s="81">
        <f>PEDIDOS!B154</f>
        <v>46104</v>
      </c>
      <c r="C154" s="97">
        <f>PEDIDOS!C154</f>
        <v>15198</v>
      </c>
      <c r="D154" s="81" t="str">
        <f>PEDIDOS!D154</f>
        <v>THELMA Y LOUISE</v>
      </c>
      <c r="E154" s="81" t="str">
        <f>PEDIDOS!E154</f>
        <v>ALCOHOL EN GEL NEUTRO VAMOS ARGENTINA</v>
      </c>
      <c r="F154" s="98">
        <f>PEDIDOS!G154</f>
        <v>3000</v>
      </c>
      <c r="G154" s="98">
        <f>7*135+58+2030</f>
        <v>3033</v>
      </c>
      <c r="H154" s="97" t="str">
        <f>PEDIDOS!F154</f>
        <v>M</v>
      </c>
      <c r="I154" s="99">
        <f t="shared" si="5"/>
        <v>1.011</v>
      </c>
      <c r="J154" s="49" t="s">
        <v>751</v>
      </c>
      <c r="K154" s="111">
        <v>46136.0</v>
      </c>
      <c r="L154" s="49" t="str">
        <f t="shared" si="2"/>
        <v>ENTREGADO</v>
      </c>
      <c r="M154" s="49"/>
      <c r="N154" s="49">
        <v>270426.0</v>
      </c>
    </row>
    <row r="155" ht="22.5" hidden="1" customHeight="1">
      <c r="A155" s="101">
        <f>PEDIDOS!A155</f>
        <v>26059</v>
      </c>
      <c r="B155" s="102">
        <f>PEDIDOS!B155</f>
        <v>46104</v>
      </c>
      <c r="C155" s="103">
        <f>PEDIDOS!C155</f>
        <v>15198</v>
      </c>
      <c r="D155" s="102" t="str">
        <f>PEDIDOS!D155</f>
        <v>THELMA Y LOUISE</v>
      </c>
      <c r="E155" s="102" t="str">
        <f>PEDIDOS!E155</f>
        <v>ALCOHOL EN GEL NEUTRO CORONADOS DE GLORIA</v>
      </c>
      <c r="F155" s="104">
        <f>PEDIDOS!G155</f>
        <v>3000</v>
      </c>
      <c r="G155" s="104">
        <f>7*135+58+1905</f>
        <v>2908</v>
      </c>
      <c r="H155" s="103" t="str">
        <f>PEDIDOS!F155</f>
        <v>M</v>
      </c>
      <c r="I155" s="99">
        <f t="shared" si="5"/>
        <v>0.9693333333</v>
      </c>
      <c r="J155" s="101" t="s">
        <v>752</v>
      </c>
      <c r="K155" s="110">
        <v>46136.0</v>
      </c>
      <c r="L155" s="101" t="str">
        <f t="shared" si="2"/>
        <v>ENTREGADO</v>
      </c>
      <c r="M155" s="101"/>
      <c r="N155" s="101">
        <v>270426.0</v>
      </c>
    </row>
    <row r="156" ht="22.5" hidden="1" customHeight="1">
      <c r="A156" s="49">
        <f>PEDIDOS!A156</f>
        <v>26060</v>
      </c>
      <c r="B156" s="81">
        <f>PEDIDOS!B156</f>
        <v>46104</v>
      </c>
      <c r="C156" s="97">
        <f>PEDIDOS!C156</f>
        <v>141</v>
      </c>
      <c r="D156" s="81" t="str">
        <f>PEDIDOS!D156</f>
        <v>PROFESSIONAL BEAUTY</v>
      </c>
      <c r="E156" s="81" t="str">
        <f>PEDIDOS!E156</f>
        <v>ADVANCE ACIDO HIALURONICO 1%</v>
      </c>
      <c r="F156" s="98">
        <f>PEDIDOS!G156</f>
        <v>500</v>
      </c>
      <c r="G156" s="98">
        <f>120+389</f>
        <v>509</v>
      </c>
      <c r="H156" s="97" t="str">
        <f>PEDIDOS!F156</f>
        <v>P</v>
      </c>
      <c r="I156" s="99">
        <f t="shared" si="5"/>
        <v>1.018</v>
      </c>
      <c r="J156" s="49" t="s">
        <v>753</v>
      </c>
      <c r="K156" s="100">
        <v>46132.0</v>
      </c>
      <c r="L156" s="49" t="str">
        <f t="shared" si="2"/>
        <v>ENTREGADO</v>
      </c>
      <c r="M156" s="49" t="s">
        <v>754</v>
      </c>
      <c r="N156" s="49">
        <v>3449.0</v>
      </c>
    </row>
    <row r="157" ht="22.5" hidden="1" customHeight="1">
      <c r="A157" s="101">
        <f>PEDIDOS!A157</f>
        <v>26060</v>
      </c>
      <c r="B157" s="102">
        <f>PEDIDOS!B157</f>
        <v>46104</v>
      </c>
      <c r="C157" s="103">
        <f>PEDIDOS!C157</f>
        <v>141</v>
      </c>
      <c r="D157" s="102" t="str">
        <f>PEDIDOS!D157</f>
        <v>PROFESSIONAL BEAUTY</v>
      </c>
      <c r="E157" s="102" t="str">
        <f>PEDIDOS!E157</f>
        <v>ADVANCE COLAGENO 10%</v>
      </c>
      <c r="F157" s="104">
        <f>PEDIDOS!G157</f>
        <v>500</v>
      </c>
      <c r="G157" s="104">
        <f>498</f>
        <v>498</v>
      </c>
      <c r="H157" s="103" t="str">
        <f>PEDIDOS!F157</f>
        <v>P</v>
      </c>
      <c r="I157" s="99">
        <f t="shared" si="5"/>
        <v>0.996</v>
      </c>
      <c r="J157" s="101" t="s">
        <v>755</v>
      </c>
      <c r="K157" s="112">
        <v>46133.0</v>
      </c>
      <c r="L157" s="101" t="str">
        <f t="shared" si="2"/>
        <v>ENTREGADO</v>
      </c>
      <c r="M157" s="101" t="s">
        <v>756</v>
      </c>
      <c r="N157" s="101">
        <v>3449.0</v>
      </c>
    </row>
    <row r="158" ht="22.5" hidden="1" customHeight="1">
      <c r="A158" s="49">
        <f>PEDIDOS!A158</f>
        <v>26060</v>
      </c>
      <c r="B158" s="81">
        <f>PEDIDOS!B158</f>
        <v>46104</v>
      </c>
      <c r="C158" s="97">
        <f>PEDIDOS!C158</f>
        <v>141</v>
      </c>
      <c r="D158" s="81" t="str">
        <f>PEDIDOS!D158</f>
        <v>PROFESSIONAL BEAUTY</v>
      </c>
      <c r="E158" s="81" t="str">
        <f>PEDIDOS!E158</f>
        <v>ADVANCE ACIDO HIALURONICO 2%</v>
      </c>
      <c r="F158" s="98">
        <f>PEDIDOS!G158</f>
        <v>500</v>
      </c>
      <c r="G158" s="98">
        <f>120+408</f>
        <v>528</v>
      </c>
      <c r="H158" s="97" t="str">
        <f>PEDIDOS!F158</f>
        <v>P</v>
      </c>
      <c r="I158" s="99">
        <f t="shared" si="5"/>
        <v>1.056</v>
      </c>
      <c r="J158" s="49" t="s">
        <v>757</v>
      </c>
      <c r="K158" s="100">
        <v>46132.0</v>
      </c>
      <c r="L158" s="49" t="str">
        <f t="shared" si="2"/>
        <v>ENTREGADO</v>
      </c>
      <c r="M158" s="49" t="s">
        <v>758</v>
      </c>
      <c r="N158" s="49">
        <v>3449.0</v>
      </c>
    </row>
    <row r="159" ht="22.5" hidden="1" customHeight="1">
      <c r="A159" s="101">
        <f>PEDIDOS!A159</f>
        <v>26061</v>
      </c>
      <c r="B159" s="102">
        <f>PEDIDOS!B159</f>
        <v>46104</v>
      </c>
      <c r="C159" s="103" t="str">
        <f>PEDIDOS!C159</f>
        <v/>
      </c>
      <c r="D159" s="102" t="str">
        <f>PEDIDOS!D159</f>
        <v>AGUEDA REY - EPICA</v>
      </c>
      <c r="E159" s="102" t="str">
        <f>PEDIDOS!E159</f>
        <v>SHAMPOO NEUTRO</v>
      </c>
      <c r="F159" s="104">
        <f>PEDIDOS!G159</f>
        <v>1600</v>
      </c>
      <c r="G159" s="104">
        <f>18*89+3</f>
        <v>1605</v>
      </c>
      <c r="H159" s="103" t="str">
        <f>PEDIDOS!F159</f>
        <v>M</v>
      </c>
      <c r="I159" s="99">
        <f t="shared" si="5"/>
        <v>1.003125</v>
      </c>
      <c r="J159" s="101" t="s">
        <v>759</v>
      </c>
      <c r="K159" s="105">
        <v>46134.0</v>
      </c>
      <c r="L159" s="101" t="str">
        <f t="shared" si="2"/>
        <v>ENTREGADO</v>
      </c>
      <c r="M159" s="101" t="s">
        <v>760</v>
      </c>
      <c r="N159" s="101" t="s">
        <v>691</v>
      </c>
    </row>
    <row r="160" ht="22.5" hidden="1" customHeight="1">
      <c r="A160" s="49">
        <f>PEDIDOS!A160</f>
        <v>26062</v>
      </c>
      <c r="B160" s="81">
        <f>PEDIDOS!B160</f>
        <v>46104</v>
      </c>
      <c r="C160" s="97" t="str">
        <f>PEDIDOS!C160</f>
        <v/>
      </c>
      <c r="D160" s="81" t="str">
        <f>PEDIDOS!D160</f>
        <v>BEKIM</v>
      </c>
      <c r="E160" s="81" t="str">
        <f>PEDIDOS!E160</f>
        <v>SHAMPOO SOLIDO ARGAN</v>
      </c>
      <c r="F160" s="98">
        <f>PEDIDOS!G160</f>
        <v>1000</v>
      </c>
      <c r="G160" s="98">
        <f>45*20</f>
        <v>900</v>
      </c>
      <c r="H160" s="97" t="str">
        <f>PEDIDOS!F160</f>
        <v>P</v>
      </c>
      <c r="I160" s="99">
        <f t="shared" si="5"/>
        <v>0.9</v>
      </c>
      <c r="J160" s="49" t="s">
        <v>761</v>
      </c>
      <c r="K160" s="100">
        <v>46118.0</v>
      </c>
      <c r="L160" s="49" t="str">
        <f t="shared" si="2"/>
        <v>ENTREGADO</v>
      </c>
      <c r="M160" s="49" t="s">
        <v>762</v>
      </c>
      <c r="N160" s="49">
        <v>3416.0</v>
      </c>
    </row>
    <row r="161" ht="22.5" hidden="1" customHeight="1">
      <c r="A161" s="101">
        <f>PEDIDOS!A161</f>
        <v>26062</v>
      </c>
      <c r="B161" s="102">
        <f>PEDIDOS!B161</f>
        <v>46104</v>
      </c>
      <c r="C161" s="103" t="str">
        <f>PEDIDOS!C161</f>
        <v/>
      </c>
      <c r="D161" s="102" t="str">
        <f>PEDIDOS!D161</f>
        <v>BEKIM</v>
      </c>
      <c r="E161" s="102" t="str">
        <f>PEDIDOS!E161</f>
        <v>ACONDICIONADOR SOLIDO ARGAN</v>
      </c>
      <c r="F161" s="104">
        <f>PEDIDOS!G161</f>
        <v>1000</v>
      </c>
      <c r="G161" s="104">
        <f>52*20+12</f>
        <v>1052</v>
      </c>
      <c r="H161" s="103" t="str">
        <f>PEDIDOS!F161</f>
        <v>P</v>
      </c>
      <c r="I161" s="99">
        <f t="shared" si="5"/>
        <v>1.052</v>
      </c>
      <c r="J161" s="101" t="s">
        <v>763</v>
      </c>
      <c r="K161" s="112">
        <v>46118.0</v>
      </c>
      <c r="L161" s="101" t="str">
        <f t="shared" si="2"/>
        <v>ENTREGADO</v>
      </c>
      <c r="M161" s="101" t="s">
        <v>764</v>
      </c>
      <c r="N161" s="101">
        <v>3416.0</v>
      </c>
    </row>
    <row r="162" ht="22.5" customHeight="1">
      <c r="A162" s="49">
        <f>PEDIDOS!A162</f>
        <v>26063</v>
      </c>
      <c r="B162" s="81">
        <f>PEDIDOS!B162</f>
        <v>46107</v>
      </c>
      <c r="C162" s="97" t="str">
        <f>PEDIDOS!C162</f>
        <v/>
      </c>
      <c r="D162" s="81" t="str">
        <f>PEDIDOS!D162</f>
        <v>CAV</v>
      </c>
      <c r="E162" s="81" t="str">
        <f>PEDIDOS!E162</f>
        <v>AMPOLLA HAIR REPAIR</v>
      </c>
      <c r="F162" s="98">
        <f>PEDIDOS!G162</f>
        <v>700</v>
      </c>
      <c r="G162" s="98">
        <f>7*96+77</f>
        <v>749</v>
      </c>
      <c r="H162" s="97" t="str">
        <f>PEDIDOS!F162</f>
        <v>P</v>
      </c>
      <c r="I162" s="99">
        <f t="shared" si="5"/>
        <v>1.07</v>
      </c>
      <c r="J162" s="49" t="s">
        <v>765</v>
      </c>
      <c r="K162" s="100">
        <v>46123.0</v>
      </c>
      <c r="L162" s="49" t="str">
        <f t="shared" si="2"/>
        <v>ENTREGADO</v>
      </c>
      <c r="M162" s="49" t="s">
        <v>766</v>
      </c>
      <c r="N162" s="43">
        <v>3472.0</v>
      </c>
    </row>
    <row r="163" ht="22.5" customHeight="1">
      <c r="A163" s="101">
        <f>PEDIDOS!A163</f>
        <v>26063</v>
      </c>
      <c r="B163" s="102">
        <f>PEDIDOS!B163</f>
        <v>46107</v>
      </c>
      <c r="C163" s="103" t="str">
        <f>PEDIDOS!C163</f>
        <v/>
      </c>
      <c r="D163" s="102" t="str">
        <f>PEDIDOS!D163</f>
        <v>CAV</v>
      </c>
      <c r="E163" s="102" t="str">
        <f>PEDIDOS!E163</f>
        <v>AMPOLLA COLOR SHINE</v>
      </c>
      <c r="F163" s="104">
        <f>PEDIDOS!G163</f>
        <v>700</v>
      </c>
      <c r="G163" s="104">
        <f>7*96+74</f>
        <v>746</v>
      </c>
      <c r="H163" s="103" t="str">
        <f>PEDIDOS!F163</f>
        <v>P</v>
      </c>
      <c r="I163" s="99">
        <f t="shared" si="5"/>
        <v>1.065714286</v>
      </c>
      <c r="J163" s="101" t="s">
        <v>767</v>
      </c>
      <c r="K163" s="112">
        <v>46123.0</v>
      </c>
      <c r="L163" s="101" t="str">
        <f t="shared" si="2"/>
        <v>ENTREGADO</v>
      </c>
      <c r="M163" s="101" t="s">
        <v>768</v>
      </c>
      <c r="N163" s="108">
        <v>3472.0</v>
      </c>
    </row>
    <row r="164" ht="22.5" hidden="1" customHeight="1">
      <c r="A164" s="49">
        <f>PEDIDOS!A164</f>
        <v>26064</v>
      </c>
      <c r="B164" s="81">
        <f>PEDIDOS!B164</f>
        <v>46107</v>
      </c>
      <c r="C164" s="97" t="str">
        <f>PEDIDOS!C164</f>
        <v/>
      </c>
      <c r="D164" s="81" t="str">
        <f>PEDIDOS!D164</f>
        <v>DEL ARCA BOTANICA</v>
      </c>
      <c r="E164" s="81" t="str">
        <f>PEDIDOS!E164</f>
        <v>CREMA HIDRATANTE LIVIANA</v>
      </c>
      <c r="F164" s="98">
        <f>PEDIDOS!G164</f>
        <v>500</v>
      </c>
      <c r="G164" s="98">
        <f>17*24+10+61</f>
        <v>479</v>
      </c>
      <c r="H164" s="97" t="str">
        <f>PEDIDOS!F164</f>
        <v>P</v>
      </c>
      <c r="I164" s="99">
        <f t="shared" si="5"/>
        <v>0.958</v>
      </c>
      <c r="J164" s="43" t="s">
        <v>769</v>
      </c>
      <c r="K164" s="113">
        <v>46162.0</v>
      </c>
      <c r="L164" s="49" t="str">
        <f t="shared" si="2"/>
        <v>ENTREGADO</v>
      </c>
      <c r="M164" s="43" t="s">
        <v>770</v>
      </c>
      <c r="N164" s="43">
        <v>3510.0</v>
      </c>
    </row>
    <row r="165" ht="22.5" hidden="1" customHeight="1">
      <c r="A165" s="101">
        <f>PEDIDOS!A165</f>
        <v>26063</v>
      </c>
      <c r="B165" s="102">
        <f>PEDIDOS!B165</f>
        <v>46101</v>
      </c>
      <c r="C165" s="103" t="str">
        <f>PEDIDOS!C165</f>
        <v/>
      </c>
      <c r="D165" s="102" t="str">
        <f>PEDIDOS!D165</f>
        <v>PLANTAE</v>
      </c>
      <c r="E165" s="102" t="str">
        <f>PEDIDOS!E165</f>
        <v>SHAMPOO HENNA</v>
      </c>
      <c r="F165" s="104">
        <f>PEDIDOS!G165</f>
        <v>600</v>
      </c>
      <c r="G165" s="104">
        <f>102+13*34+29</f>
        <v>573</v>
      </c>
      <c r="H165" s="103" t="str">
        <f>PEDIDOS!F165</f>
        <v>P</v>
      </c>
      <c r="I165" s="99">
        <f t="shared" si="5"/>
        <v>0.955</v>
      </c>
      <c r="J165" s="101" t="s">
        <v>771</v>
      </c>
      <c r="K165" s="110">
        <v>46108.0</v>
      </c>
      <c r="L165" s="101" t="str">
        <f t="shared" si="2"/>
        <v>ENTREGADO</v>
      </c>
      <c r="M165" s="101" t="s">
        <v>772</v>
      </c>
      <c r="N165" s="101" t="s">
        <v>773</v>
      </c>
    </row>
    <row r="166" ht="22.5" hidden="1" customHeight="1">
      <c r="A166" s="49">
        <f>PEDIDOS!A166</f>
        <v>26063</v>
      </c>
      <c r="B166" s="81">
        <f>PEDIDOS!B166</f>
        <v>46101</v>
      </c>
      <c r="C166" s="97" t="str">
        <f>PEDIDOS!C166</f>
        <v/>
      </c>
      <c r="D166" s="81" t="str">
        <f>PEDIDOS!D166</f>
        <v>PLANTAE</v>
      </c>
      <c r="E166" s="81" t="str">
        <f>PEDIDOS!E166</f>
        <v>SHAMPOO KARITE</v>
      </c>
      <c r="F166" s="98">
        <f>PEDIDOS!G166</f>
        <v>600</v>
      </c>
      <c r="G166" s="98">
        <f>102+13*34+5</f>
        <v>549</v>
      </c>
      <c r="H166" s="97" t="str">
        <f>PEDIDOS!F166</f>
        <v>P</v>
      </c>
      <c r="I166" s="99">
        <f t="shared" si="5"/>
        <v>0.915</v>
      </c>
      <c r="J166" s="49" t="s">
        <v>774</v>
      </c>
      <c r="K166" s="111">
        <v>46108.0</v>
      </c>
      <c r="L166" s="49" t="str">
        <f t="shared" si="2"/>
        <v>ENTREGADO</v>
      </c>
      <c r="M166" s="49" t="s">
        <v>775</v>
      </c>
      <c r="N166" s="49" t="s">
        <v>773</v>
      </c>
    </row>
    <row r="167" ht="22.5" hidden="1" customHeight="1">
      <c r="A167" s="101">
        <f>PEDIDOS!A167</f>
        <v>26064</v>
      </c>
      <c r="B167" s="102">
        <f>PEDIDOS!B167</f>
        <v>46111</v>
      </c>
      <c r="C167" s="103" t="str">
        <f>PEDIDOS!C167</f>
        <v/>
      </c>
      <c r="D167" s="102" t="str">
        <f>PEDIDOS!D167</f>
        <v>COSMECEUTICALS</v>
      </c>
      <c r="E167" s="102" t="str">
        <f>PEDIDOS!E167</f>
        <v>CREMA PDND NAD+ (airless)</v>
      </c>
      <c r="F167" s="104">
        <f>PEDIDOS!G167</f>
        <v>500</v>
      </c>
      <c r="G167" s="104">
        <f>41*12+40+2*6</f>
        <v>544</v>
      </c>
      <c r="H167" s="103" t="str">
        <f>PEDIDOS!F167</f>
        <v>P</v>
      </c>
      <c r="I167" s="99">
        <f t="shared" si="5"/>
        <v>1.088</v>
      </c>
      <c r="J167" s="101" t="s">
        <v>776</v>
      </c>
      <c r="K167" s="112">
        <v>46127.0</v>
      </c>
      <c r="L167" s="101" t="str">
        <f t="shared" si="2"/>
        <v>ENTREGADO</v>
      </c>
      <c r="M167" s="101" t="s">
        <v>777</v>
      </c>
      <c r="N167" s="101">
        <v>3427.0</v>
      </c>
    </row>
    <row r="168" ht="22.5" hidden="1" customHeight="1">
      <c r="A168" s="49">
        <f>PEDIDOS!A168</f>
        <v>26064</v>
      </c>
      <c r="B168" s="81">
        <f>PEDIDOS!B168</f>
        <v>46111</v>
      </c>
      <c r="C168" s="97" t="str">
        <f>PEDIDOS!C168</f>
        <v/>
      </c>
      <c r="D168" s="81" t="str">
        <f>PEDIDOS!D168</f>
        <v>COSMECEUTICALS</v>
      </c>
      <c r="E168" s="81" t="str">
        <f>PEDIDOS!E168</f>
        <v>CREMA RADIANCE ABSOLUTE (pote ambar)</v>
      </c>
      <c r="F168" s="98">
        <f>PEDIDOS!G168</f>
        <v>500</v>
      </c>
      <c r="G168" s="98">
        <f>21*24+6</f>
        <v>510</v>
      </c>
      <c r="H168" s="97" t="str">
        <f>PEDIDOS!F168</f>
        <v>P</v>
      </c>
      <c r="I168" s="99">
        <f t="shared" si="5"/>
        <v>1.02</v>
      </c>
      <c r="J168" s="49" t="s">
        <v>778</v>
      </c>
      <c r="K168" s="100">
        <v>46127.0</v>
      </c>
      <c r="L168" s="49" t="str">
        <f t="shared" si="2"/>
        <v>ENTREGADO</v>
      </c>
      <c r="M168" s="49" t="s">
        <v>779</v>
      </c>
      <c r="N168" s="49">
        <v>3427.0</v>
      </c>
    </row>
    <row r="169" ht="22.5" customHeight="1">
      <c r="A169" s="101">
        <f>PEDIDOS!A169</f>
        <v>26065</v>
      </c>
      <c r="B169" s="102">
        <f>PEDIDOS!B169</f>
        <v>46112</v>
      </c>
      <c r="C169" s="103">
        <f>PEDIDOS!C169</f>
        <v>786</v>
      </c>
      <c r="D169" s="102" t="str">
        <f>PEDIDOS!D169</f>
        <v>CAV</v>
      </c>
      <c r="E169" s="102" t="str">
        <f>PEDIDOS!E169</f>
        <v>SHAMPOO BIONIC X400ML</v>
      </c>
      <c r="F169" s="104">
        <f>PEDIDOS!G169</f>
        <v>250</v>
      </c>
      <c r="G169" s="104">
        <v>297.0</v>
      </c>
      <c r="H169" s="103" t="str">
        <f>PEDIDOS!F169</f>
        <v>M</v>
      </c>
      <c r="I169" s="99">
        <f t="shared" si="5"/>
        <v>1.188</v>
      </c>
      <c r="J169" s="101" t="s">
        <v>780</v>
      </c>
      <c r="K169" s="110">
        <v>46129.0</v>
      </c>
      <c r="L169" s="101" t="str">
        <f t="shared" si="2"/>
        <v>ENTREGADO</v>
      </c>
      <c r="M169" s="101" t="s">
        <v>781</v>
      </c>
      <c r="N169" s="101">
        <v>3431.0</v>
      </c>
    </row>
    <row r="170" ht="22.5" customHeight="1">
      <c r="A170" s="49">
        <f>PEDIDOS!A170</f>
        <v>26065</v>
      </c>
      <c r="B170" s="81">
        <f>PEDIDOS!B170</f>
        <v>46112</v>
      </c>
      <c r="C170" s="97">
        <f>PEDIDOS!C170</f>
        <v>786</v>
      </c>
      <c r="D170" s="81" t="str">
        <f>PEDIDOS!D170</f>
        <v>CAV</v>
      </c>
      <c r="E170" s="81" t="str">
        <f>PEDIDOS!E170</f>
        <v>BALSAMO BIONIC X400ML</v>
      </c>
      <c r="F170" s="98">
        <f>PEDIDOS!G170</f>
        <v>250</v>
      </c>
      <c r="G170" s="98">
        <v>248.0</v>
      </c>
      <c r="H170" s="97" t="str">
        <f>PEDIDOS!F170</f>
        <v>M</v>
      </c>
      <c r="I170" s="99">
        <f t="shared" si="5"/>
        <v>0.992</v>
      </c>
      <c r="J170" s="49" t="s">
        <v>782</v>
      </c>
      <c r="K170" s="111">
        <v>46129.0</v>
      </c>
      <c r="L170" s="49" t="str">
        <f t="shared" si="2"/>
        <v>ENTREGADO</v>
      </c>
      <c r="M170" s="49" t="s">
        <v>783</v>
      </c>
      <c r="N170" s="49">
        <v>3431.0</v>
      </c>
    </row>
    <row r="171" ht="22.5" customHeight="1">
      <c r="A171" s="101">
        <f>PEDIDOS!A171</f>
        <v>26065</v>
      </c>
      <c r="B171" s="102">
        <f>PEDIDOS!B171</f>
        <v>46112</v>
      </c>
      <c r="C171" s="103">
        <f>PEDIDOS!C171</f>
        <v>786</v>
      </c>
      <c r="D171" s="102" t="str">
        <f>PEDIDOS!D171</f>
        <v>CAV</v>
      </c>
      <c r="E171" s="102" t="str">
        <f>PEDIDOS!E171</f>
        <v>MASCARA VITAMIN SHOCK</v>
      </c>
      <c r="F171" s="104">
        <f>PEDIDOS!G171</f>
        <v>350</v>
      </c>
      <c r="G171" s="104">
        <v>379.0</v>
      </c>
      <c r="H171" s="103" t="str">
        <f>PEDIDOS!F171</f>
        <v>P</v>
      </c>
      <c r="I171" s="99">
        <f t="shared" si="5"/>
        <v>1.082857143</v>
      </c>
      <c r="J171" s="101" t="s">
        <v>784</v>
      </c>
      <c r="K171" s="105">
        <v>46136.0</v>
      </c>
      <c r="L171" s="101" t="str">
        <f t="shared" si="2"/>
        <v>ENTREGADO</v>
      </c>
      <c r="M171" s="101" t="s">
        <v>785</v>
      </c>
      <c r="N171" s="108">
        <v>3472.0</v>
      </c>
    </row>
    <row r="172" ht="22.5" customHeight="1">
      <c r="A172" s="49">
        <f>PEDIDOS!A172</f>
        <v>26065</v>
      </c>
      <c r="B172" s="81">
        <f>PEDIDOS!B172</f>
        <v>46112</v>
      </c>
      <c r="C172" s="97">
        <f>PEDIDOS!C172</f>
        <v>786</v>
      </c>
      <c r="D172" s="81" t="str">
        <f>PEDIDOS!D172</f>
        <v>CAV</v>
      </c>
      <c r="E172" s="81" t="str">
        <f>PEDIDOS!E172</f>
        <v>PROTECTOR C-PLEX CAV (PASO 3)</v>
      </c>
      <c r="F172" s="98">
        <f>PEDIDOS!G172</f>
        <v>200</v>
      </c>
      <c r="G172" s="98">
        <f>3*36+30</f>
        <v>138</v>
      </c>
      <c r="H172" s="97" t="str">
        <f>PEDIDOS!F172</f>
        <v>P</v>
      </c>
      <c r="I172" s="99">
        <f t="shared" si="5"/>
        <v>0.69</v>
      </c>
      <c r="J172" s="43" t="s">
        <v>786</v>
      </c>
      <c r="K172" s="113">
        <v>46157.0</v>
      </c>
      <c r="L172" s="49" t="str">
        <f t="shared" si="2"/>
        <v>ENTREGADO</v>
      </c>
      <c r="M172" s="43" t="s">
        <v>590</v>
      </c>
      <c r="N172" s="43">
        <v>3482.0</v>
      </c>
    </row>
    <row r="173" ht="22.5" customHeight="1">
      <c r="A173" s="101">
        <f>PEDIDOS!A173</f>
        <v>26065</v>
      </c>
      <c r="B173" s="102">
        <f>PEDIDOS!B173</f>
        <v>46112</v>
      </c>
      <c r="C173" s="103">
        <f>PEDIDOS!C173</f>
        <v>786</v>
      </c>
      <c r="D173" s="102" t="str">
        <f>PEDIDOS!D173</f>
        <v>CAV</v>
      </c>
      <c r="E173" s="102" t="str">
        <f>PEDIDOS!E173</f>
        <v>SHAMPOO MAXLISS X400ML</v>
      </c>
      <c r="F173" s="104">
        <f>PEDIDOS!G173</f>
        <v>250</v>
      </c>
      <c r="G173" s="104">
        <f>13*22+3</f>
        <v>289</v>
      </c>
      <c r="H173" s="103" t="str">
        <f>PEDIDOS!F173</f>
        <v>M</v>
      </c>
      <c r="I173" s="99">
        <f t="shared" si="5"/>
        <v>1.156</v>
      </c>
      <c r="J173" s="101" t="s">
        <v>787</v>
      </c>
      <c r="K173" s="112">
        <v>46117.0</v>
      </c>
      <c r="L173" s="101" t="str">
        <f t="shared" si="2"/>
        <v>ENTREGADO</v>
      </c>
      <c r="M173" s="101" t="s">
        <v>788</v>
      </c>
      <c r="N173" s="101">
        <v>3455.0</v>
      </c>
    </row>
    <row r="174" ht="22.5" customHeight="1">
      <c r="A174" s="49">
        <f>PEDIDOS!A174</f>
        <v>26065</v>
      </c>
      <c r="B174" s="81">
        <f>PEDIDOS!B174</f>
        <v>46112</v>
      </c>
      <c r="C174" s="97">
        <f>PEDIDOS!C174</f>
        <v>786</v>
      </c>
      <c r="D174" s="81" t="str">
        <f>PEDIDOS!D174</f>
        <v>CAV</v>
      </c>
      <c r="E174" s="81" t="str">
        <f>PEDIDOS!E174</f>
        <v>CONDITIONER MAXLISS X400G</v>
      </c>
      <c r="F174" s="98">
        <f>PEDIDOS!G174</f>
        <v>250</v>
      </c>
      <c r="G174" s="98">
        <f>9*22+16</f>
        <v>214</v>
      </c>
      <c r="H174" s="97" t="str">
        <f>PEDIDOS!F174</f>
        <v>M</v>
      </c>
      <c r="I174" s="99">
        <f t="shared" si="5"/>
        <v>0.856</v>
      </c>
      <c r="J174" s="49" t="s">
        <v>789</v>
      </c>
      <c r="K174" s="100">
        <v>46117.0</v>
      </c>
      <c r="L174" s="49" t="str">
        <f t="shared" si="2"/>
        <v>ENTREGADO</v>
      </c>
      <c r="M174" s="49" t="s">
        <v>790</v>
      </c>
      <c r="N174" s="49">
        <v>3455.0</v>
      </c>
    </row>
    <row r="175" ht="22.5" customHeight="1">
      <c r="A175" s="101">
        <f>PEDIDOS!A175</f>
        <v>26065</v>
      </c>
      <c r="B175" s="102">
        <f>PEDIDOS!B175</f>
        <v>46112</v>
      </c>
      <c r="C175" s="103">
        <f>PEDIDOS!C175</f>
        <v>786</v>
      </c>
      <c r="D175" s="102" t="str">
        <f>PEDIDOS!D175</f>
        <v>CAV</v>
      </c>
      <c r="E175" s="102" t="str">
        <f>PEDIDOS!E175</f>
        <v>DISCIPLINADOR MAXLISS X125ML</v>
      </c>
      <c r="F175" s="104">
        <f>PEDIDOS!G175</f>
        <v>200</v>
      </c>
      <c r="G175" s="104">
        <f>8*24+6</f>
        <v>198</v>
      </c>
      <c r="H175" s="103" t="str">
        <f>PEDIDOS!F175</f>
        <v>M</v>
      </c>
      <c r="I175" s="99">
        <f t="shared" si="5"/>
        <v>0.99</v>
      </c>
      <c r="J175" s="101" t="s">
        <v>791</v>
      </c>
      <c r="K175" s="112">
        <v>46117.0</v>
      </c>
      <c r="L175" s="101" t="str">
        <f t="shared" si="2"/>
        <v>ENTREGADO</v>
      </c>
      <c r="M175" s="101" t="s">
        <v>792</v>
      </c>
      <c r="N175" s="101">
        <v>3455.0</v>
      </c>
    </row>
    <row r="176" ht="22.5" hidden="1" customHeight="1">
      <c r="A176" s="49">
        <f>PEDIDOS!A176</f>
        <v>26066</v>
      </c>
      <c r="B176" s="81">
        <f>PEDIDOS!B176</f>
        <v>46112</v>
      </c>
      <c r="C176" s="97">
        <f>PEDIDOS!C176</f>
        <v>15223</v>
      </c>
      <c r="D176" s="81" t="str">
        <f>PEDIDOS!D176</f>
        <v>THELMA Y LOUISE</v>
      </c>
      <c r="E176" s="81" t="str">
        <f>PEDIDOS!E176</f>
        <v>SANITIZANTE MUNDIAL CORONADOS DE GLORIA (neutro)</v>
      </c>
      <c r="F176" s="98">
        <f>PEDIDOS!G176</f>
        <v>17000</v>
      </c>
      <c r="G176" s="98">
        <f>2112+30*176+54*176+108</f>
        <v>17004</v>
      </c>
      <c r="H176" s="97" t="str">
        <f>PEDIDOS!F176</f>
        <v>M</v>
      </c>
      <c r="I176" s="99">
        <f t="shared" si="5"/>
        <v>1.000235294</v>
      </c>
      <c r="J176" s="49" t="s">
        <v>793</v>
      </c>
      <c r="K176" s="100">
        <v>46127.0</v>
      </c>
      <c r="L176" s="49" t="str">
        <f t="shared" si="2"/>
        <v>ENTREGADO</v>
      </c>
      <c r="M176" s="49">
        <v>140401.0</v>
      </c>
      <c r="N176" s="49">
        <v>50526.0</v>
      </c>
    </row>
    <row r="177" ht="22.5" hidden="1" customHeight="1">
      <c r="A177" s="101">
        <f>PEDIDOS!A177</f>
        <v>26066</v>
      </c>
      <c r="B177" s="102">
        <f>PEDIDOS!B177</f>
        <v>46112</v>
      </c>
      <c r="C177" s="103">
        <f>PEDIDOS!C177</f>
        <v>15223</v>
      </c>
      <c r="D177" s="102" t="str">
        <f>PEDIDOS!D177</f>
        <v>THELMA Y LOUISE</v>
      </c>
      <c r="E177" s="102" t="str">
        <f>PEDIDOS!E177</f>
        <v>SANITIZANTE MUNDIAL VAMOS ARGENTINA! (neutro)</v>
      </c>
      <c r="F177" s="104">
        <f>PEDIDOS!G177</f>
        <v>17000</v>
      </c>
      <c r="G177" s="104">
        <f>1987+30*176+45*176+4*176+54</f>
        <v>15945</v>
      </c>
      <c r="H177" s="103" t="str">
        <f>PEDIDOS!F177</f>
        <v>M</v>
      </c>
      <c r="I177" s="99">
        <f t="shared" si="5"/>
        <v>0.9379411765</v>
      </c>
      <c r="J177" s="101" t="s">
        <v>794</v>
      </c>
      <c r="K177" s="112">
        <v>46128.0</v>
      </c>
      <c r="L177" s="101" t="str">
        <f t="shared" si="2"/>
        <v>ENTREGADO</v>
      </c>
      <c r="M177" s="101">
        <v>150401.0</v>
      </c>
      <c r="N177" s="101">
        <v>50526.0</v>
      </c>
    </row>
    <row r="178" ht="22.5" hidden="1" customHeight="1">
      <c r="A178" s="49">
        <f>PEDIDOS!A178</f>
        <v>26066</v>
      </c>
      <c r="B178" s="81">
        <f>PEDIDOS!B178</f>
        <v>46112</v>
      </c>
      <c r="C178" s="97">
        <f>PEDIDOS!C178</f>
        <v>15223</v>
      </c>
      <c r="D178" s="81" t="str">
        <f>PEDIDOS!D178</f>
        <v>THELMA Y LOUISE</v>
      </c>
      <c r="E178" s="81" t="str">
        <f>PEDIDOS!E178</f>
        <v>SANITIZANTE AZUL</v>
      </c>
      <c r="F178" s="98">
        <f>PEDIDOS!G178</f>
        <v>8100</v>
      </c>
      <c r="G178" s="98">
        <v>7697.0</v>
      </c>
      <c r="H178" s="97" t="str">
        <f>PEDIDOS!F178</f>
        <v>M</v>
      </c>
      <c r="I178" s="99">
        <f t="shared" si="5"/>
        <v>0.9502469136</v>
      </c>
      <c r="J178" s="49" t="s">
        <v>795</v>
      </c>
      <c r="K178" s="106">
        <v>46150.0</v>
      </c>
      <c r="L178" s="49" t="str">
        <f t="shared" si="2"/>
        <v>ENTREGADO</v>
      </c>
      <c r="M178" s="49"/>
      <c r="N178" s="49" t="s">
        <v>796</v>
      </c>
    </row>
    <row r="179" ht="22.5" hidden="1" customHeight="1">
      <c r="A179" s="101">
        <f>PEDIDOS!A179</f>
        <v>26066</v>
      </c>
      <c r="B179" s="102">
        <f>PEDIDOS!B179</f>
        <v>46112</v>
      </c>
      <c r="C179" s="103">
        <f>PEDIDOS!C179</f>
        <v>15220</v>
      </c>
      <c r="D179" s="102" t="str">
        <f>PEDIDOS!D179</f>
        <v>THELMA Y LOUISE</v>
      </c>
      <c r="E179" s="102" t="str">
        <f>PEDIDOS!E179</f>
        <v>SANITIZANTE TODO MODA COCO</v>
      </c>
      <c r="F179" s="104">
        <f>PEDIDOS!G179</f>
        <v>7000</v>
      </c>
      <c r="G179" s="104">
        <v>7040.0</v>
      </c>
      <c r="H179" s="103" t="str">
        <f>PEDIDOS!F179</f>
        <v>M</v>
      </c>
      <c r="I179" s="99">
        <f t="shared" si="5"/>
        <v>1.005714286</v>
      </c>
      <c r="J179" s="101" t="s">
        <v>797</v>
      </c>
      <c r="K179" s="105">
        <v>46127.0</v>
      </c>
      <c r="L179" s="101" t="str">
        <f t="shared" si="2"/>
        <v>ENTREGADO</v>
      </c>
      <c r="M179" s="101">
        <v>80402.0</v>
      </c>
      <c r="N179" s="101">
        <v>200426.0</v>
      </c>
    </row>
    <row r="180" ht="22.5" hidden="1" customHeight="1">
      <c r="A180" s="49">
        <f>PEDIDOS!A180</f>
        <v>26066</v>
      </c>
      <c r="B180" s="81">
        <f>PEDIDOS!B180</f>
        <v>46112</v>
      </c>
      <c r="C180" s="97">
        <f>PEDIDOS!C180</f>
        <v>15220</v>
      </c>
      <c r="D180" s="81" t="str">
        <f>PEDIDOS!D180</f>
        <v>THELMA Y LOUISE</v>
      </c>
      <c r="E180" s="81" t="str">
        <f>PEDIDOS!E180</f>
        <v>SANITIZANTE TODO MODA FRAMBUESA</v>
      </c>
      <c r="F180" s="98">
        <f>PEDIDOS!G180</f>
        <v>7000</v>
      </c>
      <c r="G180" s="98">
        <f>39*176+116</f>
        <v>6980</v>
      </c>
      <c r="H180" s="97" t="str">
        <f>PEDIDOS!F180</f>
        <v>M</v>
      </c>
      <c r="I180" s="99">
        <f t="shared" si="5"/>
        <v>0.9971428571</v>
      </c>
      <c r="J180" s="49" t="s">
        <v>798</v>
      </c>
      <c r="K180" s="100">
        <v>46132.0</v>
      </c>
      <c r="L180" s="49" t="str">
        <f t="shared" si="2"/>
        <v>ENTREGADO</v>
      </c>
      <c r="M180" s="49">
        <v>90402.0</v>
      </c>
      <c r="N180" s="49">
        <v>270426.0</v>
      </c>
    </row>
    <row r="181" ht="22.5" hidden="1" customHeight="1">
      <c r="A181" s="101">
        <f>PEDIDOS!A181</f>
        <v>26066</v>
      </c>
      <c r="B181" s="102">
        <f>PEDIDOS!B181</f>
        <v>46112</v>
      </c>
      <c r="C181" s="103">
        <f>PEDIDOS!C181</f>
        <v>15226</v>
      </c>
      <c r="D181" s="102" t="str">
        <f>PEDIDOS!D181</f>
        <v>THELMA Y LOUISE</v>
      </c>
      <c r="E181" s="102" t="str">
        <f>PEDIDOS!E181</f>
        <v>SANITIZANTE BLANCO - AGUA DE COCO </v>
      </c>
      <c r="F181" s="104">
        <f>PEDIDOS!G181</f>
        <v>3900</v>
      </c>
      <c r="G181" s="107">
        <v>3994.0</v>
      </c>
      <c r="H181" s="103" t="str">
        <f>PEDIDOS!F181</f>
        <v>M</v>
      </c>
      <c r="I181" s="99">
        <f t="shared" si="5"/>
        <v>1.024102564</v>
      </c>
      <c r="J181" s="108" t="s">
        <v>799</v>
      </c>
      <c r="K181" s="117">
        <v>46156.0</v>
      </c>
      <c r="L181" s="101" t="str">
        <f t="shared" si="2"/>
        <v>ENTREGADO</v>
      </c>
      <c r="M181" s="101"/>
      <c r="N181" s="108">
        <v>150526.0</v>
      </c>
    </row>
    <row r="182" ht="22.5" hidden="1" customHeight="1">
      <c r="A182" s="49">
        <f>PEDIDOS!A182</f>
        <v>26066</v>
      </c>
      <c r="B182" s="81">
        <f>PEDIDOS!B182</f>
        <v>46112</v>
      </c>
      <c r="C182" s="97">
        <f>PEDIDOS!C182</f>
        <v>15226</v>
      </c>
      <c r="D182" s="81" t="str">
        <f>PEDIDOS!D182</f>
        <v>THELMA Y LOUISE</v>
      </c>
      <c r="E182" s="81" t="str">
        <f>PEDIDOS!E182</f>
        <v>SANITIZANTE VIOLETA - UVA</v>
      </c>
      <c r="F182" s="98">
        <f>PEDIDOS!G182</f>
        <v>1800</v>
      </c>
      <c r="G182" s="114">
        <v>1803.0</v>
      </c>
      <c r="H182" s="97" t="str">
        <f>PEDIDOS!F182</f>
        <v>M</v>
      </c>
      <c r="I182" s="99">
        <f t="shared" si="5"/>
        <v>1.001666667</v>
      </c>
      <c r="J182" s="43" t="s">
        <v>800</v>
      </c>
      <c r="K182" s="115">
        <v>46156.0</v>
      </c>
      <c r="L182" s="49" t="str">
        <f t="shared" si="2"/>
        <v>ENTREGADO</v>
      </c>
      <c r="M182" s="49"/>
      <c r="N182" s="43">
        <v>150526.0</v>
      </c>
    </row>
    <row r="183" ht="22.5" hidden="1" customHeight="1">
      <c r="A183" s="101">
        <f>PEDIDOS!A183</f>
        <v>26066</v>
      </c>
      <c r="B183" s="102">
        <f>PEDIDOS!B183</f>
        <v>46112</v>
      </c>
      <c r="C183" s="103">
        <f>PEDIDOS!C183</f>
        <v>15226</v>
      </c>
      <c r="D183" s="102" t="str">
        <f>PEDIDOS!D183</f>
        <v>THELMA Y LOUISE</v>
      </c>
      <c r="E183" s="102" t="str">
        <f>PEDIDOS!E183</f>
        <v>SANITIZANTE ROJO - CHERRY</v>
      </c>
      <c r="F183" s="104">
        <f>PEDIDOS!G183</f>
        <v>4000</v>
      </c>
      <c r="G183" s="104">
        <v>3988.0</v>
      </c>
      <c r="H183" s="103" t="str">
        <f>PEDIDOS!F183</f>
        <v>M</v>
      </c>
      <c r="I183" s="99">
        <f t="shared" si="5"/>
        <v>0.997</v>
      </c>
      <c r="J183" s="101" t="s">
        <v>801</v>
      </c>
      <c r="K183" s="105">
        <v>46153.0</v>
      </c>
      <c r="L183" s="101" t="str">
        <f t="shared" si="2"/>
        <v>ENTREGADO</v>
      </c>
      <c r="M183" s="101"/>
      <c r="N183" s="108">
        <v>150526.0</v>
      </c>
    </row>
    <row r="184" ht="22.5" hidden="1" customHeight="1">
      <c r="A184" s="49">
        <f>PEDIDOS!A184</f>
        <v>26066</v>
      </c>
      <c r="B184" s="81">
        <f>PEDIDOS!B184</f>
        <v>46112</v>
      </c>
      <c r="C184" s="97">
        <f>PEDIDOS!C184</f>
        <v>15226</v>
      </c>
      <c r="D184" s="81" t="str">
        <f>PEDIDOS!D184</f>
        <v>THELMA Y LOUISE</v>
      </c>
      <c r="E184" s="81" t="str">
        <f>PEDIDOS!E184</f>
        <v>SANITIZANTE ROSA - FRUTILLA</v>
      </c>
      <c r="F184" s="98">
        <f>PEDIDOS!G184</f>
        <v>2500</v>
      </c>
      <c r="G184" s="114">
        <v>2492.0</v>
      </c>
      <c r="H184" s="97" t="str">
        <f>PEDIDOS!F184</f>
        <v>M</v>
      </c>
      <c r="I184" s="99">
        <f t="shared" si="5"/>
        <v>0.9968</v>
      </c>
      <c r="J184" s="43" t="s">
        <v>802</v>
      </c>
      <c r="K184" s="115">
        <v>46156.0</v>
      </c>
      <c r="L184" s="49" t="str">
        <f t="shared" si="2"/>
        <v>ENTREGADO</v>
      </c>
      <c r="M184" s="49"/>
      <c r="N184" s="43">
        <v>150526.0</v>
      </c>
    </row>
    <row r="185" ht="22.5" hidden="1" customHeight="1">
      <c r="A185" s="101">
        <f>PEDIDOS!A185</f>
        <v>26067</v>
      </c>
      <c r="B185" s="102">
        <f>PEDIDOS!B185</f>
        <v>46113</v>
      </c>
      <c r="C185" s="103">
        <f>PEDIDOS!C185</f>
        <v>14362</v>
      </c>
      <c r="D185" s="102" t="str">
        <f>PEDIDOS!D185</f>
        <v>JACTANS - DISNEY</v>
      </c>
      <c r="E185" s="102" t="str">
        <f>PEDIDOS!E185</f>
        <v>DP-50051-Perfume infantil fco mini goya x5ml 1980AN</v>
      </c>
      <c r="F185" s="104">
        <f>PEDIDOS!G185</f>
        <v>1000</v>
      </c>
      <c r="G185" s="104"/>
      <c r="H185" s="103" t="str">
        <f>PEDIDOS!F185</f>
        <v>M</v>
      </c>
      <c r="I185" s="99" t="str">
        <f t="shared" si="5"/>
        <v/>
      </c>
      <c r="J185" s="101"/>
      <c r="K185" s="101"/>
      <c r="L185" s="101" t="str">
        <f t="shared" si="2"/>
        <v>EN PROCESO</v>
      </c>
      <c r="M185" s="101"/>
      <c r="N185" s="101"/>
    </row>
    <row r="186" ht="22.5" hidden="1" customHeight="1">
      <c r="A186" s="49">
        <f>PEDIDOS!A186</f>
        <v>26067</v>
      </c>
      <c r="B186" s="81">
        <f>PEDIDOS!B186</f>
        <v>46113</v>
      </c>
      <c r="C186" s="97">
        <f>PEDIDOS!C186</f>
        <v>14362</v>
      </c>
      <c r="D186" s="81" t="str">
        <f>PEDIDOS!D186</f>
        <v>JACTANS - DISNEY</v>
      </c>
      <c r="E186" s="81" t="str">
        <f>PEDIDOS!E186</f>
        <v>DP-50068-Perfume infantil fco mini goya x5ml 0297TS</v>
      </c>
      <c r="F186" s="98">
        <f>PEDIDOS!G186</f>
        <v>1000</v>
      </c>
      <c r="G186" s="98"/>
      <c r="H186" s="97" t="str">
        <f>PEDIDOS!F186</f>
        <v>M</v>
      </c>
      <c r="I186" s="99" t="str">
        <f t="shared" si="5"/>
        <v/>
      </c>
      <c r="J186" s="49"/>
      <c r="K186" s="49"/>
      <c r="L186" s="49" t="str">
        <f t="shared" si="2"/>
        <v>EN PROCESO</v>
      </c>
      <c r="M186" s="49"/>
      <c r="N186" s="49"/>
    </row>
    <row r="187" ht="22.5" hidden="1" customHeight="1">
      <c r="A187" s="101">
        <f>PEDIDOS!A187</f>
        <v>26067</v>
      </c>
      <c r="B187" s="102">
        <f>PEDIDOS!B187</f>
        <v>46113</v>
      </c>
      <c r="C187" s="103">
        <f>PEDIDOS!C187</f>
        <v>14362</v>
      </c>
      <c r="D187" s="102" t="str">
        <f>PEDIDOS!D187</f>
        <v>JACTANS - DISNEY</v>
      </c>
      <c r="E187" s="102" t="str">
        <f>PEDIDOS!E187</f>
        <v>DP-50082-Perfume infantil fco mini goya x5ml 0280BD</v>
      </c>
      <c r="F187" s="104">
        <f>PEDIDOS!G187</f>
        <v>1000</v>
      </c>
      <c r="G187" s="104"/>
      <c r="H187" s="103" t="str">
        <f>PEDIDOS!F187</f>
        <v>M</v>
      </c>
      <c r="I187" s="99" t="str">
        <f t="shared" si="5"/>
        <v/>
      </c>
      <c r="J187" s="101"/>
      <c r="K187" s="101"/>
      <c r="L187" s="101" t="str">
        <f t="shared" si="2"/>
        <v>EN PROCESO</v>
      </c>
      <c r="M187" s="101"/>
      <c r="N187" s="101"/>
    </row>
    <row r="188" ht="22.5" hidden="1" customHeight="1">
      <c r="A188" s="49">
        <f>PEDIDOS!A188</f>
        <v>26067</v>
      </c>
      <c r="B188" s="81">
        <f>PEDIDOS!B188</f>
        <v>46113</v>
      </c>
      <c r="C188" s="97">
        <f>PEDIDOS!C188</f>
        <v>14362</v>
      </c>
      <c r="D188" s="81" t="str">
        <f>PEDIDOS!D188</f>
        <v>JACTANS - DISNEY</v>
      </c>
      <c r="E188" s="81" t="str">
        <f>PEDIDOS!E188</f>
        <v>DP-50099-Perfume infantil fco mini goya x5ml 0296LS</v>
      </c>
      <c r="F188" s="98">
        <f>PEDIDOS!G188</f>
        <v>1000</v>
      </c>
      <c r="G188" s="98"/>
      <c r="H188" s="97" t="str">
        <f>PEDIDOS!F188</f>
        <v>M</v>
      </c>
      <c r="I188" s="99" t="str">
        <f t="shared" si="5"/>
        <v/>
      </c>
      <c r="J188" s="49"/>
      <c r="K188" s="49"/>
      <c r="L188" s="49" t="str">
        <f t="shared" si="2"/>
        <v>EN PROCESO</v>
      </c>
      <c r="M188" s="49"/>
      <c r="N188" s="49"/>
    </row>
    <row r="189" ht="22.5" hidden="1" customHeight="1">
      <c r="A189" s="101">
        <f>PEDIDOS!A189</f>
        <v>26067</v>
      </c>
      <c r="B189" s="102">
        <f>PEDIDOS!B189</f>
        <v>46113</v>
      </c>
      <c r="C189" s="103">
        <f>PEDIDOS!C189</f>
        <v>14362</v>
      </c>
      <c r="D189" s="102" t="str">
        <f>PEDIDOS!D189</f>
        <v>JACTANS - DISNEY</v>
      </c>
      <c r="E189" s="102" t="str">
        <f>PEDIDOS!E189</f>
        <v>DP-50846-Perf inf fco Frutilla roja x50ml 0390FR</v>
      </c>
      <c r="F189" s="104">
        <f>PEDIDOS!G189</f>
        <v>2000</v>
      </c>
      <c r="G189" s="104">
        <f>22*56+12*56+41</f>
        <v>1945</v>
      </c>
      <c r="H189" s="103" t="str">
        <f>PEDIDOS!F189</f>
        <v>M</v>
      </c>
      <c r="I189" s="99">
        <f t="shared" si="5"/>
        <v>0.9725</v>
      </c>
      <c r="J189" s="119" t="s">
        <v>803</v>
      </c>
      <c r="K189" s="109">
        <v>46197.0</v>
      </c>
      <c r="L189" s="101" t="str">
        <f t="shared" si="2"/>
        <v>ENTREGADO</v>
      </c>
      <c r="M189" s="108" t="s">
        <v>804</v>
      </c>
      <c r="N189" s="108" t="s">
        <v>805</v>
      </c>
    </row>
    <row r="190" ht="22.5" hidden="1" customHeight="1">
      <c r="A190" s="49">
        <f>PEDIDOS!A190</f>
        <v>26067</v>
      </c>
      <c r="B190" s="81">
        <f>PEDIDOS!B190</f>
        <v>46113</v>
      </c>
      <c r="C190" s="97">
        <f>PEDIDOS!C190</f>
        <v>14362</v>
      </c>
      <c r="D190" s="81" t="str">
        <f>PEDIDOS!D190</f>
        <v>JACTANS - DISNEY</v>
      </c>
      <c r="E190" s="81" t="str">
        <f>PEDIDOS!E190</f>
        <v>DP-50853-Perfume infantil fco True star x50ml 0368CT</v>
      </c>
      <c r="F190" s="98">
        <f>PEDIDOS!G190</f>
        <v>1500</v>
      </c>
      <c r="G190" s="98">
        <f>32*32+11*32</f>
        <v>1376</v>
      </c>
      <c r="H190" s="97" t="str">
        <f>PEDIDOS!F190</f>
        <v>M</v>
      </c>
      <c r="I190" s="99">
        <f t="shared" si="5"/>
        <v>0.9173333333</v>
      </c>
      <c r="J190" s="43" t="s">
        <v>806</v>
      </c>
      <c r="K190" s="118">
        <v>46202.0</v>
      </c>
      <c r="L190" s="49" t="str">
        <f t="shared" si="2"/>
        <v>ENTREGADO</v>
      </c>
      <c r="M190" s="43" t="s">
        <v>807</v>
      </c>
      <c r="N190" s="43" t="s">
        <v>808</v>
      </c>
    </row>
    <row r="191" ht="22.5" hidden="1" customHeight="1">
      <c r="A191" s="101">
        <f>PEDIDOS!A191</f>
        <v>26067</v>
      </c>
      <c r="B191" s="102">
        <f>PEDIDOS!B191</f>
        <v>46113</v>
      </c>
      <c r="C191" s="103">
        <f>PEDIDOS!C191</f>
        <v>14362</v>
      </c>
      <c r="D191" s="102" t="str">
        <f>PEDIDOS!D191</f>
        <v>JACTANS - DISNEY</v>
      </c>
      <c r="E191" s="102" t="str">
        <f>PEDIDOS!E191</f>
        <v>DP-50624-Perf inf Fco manzanita roja x25ml 0364AL</v>
      </c>
      <c r="F191" s="104">
        <f>PEDIDOS!G191</f>
        <v>1500</v>
      </c>
      <c r="G191" s="104">
        <f>5*100+9*100+45</f>
        <v>1445</v>
      </c>
      <c r="H191" s="103" t="str">
        <f>PEDIDOS!F191</f>
        <v>M</v>
      </c>
      <c r="I191" s="99">
        <f t="shared" si="5"/>
        <v>0.9633333333</v>
      </c>
      <c r="J191" s="108" t="s">
        <v>809</v>
      </c>
      <c r="K191" s="109">
        <v>46161.0</v>
      </c>
      <c r="L191" s="101" t="str">
        <f t="shared" si="2"/>
        <v>ENTREGADO</v>
      </c>
      <c r="M191" s="108" t="s">
        <v>810</v>
      </c>
      <c r="N191" s="108" t="s">
        <v>811</v>
      </c>
    </row>
    <row r="192" ht="22.5" hidden="1" customHeight="1">
      <c r="A192" s="49">
        <f>PEDIDOS!A192</f>
        <v>26067</v>
      </c>
      <c r="B192" s="81">
        <f>PEDIDOS!B192</f>
        <v>46113</v>
      </c>
      <c r="C192" s="97">
        <f>PEDIDOS!C192</f>
        <v>14362</v>
      </c>
      <c r="D192" s="81" t="str">
        <f>PEDIDOS!D192</f>
        <v>JACTANS - DISNEY</v>
      </c>
      <c r="E192" s="81" t="str">
        <f>PEDIDOS!E192</f>
        <v>DP-50990-Perfume inf. fco Mariana x50ml 0369RD</v>
      </c>
      <c r="F192" s="98">
        <f>PEDIDOS!G192</f>
        <v>2000</v>
      </c>
      <c r="G192" s="98">
        <f>17*60+15*60+39</f>
        <v>1959</v>
      </c>
      <c r="H192" s="97" t="str">
        <f>PEDIDOS!F192</f>
        <v>M</v>
      </c>
      <c r="I192" s="99">
        <f t="shared" si="5"/>
        <v>0.9795</v>
      </c>
      <c r="J192" s="49" t="s">
        <v>812</v>
      </c>
      <c r="K192" s="100">
        <v>46139.0</v>
      </c>
      <c r="L192" s="49" t="str">
        <f t="shared" si="2"/>
        <v>ENTREGADO</v>
      </c>
      <c r="M192" s="49" t="s">
        <v>813</v>
      </c>
      <c r="N192" s="49" t="s">
        <v>814</v>
      </c>
    </row>
    <row r="193" ht="22.5" hidden="1" customHeight="1">
      <c r="A193" s="101">
        <f>PEDIDOS!A193</f>
        <v>26067</v>
      </c>
      <c r="B193" s="102">
        <f>PEDIDOS!B193</f>
        <v>46113</v>
      </c>
      <c r="C193" s="103">
        <f>PEDIDOS!C193</f>
        <v>14362</v>
      </c>
      <c r="D193" s="102" t="str">
        <f>PEDIDOS!D193</f>
        <v>JACTANS - DISNEY</v>
      </c>
      <c r="E193" s="102" t="str">
        <f>PEDIDOS!E193</f>
        <v>DP-1943-Perfume inf. Fco Candela x50ml 0301BG</v>
      </c>
      <c r="F193" s="104">
        <f>PEDIDOS!G193</f>
        <v>1500</v>
      </c>
      <c r="G193" s="104">
        <f>12*40+25*40+34</f>
        <v>1514</v>
      </c>
      <c r="H193" s="103" t="str">
        <f>PEDIDOS!F193</f>
        <v>M</v>
      </c>
      <c r="I193" s="99">
        <f t="shared" si="5"/>
        <v>1.009333333</v>
      </c>
      <c r="J193" s="108" t="s">
        <v>815</v>
      </c>
      <c r="K193" s="109">
        <v>46181.0</v>
      </c>
      <c r="L193" s="101" t="str">
        <f t="shared" si="2"/>
        <v>ENTREGADO</v>
      </c>
      <c r="M193" s="108" t="s">
        <v>816</v>
      </c>
      <c r="N193" s="108" t="s">
        <v>817</v>
      </c>
    </row>
    <row r="194" ht="22.5" hidden="1" customHeight="1">
      <c r="A194" s="49">
        <f>PEDIDOS!A194</f>
        <v>26067</v>
      </c>
      <c r="B194" s="81">
        <f>PEDIDOS!B194</f>
        <v>46113</v>
      </c>
      <c r="C194" s="97">
        <f>PEDIDOS!C194</f>
        <v>14362</v>
      </c>
      <c r="D194" s="81" t="str">
        <f>PEDIDOS!D194</f>
        <v>JACTANS - DISNEY</v>
      </c>
      <c r="E194" s="81" t="str">
        <f>PEDIDOS!E194</f>
        <v>DP-50617-Perfume inf. fco silueta pvc x45ml 0368PB</v>
      </c>
      <c r="F194" s="98">
        <f>PEDIDOS!G194</f>
        <v>1500</v>
      </c>
      <c r="G194" s="98">
        <f>22*70+14+12</f>
        <v>1566</v>
      </c>
      <c r="H194" s="97" t="str">
        <f>PEDIDOS!F194</f>
        <v>M</v>
      </c>
      <c r="I194" s="99">
        <f t="shared" si="5"/>
        <v>1.044</v>
      </c>
      <c r="J194" s="49" t="s">
        <v>818</v>
      </c>
      <c r="K194" s="100">
        <v>46154.0</v>
      </c>
      <c r="L194" s="49" t="str">
        <f t="shared" si="2"/>
        <v>ENTREGADO</v>
      </c>
      <c r="M194" s="49" t="s">
        <v>819</v>
      </c>
      <c r="N194" s="49">
        <v>3471.0</v>
      </c>
    </row>
    <row r="195" ht="22.5" hidden="1" customHeight="1">
      <c r="A195" s="101">
        <f>PEDIDOS!A195</f>
        <v>26067</v>
      </c>
      <c r="B195" s="102">
        <f>PEDIDOS!B195</f>
        <v>46113</v>
      </c>
      <c r="C195" s="103">
        <f>PEDIDOS!C195</f>
        <v>14362</v>
      </c>
      <c r="D195" s="102" t="str">
        <f>PEDIDOS!D195</f>
        <v>JACTANS - DISNEY</v>
      </c>
      <c r="E195" s="102" t="str">
        <f>PEDIDOS!E195</f>
        <v>DP-50815-Perfume inf. fco silueta pvc x45ML 0367AG</v>
      </c>
      <c r="F195" s="104">
        <f>PEDIDOS!G195</f>
        <v>1500</v>
      </c>
      <c r="G195" s="104">
        <f>9*70+9*70+68</f>
        <v>1328</v>
      </c>
      <c r="H195" s="103" t="str">
        <f>PEDIDOS!F195</f>
        <v>M</v>
      </c>
      <c r="I195" s="99">
        <f t="shared" si="5"/>
        <v>0.8853333333</v>
      </c>
      <c r="J195" s="108" t="s">
        <v>820</v>
      </c>
      <c r="K195" s="109">
        <v>46155.0</v>
      </c>
      <c r="L195" s="101" t="str">
        <f t="shared" si="2"/>
        <v>ENTREGADO</v>
      </c>
      <c r="M195" s="108" t="s">
        <v>821</v>
      </c>
      <c r="N195" s="108" t="s">
        <v>822</v>
      </c>
    </row>
    <row r="196" ht="22.5" hidden="1" customHeight="1">
      <c r="A196" s="49">
        <f>PEDIDOS!A196</f>
        <v>26067</v>
      </c>
      <c r="B196" s="81">
        <f>PEDIDOS!B196</f>
        <v>46113</v>
      </c>
      <c r="C196" s="97">
        <f>PEDIDOS!C196</f>
        <v>14362</v>
      </c>
      <c r="D196" s="81" t="str">
        <f>PEDIDOS!D196</f>
        <v>JACTANS - DISNEY</v>
      </c>
      <c r="E196" s="81" t="str">
        <f>PEDIDOS!E196</f>
        <v>DP-50853-Perfume infantil fco True star x50ml 0368CT</v>
      </c>
      <c r="F196" s="98">
        <f>PEDIDOS!G196</f>
        <v>2000</v>
      </c>
      <c r="G196" s="98">
        <f>34*32+22*32</f>
        <v>1792</v>
      </c>
      <c r="H196" s="97" t="str">
        <f>PEDIDOS!F196</f>
        <v>M</v>
      </c>
      <c r="I196" s="99">
        <f t="shared" si="5"/>
        <v>0.896</v>
      </c>
      <c r="J196" s="43" t="s">
        <v>823</v>
      </c>
      <c r="K196" s="113">
        <v>46176.0</v>
      </c>
      <c r="L196" s="49" t="str">
        <f t="shared" si="2"/>
        <v>ENTREGADO</v>
      </c>
      <c r="M196" s="43" t="s">
        <v>824</v>
      </c>
      <c r="N196" s="43">
        <v>8.0</v>
      </c>
    </row>
    <row r="197" ht="22.5" hidden="1" customHeight="1">
      <c r="A197" s="101">
        <f>PEDIDOS!A197</f>
        <v>26067</v>
      </c>
      <c r="B197" s="102">
        <f>PEDIDOS!B197</f>
        <v>46113</v>
      </c>
      <c r="C197" s="103">
        <f>PEDIDOS!C197</f>
        <v>14362</v>
      </c>
      <c r="D197" s="102" t="str">
        <f>PEDIDOS!D197</f>
        <v>JACTANS - DISNEY</v>
      </c>
      <c r="E197" s="102" t="str">
        <f>PEDIDOS!E197</f>
        <v>DP-50891-Perfume inf Fco penelope x50ml 0390FR</v>
      </c>
      <c r="F197" s="104">
        <f>PEDIDOS!G197</f>
        <v>2000</v>
      </c>
      <c r="G197" s="104">
        <f>7*60+9*36+29*36+6*36+30</f>
        <v>2034</v>
      </c>
      <c r="H197" s="103" t="str">
        <f>PEDIDOS!F197</f>
        <v>M</v>
      </c>
      <c r="I197" s="99">
        <f t="shared" si="5"/>
        <v>1.017</v>
      </c>
      <c r="J197" s="108" t="s">
        <v>825</v>
      </c>
      <c r="K197" s="109">
        <v>46189.0</v>
      </c>
      <c r="L197" s="101" t="str">
        <f t="shared" si="2"/>
        <v>ENTREGADO</v>
      </c>
      <c r="M197" s="108" t="s">
        <v>826</v>
      </c>
      <c r="N197" s="108">
        <v>48.0</v>
      </c>
    </row>
    <row r="198" ht="22.5" hidden="1" customHeight="1">
      <c r="A198" s="49">
        <f>PEDIDOS!A198</f>
        <v>26068</v>
      </c>
      <c r="B198" s="81">
        <f>PEDIDOS!B198</f>
        <v>46113</v>
      </c>
      <c r="C198" s="97" t="str">
        <f>PEDIDOS!C198</f>
        <v/>
      </c>
      <c r="D198" s="81" t="str">
        <f>PEDIDOS!D198</f>
        <v>BLE LIPS</v>
      </c>
      <c r="E198" s="81" t="str">
        <f>PEDIDOS!E198</f>
        <v>LIP INJECTION</v>
      </c>
      <c r="F198" s="98">
        <f>PEDIDOS!G198</f>
        <v>600</v>
      </c>
      <c r="G198" s="98">
        <f t="shared" ref="G198:G199" si="6">3*160+120</f>
        <v>600</v>
      </c>
      <c r="H198" s="97" t="str">
        <f>PEDIDOS!F198</f>
        <v>P</v>
      </c>
      <c r="I198" s="99">
        <f t="shared" si="5"/>
        <v>1</v>
      </c>
      <c r="J198" s="49" t="s">
        <v>827</v>
      </c>
      <c r="K198" s="100">
        <v>46134.0</v>
      </c>
      <c r="L198" s="49" t="str">
        <f t="shared" si="2"/>
        <v>ENTREGADO</v>
      </c>
      <c r="M198" s="49" t="s">
        <v>828</v>
      </c>
      <c r="N198" s="43">
        <v>3475.0</v>
      </c>
    </row>
    <row r="199" ht="22.5" hidden="1" customHeight="1">
      <c r="A199" s="101">
        <f>PEDIDOS!A199</f>
        <v>26068</v>
      </c>
      <c r="B199" s="102">
        <f>PEDIDOS!B199</f>
        <v>46113</v>
      </c>
      <c r="C199" s="103" t="str">
        <f>PEDIDOS!C199</f>
        <v/>
      </c>
      <c r="D199" s="102" t="str">
        <f>PEDIDOS!D199</f>
        <v>BLE LIPS</v>
      </c>
      <c r="E199" s="102" t="str">
        <f>PEDIDOS!E199</f>
        <v>LIP INJECTION</v>
      </c>
      <c r="F199" s="104">
        <f>PEDIDOS!G199</f>
        <v>600</v>
      </c>
      <c r="G199" s="104">
        <f t="shared" si="6"/>
        <v>600</v>
      </c>
      <c r="H199" s="103" t="str">
        <f>PEDIDOS!F199</f>
        <v>P</v>
      </c>
      <c r="I199" s="99">
        <f t="shared" si="5"/>
        <v>1</v>
      </c>
      <c r="J199" s="108" t="s">
        <v>827</v>
      </c>
      <c r="K199" s="109">
        <v>46156.0</v>
      </c>
      <c r="L199" s="101" t="str">
        <f t="shared" si="2"/>
        <v>ENTREGADO</v>
      </c>
      <c r="M199" s="108" t="s">
        <v>829</v>
      </c>
      <c r="N199" s="108">
        <v>3475.0</v>
      </c>
    </row>
    <row r="200" ht="22.5" hidden="1" customHeight="1">
      <c r="A200" s="49">
        <f>PEDIDOS!A200</f>
        <v>26069</v>
      </c>
      <c r="B200" s="81">
        <f>PEDIDOS!B200</f>
        <v>46119</v>
      </c>
      <c r="C200" s="97" t="str">
        <f>PEDIDOS!C200</f>
        <v/>
      </c>
      <c r="D200" s="81" t="str">
        <f>PEDIDOS!D200</f>
        <v>BIOESENCIA</v>
      </c>
      <c r="E200" s="81" t="str">
        <f>PEDIDOS!E200</f>
        <v>AGUA MICELAR PROBIOTICS</v>
      </c>
      <c r="F200" s="98">
        <f>PEDIDOS!G200</f>
        <v>1000</v>
      </c>
      <c r="G200" s="98">
        <v>993.0</v>
      </c>
      <c r="H200" s="97" t="str">
        <f>PEDIDOS!F200</f>
        <v>M</v>
      </c>
      <c r="I200" s="99">
        <f t="shared" si="5"/>
        <v>0.993</v>
      </c>
      <c r="J200" s="49" t="s">
        <v>830</v>
      </c>
      <c r="K200" s="106">
        <v>46139.0</v>
      </c>
      <c r="L200" s="49" t="str">
        <f t="shared" si="2"/>
        <v>ENTREGADO</v>
      </c>
      <c r="M200" s="49" t="s">
        <v>831</v>
      </c>
      <c r="N200" s="43">
        <v>7.0</v>
      </c>
    </row>
    <row r="201" ht="22.5" hidden="1" customHeight="1">
      <c r="A201" s="101">
        <f>PEDIDOS!A201</f>
        <v>26069</v>
      </c>
      <c r="B201" s="102">
        <f>PEDIDOS!B201</f>
        <v>46119</v>
      </c>
      <c r="C201" s="103" t="str">
        <f>PEDIDOS!C201</f>
        <v/>
      </c>
      <c r="D201" s="102" t="str">
        <f>PEDIDOS!D201</f>
        <v>BIOESENCIA</v>
      </c>
      <c r="E201" s="102" t="str">
        <f>PEDIDOS!E201</f>
        <v>CREMA FACIAL PROBIOTICS</v>
      </c>
      <c r="F201" s="104">
        <f>PEDIDOS!G201</f>
        <v>1000</v>
      </c>
      <c r="G201" s="104">
        <v>982.0</v>
      </c>
      <c r="H201" s="103" t="str">
        <f>PEDIDOS!F201</f>
        <v>M</v>
      </c>
      <c r="I201" s="99">
        <f t="shared" si="5"/>
        <v>0.982</v>
      </c>
      <c r="J201" s="101" t="s">
        <v>832</v>
      </c>
      <c r="K201" s="105">
        <v>46134.0</v>
      </c>
      <c r="L201" s="101" t="str">
        <f t="shared" si="2"/>
        <v>ENTREGADO</v>
      </c>
      <c r="M201" s="101" t="s">
        <v>833</v>
      </c>
      <c r="N201" s="101">
        <v>3444.0</v>
      </c>
    </row>
    <row r="202" ht="22.5" hidden="1" customHeight="1">
      <c r="A202" s="49">
        <f>PEDIDOS!A202</f>
        <v>26069</v>
      </c>
      <c r="B202" s="81">
        <f>PEDIDOS!B202</f>
        <v>46119</v>
      </c>
      <c r="C202" s="97" t="str">
        <f>PEDIDOS!C202</f>
        <v/>
      </c>
      <c r="D202" s="81" t="str">
        <f>PEDIDOS!D202</f>
        <v>BIOESENCIA</v>
      </c>
      <c r="E202" s="81" t="str">
        <f>PEDIDOS!E202</f>
        <v>CREMA EXFOLIANTE PROBIOTICS</v>
      </c>
      <c r="F202" s="98">
        <f>PEDIDOS!G202</f>
        <v>1000</v>
      </c>
      <c r="G202" s="114">
        <v>990.0</v>
      </c>
      <c r="H202" s="97" t="str">
        <f>PEDIDOS!F202</f>
        <v>M</v>
      </c>
      <c r="I202" s="99">
        <f t="shared" si="5"/>
        <v>0.99</v>
      </c>
      <c r="J202" s="43" t="s">
        <v>834</v>
      </c>
      <c r="K202" s="115">
        <v>46169.0</v>
      </c>
      <c r="L202" s="49" t="str">
        <f t="shared" si="2"/>
        <v>ENTREGADO</v>
      </c>
      <c r="M202" s="43" t="s">
        <v>833</v>
      </c>
      <c r="N202" s="43">
        <v>7.0</v>
      </c>
    </row>
    <row r="203" ht="22.5" hidden="1" customHeight="1">
      <c r="A203" s="101">
        <f>PEDIDOS!A203</f>
        <v>26078</v>
      </c>
      <c r="B203" s="102">
        <f>PEDIDOS!B203</f>
        <v>46128</v>
      </c>
      <c r="C203" s="103">
        <f>PEDIDOS!C203</f>
        <v>143</v>
      </c>
      <c r="D203" s="102" t="str">
        <f>PEDIDOS!D203</f>
        <v>PROFESSIONAL BEAUTY</v>
      </c>
      <c r="E203" s="102" t="str">
        <f>PEDIDOS!E203</f>
        <v>ADVANCE CONTROL CAIDA</v>
      </c>
      <c r="F203" s="104">
        <f>PEDIDOS!G203</f>
        <v>500</v>
      </c>
      <c r="G203" s="104">
        <v>464.0</v>
      </c>
      <c r="H203" s="103" t="str">
        <f>PEDIDOS!F203</f>
        <v>P</v>
      </c>
      <c r="I203" s="99">
        <f t="shared" si="5"/>
        <v>0.928</v>
      </c>
      <c r="J203" s="101" t="s">
        <v>835</v>
      </c>
      <c r="K203" s="112">
        <v>46140.0</v>
      </c>
      <c r="L203" s="101" t="str">
        <f t="shared" si="2"/>
        <v>ENTREGADO</v>
      </c>
      <c r="M203" s="101" t="s">
        <v>836</v>
      </c>
      <c r="N203" s="101">
        <v>3449.0</v>
      </c>
    </row>
    <row r="204" ht="22.5" hidden="1" customHeight="1">
      <c r="A204" s="49">
        <f>PEDIDOS!A204</f>
        <v>26078</v>
      </c>
      <c r="B204" s="81">
        <f>PEDIDOS!B204</f>
        <v>46128</v>
      </c>
      <c r="C204" s="97">
        <f>PEDIDOS!C204</f>
        <v>143</v>
      </c>
      <c r="D204" s="81" t="str">
        <f>PEDIDOS!D204</f>
        <v>PROFESSIONAL BEAUTY</v>
      </c>
      <c r="E204" s="81" t="str">
        <f>PEDIDOS!E204</f>
        <v>ADVANCE ARG</v>
      </c>
      <c r="F204" s="98">
        <f>PEDIDOS!G204</f>
        <v>500</v>
      </c>
      <c r="G204" s="98">
        <v>492.0</v>
      </c>
      <c r="H204" s="97" t="str">
        <f>PEDIDOS!F204</f>
        <v>P</v>
      </c>
      <c r="I204" s="99">
        <f t="shared" si="5"/>
        <v>0.984</v>
      </c>
      <c r="J204" s="49" t="s">
        <v>837</v>
      </c>
      <c r="K204" s="100">
        <v>46140.0</v>
      </c>
      <c r="L204" s="49" t="str">
        <f t="shared" si="2"/>
        <v>ENTREGADO</v>
      </c>
      <c r="M204" s="49" t="s">
        <v>838</v>
      </c>
      <c r="N204" s="49">
        <v>3449.0</v>
      </c>
    </row>
    <row r="205" ht="22.5" hidden="1" customHeight="1">
      <c r="A205" s="101">
        <f>PEDIDOS!A205</f>
        <v>26070</v>
      </c>
      <c r="B205" s="102">
        <f>PEDIDOS!B205</f>
        <v>46119</v>
      </c>
      <c r="C205" s="103">
        <f>PEDIDOS!C205</f>
        <v>142</v>
      </c>
      <c r="D205" s="102" t="str">
        <f>PEDIDOS!D205</f>
        <v>PROFESSIONAL BEAUTY</v>
      </c>
      <c r="E205" s="102" t="str">
        <f>PEDIDOS!E205</f>
        <v>ADVANCE PLACENTA 5%</v>
      </c>
      <c r="F205" s="104">
        <f>PEDIDOS!G205</f>
        <v>500</v>
      </c>
      <c r="G205" s="104">
        <v>498.0</v>
      </c>
      <c r="H205" s="103" t="str">
        <f>PEDIDOS!F205</f>
        <v>P</v>
      </c>
      <c r="I205" s="99">
        <f t="shared" si="5"/>
        <v>0.996</v>
      </c>
      <c r="J205" s="101" t="s">
        <v>755</v>
      </c>
      <c r="K205" s="112">
        <v>46140.0</v>
      </c>
      <c r="L205" s="101" t="str">
        <f t="shared" si="2"/>
        <v>ENTREGADO</v>
      </c>
      <c r="M205" s="101" t="s">
        <v>839</v>
      </c>
      <c r="N205" s="101">
        <v>3449.0</v>
      </c>
    </row>
    <row r="206" ht="22.5" hidden="1" customHeight="1">
      <c r="A206" s="49">
        <f>PEDIDOS!A206</f>
        <v>26070</v>
      </c>
      <c r="B206" s="81">
        <f>PEDIDOS!B206</f>
        <v>46119</v>
      </c>
      <c r="C206" s="97">
        <f>PEDIDOS!C206</f>
        <v>142</v>
      </c>
      <c r="D206" s="81" t="str">
        <f>PEDIDOS!D206</f>
        <v>PROFESSIONAL BEAUTY</v>
      </c>
      <c r="E206" s="81" t="str">
        <f>PEDIDOS!E206</f>
        <v>BB WHITE TONO 2</v>
      </c>
      <c r="F206" s="98">
        <f>PEDIDOS!G206</f>
        <v>500</v>
      </c>
      <c r="G206" s="98">
        <v>500.0</v>
      </c>
      <c r="H206" s="97" t="str">
        <f>PEDIDOS!F206</f>
        <v>P</v>
      </c>
      <c r="I206" s="99">
        <f t="shared" si="5"/>
        <v>1</v>
      </c>
      <c r="J206" s="49" t="s">
        <v>671</v>
      </c>
      <c r="K206" s="100">
        <v>46142.0</v>
      </c>
      <c r="L206" s="49" t="str">
        <f t="shared" si="2"/>
        <v>ENTREGADO</v>
      </c>
      <c r="M206" s="49" t="s">
        <v>840</v>
      </c>
      <c r="N206" s="49">
        <v>3449.0</v>
      </c>
    </row>
    <row r="207" ht="22.5" hidden="1" customHeight="1">
      <c r="A207" s="101">
        <f>PEDIDOS!A207</f>
        <v>26070</v>
      </c>
      <c r="B207" s="102">
        <f>PEDIDOS!B207</f>
        <v>46119</v>
      </c>
      <c r="C207" s="103">
        <f>PEDIDOS!C207</f>
        <v>142</v>
      </c>
      <c r="D207" s="102" t="str">
        <f>PEDIDOS!D207</f>
        <v>PROFESSIONAL BEAUTY</v>
      </c>
      <c r="E207" s="102" t="str">
        <f>PEDIDOS!E207</f>
        <v>ADVANCE ACIDO HIALURONICO 1%</v>
      </c>
      <c r="F207" s="104">
        <f>PEDIDOS!G207</f>
        <v>500</v>
      </c>
      <c r="G207" s="104">
        <v>500.0</v>
      </c>
      <c r="H207" s="103" t="str">
        <f>PEDIDOS!F207</f>
        <v>P</v>
      </c>
      <c r="I207" s="99">
        <f t="shared" si="5"/>
        <v>1</v>
      </c>
      <c r="J207" s="101" t="s">
        <v>671</v>
      </c>
      <c r="K207" s="112">
        <v>46140.0</v>
      </c>
      <c r="L207" s="101" t="str">
        <f t="shared" si="2"/>
        <v>ENTREGADO</v>
      </c>
      <c r="M207" s="101" t="s">
        <v>754</v>
      </c>
      <c r="N207" s="101">
        <v>3449.0</v>
      </c>
    </row>
    <row r="208" ht="22.5" hidden="1" customHeight="1">
      <c r="A208" s="49">
        <f>PEDIDOS!A208</f>
        <v>26070</v>
      </c>
      <c r="B208" s="81">
        <f>PEDIDOS!B208</f>
        <v>46119</v>
      </c>
      <c r="C208" s="97">
        <f>PEDIDOS!C208</f>
        <v>142</v>
      </c>
      <c r="D208" s="81" t="str">
        <f>PEDIDOS!D208</f>
        <v>PROFESSIONAL BEAUTY</v>
      </c>
      <c r="E208" s="81" t="str">
        <f>PEDIDOS!E208</f>
        <v>ADVANCE VIT C</v>
      </c>
      <c r="F208" s="98">
        <f>PEDIDOS!G208</f>
        <v>500</v>
      </c>
      <c r="G208" s="98">
        <v>512.0</v>
      </c>
      <c r="H208" s="97" t="str">
        <f>PEDIDOS!F208</f>
        <v>P</v>
      </c>
      <c r="I208" s="99">
        <f t="shared" si="5"/>
        <v>1.024</v>
      </c>
      <c r="J208" s="49" t="s">
        <v>841</v>
      </c>
      <c r="K208" s="100">
        <v>46140.0</v>
      </c>
      <c r="L208" s="49" t="str">
        <f t="shared" si="2"/>
        <v>ENTREGADO</v>
      </c>
      <c r="M208" s="49" t="s">
        <v>842</v>
      </c>
      <c r="N208" s="49">
        <v>3449.0</v>
      </c>
    </row>
    <row r="209" ht="22.5" hidden="1" customHeight="1">
      <c r="A209" s="101">
        <f>PEDIDOS!A209</f>
        <v>26070</v>
      </c>
      <c r="B209" s="102">
        <f>PEDIDOS!B209</f>
        <v>46119</v>
      </c>
      <c r="C209" s="103">
        <f>PEDIDOS!C209</f>
        <v>142</v>
      </c>
      <c r="D209" s="102" t="str">
        <f>PEDIDOS!D209</f>
        <v>PROFESSIONAL BEAUTY</v>
      </c>
      <c r="E209" s="102" t="str">
        <f>PEDIDOS!E209</f>
        <v>ADVANCE DMAE 7%</v>
      </c>
      <c r="F209" s="104">
        <f>PEDIDOS!G209</f>
        <v>500</v>
      </c>
      <c r="G209" s="104">
        <v>501.0</v>
      </c>
      <c r="H209" s="103" t="str">
        <f>PEDIDOS!F209</f>
        <v>P</v>
      </c>
      <c r="I209" s="99">
        <f t="shared" si="5"/>
        <v>1.002</v>
      </c>
      <c r="J209" s="101" t="s">
        <v>674</v>
      </c>
      <c r="K209" s="112">
        <v>46140.0</v>
      </c>
      <c r="L209" s="101" t="str">
        <f t="shared" si="2"/>
        <v>ENTREGADO</v>
      </c>
      <c r="M209" s="101" t="s">
        <v>843</v>
      </c>
      <c r="N209" s="101">
        <v>3449.0</v>
      </c>
    </row>
    <row r="210" ht="22.5" hidden="1" customHeight="1">
      <c r="A210" s="49">
        <f>PEDIDOS!A210</f>
        <v>26070</v>
      </c>
      <c r="B210" s="81">
        <f>PEDIDOS!B210</f>
        <v>46119</v>
      </c>
      <c r="C210" s="97">
        <f>PEDIDOS!C210</f>
        <v>142</v>
      </c>
      <c r="D210" s="81" t="str">
        <f>PEDIDOS!D210</f>
        <v>PROFESSIONAL BEAUTY</v>
      </c>
      <c r="E210" s="81" t="str">
        <f>PEDIDOS!E210</f>
        <v>ADVANCE ACIDO HIALURONICO 2%</v>
      </c>
      <c r="F210" s="98">
        <f>PEDIDOS!G210</f>
        <v>500</v>
      </c>
      <c r="G210" s="98">
        <v>500.0</v>
      </c>
      <c r="H210" s="97" t="str">
        <f>PEDIDOS!F210</f>
        <v>P</v>
      </c>
      <c r="I210" s="99">
        <f t="shared" si="5"/>
        <v>1</v>
      </c>
      <c r="J210" s="49" t="s">
        <v>671</v>
      </c>
      <c r="K210" s="100">
        <v>46140.0</v>
      </c>
      <c r="L210" s="49" t="str">
        <f t="shared" si="2"/>
        <v>ENTREGADO</v>
      </c>
      <c r="M210" s="49" t="s">
        <v>758</v>
      </c>
      <c r="N210" s="49">
        <v>3449.0</v>
      </c>
    </row>
    <row r="211" ht="22.5" hidden="1" customHeight="1">
      <c r="A211" s="101">
        <f>PEDIDOS!A211</f>
        <v>26071</v>
      </c>
      <c r="B211" s="102">
        <f>PEDIDOS!B211</f>
        <v>46118</v>
      </c>
      <c r="C211" s="103">
        <f>PEDIDOS!C211</f>
        <v>15231</v>
      </c>
      <c r="D211" s="102" t="str">
        <f>PEDIDOS!D211</f>
        <v>THELMA Y LOUISE</v>
      </c>
      <c r="E211" s="102" t="str">
        <f>PEDIDOS!E211</f>
        <v>BRUMA FACIAL DE ROSAS</v>
      </c>
      <c r="F211" s="104">
        <f>PEDIDOS!G211</f>
        <v>4909</v>
      </c>
      <c r="G211" s="104">
        <v>4902.0</v>
      </c>
      <c r="H211" s="103" t="str">
        <f>PEDIDOS!F211</f>
        <v>M</v>
      </c>
      <c r="I211" s="99">
        <f t="shared" si="5"/>
        <v>0.9985740477</v>
      </c>
      <c r="J211" s="101" t="s">
        <v>844</v>
      </c>
      <c r="K211" s="105">
        <v>46120.0</v>
      </c>
      <c r="L211" s="101" t="str">
        <f t="shared" si="2"/>
        <v>ENTREGADO</v>
      </c>
      <c r="M211" s="101" t="s">
        <v>845</v>
      </c>
      <c r="N211" s="101">
        <v>3424.0</v>
      </c>
    </row>
    <row r="212" ht="22.5" hidden="1" customHeight="1">
      <c r="A212" s="49">
        <f>PEDIDOS!A212</f>
        <v>26072</v>
      </c>
      <c r="B212" s="81">
        <f>PEDIDOS!B212</f>
        <v>46118</v>
      </c>
      <c r="C212" s="97">
        <f>PEDIDOS!C212</f>
        <v>15228</v>
      </c>
      <c r="D212" s="81" t="str">
        <f>PEDIDOS!D212</f>
        <v>THELMA Y LOUISE</v>
      </c>
      <c r="E212" s="81" t="str">
        <f>PEDIDOS!E212</f>
        <v>AGUA MICELAR BIFASICA</v>
      </c>
      <c r="F212" s="98">
        <f>PEDIDOS!G212</f>
        <v>5000</v>
      </c>
      <c r="G212" s="98">
        <v>4873.0</v>
      </c>
      <c r="H212" s="97" t="str">
        <f>PEDIDOS!F212</f>
        <v>M</v>
      </c>
      <c r="I212" s="99">
        <f t="shared" si="5"/>
        <v>0.9746</v>
      </c>
      <c r="J212" s="49" t="s">
        <v>846</v>
      </c>
      <c r="K212" s="100">
        <v>46140.0</v>
      </c>
      <c r="L212" s="49" t="str">
        <f t="shared" si="2"/>
        <v>ENTREGADO</v>
      </c>
      <c r="M212" s="49">
        <v>70401.0</v>
      </c>
      <c r="N212" s="49">
        <v>70526.0</v>
      </c>
    </row>
    <row r="213" ht="22.5" hidden="1" customHeight="1">
      <c r="A213" s="101">
        <f>PEDIDOS!A213</f>
        <v>26073</v>
      </c>
      <c r="B213" s="102">
        <f>PEDIDOS!B213</f>
        <v>46118</v>
      </c>
      <c r="C213" s="103">
        <f>PEDIDOS!C213</f>
        <v>15233</v>
      </c>
      <c r="D213" s="102" t="str">
        <f>PEDIDOS!D213</f>
        <v>THELMA Y LOUISE</v>
      </c>
      <c r="E213" s="102" t="str">
        <f>PEDIDOS!E213</f>
        <v>BALSAMO LABIAL EXFOLIANTE COCO</v>
      </c>
      <c r="F213" s="104">
        <f>PEDIDOS!G213</f>
        <v>200</v>
      </c>
      <c r="G213" s="104">
        <v>205.0</v>
      </c>
      <c r="H213" s="103" t="str">
        <f>PEDIDOS!F213</f>
        <v>M</v>
      </c>
      <c r="I213" s="99">
        <f t="shared" si="5"/>
        <v>1.025</v>
      </c>
      <c r="J213" s="101" t="s">
        <v>847</v>
      </c>
      <c r="K213" s="105">
        <v>46147.0</v>
      </c>
      <c r="L213" s="101" t="str">
        <f t="shared" si="2"/>
        <v>ENTREGADO</v>
      </c>
      <c r="M213" s="101" t="s">
        <v>848</v>
      </c>
      <c r="N213" s="101">
        <v>3462.0</v>
      </c>
    </row>
    <row r="214" ht="22.5" hidden="1" customHeight="1">
      <c r="A214" s="49">
        <f>PEDIDOS!A214</f>
        <v>26073</v>
      </c>
      <c r="B214" s="81">
        <f>PEDIDOS!B214</f>
        <v>46118</v>
      </c>
      <c r="C214" s="97">
        <f>PEDIDOS!C214</f>
        <v>15233</v>
      </c>
      <c r="D214" s="81" t="str">
        <f>PEDIDOS!D214</f>
        <v>THELMA Y LOUISE</v>
      </c>
      <c r="E214" s="81" t="str">
        <f>PEDIDOS!E214</f>
        <v>BALSAMO LABIAL EXFOLIANTE CORAL SANDIA (CHERRY)</v>
      </c>
      <c r="F214" s="98">
        <f>PEDIDOS!G214</f>
        <v>300</v>
      </c>
      <c r="G214" s="98">
        <v>295.0</v>
      </c>
      <c r="H214" s="97" t="str">
        <f>PEDIDOS!F214</f>
        <v>M</v>
      </c>
      <c r="I214" s="99">
        <f t="shared" si="5"/>
        <v>0.9833333333</v>
      </c>
      <c r="J214" s="49" t="s">
        <v>849</v>
      </c>
      <c r="K214" s="106">
        <v>46147.0</v>
      </c>
      <c r="L214" s="49" t="str">
        <f t="shared" si="2"/>
        <v>ENTREGADO</v>
      </c>
      <c r="M214" s="49" t="s">
        <v>850</v>
      </c>
      <c r="N214" s="49">
        <v>3462.0</v>
      </c>
    </row>
    <row r="215" ht="22.5" hidden="1" customHeight="1">
      <c r="A215" s="101">
        <f>PEDIDOS!A215</f>
        <v>26073</v>
      </c>
      <c r="B215" s="102">
        <f>PEDIDOS!B215</f>
        <v>46118</v>
      </c>
      <c r="C215" s="103">
        <f>PEDIDOS!C215</f>
        <v>15233</v>
      </c>
      <c r="D215" s="102" t="str">
        <f>PEDIDOS!D215</f>
        <v>THELMA Y LOUISE</v>
      </c>
      <c r="E215" s="102" t="str">
        <f>PEDIDOS!E215</f>
        <v>BALSAMO LABIAL ROSA CHICLE</v>
      </c>
      <c r="F215" s="104">
        <f>PEDIDOS!G215</f>
        <v>900</v>
      </c>
      <c r="G215" s="104">
        <v>818.0</v>
      </c>
      <c r="H215" s="103" t="str">
        <f>PEDIDOS!F215</f>
        <v>M</v>
      </c>
      <c r="I215" s="99">
        <f t="shared" si="5"/>
        <v>0.9088888889</v>
      </c>
      <c r="J215" s="101" t="s">
        <v>851</v>
      </c>
      <c r="K215" s="105">
        <v>46147.0</v>
      </c>
      <c r="L215" s="101" t="str">
        <f t="shared" si="2"/>
        <v>ENTREGADO</v>
      </c>
      <c r="M215" s="101" t="s">
        <v>852</v>
      </c>
      <c r="N215" s="101">
        <v>3462.0</v>
      </c>
    </row>
    <row r="216" ht="22.5" hidden="1" customHeight="1">
      <c r="A216" s="49">
        <f>PEDIDOS!A216</f>
        <v>26074</v>
      </c>
      <c r="B216" s="81">
        <f>PEDIDOS!B216</f>
        <v>46121</v>
      </c>
      <c r="C216" s="97" t="str">
        <f>PEDIDOS!C216</f>
        <v/>
      </c>
      <c r="D216" s="81" t="str">
        <f>PEDIDOS!D216</f>
        <v>BL COSMETICS</v>
      </c>
      <c r="E216" s="81" t="str">
        <f>PEDIDOS!E216</f>
        <v>SERUM JOJOBA</v>
      </c>
      <c r="F216" s="98">
        <f>PEDIDOS!G216</f>
        <v>5000</v>
      </c>
      <c r="G216" s="98">
        <v>4308.0</v>
      </c>
      <c r="H216" s="97" t="str">
        <f>PEDIDOS!F216</f>
        <v>P</v>
      </c>
      <c r="I216" s="99">
        <f t="shared" si="5"/>
        <v>0.8616</v>
      </c>
      <c r="J216" s="49" t="s">
        <v>853</v>
      </c>
      <c r="K216" s="100">
        <v>46154.0</v>
      </c>
      <c r="L216" s="49" t="str">
        <f t="shared" si="2"/>
        <v>ENTREGADO</v>
      </c>
      <c r="M216" s="49" t="s">
        <v>854</v>
      </c>
      <c r="N216" s="43">
        <v>3477.0</v>
      </c>
    </row>
    <row r="217" ht="22.5" hidden="1" customHeight="1">
      <c r="A217" s="101">
        <f>PEDIDOS!A217</f>
        <v>26074</v>
      </c>
      <c r="B217" s="102">
        <f>PEDIDOS!B217</f>
        <v>46121</v>
      </c>
      <c r="C217" s="103" t="str">
        <f>PEDIDOS!C217</f>
        <v/>
      </c>
      <c r="D217" s="102" t="str">
        <f>PEDIDOS!D217</f>
        <v>BL COSMETICS</v>
      </c>
      <c r="E217" s="102" t="str">
        <f>PEDIDOS!E217</f>
        <v>SPRAY REPAIR PLEX</v>
      </c>
      <c r="F217" s="104">
        <f>PEDIDOS!G217</f>
        <v>5000</v>
      </c>
      <c r="G217" s="107">
        <v>4995.0</v>
      </c>
      <c r="H217" s="103" t="str">
        <f>PEDIDOS!F217</f>
        <v>P</v>
      </c>
      <c r="I217" s="99">
        <f t="shared" si="5"/>
        <v>0.999</v>
      </c>
      <c r="J217" s="108" t="s">
        <v>855</v>
      </c>
      <c r="K217" s="117">
        <v>46157.0</v>
      </c>
      <c r="L217" s="101" t="str">
        <f t="shared" si="2"/>
        <v>ENTREGADO</v>
      </c>
      <c r="M217" s="108" t="s">
        <v>856</v>
      </c>
      <c r="N217" s="108">
        <v>3477.0</v>
      </c>
    </row>
    <row r="218" ht="22.5" hidden="1" customHeight="1">
      <c r="A218" s="49">
        <f>PEDIDOS!A218</f>
        <v>26074</v>
      </c>
      <c r="B218" s="81">
        <f>PEDIDOS!B218</f>
        <v>46121</v>
      </c>
      <c r="C218" s="97" t="str">
        <f>PEDIDOS!C218</f>
        <v/>
      </c>
      <c r="D218" s="81" t="str">
        <f>PEDIDOS!D218</f>
        <v>BL COSMETICS</v>
      </c>
      <c r="E218" s="81" t="str">
        <f>PEDIDOS!E218</f>
        <v>SHAMPOO CONTROL LISS</v>
      </c>
      <c r="F218" s="98">
        <f>PEDIDOS!G218</f>
        <v>300</v>
      </c>
      <c r="G218" s="114">
        <v>328.0</v>
      </c>
      <c r="H218" s="97" t="str">
        <f>PEDIDOS!F218</f>
        <v>M</v>
      </c>
      <c r="I218" s="99">
        <f t="shared" si="5"/>
        <v>1.093333333</v>
      </c>
      <c r="J218" s="43" t="s">
        <v>857</v>
      </c>
      <c r="K218" s="115">
        <v>46157.0</v>
      </c>
      <c r="L218" s="49" t="str">
        <f t="shared" si="2"/>
        <v>ENTREGADO</v>
      </c>
      <c r="M218" s="43" t="s">
        <v>858</v>
      </c>
      <c r="N218" s="43">
        <v>3477.0</v>
      </c>
    </row>
    <row r="219" ht="22.5" hidden="1" customHeight="1">
      <c r="A219" s="101">
        <f>PEDIDOS!A219</f>
        <v>26074</v>
      </c>
      <c r="B219" s="102">
        <f>PEDIDOS!B219</f>
        <v>46121</v>
      </c>
      <c r="C219" s="103" t="str">
        <f>PEDIDOS!C219</f>
        <v/>
      </c>
      <c r="D219" s="102" t="str">
        <f>PEDIDOS!D219</f>
        <v>BL COSMETICS</v>
      </c>
      <c r="E219" s="102" t="str">
        <f>PEDIDOS!E219</f>
        <v>ACONDICIONADOR CONTROL LISS</v>
      </c>
      <c r="F219" s="104">
        <f>PEDIDOS!G219</f>
        <v>300</v>
      </c>
      <c r="G219" s="104">
        <v>312.0</v>
      </c>
      <c r="H219" s="103" t="str">
        <f>PEDIDOS!F219</f>
        <v>M</v>
      </c>
      <c r="I219" s="99">
        <f t="shared" si="5"/>
        <v>1.04</v>
      </c>
      <c r="J219" s="101" t="s">
        <v>859</v>
      </c>
      <c r="K219" s="105">
        <v>46150.0</v>
      </c>
      <c r="L219" s="101" t="str">
        <f t="shared" si="2"/>
        <v>ENTREGADO</v>
      </c>
      <c r="M219" s="108" t="s">
        <v>860</v>
      </c>
      <c r="N219" s="108">
        <v>3477.0</v>
      </c>
    </row>
    <row r="220" ht="22.5" hidden="1" customHeight="1">
      <c r="A220" s="49">
        <f>PEDIDOS!A220</f>
        <v>26074</v>
      </c>
      <c r="B220" s="81">
        <f>PEDIDOS!B220</f>
        <v>46121</v>
      </c>
      <c r="C220" s="97" t="str">
        <f>PEDIDOS!C220</f>
        <v/>
      </c>
      <c r="D220" s="81" t="str">
        <f>PEDIDOS!D220</f>
        <v>BL COSMETICS</v>
      </c>
      <c r="E220" s="81" t="str">
        <f>PEDIDOS!E220</f>
        <v>ALISADO KERATIN LISS X1KG</v>
      </c>
      <c r="F220" s="98">
        <f>PEDIDOS!G220</f>
        <v>500</v>
      </c>
      <c r="G220" s="98">
        <f>47*10+6</f>
        <v>476</v>
      </c>
      <c r="H220" s="97" t="str">
        <f>PEDIDOS!F220</f>
        <v>M</v>
      </c>
      <c r="I220" s="99">
        <f t="shared" si="5"/>
        <v>0.952</v>
      </c>
      <c r="J220" s="43" t="s">
        <v>861</v>
      </c>
      <c r="K220" s="113">
        <v>46175.0</v>
      </c>
      <c r="L220" s="49" t="str">
        <f t="shared" si="2"/>
        <v>ENTREGADO</v>
      </c>
      <c r="M220" s="43" t="s">
        <v>862</v>
      </c>
      <c r="N220" s="43">
        <v>3509.0</v>
      </c>
    </row>
    <row r="221" ht="22.5" hidden="1" customHeight="1">
      <c r="A221" s="101">
        <f>PEDIDOS!A221</f>
        <v>26074</v>
      </c>
      <c r="B221" s="102">
        <f>PEDIDOS!B221</f>
        <v>46121</v>
      </c>
      <c r="C221" s="103" t="str">
        <f>PEDIDOS!C221</f>
        <v/>
      </c>
      <c r="D221" s="102" t="str">
        <f>PEDIDOS!D221</f>
        <v>BL COSMETICS</v>
      </c>
      <c r="E221" s="102" t="str">
        <f>PEDIDOS!E221</f>
        <v>ALISADO KERATIN LISS</v>
      </c>
      <c r="F221" s="104">
        <f>PEDIDOS!G221</f>
        <v>2000</v>
      </c>
      <c r="G221" s="104">
        <f>70*28+6</f>
        <v>1966</v>
      </c>
      <c r="H221" s="103" t="str">
        <f>PEDIDOS!F221</f>
        <v>P</v>
      </c>
      <c r="I221" s="99">
        <f t="shared" si="5"/>
        <v>0.983</v>
      </c>
      <c r="J221" s="108" t="s">
        <v>863</v>
      </c>
      <c r="K221" s="109">
        <v>46175.0</v>
      </c>
      <c r="L221" s="101" t="str">
        <f t="shared" si="2"/>
        <v>ENTREGADO</v>
      </c>
      <c r="M221" s="108" t="s">
        <v>862</v>
      </c>
      <c r="N221" s="108">
        <v>3509.0</v>
      </c>
    </row>
    <row r="222" ht="22.5" hidden="1" customHeight="1">
      <c r="A222" s="49">
        <f>PEDIDOS!A222</f>
        <v>26074</v>
      </c>
      <c r="B222" s="81">
        <f>PEDIDOS!B222</f>
        <v>46121</v>
      </c>
      <c r="C222" s="97" t="str">
        <f>PEDIDOS!C222</f>
        <v/>
      </c>
      <c r="D222" s="81" t="str">
        <f>PEDIDOS!D222</f>
        <v>BL COSMETICS</v>
      </c>
      <c r="E222" s="81" t="str">
        <f>PEDIDOS!E222</f>
        <v>ALISADO EXPERT X1KG</v>
      </c>
      <c r="F222" s="98">
        <f>PEDIDOS!G222</f>
        <v>600</v>
      </c>
      <c r="G222" s="98">
        <f>23*10+47*6+4+75</f>
        <v>591</v>
      </c>
      <c r="H222" s="97" t="str">
        <f>PEDIDOS!F222</f>
        <v>P</v>
      </c>
      <c r="I222" s="99">
        <f t="shared" si="5"/>
        <v>0.985</v>
      </c>
      <c r="J222" s="43" t="s">
        <v>864</v>
      </c>
      <c r="K222" s="113">
        <v>46094.0</v>
      </c>
      <c r="L222" s="49" t="str">
        <f t="shared" si="2"/>
        <v>ENTREGADO</v>
      </c>
      <c r="M222" s="43" t="s">
        <v>865</v>
      </c>
      <c r="N222" s="43">
        <v>3477.0</v>
      </c>
    </row>
    <row r="223" ht="22.5" hidden="1" customHeight="1">
      <c r="A223" s="101">
        <f>PEDIDOS!A223</f>
        <v>26075</v>
      </c>
      <c r="B223" s="102">
        <f>PEDIDOS!B223</f>
        <v>46122</v>
      </c>
      <c r="C223" s="103" t="str">
        <f>PEDIDOS!C223</f>
        <v/>
      </c>
      <c r="D223" s="102" t="str">
        <f>PEDIDOS!D223</f>
        <v>DERMION / FRANCO</v>
      </c>
      <c r="E223" s="102" t="str">
        <f>PEDIDOS!E223</f>
        <v>SERUM AH + NIACI</v>
      </c>
      <c r="F223" s="104">
        <f>PEDIDOS!G223</f>
        <v>700</v>
      </c>
      <c r="G223" s="104">
        <f>6*120+43</f>
        <v>763</v>
      </c>
      <c r="H223" s="103" t="str">
        <f>PEDIDOS!F223</f>
        <v>P</v>
      </c>
      <c r="I223" s="99">
        <f t="shared" si="5"/>
        <v>1.09</v>
      </c>
      <c r="J223" s="101" t="s">
        <v>866</v>
      </c>
      <c r="K223" s="112">
        <v>46133.0</v>
      </c>
      <c r="L223" s="101" t="str">
        <f t="shared" si="2"/>
        <v>ENTREGADO</v>
      </c>
      <c r="M223" s="101" t="s">
        <v>867</v>
      </c>
      <c r="N223" s="101">
        <v>3436.0</v>
      </c>
    </row>
    <row r="224" ht="22.5" hidden="1" customHeight="1">
      <c r="A224" s="49">
        <f>PEDIDOS!A224</f>
        <v>26076</v>
      </c>
      <c r="B224" s="81">
        <f>PEDIDOS!B224</f>
        <v>46126</v>
      </c>
      <c r="C224" s="97" t="str">
        <f>PEDIDOS!C224</f>
        <v/>
      </c>
      <c r="D224" s="81" t="str">
        <f>PEDIDOS!D224</f>
        <v>AGUEDA REY - YOUTHFUL</v>
      </c>
      <c r="E224" s="81" t="str">
        <f>PEDIDOS!E224</f>
        <v>Crema facial Dia (Version D250215/2)</v>
      </c>
      <c r="F224" s="98">
        <f>PEDIDOS!G224</f>
        <v>1000</v>
      </c>
      <c r="G224" s="98">
        <v>939.0</v>
      </c>
      <c r="H224" s="97" t="str">
        <f>PEDIDOS!F224</f>
        <v>P</v>
      </c>
      <c r="I224" s="99">
        <f t="shared" si="5"/>
        <v>0.939</v>
      </c>
      <c r="J224" s="49" t="s">
        <v>868</v>
      </c>
      <c r="K224" s="100">
        <v>46148.0</v>
      </c>
      <c r="L224" s="49" t="str">
        <f t="shared" si="2"/>
        <v>ENTREGADO</v>
      </c>
      <c r="M224" s="49" t="s">
        <v>869</v>
      </c>
      <c r="N224" s="49" t="s">
        <v>585</v>
      </c>
    </row>
    <row r="225" ht="22.5" hidden="1" customHeight="1">
      <c r="A225" s="101">
        <f>PEDIDOS!A225</f>
        <v>26076</v>
      </c>
      <c r="B225" s="102">
        <f>PEDIDOS!B225</f>
        <v>46126</v>
      </c>
      <c r="C225" s="103" t="str">
        <f>PEDIDOS!C225</f>
        <v/>
      </c>
      <c r="D225" s="102" t="str">
        <f>PEDIDOS!D225</f>
        <v>AGUEDA REY - YOUTHFUL</v>
      </c>
      <c r="E225" s="102" t="str">
        <f>PEDIDOS!E225</f>
        <v>Bruma facial Version D250211/2 (B)</v>
      </c>
      <c r="F225" s="104">
        <f>PEDIDOS!G225</f>
        <v>1000</v>
      </c>
      <c r="G225" s="104">
        <v>977.0</v>
      </c>
      <c r="H225" s="103" t="str">
        <f>PEDIDOS!F225</f>
        <v>P</v>
      </c>
      <c r="I225" s="99">
        <f t="shared" si="5"/>
        <v>0.977</v>
      </c>
      <c r="J225" s="101" t="s">
        <v>870</v>
      </c>
      <c r="K225" s="112">
        <v>46148.0</v>
      </c>
      <c r="L225" s="101" t="str">
        <f t="shared" si="2"/>
        <v>ENTREGADO</v>
      </c>
      <c r="M225" s="101" t="s">
        <v>871</v>
      </c>
      <c r="N225" s="101" t="s">
        <v>585</v>
      </c>
    </row>
    <row r="226" ht="22.5" hidden="1" customHeight="1">
      <c r="A226" s="49">
        <f>PEDIDOS!A226</f>
        <v>26077</v>
      </c>
      <c r="B226" s="81">
        <f>PEDIDOS!B226</f>
        <v>46127</v>
      </c>
      <c r="C226" s="97" t="str">
        <f>PEDIDOS!C226</f>
        <v/>
      </c>
      <c r="D226" s="81" t="str">
        <f>PEDIDOS!D226</f>
        <v>LUCENT</v>
      </c>
      <c r="E226" s="81" t="str">
        <f>PEDIDOS!E226</f>
        <v>Serum hial 1%</v>
      </c>
      <c r="F226" s="98">
        <f>PEDIDOS!G226</f>
        <v>1000</v>
      </c>
      <c r="G226" s="98">
        <f>2*390+208</f>
        <v>988</v>
      </c>
      <c r="H226" s="97" t="str">
        <f>PEDIDOS!F226</f>
        <v>P</v>
      </c>
      <c r="I226" s="99">
        <f t="shared" si="5"/>
        <v>0.988</v>
      </c>
      <c r="J226" s="49" t="s">
        <v>872</v>
      </c>
      <c r="K226" s="100">
        <v>46153.0</v>
      </c>
      <c r="L226" s="49" t="str">
        <f t="shared" si="2"/>
        <v>ENTREGADO</v>
      </c>
      <c r="M226" s="49" t="s">
        <v>873</v>
      </c>
      <c r="N226" s="49">
        <v>3469.0</v>
      </c>
    </row>
    <row r="227" ht="22.5" hidden="1" customHeight="1">
      <c r="A227" s="101">
        <f>PEDIDOS!A227</f>
        <v>26077</v>
      </c>
      <c r="B227" s="102">
        <f>PEDIDOS!B227</f>
        <v>46127</v>
      </c>
      <c r="C227" s="103" t="str">
        <f>PEDIDOS!C227</f>
        <v/>
      </c>
      <c r="D227" s="102" t="str">
        <f>PEDIDOS!D227</f>
        <v>LUCENT</v>
      </c>
      <c r="E227" s="102" t="str">
        <f>PEDIDOS!E227</f>
        <v>Serum hial 2%</v>
      </c>
      <c r="F227" s="104">
        <f>PEDIDOS!G227</f>
        <v>1000</v>
      </c>
      <c r="G227" s="104">
        <f>2*390+249</f>
        <v>1029</v>
      </c>
      <c r="H227" s="103" t="str">
        <f>PEDIDOS!F227</f>
        <v>P</v>
      </c>
      <c r="I227" s="99">
        <f t="shared" si="5"/>
        <v>1.029</v>
      </c>
      <c r="J227" s="101" t="s">
        <v>874</v>
      </c>
      <c r="K227" s="112">
        <v>46153.0</v>
      </c>
      <c r="L227" s="101" t="str">
        <f t="shared" si="2"/>
        <v>ENTREGADO</v>
      </c>
      <c r="M227" s="101" t="s">
        <v>875</v>
      </c>
      <c r="N227" s="101">
        <v>3469.0</v>
      </c>
    </row>
    <row r="228" ht="22.5" hidden="1" customHeight="1">
      <c r="A228" s="49">
        <f>PEDIDOS!A228</f>
        <v>26077</v>
      </c>
      <c r="B228" s="81">
        <f>PEDIDOS!B228</f>
        <v>46127</v>
      </c>
      <c r="C228" s="97" t="str">
        <f>PEDIDOS!C228</f>
        <v/>
      </c>
      <c r="D228" s="81" t="str">
        <f>PEDIDOS!D228</f>
        <v>LUCENT</v>
      </c>
      <c r="E228" s="81" t="str">
        <f>PEDIDOS!E228</f>
        <v>Serum colageno y elastina</v>
      </c>
      <c r="F228" s="98">
        <f>PEDIDOS!G228</f>
        <v>500</v>
      </c>
      <c r="G228" s="98">
        <f>390+100</f>
        <v>490</v>
      </c>
      <c r="H228" s="97" t="str">
        <f>PEDIDOS!F228</f>
        <v>P</v>
      </c>
      <c r="I228" s="99">
        <f t="shared" si="5"/>
        <v>0.98</v>
      </c>
      <c r="J228" s="49" t="s">
        <v>876</v>
      </c>
      <c r="K228" s="100">
        <v>46154.0</v>
      </c>
      <c r="L228" s="49" t="str">
        <f t="shared" si="2"/>
        <v>ENTREGADO</v>
      </c>
      <c r="M228" s="49" t="s">
        <v>877</v>
      </c>
      <c r="N228" s="49">
        <v>3469.0</v>
      </c>
    </row>
    <row r="229" ht="22.5" hidden="1" customHeight="1">
      <c r="A229" s="101">
        <f>PEDIDOS!A229</f>
        <v>26077</v>
      </c>
      <c r="B229" s="102">
        <f>PEDIDOS!B229</f>
        <v>46127</v>
      </c>
      <c r="C229" s="103" t="str">
        <f>PEDIDOS!C229</f>
        <v/>
      </c>
      <c r="D229" s="102" t="str">
        <f>PEDIDOS!D229</f>
        <v>LUCENT</v>
      </c>
      <c r="E229" s="102" t="str">
        <f>PEDIDOS!E229</f>
        <v>Serum argireline</v>
      </c>
      <c r="F229" s="104">
        <f>PEDIDOS!G229</f>
        <v>500</v>
      </c>
      <c r="G229" s="104">
        <f>390+104</f>
        <v>494</v>
      </c>
      <c r="H229" s="103" t="str">
        <f>PEDIDOS!F229</f>
        <v>P</v>
      </c>
      <c r="I229" s="99">
        <f t="shared" si="5"/>
        <v>0.988</v>
      </c>
      <c r="J229" s="101" t="s">
        <v>878</v>
      </c>
      <c r="K229" s="112">
        <v>46154.0</v>
      </c>
      <c r="L229" s="101" t="str">
        <f t="shared" si="2"/>
        <v>ENTREGADO</v>
      </c>
      <c r="M229" s="101" t="s">
        <v>879</v>
      </c>
      <c r="N229" s="101">
        <v>3469.0</v>
      </c>
    </row>
    <row r="230" ht="22.5" hidden="1" customHeight="1">
      <c r="A230" s="49">
        <f>PEDIDOS!A230</f>
        <v>26077</v>
      </c>
      <c r="B230" s="81">
        <f>PEDIDOS!B230</f>
        <v>46127</v>
      </c>
      <c r="C230" s="97" t="str">
        <f>PEDIDOS!C230</f>
        <v/>
      </c>
      <c r="D230" s="81" t="str">
        <f>PEDIDOS!D230</f>
        <v>LUCENT</v>
      </c>
      <c r="E230" s="81" t="str">
        <f>PEDIDOS!E230</f>
        <v>Serum dmae</v>
      </c>
      <c r="F230" s="98">
        <f>PEDIDOS!G230</f>
        <v>500</v>
      </c>
      <c r="G230" s="98">
        <f>390+96</f>
        <v>486</v>
      </c>
      <c r="H230" s="97" t="str">
        <f>PEDIDOS!F230</f>
        <v>P</v>
      </c>
      <c r="I230" s="99">
        <f t="shared" si="5"/>
        <v>0.972</v>
      </c>
      <c r="J230" s="49" t="s">
        <v>880</v>
      </c>
      <c r="K230" s="100">
        <v>46154.0</v>
      </c>
      <c r="L230" s="49" t="str">
        <f t="shared" si="2"/>
        <v>ENTREGADO</v>
      </c>
      <c r="M230" s="49" t="s">
        <v>881</v>
      </c>
      <c r="N230" s="49">
        <v>3469.0</v>
      </c>
    </row>
    <row r="231" ht="22.5" hidden="1" customHeight="1">
      <c r="A231" s="101">
        <f>PEDIDOS!A231</f>
        <v>26077</v>
      </c>
      <c r="B231" s="102">
        <f>PEDIDOS!B231</f>
        <v>46127</v>
      </c>
      <c r="C231" s="103" t="str">
        <f>PEDIDOS!C231</f>
        <v/>
      </c>
      <c r="D231" s="102" t="str">
        <f>PEDIDOS!D231</f>
        <v>LUCENT</v>
      </c>
      <c r="E231" s="102" t="str">
        <f>PEDIDOS!E231</f>
        <v>Serum shock vit</v>
      </c>
      <c r="F231" s="104">
        <f>PEDIDOS!G231</f>
        <v>500</v>
      </c>
      <c r="G231" s="104">
        <f>390+119</f>
        <v>509</v>
      </c>
      <c r="H231" s="103" t="str">
        <f>PEDIDOS!F231</f>
        <v>P</v>
      </c>
      <c r="I231" s="99">
        <f t="shared" si="5"/>
        <v>1.018</v>
      </c>
      <c r="J231" s="101" t="s">
        <v>882</v>
      </c>
      <c r="K231" s="112">
        <v>46154.0</v>
      </c>
      <c r="L231" s="101" t="str">
        <f t="shared" si="2"/>
        <v>ENTREGADO</v>
      </c>
      <c r="M231" s="101" t="s">
        <v>883</v>
      </c>
      <c r="N231" s="101">
        <v>3469.0</v>
      </c>
    </row>
    <row r="232" ht="22.5" hidden="1" customHeight="1">
      <c r="A232" s="49">
        <f>PEDIDOS!A232</f>
        <v>26077</v>
      </c>
      <c r="B232" s="81">
        <f>PEDIDOS!B232</f>
        <v>46127</v>
      </c>
      <c r="C232" s="97" t="str">
        <f>PEDIDOS!C232</f>
        <v/>
      </c>
      <c r="D232" s="81" t="str">
        <f>PEDIDOS!D232</f>
        <v>LUCENT</v>
      </c>
      <c r="E232" s="81" t="str">
        <f>PEDIDOS!E232</f>
        <v>Serum fosfatidilcolina</v>
      </c>
      <c r="F232" s="98">
        <f>PEDIDOS!G232</f>
        <v>500</v>
      </c>
      <c r="G232" s="98">
        <f>390+110</f>
        <v>500</v>
      </c>
      <c r="H232" s="97" t="str">
        <f>PEDIDOS!F232</f>
        <v>P</v>
      </c>
      <c r="I232" s="99">
        <f t="shared" si="5"/>
        <v>1</v>
      </c>
      <c r="J232" s="49" t="s">
        <v>884</v>
      </c>
      <c r="K232" s="100">
        <v>46154.0</v>
      </c>
      <c r="L232" s="49" t="str">
        <f t="shared" si="2"/>
        <v>ENTREGADO</v>
      </c>
      <c r="M232" s="49" t="s">
        <v>885</v>
      </c>
      <c r="N232" s="49">
        <v>3469.0</v>
      </c>
    </row>
    <row r="233" ht="22.5" hidden="1" customHeight="1">
      <c r="A233" s="101">
        <f>PEDIDOS!A233</f>
        <v>26077</v>
      </c>
      <c r="B233" s="102">
        <f>PEDIDOS!B233</f>
        <v>46127</v>
      </c>
      <c r="C233" s="103" t="str">
        <f>PEDIDOS!C233</f>
        <v/>
      </c>
      <c r="D233" s="102" t="str">
        <f>PEDIDOS!D233</f>
        <v>LUCENT</v>
      </c>
      <c r="E233" s="102" t="str">
        <f>PEDIDOS!E233</f>
        <v>Serum P+ (peptide)</v>
      </c>
      <c r="F233" s="104">
        <f>PEDIDOS!G233</f>
        <v>500</v>
      </c>
      <c r="G233" s="104">
        <f>375+129</f>
        <v>504</v>
      </c>
      <c r="H233" s="103" t="str">
        <f>PEDIDOS!F233</f>
        <v>P</v>
      </c>
      <c r="I233" s="99">
        <f t="shared" si="5"/>
        <v>1.008</v>
      </c>
      <c r="J233" s="101" t="s">
        <v>886</v>
      </c>
      <c r="K233" s="112">
        <v>46141.0</v>
      </c>
      <c r="L233" s="101" t="str">
        <f t="shared" si="2"/>
        <v>ENTREGADO</v>
      </c>
      <c r="M233" s="101" t="s">
        <v>887</v>
      </c>
      <c r="N233" s="101">
        <v>3451.0</v>
      </c>
    </row>
    <row r="234" ht="22.5" hidden="1" customHeight="1">
      <c r="A234" s="49">
        <f>PEDIDOS!A234</f>
        <v>26077</v>
      </c>
      <c r="B234" s="81">
        <f>PEDIDOS!B234</f>
        <v>46127</v>
      </c>
      <c r="C234" s="97" t="str">
        <f>PEDIDOS!C234</f>
        <v/>
      </c>
      <c r="D234" s="81" t="str">
        <f>PEDIDOS!D234</f>
        <v>LUCENT</v>
      </c>
      <c r="E234" s="81" t="str">
        <f>PEDIDOS!E234</f>
        <v>Serum adn</v>
      </c>
      <c r="F234" s="98">
        <f>PEDIDOS!G234</f>
        <v>500</v>
      </c>
      <c r="G234" s="98">
        <f>390+127</f>
        <v>517</v>
      </c>
      <c r="H234" s="97" t="str">
        <f>PEDIDOS!F234</f>
        <v>P</v>
      </c>
      <c r="I234" s="99">
        <f t="shared" si="5"/>
        <v>1.034</v>
      </c>
      <c r="J234" s="49" t="s">
        <v>888</v>
      </c>
      <c r="K234" s="100">
        <v>46154.0</v>
      </c>
      <c r="L234" s="49" t="str">
        <f t="shared" si="2"/>
        <v>ENTREGADO</v>
      </c>
      <c r="M234" s="49" t="s">
        <v>889</v>
      </c>
      <c r="N234" s="49">
        <v>3469.0</v>
      </c>
    </row>
    <row r="235" ht="22.5" hidden="1" customHeight="1">
      <c r="A235" s="101">
        <f>PEDIDOS!A235</f>
        <v>26077</v>
      </c>
      <c r="B235" s="102">
        <f>PEDIDOS!B235</f>
        <v>46127</v>
      </c>
      <c r="C235" s="103" t="str">
        <f>PEDIDOS!C235</f>
        <v/>
      </c>
      <c r="D235" s="102" t="str">
        <f>PEDIDOS!D235</f>
        <v>LUCENT</v>
      </c>
      <c r="E235" s="102" t="str">
        <f>PEDIDOS!E235</f>
        <v>melena de leon</v>
      </c>
      <c r="F235" s="104">
        <f>PEDIDOS!G235</f>
        <v>1000</v>
      </c>
      <c r="G235" s="104">
        <f>2*390+190</f>
        <v>970</v>
      </c>
      <c r="H235" s="103" t="str">
        <f>PEDIDOS!F235</f>
        <v>P</v>
      </c>
      <c r="I235" s="99">
        <f t="shared" si="5"/>
        <v>0.97</v>
      </c>
      <c r="J235" s="101" t="s">
        <v>890</v>
      </c>
      <c r="K235" s="112">
        <v>46117.0</v>
      </c>
      <c r="L235" s="101" t="str">
        <f t="shared" si="2"/>
        <v>ENTREGADO</v>
      </c>
      <c r="M235" s="101" t="s">
        <v>891</v>
      </c>
      <c r="N235" s="101" t="s">
        <v>892</v>
      </c>
    </row>
    <row r="236" ht="22.5" hidden="1" customHeight="1">
      <c r="A236" s="49">
        <f>PEDIDOS!A236</f>
        <v>26077</v>
      </c>
      <c r="B236" s="81">
        <f>PEDIDOS!B236</f>
        <v>46127</v>
      </c>
      <c r="C236" s="97" t="str">
        <f>PEDIDOS!C236</f>
        <v/>
      </c>
      <c r="D236" s="81" t="str">
        <f>PEDIDOS!D236</f>
        <v>LUCENT</v>
      </c>
      <c r="E236" s="81" t="str">
        <f>PEDIDOS!E236</f>
        <v>reishi</v>
      </c>
      <c r="F236" s="98">
        <f>PEDIDOS!G236</f>
        <v>1000</v>
      </c>
      <c r="G236" s="98">
        <f>390*2+226</f>
        <v>1006</v>
      </c>
      <c r="H236" s="97" t="str">
        <f>PEDIDOS!F236</f>
        <v>P</v>
      </c>
      <c r="I236" s="99">
        <f t="shared" si="5"/>
        <v>1.006</v>
      </c>
      <c r="J236" s="49" t="s">
        <v>893</v>
      </c>
      <c r="K236" s="100">
        <v>46117.0</v>
      </c>
      <c r="L236" s="49" t="str">
        <f t="shared" si="2"/>
        <v>ENTREGADO</v>
      </c>
      <c r="M236" s="49" t="s">
        <v>894</v>
      </c>
      <c r="N236" s="49">
        <v>3469.0</v>
      </c>
    </row>
    <row r="237" ht="22.5" hidden="1" customHeight="1">
      <c r="A237" s="101">
        <f>PEDIDOS!A237</f>
        <v>26077</v>
      </c>
      <c r="B237" s="102">
        <f>PEDIDOS!B237</f>
        <v>46127</v>
      </c>
      <c r="C237" s="103" t="str">
        <f>PEDIDOS!C237</f>
        <v/>
      </c>
      <c r="D237" s="102" t="str">
        <f>PEDIDOS!D237</f>
        <v>LUCENT</v>
      </c>
      <c r="E237" s="102" t="str">
        <f>PEDIDOS!E237</f>
        <v>Ashwaganda</v>
      </c>
      <c r="F237" s="104">
        <f>PEDIDOS!G237</f>
        <v>1000</v>
      </c>
      <c r="G237" s="104">
        <f>2*390+240</f>
        <v>1020</v>
      </c>
      <c r="H237" s="103" t="str">
        <f>PEDIDOS!F237</f>
        <v>P</v>
      </c>
      <c r="I237" s="99">
        <f t="shared" si="5"/>
        <v>1.02</v>
      </c>
      <c r="J237" s="101" t="s">
        <v>895</v>
      </c>
      <c r="K237" s="112">
        <v>46117.0</v>
      </c>
      <c r="L237" s="101" t="str">
        <f t="shared" si="2"/>
        <v>ENTREGADO</v>
      </c>
      <c r="M237" s="101" t="s">
        <v>896</v>
      </c>
      <c r="N237" s="101">
        <v>3469.0</v>
      </c>
    </row>
    <row r="238" ht="22.5" hidden="1" customHeight="1">
      <c r="A238" s="49">
        <f>PEDIDOS!A238</f>
        <v>26079</v>
      </c>
      <c r="B238" s="81">
        <f>PEDIDOS!B238</f>
        <v>46127</v>
      </c>
      <c r="C238" s="97">
        <f>PEDIDOS!C238</f>
        <v>15254</v>
      </c>
      <c r="D238" s="81" t="str">
        <f>PEDIDOS!D238</f>
        <v>THELMA Y LOUISE</v>
      </c>
      <c r="E238" s="81" t="str">
        <f>PEDIDOS!E238</f>
        <v>SERUM FACIAL PORCELANA</v>
      </c>
      <c r="F238" s="98">
        <f>PEDIDOS!G238</f>
        <v>3024</v>
      </c>
      <c r="G238" s="98">
        <f>32*100+70</f>
        <v>3270</v>
      </c>
      <c r="H238" s="97" t="str">
        <f>PEDIDOS!F238</f>
        <v>M</v>
      </c>
      <c r="I238" s="99">
        <f t="shared" si="5"/>
        <v>1.081349206</v>
      </c>
      <c r="J238" s="49" t="s">
        <v>897</v>
      </c>
      <c r="K238" s="100">
        <v>46119.0</v>
      </c>
      <c r="L238" s="49" t="str">
        <f t="shared" si="2"/>
        <v>ENTREGADO</v>
      </c>
      <c r="M238" s="49" t="s">
        <v>898</v>
      </c>
      <c r="N238" s="49">
        <v>3462.0</v>
      </c>
    </row>
    <row r="239" ht="22.5" hidden="1" customHeight="1">
      <c r="A239" s="101">
        <f>PEDIDOS!A239</f>
        <v>26079</v>
      </c>
      <c r="B239" s="102">
        <f>PEDIDOS!B239</f>
        <v>46127</v>
      </c>
      <c r="C239" s="103">
        <f>PEDIDOS!C239</f>
        <v>15254</v>
      </c>
      <c r="D239" s="102" t="str">
        <f>PEDIDOS!D239</f>
        <v>THELMA Y LOUISE</v>
      </c>
      <c r="E239" s="102" t="str">
        <f>PEDIDOS!E239</f>
        <v>SERUM FACIAL HIDRATANTE</v>
      </c>
      <c r="F239" s="104">
        <f>PEDIDOS!G239</f>
        <v>3024</v>
      </c>
      <c r="G239" s="104">
        <f>29*100+30</f>
        <v>2930</v>
      </c>
      <c r="H239" s="103" t="str">
        <f>PEDIDOS!F239</f>
        <v>M</v>
      </c>
      <c r="I239" s="99">
        <f t="shared" si="5"/>
        <v>0.9689153439</v>
      </c>
      <c r="J239" s="101" t="s">
        <v>899</v>
      </c>
      <c r="K239" s="112">
        <v>46119.0</v>
      </c>
      <c r="L239" s="101" t="str">
        <f t="shared" si="2"/>
        <v>ENTREGADO</v>
      </c>
      <c r="M239" s="101" t="s">
        <v>900</v>
      </c>
      <c r="N239" s="101">
        <v>3462.0</v>
      </c>
    </row>
    <row r="240" ht="22.5" hidden="1" customHeight="1">
      <c r="A240" s="49">
        <f>PEDIDOS!A240</f>
        <v>26080</v>
      </c>
      <c r="B240" s="81">
        <f>PEDIDOS!B240</f>
        <v>46127</v>
      </c>
      <c r="C240" s="97">
        <f>PEDIDOS!C240</f>
        <v>15255</v>
      </c>
      <c r="D240" s="81" t="str">
        <f>PEDIDOS!D240</f>
        <v>THELMA Y LOUISE</v>
      </c>
      <c r="E240" s="81" t="str">
        <f>PEDIDOS!E240</f>
        <v>AGUA TERMAL</v>
      </c>
      <c r="F240" s="98">
        <f>PEDIDOS!G240</f>
        <v>5040</v>
      </c>
      <c r="G240" s="114">
        <v>4996.0</v>
      </c>
      <c r="H240" s="97" t="str">
        <f>PEDIDOS!F240</f>
        <v>M</v>
      </c>
      <c r="I240" s="99">
        <f t="shared" si="5"/>
        <v>0.9912698413</v>
      </c>
      <c r="J240" s="43" t="s">
        <v>901</v>
      </c>
      <c r="K240" s="115">
        <v>46161.0</v>
      </c>
      <c r="L240" s="49" t="str">
        <f t="shared" si="2"/>
        <v>ENTREGADO</v>
      </c>
      <c r="M240" s="43" t="s">
        <v>902</v>
      </c>
      <c r="N240" s="43">
        <v>3487.0</v>
      </c>
    </row>
    <row r="241" ht="22.5" hidden="1" customHeight="1">
      <c r="A241" s="101">
        <f>PEDIDOS!A241</f>
        <v>26080</v>
      </c>
      <c r="B241" s="102">
        <f>PEDIDOS!B241</f>
        <v>46127</v>
      </c>
      <c r="C241" s="103">
        <f>PEDIDOS!C241</f>
        <v>15255</v>
      </c>
      <c r="D241" s="102" t="str">
        <f>PEDIDOS!D241</f>
        <v>THELMA Y LOUISE</v>
      </c>
      <c r="E241" s="102" t="str">
        <f>PEDIDOS!E241</f>
        <v>DESENRREDANTE BIFASICO</v>
      </c>
      <c r="F241" s="104">
        <f>PEDIDOS!G241</f>
        <v>3360</v>
      </c>
      <c r="G241" s="104">
        <v>3140.0</v>
      </c>
      <c r="H241" s="103" t="str">
        <f>PEDIDOS!F241</f>
        <v>M</v>
      </c>
      <c r="I241" s="99">
        <f t="shared" si="5"/>
        <v>0.9345238095</v>
      </c>
      <c r="J241" s="101" t="s">
        <v>903</v>
      </c>
      <c r="K241" s="105">
        <v>46153.0</v>
      </c>
      <c r="L241" s="101" t="str">
        <f t="shared" si="2"/>
        <v>ENTREGADO</v>
      </c>
      <c r="M241" s="101" t="s">
        <v>904</v>
      </c>
      <c r="N241" s="108">
        <v>3483.0</v>
      </c>
    </row>
    <row r="242" ht="22.5" hidden="1" customHeight="1">
      <c r="A242" s="49">
        <f>PEDIDOS!A242</f>
        <v>26081</v>
      </c>
      <c r="B242" s="81">
        <f>PEDIDOS!B242</f>
        <v>46127</v>
      </c>
      <c r="C242" s="97" t="str">
        <f>PEDIDOS!C242</f>
        <v/>
      </c>
      <c r="D242" s="81" t="str">
        <f>PEDIDOS!D242</f>
        <v>ECODERM - DUGA</v>
      </c>
      <c r="E242" s="81" t="str">
        <f>PEDIDOS!E242</f>
        <v>SHAMPOO INFANTIL</v>
      </c>
      <c r="F242" s="98">
        <f>PEDIDOS!G242</f>
        <v>300</v>
      </c>
      <c r="G242" s="98">
        <f>9*30+13</f>
        <v>283</v>
      </c>
      <c r="H242" s="97" t="str">
        <f>PEDIDOS!F242</f>
        <v>P</v>
      </c>
      <c r="I242" s="99">
        <f t="shared" si="5"/>
        <v>0.9433333333</v>
      </c>
      <c r="J242" s="49" t="s">
        <v>905</v>
      </c>
      <c r="K242" s="100">
        <v>46142.0</v>
      </c>
      <c r="L242" s="49" t="str">
        <f t="shared" si="2"/>
        <v>ENTREGADO</v>
      </c>
      <c r="M242" s="49" t="s">
        <v>906</v>
      </c>
      <c r="N242" s="49">
        <v>3448.0</v>
      </c>
    </row>
    <row r="243" ht="22.5" hidden="1" customHeight="1">
      <c r="A243" s="101">
        <f>PEDIDOS!A243</f>
        <v>26081</v>
      </c>
      <c r="B243" s="102">
        <f>PEDIDOS!B243</f>
        <v>46127</v>
      </c>
      <c r="C243" s="103" t="str">
        <f>PEDIDOS!C243</f>
        <v/>
      </c>
      <c r="D243" s="102" t="str">
        <f>PEDIDOS!D243</f>
        <v>ECODERM - DUGA</v>
      </c>
      <c r="E243" s="102" t="str">
        <f>PEDIDOS!E243</f>
        <v>CREMA INFANTIL</v>
      </c>
      <c r="F243" s="104">
        <f>PEDIDOS!G243</f>
        <v>300</v>
      </c>
      <c r="G243" s="104">
        <f>9*30+17</f>
        <v>287</v>
      </c>
      <c r="H243" s="103" t="str">
        <f>PEDIDOS!F243</f>
        <v>P</v>
      </c>
      <c r="I243" s="99">
        <f t="shared" si="5"/>
        <v>0.9566666667</v>
      </c>
      <c r="J243" s="101" t="s">
        <v>907</v>
      </c>
      <c r="K243" s="112">
        <v>46142.0</v>
      </c>
      <c r="L243" s="101" t="str">
        <f t="shared" si="2"/>
        <v>ENTREGADO</v>
      </c>
      <c r="M243" s="101" t="s">
        <v>908</v>
      </c>
      <c r="N243" s="101">
        <v>3448.0</v>
      </c>
    </row>
    <row r="244" ht="22.5" hidden="1" customHeight="1">
      <c r="A244" s="49">
        <f>PEDIDOS!A244</f>
        <v>26082</v>
      </c>
      <c r="B244" s="81">
        <f>PEDIDOS!B244</f>
        <v>46129</v>
      </c>
      <c r="C244" s="97" t="str">
        <f>PEDIDOS!C244</f>
        <v/>
      </c>
      <c r="D244" s="81" t="str">
        <f>PEDIDOS!D244</f>
        <v>LUCENT</v>
      </c>
      <c r="E244" s="81" t="str">
        <f>PEDIDOS!E244</f>
        <v>CREMA HANDS AND FEET </v>
      </c>
      <c r="F244" s="98">
        <f>PEDIDOS!G244</f>
        <v>500</v>
      </c>
      <c r="G244" s="98">
        <f>3*16+24*18+13</f>
        <v>493</v>
      </c>
      <c r="H244" s="97" t="str">
        <f>PEDIDOS!F244</f>
        <v>P</v>
      </c>
      <c r="I244" s="99">
        <f t="shared" si="5"/>
        <v>0.986</v>
      </c>
      <c r="J244" s="49" t="s">
        <v>909</v>
      </c>
      <c r="K244" s="100">
        <v>46141.0</v>
      </c>
      <c r="L244" s="49" t="str">
        <f t="shared" si="2"/>
        <v>ENTREGADO</v>
      </c>
      <c r="M244" s="49" t="s">
        <v>910</v>
      </c>
      <c r="N244" s="49">
        <v>3469.0</v>
      </c>
    </row>
    <row r="245" ht="22.5" customHeight="1">
      <c r="A245" s="101">
        <f>PEDIDOS!A245</f>
        <v>26083</v>
      </c>
      <c r="B245" s="102">
        <f>PEDIDOS!B245</f>
        <v>46133</v>
      </c>
      <c r="C245" s="103">
        <f>PEDIDOS!C245</f>
        <v>788</v>
      </c>
      <c r="D245" s="102" t="str">
        <f>PEDIDOS!D245</f>
        <v>CAV</v>
      </c>
      <c r="E245" s="102" t="str">
        <f>PEDIDOS!E245</f>
        <v>SHAMPOO BIO MOLECULAR VITAMIN SHOCK</v>
      </c>
      <c r="F245" s="104">
        <f>PEDIDOS!G245</f>
        <v>400</v>
      </c>
      <c r="G245" s="104">
        <f>22*18+6</f>
        <v>402</v>
      </c>
      <c r="H245" s="103" t="str">
        <f>PEDIDOS!F245</f>
        <v>M</v>
      </c>
      <c r="I245" s="99">
        <f t="shared" si="5"/>
        <v>1.005</v>
      </c>
      <c r="J245" s="108" t="s">
        <v>911</v>
      </c>
      <c r="K245" s="109">
        <v>46156.0</v>
      </c>
      <c r="L245" s="101" t="str">
        <f t="shared" si="2"/>
        <v>ENTREGADO</v>
      </c>
      <c r="M245" s="108" t="s">
        <v>912</v>
      </c>
      <c r="N245" s="108" t="s">
        <v>913</v>
      </c>
    </row>
    <row r="246" ht="22.5" customHeight="1">
      <c r="A246" s="49">
        <f>PEDIDOS!A246</f>
        <v>26083</v>
      </c>
      <c r="B246" s="81">
        <f>PEDIDOS!B246</f>
        <v>46133</v>
      </c>
      <c r="C246" s="97">
        <f>PEDIDOS!C246</f>
        <v>788</v>
      </c>
      <c r="D246" s="81" t="str">
        <f>PEDIDOS!D246</f>
        <v>CAV</v>
      </c>
      <c r="E246" s="81" t="str">
        <f>PEDIDOS!E246</f>
        <v>SHAMPOO BIO MOLECULAR VITAMIN SHOCK X900ML</v>
      </c>
      <c r="F246" s="98">
        <f>PEDIDOS!G246</f>
        <v>150</v>
      </c>
      <c r="G246" s="98">
        <f>13*12</f>
        <v>156</v>
      </c>
      <c r="H246" s="97" t="str">
        <f>PEDIDOS!F246</f>
        <v>M</v>
      </c>
      <c r="I246" s="99">
        <f t="shared" si="5"/>
        <v>1.04</v>
      </c>
      <c r="J246" s="43" t="s">
        <v>914</v>
      </c>
      <c r="K246" s="113">
        <v>46156.0</v>
      </c>
      <c r="L246" s="49" t="str">
        <f t="shared" si="2"/>
        <v>ENTREGADO</v>
      </c>
      <c r="M246" s="43" t="s">
        <v>912</v>
      </c>
      <c r="N246" s="108" t="s">
        <v>913</v>
      </c>
    </row>
    <row r="247" ht="22.5" customHeight="1">
      <c r="A247" s="101">
        <f>PEDIDOS!A247</f>
        <v>26083</v>
      </c>
      <c r="B247" s="102">
        <f>PEDIDOS!B247</f>
        <v>46133</v>
      </c>
      <c r="C247" s="103">
        <f>PEDIDOS!C247</f>
        <v>788</v>
      </c>
      <c r="D247" s="102" t="str">
        <f>PEDIDOS!D247</f>
        <v>CAV</v>
      </c>
      <c r="E247" s="102" t="str">
        <f>PEDIDOS!E247</f>
        <v>CONDITIONER BIO MOLECULAR VITAMIN SHOCK </v>
      </c>
      <c r="F247" s="104">
        <f>PEDIDOS!G247</f>
        <v>400</v>
      </c>
      <c r="G247" s="104">
        <f>180+5+12*18</f>
        <v>401</v>
      </c>
      <c r="H247" s="103" t="str">
        <f>PEDIDOS!F247</f>
        <v>M</v>
      </c>
      <c r="I247" s="99">
        <f t="shared" si="5"/>
        <v>1.0025</v>
      </c>
      <c r="J247" s="108" t="s">
        <v>915</v>
      </c>
      <c r="K247" s="120">
        <v>46155.0</v>
      </c>
      <c r="L247" s="101" t="str">
        <f t="shared" si="2"/>
        <v>ENTREGADO</v>
      </c>
      <c r="M247" s="108" t="s">
        <v>916</v>
      </c>
      <c r="N247" s="108">
        <v>3472.0</v>
      </c>
    </row>
    <row r="248" ht="22.5" customHeight="1">
      <c r="A248" s="49">
        <f>PEDIDOS!A248</f>
        <v>26083</v>
      </c>
      <c r="B248" s="81">
        <f>PEDIDOS!B248</f>
        <v>46133</v>
      </c>
      <c r="C248" s="97">
        <f>PEDIDOS!C248</f>
        <v>788</v>
      </c>
      <c r="D248" s="81" t="str">
        <f>PEDIDOS!D248</f>
        <v>CAV</v>
      </c>
      <c r="E248" s="81" t="str">
        <f>PEDIDOS!E248</f>
        <v>CONDITIONER BIO MOLECULAR VITAMIN SHOCK  X900</v>
      </c>
      <c r="F248" s="98">
        <f>PEDIDOS!G248</f>
        <v>150</v>
      </c>
      <c r="G248" s="98">
        <f>8*12+9+11*12+8</f>
        <v>245</v>
      </c>
      <c r="H248" s="97" t="str">
        <f>PEDIDOS!F248</f>
        <v>M</v>
      </c>
      <c r="I248" s="99">
        <f t="shared" si="5"/>
        <v>1.633333333</v>
      </c>
      <c r="J248" s="43" t="s">
        <v>917</v>
      </c>
      <c r="K248" s="100">
        <v>46118.0</v>
      </c>
      <c r="L248" s="49" t="str">
        <f t="shared" si="2"/>
        <v>ENTREGADO</v>
      </c>
      <c r="M248" s="43" t="s">
        <v>918</v>
      </c>
      <c r="N248" s="49">
        <v>3461.0</v>
      </c>
    </row>
    <row r="249" ht="22.5" customHeight="1">
      <c r="A249" s="101">
        <f>PEDIDOS!A249</f>
        <v>26083</v>
      </c>
      <c r="B249" s="102">
        <f>PEDIDOS!B249</f>
        <v>46133</v>
      </c>
      <c r="C249" s="103">
        <f>PEDIDOS!C249</f>
        <v>788</v>
      </c>
      <c r="D249" s="102" t="str">
        <f>PEDIDOS!D249</f>
        <v>CAV</v>
      </c>
      <c r="E249" s="102" t="str">
        <f>PEDIDOS!E249</f>
        <v>SERUM BIO MOLECULAR VITAMIN SHOCK</v>
      </c>
      <c r="F249" s="104">
        <f>PEDIDOS!G249</f>
        <v>200</v>
      </c>
      <c r="G249" s="104">
        <f>2*90+28</f>
        <v>208</v>
      </c>
      <c r="H249" s="103" t="str">
        <f>PEDIDOS!F249</f>
        <v>P</v>
      </c>
      <c r="I249" s="99">
        <f t="shared" si="5"/>
        <v>1.04</v>
      </c>
      <c r="J249" s="108" t="s">
        <v>919</v>
      </c>
      <c r="K249" s="109">
        <v>46202.0</v>
      </c>
      <c r="L249" s="101" t="str">
        <f t="shared" si="2"/>
        <v>ENTREGADO</v>
      </c>
      <c r="M249" s="108" t="s">
        <v>920</v>
      </c>
      <c r="N249" s="108">
        <v>68.0</v>
      </c>
    </row>
    <row r="250" ht="22.5" customHeight="1">
      <c r="A250" s="49">
        <f>PEDIDOS!A250</f>
        <v>26083</v>
      </c>
      <c r="B250" s="81">
        <f>PEDIDOS!B250</f>
        <v>46133</v>
      </c>
      <c r="C250" s="97">
        <f>PEDIDOS!C250</f>
        <v>788</v>
      </c>
      <c r="D250" s="81" t="str">
        <f>PEDIDOS!D250</f>
        <v>CAV</v>
      </c>
      <c r="E250" s="81" t="str">
        <f>PEDIDOS!E250</f>
        <v>SHAMPOO BIONIC X900ML</v>
      </c>
      <c r="F250" s="98">
        <f>PEDIDOS!G250</f>
        <v>100</v>
      </c>
      <c r="G250" s="98">
        <f>8*12+8</f>
        <v>104</v>
      </c>
      <c r="H250" s="97" t="str">
        <f>PEDIDOS!F250</f>
        <v>M</v>
      </c>
      <c r="I250" s="99">
        <f t="shared" si="5"/>
        <v>1.04</v>
      </c>
      <c r="J250" s="43" t="s">
        <v>921</v>
      </c>
      <c r="K250" s="113">
        <v>46157.0</v>
      </c>
      <c r="L250" s="49" t="str">
        <f t="shared" si="2"/>
        <v>ENTREGADO</v>
      </c>
      <c r="M250" s="43" t="s">
        <v>781</v>
      </c>
      <c r="N250" s="43">
        <v>3482.0</v>
      </c>
    </row>
    <row r="251" ht="22.5" customHeight="1">
      <c r="A251" s="101">
        <f>PEDIDOS!A251</f>
        <v>26083</v>
      </c>
      <c r="B251" s="102">
        <f>PEDIDOS!B251</f>
        <v>46133</v>
      </c>
      <c r="C251" s="103">
        <f>PEDIDOS!C251</f>
        <v>788</v>
      </c>
      <c r="D251" s="102" t="str">
        <f>PEDIDOS!D251</f>
        <v>CAV</v>
      </c>
      <c r="E251" s="102" t="str">
        <f>PEDIDOS!E251</f>
        <v>BALSAMO BIONIC X900ML</v>
      </c>
      <c r="F251" s="104">
        <f>PEDIDOS!G251</f>
        <v>100</v>
      </c>
      <c r="G251" s="104">
        <f>4*18+2*12+16</f>
        <v>112</v>
      </c>
      <c r="H251" s="103" t="str">
        <f>PEDIDOS!F251</f>
        <v>M</v>
      </c>
      <c r="I251" s="99">
        <f t="shared" si="5"/>
        <v>1.12</v>
      </c>
      <c r="J251" s="108" t="s">
        <v>922</v>
      </c>
      <c r="K251" s="109">
        <v>46157.0</v>
      </c>
      <c r="L251" s="101" t="str">
        <f t="shared" si="2"/>
        <v>ENTREGADO</v>
      </c>
      <c r="M251" s="108" t="s">
        <v>783</v>
      </c>
      <c r="N251" s="108">
        <v>3482.0</v>
      </c>
    </row>
    <row r="252" ht="22.5" customHeight="1">
      <c r="A252" s="49">
        <f>PEDIDOS!A252</f>
        <v>26083</v>
      </c>
      <c r="B252" s="81">
        <f>PEDIDOS!B252</f>
        <v>46133</v>
      </c>
      <c r="C252" s="97">
        <f>PEDIDOS!C252</f>
        <v>788</v>
      </c>
      <c r="D252" s="81" t="str">
        <f>PEDIDOS!D252</f>
        <v>CAV</v>
      </c>
      <c r="E252" s="81" t="str">
        <f>PEDIDOS!E252</f>
        <v>Rebond C-Plex CAV x 500 ml (Paso 1)</v>
      </c>
      <c r="F252" s="98">
        <f>PEDIDOS!G252</f>
        <v>150</v>
      </c>
      <c r="G252" s="98">
        <f>13*11+3</f>
        <v>146</v>
      </c>
      <c r="H252" s="97" t="str">
        <f>PEDIDOS!F252</f>
        <v>M</v>
      </c>
      <c r="I252" s="99">
        <f t="shared" si="5"/>
        <v>0.9733333333</v>
      </c>
      <c r="J252" s="43" t="s">
        <v>923</v>
      </c>
      <c r="K252" s="113">
        <v>46157.0</v>
      </c>
      <c r="L252" s="49" t="str">
        <f t="shared" si="2"/>
        <v>ENTREGADO</v>
      </c>
      <c r="M252" s="43" t="s">
        <v>603</v>
      </c>
      <c r="N252" s="43">
        <v>3482.0</v>
      </c>
    </row>
    <row r="253" ht="22.5" customHeight="1">
      <c r="A253" s="101">
        <f>PEDIDOS!A253</f>
        <v>26083</v>
      </c>
      <c r="B253" s="102">
        <f>PEDIDOS!B253</f>
        <v>46133</v>
      </c>
      <c r="C253" s="103">
        <f>PEDIDOS!C253</f>
        <v>788</v>
      </c>
      <c r="D253" s="102" t="str">
        <f>PEDIDOS!D253</f>
        <v>CAV</v>
      </c>
      <c r="E253" s="102" t="str">
        <f>PEDIDOS!E253</f>
        <v>Finishing C-Plex CAV x 500 ml (Paso 2)</v>
      </c>
      <c r="F253" s="104">
        <f>PEDIDOS!G253</f>
        <v>300</v>
      </c>
      <c r="G253" s="104">
        <f>26*11+6</f>
        <v>292</v>
      </c>
      <c r="H253" s="103" t="str">
        <f>PEDIDOS!F253</f>
        <v>M</v>
      </c>
      <c r="I253" s="99">
        <f t="shared" si="5"/>
        <v>0.9733333333</v>
      </c>
      <c r="J253" s="108" t="s">
        <v>924</v>
      </c>
      <c r="K253" s="109">
        <v>46157.0</v>
      </c>
      <c r="L253" s="101" t="str">
        <f t="shared" si="2"/>
        <v>ENTREGADO</v>
      </c>
      <c r="M253" s="108" t="s">
        <v>605</v>
      </c>
      <c r="N253" s="108">
        <v>3482.0</v>
      </c>
    </row>
    <row r="254" ht="22.5" hidden="1" customHeight="1">
      <c r="A254" s="49">
        <f>PEDIDOS!A254</f>
        <v>26084</v>
      </c>
      <c r="B254" s="81">
        <f>PEDIDOS!B254</f>
        <v>46134</v>
      </c>
      <c r="C254" s="97">
        <f>PEDIDOS!C254</f>
        <v>1083</v>
      </c>
      <c r="D254" s="81" t="str">
        <f>PEDIDOS!D254</f>
        <v>NIZA</v>
      </c>
      <c r="E254" s="81" t="str">
        <f>PEDIDOS!E254</f>
        <v>AQUA BOMB RICH</v>
      </c>
      <c r="F254" s="98">
        <f>PEDIDOS!G254</f>
        <v>300</v>
      </c>
      <c r="G254" s="98">
        <f>14*24+8</f>
        <v>344</v>
      </c>
      <c r="H254" s="97" t="str">
        <f>PEDIDOS!F254</f>
        <v>P</v>
      </c>
      <c r="I254" s="99">
        <f t="shared" si="5"/>
        <v>1.146666667</v>
      </c>
      <c r="J254" s="43" t="s">
        <v>925</v>
      </c>
      <c r="K254" s="113">
        <v>46162.0</v>
      </c>
      <c r="L254" s="49" t="str">
        <f t="shared" si="2"/>
        <v>ENTREGADO</v>
      </c>
      <c r="M254" s="43" t="s">
        <v>926</v>
      </c>
      <c r="N254" s="43">
        <v>3490.0</v>
      </c>
    </row>
    <row r="255" ht="22.5" hidden="1" customHeight="1">
      <c r="A255" s="101">
        <f>PEDIDOS!A255</f>
        <v>26084</v>
      </c>
      <c r="B255" s="102">
        <f>PEDIDOS!B255</f>
        <v>46134</v>
      </c>
      <c r="C255" s="103">
        <f>PEDIDOS!C255</f>
        <v>1083</v>
      </c>
      <c r="D255" s="102" t="str">
        <f>PEDIDOS!D255</f>
        <v>NIZA</v>
      </c>
      <c r="E255" s="102" t="str">
        <f>PEDIDOS!E255</f>
        <v>BRIGHT AND WITHE EYES</v>
      </c>
      <c r="F255" s="104">
        <f>PEDIDOS!G255</f>
        <v>490</v>
      </c>
      <c r="G255" s="104">
        <f>5*96+8</f>
        <v>488</v>
      </c>
      <c r="H255" s="103" t="str">
        <f>PEDIDOS!F255</f>
        <v>P</v>
      </c>
      <c r="I255" s="99">
        <f t="shared" si="5"/>
        <v>0.9959183673</v>
      </c>
      <c r="J255" s="108" t="s">
        <v>927</v>
      </c>
      <c r="K255" s="109">
        <v>46161.0</v>
      </c>
      <c r="L255" s="101" t="str">
        <f t="shared" si="2"/>
        <v>ENTREGADO</v>
      </c>
      <c r="M255" s="108" t="s">
        <v>928</v>
      </c>
      <c r="N255" s="108">
        <v>3490.0</v>
      </c>
    </row>
    <row r="256" ht="22.5" hidden="1" customHeight="1">
      <c r="A256" s="49">
        <f>PEDIDOS!A256</f>
        <v>26084</v>
      </c>
      <c r="B256" s="81">
        <f>PEDIDOS!B256</f>
        <v>46134</v>
      </c>
      <c r="C256" s="97">
        <f>PEDIDOS!C256</f>
        <v>1083</v>
      </c>
      <c r="D256" s="81" t="str">
        <f>PEDIDOS!D256</f>
        <v>NIZA</v>
      </c>
      <c r="E256" s="81" t="str">
        <f>PEDIDOS!E256</f>
        <v>SIGNATURE BLEND PRO AGE</v>
      </c>
      <c r="F256" s="98">
        <f>PEDIDOS!G256</f>
        <v>300</v>
      </c>
      <c r="G256" s="98">
        <f>12*24+30</f>
        <v>318</v>
      </c>
      <c r="H256" s="97" t="str">
        <f>PEDIDOS!F256</f>
        <v>P</v>
      </c>
      <c r="I256" s="99">
        <f t="shared" si="5"/>
        <v>1.06</v>
      </c>
      <c r="J256" s="43" t="s">
        <v>929</v>
      </c>
      <c r="K256" s="113">
        <v>46163.0</v>
      </c>
      <c r="L256" s="49" t="str">
        <f t="shared" si="2"/>
        <v>ENTREGADO</v>
      </c>
      <c r="M256" s="43" t="s">
        <v>930</v>
      </c>
      <c r="N256" s="43">
        <v>3490.0</v>
      </c>
    </row>
    <row r="257" ht="22.5" hidden="1" customHeight="1">
      <c r="A257" s="101">
        <f>PEDIDOS!A257</f>
        <v>26084</v>
      </c>
      <c r="B257" s="102">
        <f>PEDIDOS!B257</f>
        <v>46134</v>
      </c>
      <c r="C257" s="103">
        <f>PEDIDOS!C257</f>
        <v>1083</v>
      </c>
      <c r="D257" s="102" t="str">
        <f>PEDIDOS!D257</f>
        <v>NIZA</v>
      </c>
      <c r="E257" s="102" t="str">
        <f>PEDIDOS!E257</f>
        <v>SIGNATURE BLEND HYDRA PEEL</v>
      </c>
      <c r="F257" s="104">
        <f>PEDIDOS!G257</f>
        <v>300</v>
      </c>
      <c r="G257" s="104">
        <f>9*28+10</f>
        <v>262</v>
      </c>
      <c r="H257" s="103" t="str">
        <f>PEDIDOS!F257</f>
        <v>P</v>
      </c>
      <c r="I257" s="99">
        <f t="shared" si="5"/>
        <v>0.8733333333</v>
      </c>
      <c r="J257" s="108" t="s">
        <v>931</v>
      </c>
      <c r="K257" s="109">
        <v>46183.0</v>
      </c>
      <c r="L257" s="101" t="str">
        <f t="shared" si="2"/>
        <v>ENTREGADO</v>
      </c>
      <c r="M257" s="108" t="s">
        <v>932</v>
      </c>
      <c r="N257" s="108">
        <v>3512.0</v>
      </c>
    </row>
    <row r="258" ht="22.5" hidden="1" customHeight="1">
      <c r="A258" s="49">
        <f>PEDIDOS!A258</f>
        <v>26085</v>
      </c>
      <c r="B258" s="81">
        <f>PEDIDOS!B258</f>
        <v>46135</v>
      </c>
      <c r="C258" s="97">
        <f>PEDIDOS!C258</f>
        <v>1278</v>
      </c>
      <c r="D258" s="81" t="str">
        <f>PEDIDOS!D258</f>
        <v>BOTIK</v>
      </c>
      <c r="E258" s="81" t="str">
        <f>PEDIDOS!E258</f>
        <v>sHAMPOO SOLIDO ROMERO - TEA TREE x 100g</v>
      </c>
      <c r="F258" s="98">
        <f>PEDIDOS!G258</f>
        <v>250</v>
      </c>
      <c r="G258" s="98">
        <f>2*126+51</f>
        <v>303</v>
      </c>
      <c r="H258" s="97" t="str">
        <f>PEDIDOS!F258</f>
        <v>M</v>
      </c>
      <c r="I258" s="99">
        <f t="shared" si="5"/>
        <v>1.212</v>
      </c>
      <c r="J258" s="49" t="s">
        <v>933</v>
      </c>
      <c r="K258" s="100">
        <v>46123.0</v>
      </c>
      <c r="L258" s="49" t="str">
        <f t="shared" si="2"/>
        <v>ENTREGADO</v>
      </c>
      <c r="M258" s="49" t="s">
        <v>934</v>
      </c>
      <c r="N258" s="43">
        <v>3478.0</v>
      </c>
    </row>
    <row r="259" ht="22.5" hidden="1" customHeight="1">
      <c r="A259" s="101">
        <f>PEDIDOS!A259</f>
        <v>26085</v>
      </c>
      <c r="B259" s="102">
        <f>PEDIDOS!B259</f>
        <v>46135</v>
      </c>
      <c r="C259" s="103">
        <f>PEDIDOS!C259</f>
        <v>1278</v>
      </c>
      <c r="D259" s="102" t="str">
        <f>PEDIDOS!D259</f>
        <v>BOTIK</v>
      </c>
      <c r="E259" s="102" t="str">
        <f>PEDIDOS!E259</f>
        <v>Acondicionador Solido Rosa Rosa Mosqueta x 70g</v>
      </c>
      <c r="F259" s="104">
        <f>PEDIDOS!G259</f>
        <v>500</v>
      </c>
      <c r="G259" s="104">
        <f t="shared" ref="G259:G260" si="7">6*80+40</f>
        <v>520</v>
      </c>
      <c r="H259" s="103" t="str">
        <f>PEDIDOS!F259</f>
        <v>M</v>
      </c>
      <c r="I259" s="99">
        <f t="shared" si="5"/>
        <v>1.04</v>
      </c>
      <c r="J259" s="108" t="s">
        <v>935</v>
      </c>
      <c r="K259" s="109">
        <v>46125.0</v>
      </c>
      <c r="L259" s="101" t="str">
        <f t="shared" si="2"/>
        <v>ENTREGADO</v>
      </c>
      <c r="M259" s="108" t="s">
        <v>695</v>
      </c>
      <c r="N259" s="108">
        <v>3478.0</v>
      </c>
    </row>
    <row r="260" ht="22.5" hidden="1" customHeight="1">
      <c r="A260" s="49">
        <f>PEDIDOS!A260</f>
        <v>26085</v>
      </c>
      <c r="B260" s="81">
        <f>PEDIDOS!B260</f>
        <v>46135</v>
      </c>
      <c r="C260" s="97">
        <f>PEDIDOS!C260</f>
        <v>1278</v>
      </c>
      <c r="D260" s="81" t="str">
        <f>PEDIDOS!D260</f>
        <v>BOTIK</v>
      </c>
      <c r="E260" s="81" t="str">
        <f>PEDIDOS!E260</f>
        <v>Acondicionador Solido Lavanda Lemongrass x 70g</v>
      </c>
      <c r="F260" s="98">
        <f>PEDIDOS!G260</f>
        <v>500</v>
      </c>
      <c r="G260" s="98">
        <f t="shared" si="7"/>
        <v>520</v>
      </c>
      <c r="H260" s="97" t="str">
        <f>PEDIDOS!F260</f>
        <v>M</v>
      </c>
      <c r="I260" s="99">
        <f t="shared" si="5"/>
        <v>1.04</v>
      </c>
      <c r="J260" s="43" t="s">
        <v>935</v>
      </c>
      <c r="K260" s="113">
        <v>46125.0</v>
      </c>
      <c r="L260" s="49" t="str">
        <f t="shared" si="2"/>
        <v>ENTREGADO</v>
      </c>
      <c r="M260" s="43" t="s">
        <v>690</v>
      </c>
      <c r="N260" s="43">
        <v>3478.0</v>
      </c>
    </row>
    <row r="261" ht="22.5" hidden="1" customHeight="1">
      <c r="A261" s="101">
        <f>PEDIDOS!A261</f>
        <v>26086</v>
      </c>
      <c r="B261" s="102">
        <f>PEDIDOS!B261</f>
        <v>46126</v>
      </c>
      <c r="C261" s="103">
        <f>PEDIDOS!C261</f>
        <v>1606</v>
      </c>
      <c r="D261" s="102" t="str">
        <f>PEDIDOS!D261</f>
        <v>NE</v>
      </c>
      <c r="E261" s="102" t="str">
        <f>PEDIDOS!E261</f>
        <v>LECHE DE LIMPIEZA FACIAL 150 gr.</v>
      </c>
      <c r="F261" s="104">
        <f>PEDIDOS!G261</f>
        <v>500</v>
      </c>
      <c r="G261" s="104">
        <f>20*24+17</f>
        <v>497</v>
      </c>
      <c r="H261" s="103" t="str">
        <f>PEDIDOS!F261</f>
        <v>P</v>
      </c>
      <c r="I261" s="99">
        <f t="shared" si="5"/>
        <v>0.994</v>
      </c>
      <c r="J261" s="108" t="s">
        <v>936</v>
      </c>
      <c r="K261" s="109">
        <v>46170.0</v>
      </c>
      <c r="L261" s="101" t="str">
        <f t="shared" si="2"/>
        <v>ENTREGADO</v>
      </c>
      <c r="M261" s="108" t="s">
        <v>937</v>
      </c>
      <c r="N261" s="108">
        <v>3505.0</v>
      </c>
    </row>
    <row r="262" ht="22.5" hidden="1" customHeight="1">
      <c r="A262" s="49">
        <f>PEDIDOS!A262</f>
        <v>26087</v>
      </c>
      <c r="B262" s="81">
        <f>PEDIDOS!B262</f>
        <v>46140</v>
      </c>
      <c r="C262" s="97">
        <f>PEDIDOS!C262</f>
        <v>144</v>
      </c>
      <c r="D262" s="81" t="str">
        <f>PEDIDOS!D262</f>
        <v>PROFESSIONAL BEAUTY</v>
      </c>
      <c r="E262" s="81" t="str">
        <f>PEDIDOS!E262</f>
        <v>GEL CONDUCTOR NEUTRO</v>
      </c>
      <c r="F262" s="98">
        <f>PEDIDOS!G262</f>
        <v>500</v>
      </c>
      <c r="G262" s="98">
        <v>478.0</v>
      </c>
      <c r="H262" s="97" t="str">
        <f>PEDIDOS!F262</f>
        <v>M</v>
      </c>
      <c r="I262" s="99">
        <f t="shared" si="5"/>
        <v>0.956</v>
      </c>
      <c r="J262" s="49" t="s">
        <v>938</v>
      </c>
      <c r="K262" s="106">
        <v>46148.0</v>
      </c>
      <c r="L262" s="49" t="str">
        <f t="shared" si="2"/>
        <v>ENTREGADO</v>
      </c>
      <c r="M262" s="49" t="s">
        <v>939</v>
      </c>
      <c r="N262" s="49">
        <v>3468.0</v>
      </c>
    </row>
    <row r="263" ht="22.5" hidden="1" customHeight="1">
      <c r="A263" s="101">
        <f>PEDIDOS!A263</f>
        <v>26087</v>
      </c>
      <c r="B263" s="102">
        <f>PEDIDOS!B263</f>
        <v>46140</v>
      </c>
      <c r="C263" s="103">
        <f>PEDIDOS!C263</f>
        <v>144</v>
      </c>
      <c r="D263" s="102" t="str">
        <f>PEDIDOS!D263</f>
        <v>PROFESSIONAL BEAUTY</v>
      </c>
      <c r="E263" s="102" t="str">
        <f>PEDIDOS!E263</f>
        <v>ADVANCE VIT C 5%</v>
      </c>
      <c r="F263" s="104">
        <f>PEDIDOS!G263</f>
        <v>500</v>
      </c>
      <c r="G263" s="104">
        <f>500+15</f>
        <v>515</v>
      </c>
      <c r="H263" s="103" t="str">
        <f>PEDIDOS!F263</f>
        <v>P</v>
      </c>
      <c r="I263" s="99">
        <f t="shared" si="5"/>
        <v>1.03</v>
      </c>
      <c r="J263" s="108" t="s">
        <v>940</v>
      </c>
      <c r="K263" s="109">
        <v>46182.0</v>
      </c>
      <c r="L263" s="101" t="str">
        <f t="shared" si="2"/>
        <v>ENTREGADO</v>
      </c>
      <c r="M263" s="108" t="s">
        <v>941</v>
      </c>
      <c r="N263" s="108">
        <v>20.0</v>
      </c>
    </row>
    <row r="264" ht="22.5" hidden="1" customHeight="1">
      <c r="A264" s="49">
        <f>PEDIDOS!A264</f>
        <v>26087</v>
      </c>
      <c r="B264" s="81">
        <f>PEDIDOS!B264</f>
        <v>46140</v>
      </c>
      <c r="C264" s="97">
        <f>PEDIDOS!C264</f>
        <v>144</v>
      </c>
      <c r="D264" s="81" t="str">
        <f>PEDIDOS!D264</f>
        <v>PROFESSIONAL BEAUTY</v>
      </c>
      <c r="E264" s="81" t="str">
        <f>PEDIDOS!E264</f>
        <v>ADVANCE ACIDO HIALURONICO 0,5%</v>
      </c>
      <c r="F264" s="98">
        <f>PEDIDOS!G264</f>
        <v>500</v>
      </c>
      <c r="G264" s="98">
        <f>500+27</f>
        <v>527</v>
      </c>
      <c r="H264" s="97" t="str">
        <f>PEDIDOS!F264</f>
        <v>P</v>
      </c>
      <c r="I264" s="99">
        <f t="shared" si="5"/>
        <v>1.054</v>
      </c>
      <c r="J264" s="43" t="s">
        <v>942</v>
      </c>
      <c r="K264" s="113">
        <v>46182.0</v>
      </c>
      <c r="L264" s="49" t="str">
        <f t="shared" si="2"/>
        <v>ENTREGADO</v>
      </c>
      <c r="M264" s="43" t="s">
        <v>943</v>
      </c>
      <c r="N264" s="43">
        <v>20.0</v>
      </c>
    </row>
    <row r="265" ht="22.5" hidden="1" customHeight="1">
      <c r="A265" s="101">
        <f>PEDIDOS!A265</f>
        <v>26087</v>
      </c>
      <c r="B265" s="102">
        <f>PEDIDOS!B265</f>
        <v>46140</v>
      </c>
      <c r="C265" s="103">
        <f>PEDIDOS!C265</f>
        <v>144</v>
      </c>
      <c r="D265" s="102" t="str">
        <f>PEDIDOS!D265</f>
        <v>PROFESSIONAL BEAUTY</v>
      </c>
      <c r="E265" s="102" t="str">
        <f>PEDIDOS!E265</f>
        <v>ADVANCE COMPLEJO MULTIVITAMINICO 1%</v>
      </c>
      <c r="F265" s="104">
        <f>PEDIDOS!G265</f>
        <v>500</v>
      </c>
      <c r="G265" s="107">
        <v>498.0</v>
      </c>
      <c r="H265" s="103" t="str">
        <f>PEDIDOS!F265</f>
        <v>P</v>
      </c>
      <c r="I265" s="99">
        <f t="shared" si="5"/>
        <v>0.996</v>
      </c>
      <c r="J265" s="108" t="s">
        <v>755</v>
      </c>
      <c r="K265" s="109">
        <v>46182.0</v>
      </c>
      <c r="L265" s="101" t="str">
        <f t="shared" si="2"/>
        <v>ENTREGADO</v>
      </c>
      <c r="M265" s="108" t="s">
        <v>944</v>
      </c>
      <c r="N265" s="108">
        <v>20.0</v>
      </c>
    </row>
    <row r="266" ht="22.5" hidden="1" customHeight="1">
      <c r="A266" s="49">
        <f>PEDIDOS!A266</f>
        <v>26088</v>
      </c>
      <c r="B266" s="81">
        <f>PEDIDOS!B266</f>
        <v>46140</v>
      </c>
      <c r="C266" s="97">
        <f>PEDIDOS!C266</f>
        <v>15282</v>
      </c>
      <c r="D266" s="81" t="str">
        <f>PEDIDOS!D266</f>
        <v>THELMA Y LOUISE</v>
      </c>
      <c r="E266" s="81" t="str">
        <f>PEDIDOS!E266</f>
        <v>ALCOHOL EN GEL CHICLE FARMACITY KIDS</v>
      </c>
      <c r="F266" s="98">
        <f>PEDIDOS!G266</f>
        <v>10000</v>
      </c>
      <c r="G266" s="114">
        <v>9930.0</v>
      </c>
      <c r="H266" s="97" t="str">
        <f>PEDIDOS!F266</f>
        <v>M</v>
      </c>
      <c r="I266" s="99">
        <f t="shared" si="5"/>
        <v>0.993</v>
      </c>
      <c r="J266" s="43" t="s">
        <v>945</v>
      </c>
      <c r="K266" s="115">
        <v>46169.0</v>
      </c>
      <c r="L266" s="49" t="str">
        <f t="shared" si="2"/>
        <v>ENTREGADO</v>
      </c>
      <c r="M266" s="43">
        <v>180501.0</v>
      </c>
      <c r="N266" s="43">
        <v>290526.0</v>
      </c>
    </row>
    <row r="267" ht="22.5" hidden="1" customHeight="1">
      <c r="A267" s="101">
        <f>PEDIDOS!A267</f>
        <v>26088</v>
      </c>
      <c r="B267" s="102">
        <f>PEDIDOS!B267</f>
        <v>46140</v>
      </c>
      <c r="C267" s="103">
        <f>PEDIDOS!C267</f>
        <v>15282</v>
      </c>
      <c r="D267" s="102" t="str">
        <f>PEDIDOS!D267</f>
        <v>THELMA Y LOUISE</v>
      </c>
      <c r="E267" s="102" t="str">
        <f>PEDIDOS!E267</f>
        <v>ALCOHOL EN GEL SANDIA FARMACITY KIDS</v>
      </c>
      <c r="F267" s="104">
        <f>PEDIDOS!G267</f>
        <v>10000</v>
      </c>
      <c r="G267" s="107">
        <v>9936.0</v>
      </c>
      <c r="H267" s="103" t="str">
        <f>PEDIDOS!F267</f>
        <v>M</v>
      </c>
      <c r="I267" s="99">
        <f t="shared" si="5"/>
        <v>0.9936</v>
      </c>
      <c r="J267" s="108" t="s">
        <v>946</v>
      </c>
      <c r="K267" s="117">
        <v>46163.0</v>
      </c>
      <c r="L267" s="101" t="str">
        <f t="shared" si="2"/>
        <v>ENTREGADO</v>
      </c>
      <c r="M267" s="108">
        <v>150501.0</v>
      </c>
      <c r="N267" s="108">
        <v>290526.0</v>
      </c>
    </row>
    <row r="268" ht="22.5" hidden="1" customHeight="1">
      <c r="A268" s="49">
        <f>PEDIDOS!A268</f>
        <v>26089</v>
      </c>
      <c r="B268" s="81">
        <f>PEDIDOS!B268</f>
        <v>46140</v>
      </c>
      <c r="C268" s="97" t="str">
        <f>PEDIDOS!C268</f>
        <v/>
      </c>
      <c r="D268" s="81" t="str">
        <f>PEDIDOS!D268</f>
        <v>LABORATORIO ONCE</v>
      </c>
      <c r="E268" s="81" t="str">
        <f>PEDIDOS!E268</f>
        <v>SERUM ACIDO GLICOLICO + FERULICO</v>
      </c>
      <c r="F268" s="98">
        <f>PEDIDOS!G268</f>
        <v>1200</v>
      </c>
      <c r="G268" s="98">
        <f>14*82+52</f>
        <v>1200</v>
      </c>
      <c r="H268" s="97" t="str">
        <f>PEDIDOS!F268</f>
        <v>P</v>
      </c>
      <c r="I268" s="99">
        <f t="shared" si="5"/>
        <v>1</v>
      </c>
      <c r="J268" s="43" t="s">
        <v>947</v>
      </c>
      <c r="K268" s="113">
        <v>46164.0</v>
      </c>
      <c r="L268" s="49" t="str">
        <f t="shared" si="2"/>
        <v>ENTREGADO</v>
      </c>
      <c r="M268" s="43" t="s">
        <v>948</v>
      </c>
      <c r="N268" s="43">
        <v>3495.0</v>
      </c>
    </row>
    <row r="269" ht="22.5" hidden="1" customHeight="1">
      <c r="A269" s="101">
        <f>PEDIDOS!A269</f>
        <v>26090</v>
      </c>
      <c r="B269" s="102">
        <f>PEDIDOS!B269</f>
        <v>46141</v>
      </c>
      <c r="C269" s="103" t="str">
        <f>PEDIDOS!C269</f>
        <v/>
      </c>
      <c r="D269" s="102" t="str">
        <f>PEDIDOS!D269</f>
        <v>UNICA</v>
      </c>
      <c r="E269" s="102" t="str">
        <f>PEDIDOS!E269</f>
        <v>CREMA DE ORDEÑE</v>
      </c>
      <c r="F269" s="104">
        <f>PEDIDOS!G269</f>
        <v>600</v>
      </c>
      <c r="G269" s="104">
        <f>40*14+11+8</f>
        <v>579</v>
      </c>
      <c r="H269" s="103" t="str">
        <f>PEDIDOS!F269</f>
        <v>M</v>
      </c>
      <c r="I269" s="99">
        <f t="shared" si="5"/>
        <v>0.965</v>
      </c>
      <c r="J269" s="108" t="s">
        <v>949</v>
      </c>
      <c r="K269" s="109">
        <v>46177.0</v>
      </c>
      <c r="L269" s="101" t="str">
        <f t="shared" si="2"/>
        <v>ENTREGADO</v>
      </c>
      <c r="M269" s="108"/>
      <c r="N269" s="108">
        <v>40626.0</v>
      </c>
    </row>
    <row r="270" ht="22.5" hidden="1" customHeight="1">
      <c r="A270" s="49">
        <f>PEDIDOS!A270</f>
        <v>26091</v>
      </c>
      <c r="B270" s="81">
        <f>PEDIDOS!B270</f>
        <v>46136</v>
      </c>
      <c r="C270" s="97" t="str">
        <f>PEDIDOS!C270</f>
        <v/>
      </c>
      <c r="D270" s="81" t="str">
        <f>PEDIDOS!D270</f>
        <v>THE MINIMAL CO</v>
      </c>
      <c r="E270" s="81" t="str">
        <f>PEDIDOS!E270</f>
        <v>SERUM RETINOL</v>
      </c>
      <c r="F270" s="98">
        <f>PEDIDOS!G270</f>
        <v>1200</v>
      </c>
      <c r="G270" s="98">
        <f>4*56+10+17*56+5</f>
        <v>1191</v>
      </c>
      <c r="H270" s="97" t="str">
        <f>PEDIDOS!F270</f>
        <v>P</v>
      </c>
      <c r="I270" s="99">
        <f t="shared" si="5"/>
        <v>0.9925</v>
      </c>
      <c r="J270" s="43" t="s">
        <v>950</v>
      </c>
      <c r="K270" s="100">
        <v>46142.0</v>
      </c>
      <c r="L270" s="49" t="str">
        <f t="shared" si="2"/>
        <v>ENTREGADO</v>
      </c>
      <c r="M270" s="49" t="s">
        <v>951</v>
      </c>
      <c r="N270" s="43" t="s">
        <v>952</v>
      </c>
    </row>
    <row r="271" ht="22.5" hidden="1" customHeight="1">
      <c r="A271" s="101">
        <f>PEDIDOS!A271</f>
        <v>26092</v>
      </c>
      <c r="B271" s="102">
        <f>PEDIDOS!B271</f>
        <v>46142</v>
      </c>
      <c r="C271" s="103" t="str">
        <f>PEDIDOS!C271</f>
        <v/>
      </c>
      <c r="D271" s="102" t="str">
        <f>PEDIDOS!D271</f>
        <v>ECODERM - ROSEHIP</v>
      </c>
      <c r="E271" s="102" t="str">
        <f>PEDIDOS!E271</f>
        <v>SERUM CONTORNO DE OJOS</v>
      </c>
      <c r="F271" s="104">
        <f>PEDIDOS!G271</f>
        <v>300</v>
      </c>
      <c r="G271" s="104">
        <f>76*3+43</f>
        <v>271</v>
      </c>
      <c r="H271" s="103" t="str">
        <f>PEDIDOS!F271</f>
        <v>P</v>
      </c>
      <c r="I271" s="99">
        <f t="shared" si="5"/>
        <v>0.9033333333</v>
      </c>
      <c r="J271" s="108" t="s">
        <v>953</v>
      </c>
      <c r="K271" s="109">
        <v>46163.0</v>
      </c>
      <c r="L271" s="101" t="str">
        <f t="shared" si="2"/>
        <v>ENTREGADO</v>
      </c>
      <c r="M271" s="108" t="s">
        <v>954</v>
      </c>
      <c r="N271" s="108">
        <v>3493.0</v>
      </c>
    </row>
    <row r="272" ht="22.5" hidden="1" customHeight="1">
      <c r="A272" s="49">
        <f>PEDIDOS!A272</f>
        <v>26092</v>
      </c>
      <c r="B272" s="81">
        <f>PEDIDOS!B272</f>
        <v>46142</v>
      </c>
      <c r="C272" s="97" t="str">
        <f>PEDIDOS!C272</f>
        <v/>
      </c>
      <c r="D272" s="81" t="str">
        <f>PEDIDOS!D272</f>
        <v>ECODERM - ROSEHIP</v>
      </c>
      <c r="E272" s="81" t="str">
        <f>PEDIDOS!E272</f>
        <v>CREMA FACIAL CON RETINOL</v>
      </c>
      <c r="F272" s="98">
        <f>PEDIDOS!G272</f>
        <v>300</v>
      </c>
      <c r="G272" s="98">
        <f>4*72+7</f>
        <v>295</v>
      </c>
      <c r="H272" s="97" t="str">
        <f>PEDIDOS!F272</f>
        <v>P</v>
      </c>
      <c r="I272" s="99">
        <f t="shared" si="5"/>
        <v>0.9833333333</v>
      </c>
      <c r="J272" s="43" t="s">
        <v>955</v>
      </c>
      <c r="K272" s="113">
        <v>46163.0</v>
      </c>
      <c r="L272" s="49" t="str">
        <f t="shared" si="2"/>
        <v>ENTREGADO</v>
      </c>
      <c r="M272" s="43" t="s">
        <v>954</v>
      </c>
      <c r="N272" s="43">
        <v>3493.0</v>
      </c>
    </row>
    <row r="273" ht="22.5" hidden="1" customHeight="1">
      <c r="A273" s="101">
        <f>PEDIDOS!A273</f>
        <v>26092</v>
      </c>
      <c r="B273" s="102">
        <f>PEDIDOS!B273</f>
        <v>46142</v>
      </c>
      <c r="C273" s="103" t="str">
        <f>PEDIDOS!C273</f>
        <v/>
      </c>
      <c r="D273" s="102" t="str">
        <f>PEDIDOS!D273</f>
        <v>ECODERM - ROSEHIP</v>
      </c>
      <c r="E273" s="102" t="str">
        <f>PEDIDOS!E273</f>
        <v>GEL DE LIMPIEZA</v>
      </c>
      <c r="F273" s="104">
        <f>PEDIDOS!G273</f>
        <v>300</v>
      </c>
      <c r="G273" s="104"/>
      <c r="H273" s="103" t="str">
        <f>PEDIDOS!F273</f>
        <v>P</v>
      </c>
      <c r="I273" s="99" t="str">
        <f t="shared" si="5"/>
        <v/>
      </c>
      <c r="J273" s="101"/>
      <c r="K273" s="101"/>
      <c r="L273" s="101" t="str">
        <f t="shared" si="2"/>
        <v>EN PROCESO</v>
      </c>
      <c r="M273" s="101"/>
      <c r="N273" s="101"/>
    </row>
    <row r="274" ht="22.5" hidden="1" customHeight="1">
      <c r="A274" s="49">
        <f>PEDIDOS!A274</f>
        <v>26092</v>
      </c>
      <c r="B274" s="81">
        <f>PEDIDOS!B274</f>
        <v>46142</v>
      </c>
      <c r="C274" s="97" t="str">
        <f>PEDIDOS!C274</f>
        <v/>
      </c>
      <c r="D274" s="81" t="str">
        <f>PEDIDOS!D274</f>
        <v>ECODERM - ROSEHIP</v>
      </c>
      <c r="E274" s="81" t="str">
        <f>PEDIDOS!E274</f>
        <v>SERUM SEBORREGULADOR</v>
      </c>
      <c r="F274" s="98">
        <f>PEDIDOS!G274</f>
        <v>300</v>
      </c>
      <c r="G274" s="98">
        <f>2*112+79</f>
        <v>303</v>
      </c>
      <c r="H274" s="97" t="str">
        <f>PEDIDOS!F274</f>
        <v>P</v>
      </c>
      <c r="I274" s="99">
        <f t="shared" si="5"/>
        <v>1.01</v>
      </c>
      <c r="J274" s="43" t="s">
        <v>956</v>
      </c>
      <c r="K274" s="113">
        <v>46163.0</v>
      </c>
      <c r="L274" s="49" t="str">
        <f t="shared" si="2"/>
        <v>ENTREGADO</v>
      </c>
      <c r="M274" s="43" t="s">
        <v>957</v>
      </c>
      <c r="N274" s="43">
        <v>3493.0</v>
      </c>
    </row>
    <row r="275" ht="22.5" hidden="1" customHeight="1">
      <c r="A275" s="101">
        <f>PEDIDOS!A275</f>
        <v>26093</v>
      </c>
      <c r="B275" s="102">
        <f>PEDIDOS!B275</f>
        <v>46142</v>
      </c>
      <c r="C275" s="103">
        <f>PEDIDOS!C275</f>
        <v>5</v>
      </c>
      <c r="D275" s="102" t="str">
        <f>PEDIDOS!D275</f>
        <v>TIERRAS DEL VOLCAN</v>
      </c>
      <c r="E275" s="102" t="str">
        <f>PEDIDOS!E275</f>
        <v>Jalea Termal Reguladora</v>
      </c>
      <c r="F275" s="104">
        <f>PEDIDOS!G275</f>
        <v>500</v>
      </c>
      <c r="G275" s="104">
        <f>16*30+28</f>
        <v>508</v>
      </c>
      <c r="H275" s="103" t="str">
        <f>PEDIDOS!F275</f>
        <v>P</v>
      </c>
      <c r="I275" s="99">
        <f t="shared" si="5"/>
        <v>1.016</v>
      </c>
      <c r="J275" s="108" t="s">
        <v>958</v>
      </c>
      <c r="K275" s="109">
        <v>46184.0</v>
      </c>
      <c r="L275" s="101" t="str">
        <f t="shared" si="2"/>
        <v>ENTREGADO</v>
      </c>
      <c r="M275" s="108" t="s">
        <v>959</v>
      </c>
      <c r="N275" s="108">
        <v>30.0</v>
      </c>
    </row>
    <row r="276" ht="22.5" hidden="1" customHeight="1">
      <c r="A276" s="49">
        <f>PEDIDOS!A276</f>
        <v>26094</v>
      </c>
      <c r="B276" s="81">
        <f>PEDIDOS!B276</f>
        <v>46142</v>
      </c>
      <c r="C276" s="97" t="str">
        <f>PEDIDOS!C276</f>
        <v/>
      </c>
      <c r="D276" s="81" t="str">
        <f>PEDIDOS!D276</f>
        <v>THE CURIOUS SKIN</v>
      </c>
      <c r="E276" s="81" t="str">
        <f>PEDIDOS!E276</f>
        <v>ESENCIA EQUILIBRIO BIOME</v>
      </c>
      <c r="F276" s="98">
        <f>PEDIDOS!G276</f>
        <v>500</v>
      </c>
      <c r="G276" s="98"/>
      <c r="H276" s="97" t="str">
        <f>PEDIDOS!F276</f>
        <v>P</v>
      </c>
      <c r="I276" s="99" t="str">
        <f t="shared" si="5"/>
        <v/>
      </c>
      <c r="J276" s="49"/>
      <c r="K276" s="49"/>
      <c r="L276" s="49" t="str">
        <f t="shared" si="2"/>
        <v>EN PROCESO</v>
      </c>
      <c r="M276" s="49"/>
      <c r="N276" s="49"/>
    </row>
    <row r="277" ht="22.5" hidden="1" customHeight="1">
      <c r="A277" s="101">
        <f>PEDIDOS!A277</f>
        <v>26095</v>
      </c>
      <c r="B277" s="102">
        <f>PEDIDOS!B277</f>
        <v>46146</v>
      </c>
      <c r="C277" s="103">
        <f>PEDIDOS!C277</f>
        <v>15276</v>
      </c>
      <c r="D277" s="102" t="str">
        <f>PEDIDOS!D277</f>
        <v>THELMA Y LOUISE</v>
      </c>
      <c r="E277" s="102" t="str">
        <f>PEDIDOS!E277</f>
        <v>CREMA PARA MANOS JULIANA CHICLE</v>
      </c>
      <c r="F277" s="104">
        <f>PEDIDOS!G277</f>
        <v>3000</v>
      </c>
      <c r="G277" s="107">
        <v>2998.0</v>
      </c>
      <c r="H277" s="103" t="str">
        <f>PEDIDOS!F277</f>
        <v>M</v>
      </c>
      <c r="I277" s="99">
        <f t="shared" si="5"/>
        <v>0.9993333333</v>
      </c>
      <c r="J277" s="108" t="s">
        <v>960</v>
      </c>
      <c r="K277" s="109">
        <v>46161.0</v>
      </c>
      <c r="L277" s="101" t="str">
        <f t="shared" si="2"/>
        <v>ENTREGADO</v>
      </c>
      <c r="M277" s="108">
        <v>180502.0</v>
      </c>
      <c r="N277" s="108">
        <v>190526.0</v>
      </c>
    </row>
    <row r="278" ht="22.5" hidden="1" customHeight="1">
      <c r="A278" s="49">
        <f>PEDIDOS!A278</f>
        <v>26096</v>
      </c>
      <c r="B278" s="81">
        <f>PEDIDOS!B278</f>
        <v>46148</v>
      </c>
      <c r="C278" s="97">
        <f>PEDIDOS!C278</f>
        <v>15288</v>
      </c>
      <c r="D278" s="81" t="str">
        <f>PEDIDOS!D278</f>
        <v>THELMA Y LOUISE</v>
      </c>
      <c r="E278" s="81" t="str">
        <f>PEDIDOS!E278</f>
        <v>ALCOHOL EN GEL CHICLE TYL</v>
      </c>
      <c r="F278" s="98">
        <f>PEDIDOS!G278</f>
        <v>2000</v>
      </c>
      <c r="G278" s="114">
        <v>1997.0</v>
      </c>
      <c r="H278" s="97" t="str">
        <f>PEDIDOS!F278</f>
        <v>M</v>
      </c>
      <c r="I278" s="99">
        <f t="shared" si="5"/>
        <v>0.9985</v>
      </c>
      <c r="J278" s="43" t="s">
        <v>961</v>
      </c>
      <c r="K278" s="115">
        <v>46169.0</v>
      </c>
      <c r="L278" s="49" t="str">
        <f t="shared" si="2"/>
        <v>ENTREGADO</v>
      </c>
      <c r="M278" s="43">
        <v>270501.0</v>
      </c>
      <c r="N278" s="43">
        <v>290526.0</v>
      </c>
    </row>
    <row r="279" ht="22.5" hidden="1" customHeight="1">
      <c r="A279" s="101">
        <f>PEDIDOS!A279</f>
        <v>26096</v>
      </c>
      <c r="B279" s="102">
        <f>PEDIDOS!B279</f>
        <v>46148</v>
      </c>
      <c r="C279" s="103">
        <f>PEDIDOS!C279</f>
        <v>15288</v>
      </c>
      <c r="D279" s="102" t="str">
        <f>PEDIDOS!D279</f>
        <v>THELMA Y LOUISE</v>
      </c>
      <c r="E279" s="102" t="str">
        <f>PEDIDOS!E279</f>
        <v>ALCOHOL EN GEL FRUTOS ROJOS TYL</v>
      </c>
      <c r="F279" s="104">
        <f>PEDIDOS!G279</f>
        <v>2000</v>
      </c>
      <c r="G279" s="107">
        <v>2000.0</v>
      </c>
      <c r="H279" s="103" t="str">
        <f>PEDIDOS!F279</f>
        <v>M</v>
      </c>
      <c r="I279" s="99">
        <f t="shared" si="5"/>
        <v>1</v>
      </c>
      <c r="J279" s="108" t="s">
        <v>962</v>
      </c>
      <c r="K279" s="117">
        <v>46171.0</v>
      </c>
      <c r="L279" s="101" t="str">
        <f t="shared" si="2"/>
        <v>ENTREGADO</v>
      </c>
      <c r="M279" s="108">
        <v>280501.0</v>
      </c>
      <c r="N279" s="108">
        <v>20626.0</v>
      </c>
    </row>
    <row r="280" ht="22.5" hidden="1" customHeight="1">
      <c r="A280" s="49">
        <f>PEDIDOS!A280</f>
        <v>26096</v>
      </c>
      <c r="B280" s="81">
        <f>PEDIDOS!B280</f>
        <v>46148</v>
      </c>
      <c r="C280" s="97">
        <f>PEDIDOS!C280</f>
        <v>15288</v>
      </c>
      <c r="D280" s="81" t="str">
        <f>PEDIDOS!D280</f>
        <v>THELMA Y LOUISE</v>
      </c>
      <c r="E280" s="81" t="str">
        <f>PEDIDOS!E280</f>
        <v>ALCOHOL EN GEL DURAZNO TYL</v>
      </c>
      <c r="F280" s="98">
        <f>PEDIDOS!G280</f>
        <v>2000</v>
      </c>
      <c r="G280" s="114">
        <v>2108.0</v>
      </c>
      <c r="H280" s="97" t="str">
        <f>PEDIDOS!F280</f>
        <v>M</v>
      </c>
      <c r="I280" s="99">
        <f t="shared" si="5"/>
        <v>1.054</v>
      </c>
      <c r="J280" s="43" t="s">
        <v>963</v>
      </c>
      <c r="K280" s="115">
        <v>46170.0</v>
      </c>
      <c r="L280" s="49" t="str">
        <f t="shared" si="2"/>
        <v>ENTREGADO</v>
      </c>
      <c r="M280" s="43">
        <v>270503.0</v>
      </c>
      <c r="N280" s="43">
        <v>20626.0</v>
      </c>
    </row>
    <row r="281" ht="22.5" hidden="1" customHeight="1">
      <c r="A281" s="101">
        <f>PEDIDOS!A281</f>
        <v>26097</v>
      </c>
      <c r="B281" s="102">
        <f>PEDIDOS!B281</f>
        <v>46153</v>
      </c>
      <c r="C281" s="103" t="str">
        <f>PEDIDOS!C281</f>
        <v/>
      </c>
      <c r="D281" s="102" t="str">
        <f>PEDIDOS!D281</f>
        <v>NATCEUTICALS</v>
      </c>
      <c r="E281" s="102" t="str">
        <f>PEDIDOS!E281</f>
        <v>SERUM ACIDO HIALURONICO</v>
      </c>
      <c r="F281" s="104">
        <f>PEDIDOS!G281</f>
        <v>500</v>
      </c>
      <c r="G281" s="104">
        <f>16*28+71</f>
        <v>519</v>
      </c>
      <c r="H281" s="103" t="str">
        <f>PEDIDOS!F281</f>
        <v>P</v>
      </c>
      <c r="I281" s="99">
        <f t="shared" si="5"/>
        <v>1.038</v>
      </c>
      <c r="J281" s="108" t="s">
        <v>964</v>
      </c>
      <c r="K281" s="109">
        <v>46169.0</v>
      </c>
      <c r="L281" s="101" t="str">
        <f t="shared" si="2"/>
        <v>ENTREGADO</v>
      </c>
      <c r="M281" s="108" t="s">
        <v>965</v>
      </c>
      <c r="N281" s="108">
        <v>3403.0</v>
      </c>
    </row>
    <row r="282" ht="22.5" hidden="1" customHeight="1">
      <c r="A282" s="49">
        <f>PEDIDOS!A282</f>
        <v>26097</v>
      </c>
      <c r="B282" s="81">
        <f>PEDIDOS!B282</f>
        <v>46153</v>
      </c>
      <c r="C282" s="97" t="str">
        <f>PEDIDOS!C282</f>
        <v/>
      </c>
      <c r="D282" s="81" t="str">
        <f>PEDIDOS!D282</f>
        <v>NATCEUTICALS</v>
      </c>
      <c r="E282" s="81" t="str">
        <f>PEDIDOS!E282</f>
        <v>SERUM RETINOL</v>
      </c>
      <c r="F282" s="98">
        <f>PEDIDOS!G282</f>
        <v>300</v>
      </c>
      <c r="G282" s="98"/>
      <c r="H282" s="97" t="str">
        <f>PEDIDOS!F282</f>
        <v>P</v>
      </c>
      <c r="I282" s="99" t="str">
        <f t="shared" si="5"/>
        <v/>
      </c>
      <c r="J282" s="49"/>
      <c r="K282" s="49"/>
      <c r="L282" s="49" t="str">
        <f t="shared" si="2"/>
        <v>EN PROCESO</v>
      </c>
      <c r="M282" s="49"/>
      <c r="N282" s="49"/>
    </row>
    <row r="283" ht="22.5" hidden="1" customHeight="1">
      <c r="A283" s="101">
        <f>PEDIDOS!A283</f>
        <v>26098</v>
      </c>
      <c r="B283" s="102">
        <f>PEDIDOS!B283</f>
        <v>46153</v>
      </c>
      <c r="C283" s="103" t="str">
        <f>PEDIDOS!C283</f>
        <v/>
      </c>
      <c r="D283" s="102" t="str">
        <f>PEDIDOS!D283</f>
        <v>ECOS DE HUEMUL</v>
      </c>
      <c r="E283" s="102" t="str">
        <f>PEDIDOS!E283</f>
        <v>JABON LIQUIDO NEUTRO</v>
      </c>
      <c r="F283" s="104">
        <f>PEDIDOS!G283</f>
        <v>180</v>
      </c>
      <c r="G283" s="104"/>
      <c r="H283" s="103" t="str">
        <f>PEDIDOS!F283</f>
        <v>M</v>
      </c>
      <c r="I283" s="99" t="str">
        <f t="shared" si="5"/>
        <v/>
      </c>
      <c r="J283" s="101"/>
      <c r="K283" s="101"/>
      <c r="L283" s="101" t="str">
        <f t="shared" si="2"/>
        <v>EN PROCESO</v>
      </c>
      <c r="M283" s="101"/>
      <c r="N283" s="101"/>
    </row>
    <row r="284" ht="22.5" hidden="1" customHeight="1">
      <c r="A284" s="49">
        <f>PEDIDOS!A284</f>
        <v>26098</v>
      </c>
      <c r="B284" s="81">
        <f>PEDIDOS!B284</f>
        <v>46153</v>
      </c>
      <c r="C284" s="97" t="str">
        <f>PEDIDOS!C284</f>
        <v/>
      </c>
      <c r="D284" s="81" t="str">
        <f>PEDIDOS!D284</f>
        <v>ECOS DE HUEMUL</v>
      </c>
      <c r="E284" s="81" t="str">
        <f>PEDIDOS!E284</f>
        <v>JABON LIQUIDO NEUTRO</v>
      </c>
      <c r="F284" s="98">
        <f>PEDIDOS!G284</f>
        <v>70</v>
      </c>
      <c r="G284" s="98"/>
      <c r="H284" s="97" t="str">
        <f>PEDIDOS!F284</f>
        <v>M</v>
      </c>
      <c r="I284" s="99" t="str">
        <f t="shared" si="5"/>
        <v/>
      </c>
      <c r="J284" s="49"/>
      <c r="K284" s="49"/>
      <c r="L284" s="49" t="str">
        <f t="shared" si="2"/>
        <v>EN PROCESO</v>
      </c>
      <c r="M284" s="49"/>
      <c r="N284" s="49"/>
    </row>
    <row r="285" ht="22.5" hidden="1" customHeight="1">
      <c r="A285" s="101">
        <f>PEDIDOS!A285</f>
        <v>26098</v>
      </c>
      <c r="B285" s="102">
        <f>PEDIDOS!B285</f>
        <v>46153</v>
      </c>
      <c r="C285" s="103" t="str">
        <f>PEDIDOS!C285</f>
        <v/>
      </c>
      <c r="D285" s="102" t="str">
        <f>PEDIDOS!D285</f>
        <v>ECOS DE HUEMUL</v>
      </c>
      <c r="E285" s="102" t="str">
        <f>PEDIDOS!E285</f>
        <v>JABON LIQUIDO CON FRAGANCIA</v>
      </c>
      <c r="F285" s="104">
        <f>PEDIDOS!G285</f>
        <v>70</v>
      </c>
      <c r="G285" s="104"/>
      <c r="H285" s="103" t="str">
        <f>PEDIDOS!F285</f>
        <v>M</v>
      </c>
      <c r="I285" s="99" t="str">
        <f t="shared" si="5"/>
        <v/>
      </c>
      <c r="J285" s="101"/>
      <c r="K285" s="101"/>
      <c r="L285" s="101" t="str">
        <f t="shared" si="2"/>
        <v>EN PROCESO</v>
      </c>
      <c r="M285" s="101"/>
      <c r="N285" s="101"/>
    </row>
    <row r="286" ht="22.5" hidden="1" customHeight="1">
      <c r="A286" s="49">
        <f>PEDIDOS!A286</f>
        <v>26098</v>
      </c>
      <c r="B286" s="81">
        <f>PEDIDOS!B286</f>
        <v>46153</v>
      </c>
      <c r="C286" s="97" t="str">
        <f>PEDIDOS!C286</f>
        <v/>
      </c>
      <c r="D286" s="81" t="str">
        <f>PEDIDOS!D286</f>
        <v>ECOS DE HUEMUL</v>
      </c>
      <c r="E286" s="81" t="str">
        <f>PEDIDOS!E286</f>
        <v>JABON LIQUIDO CON FRAGANCIA</v>
      </c>
      <c r="F286" s="98">
        <f>PEDIDOS!G286</f>
        <v>30</v>
      </c>
      <c r="G286" s="98"/>
      <c r="H286" s="97" t="str">
        <f>PEDIDOS!F286</f>
        <v>M</v>
      </c>
      <c r="I286" s="99" t="str">
        <f t="shared" si="5"/>
        <v/>
      </c>
      <c r="J286" s="49"/>
      <c r="K286" s="49"/>
      <c r="L286" s="49" t="str">
        <f t="shared" si="2"/>
        <v>EN PROCESO</v>
      </c>
      <c r="M286" s="49"/>
      <c r="N286" s="49"/>
    </row>
    <row r="287" ht="22.5" hidden="1" customHeight="1">
      <c r="A287" s="101">
        <f>PEDIDOS!A287</f>
        <v>26099</v>
      </c>
      <c r="B287" s="102">
        <f>PEDIDOS!B287</f>
        <v>46154</v>
      </c>
      <c r="C287" s="103" t="str">
        <f>PEDIDOS!C287</f>
        <v>#P01338</v>
      </c>
      <c r="D287" s="102" t="str">
        <f>PEDIDOS!D287</f>
        <v>BIOESENCIA</v>
      </c>
      <c r="E287" s="102" t="str">
        <f>PEDIDOS!E287</f>
        <v>JABON LIQUIDO ANTIBACTERIAL</v>
      </c>
      <c r="F287" s="104">
        <f>PEDIDOS!G287</f>
        <v>400</v>
      </c>
      <c r="G287" s="107">
        <v>391.0</v>
      </c>
      <c r="H287" s="103" t="str">
        <f>PEDIDOS!F287</f>
        <v>M</v>
      </c>
      <c r="I287" s="99">
        <f t="shared" si="5"/>
        <v>0.9775</v>
      </c>
      <c r="J287" s="108" t="s">
        <v>966</v>
      </c>
      <c r="K287" s="117">
        <v>46163.0</v>
      </c>
      <c r="L287" s="101" t="str">
        <f t="shared" si="2"/>
        <v>ENTREGADO</v>
      </c>
      <c r="M287" s="108">
        <v>200501.0</v>
      </c>
      <c r="N287" s="108">
        <v>210526.0</v>
      </c>
    </row>
    <row r="288" ht="22.5" hidden="1" customHeight="1">
      <c r="A288" s="49">
        <f>PEDIDOS!A288</f>
        <v>26099</v>
      </c>
      <c r="B288" s="81">
        <f>PEDIDOS!B288</f>
        <v>46154</v>
      </c>
      <c r="C288" s="97" t="str">
        <f>PEDIDOS!C288</f>
        <v>#P01338</v>
      </c>
      <c r="D288" s="81" t="str">
        <f>PEDIDOS!D288</f>
        <v>BIOESENCIA</v>
      </c>
      <c r="E288" s="81" t="str">
        <f>PEDIDOS!E288</f>
        <v>SHAMPOO BABY 2 EN 1 VEGAN</v>
      </c>
      <c r="F288" s="98">
        <f>PEDIDOS!G288</f>
        <v>500</v>
      </c>
      <c r="G288" s="114">
        <v>489.0</v>
      </c>
      <c r="H288" s="97" t="str">
        <f>PEDIDOS!F288</f>
        <v>M</v>
      </c>
      <c r="I288" s="99">
        <f t="shared" si="5"/>
        <v>0.978</v>
      </c>
      <c r="J288" s="43" t="s">
        <v>967</v>
      </c>
      <c r="K288" s="115">
        <v>46163.0</v>
      </c>
      <c r="L288" s="49" t="str">
        <f t="shared" si="2"/>
        <v>ENTREGADO</v>
      </c>
      <c r="M288" s="43" t="s">
        <v>968</v>
      </c>
      <c r="N288" s="43">
        <v>3491.0</v>
      </c>
    </row>
    <row r="289" ht="22.5" hidden="1" customHeight="1">
      <c r="A289" s="101">
        <f>PEDIDOS!A289</f>
        <v>26100</v>
      </c>
      <c r="B289" s="102">
        <f>PEDIDOS!B289</f>
        <v>46154</v>
      </c>
      <c r="C289" s="103" t="str">
        <f>PEDIDOS!C289</f>
        <v>#P01289</v>
      </c>
      <c r="D289" s="102" t="str">
        <f>PEDIDOS!D289</f>
        <v>BIOESENCIA</v>
      </c>
      <c r="E289" s="102" t="str">
        <f>PEDIDOS!E289</f>
        <v>CREMA PARA PEINAR</v>
      </c>
      <c r="F289" s="104">
        <f>PEDIDOS!G289</f>
        <v>1000</v>
      </c>
      <c r="G289" s="107">
        <v>998.0</v>
      </c>
      <c r="H289" s="103" t="str">
        <f>PEDIDOS!F289</f>
        <v>M</v>
      </c>
      <c r="I289" s="99">
        <f t="shared" si="5"/>
        <v>0.998</v>
      </c>
      <c r="J289" s="108" t="s">
        <v>969</v>
      </c>
      <c r="K289" s="117">
        <v>46163.0</v>
      </c>
      <c r="L289" s="101" t="str">
        <f t="shared" si="2"/>
        <v>ENTREGADO</v>
      </c>
      <c r="M289" s="108">
        <v>200502.0</v>
      </c>
      <c r="N289" s="108">
        <v>210526.0</v>
      </c>
    </row>
    <row r="290" ht="22.5" hidden="1" customHeight="1">
      <c r="A290" s="49">
        <f>PEDIDOS!A290</f>
        <v>26101</v>
      </c>
      <c r="B290" s="81">
        <f>PEDIDOS!B290</f>
        <v>46147</v>
      </c>
      <c r="C290" s="97" t="str">
        <f>PEDIDOS!C290</f>
        <v/>
      </c>
      <c r="D290" s="81" t="str">
        <f>PEDIDOS!D290</f>
        <v>LABORATORIO ONCE</v>
      </c>
      <c r="E290" s="81" t="str">
        <f>PEDIDOS!E290</f>
        <v>SERUM AH CONCENTRADO</v>
      </c>
      <c r="F290" s="98">
        <f>PEDIDOS!G290</f>
        <v>1500</v>
      </c>
      <c r="G290" s="98">
        <f>17*90+48</f>
        <v>1578</v>
      </c>
      <c r="H290" s="97" t="str">
        <f>PEDIDOS!F290</f>
        <v>P</v>
      </c>
      <c r="I290" s="99">
        <f t="shared" si="5"/>
        <v>1.052</v>
      </c>
      <c r="J290" s="43" t="s">
        <v>970</v>
      </c>
      <c r="K290" s="121">
        <v>46177.0</v>
      </c>
      <c r="L290" s="49" t="str">
        <f t="shared" si="2"/>
        <v>ENTREGADO</v>
      </c>
      <c r="M290" s="43" t="s">
        <v>971</v>
      </c>
      <c r="N290" s="43">
        <v>9.0</v>
      </c>
    </row>
    <row r="291" ht="22.5" hidden="1" customHeight="1">
      <c r="A291" s="101">
        <f>PEDIDOS!A291</f>
        <v>26101</v>
      </c>
      <c r="B291" s="102">
        <f>PEDIDOS!B291</f>
        <v>46147</v>
      </c>
      <c r="C291" s="103" t="str">
        <f>PEDIDOS!C291</f>
        <v/>
      </c>
      <c r="D291" s="102" t="str">
        <f>PEDIDOS!D291</f>
        <v>LABORATORIO ONCE</v>
      </c>
      <c r="E291" s="102" t="str">
        <f>PEDIDOS!E291</f>
        <v>SERUM AH + NIACI</v>
      </c>
      <c r="F291" s="104">
        <f>PEDIDOS!G291</f>
        <v>1500</v>
      </c>
      <c r="G291" s="104">
        <f>16*90+60</f>
        <v>1500</v>
      </c>
      <c r="H291" s="103" t="str">
        <f>PEDIDOS!F291</f>
        <v>P</v>
      </c>
      <c r="I291" s="99">
        <f t="shared" si="5"/>
        <v>1</v>
      </c>
      <c r="J291" s="108" t="s">
        <v>972</v>
      </c>
      <c r="K291" s="109">
        <v>46177.0</v>
      </c>
      <c r="L291" s="101" t="str">
        <f t="shared" si="2"/>
        <v>ENTREGADO</v>
      </c>
      <c r="M291" s="108" t="s">
        <v>973</v>
      </c>
      <c r="N291" s="108">
        <v>9.0</v>
      </c>
    </row>
    <row r="292" ht="22.5" hidden="1" customHeight="1">
      <c r="A292" s="49">
        <f>PEDIDOS!A292</f>
        <v>26102</v>
      </c>
      <c r="B292" s="81">
        <f>PEDIDOS!B292</f>
        <v>46153</v>
      </c>
      <c r="C292" s="97">
        <f>PEDIDOS!C292</f>
        <v>14442</v>
      </c>
      <c r="D292" s="81" t="str">
        <f>PEDIDOS!D292</f>
        <v>JACTANS - DISNEY</v>
      </c>
      <c r="E292" s="81" t="str">
        <f>PEDIDOS!E292</f>
        <v>DP-50990-Perfume inf. fco Mariana x50ml/ Es. 0369RD</v>
      </c>
      <c r="F292" s="98">
        <f>PEDIDOS!G292</f>
        <v>3000</v>
      </c>
      <c r="G292" s="98">
        <f>29*40+15*40+19*40+9*40</f>
        <v>2880</v>
      </c>
      <c r="H292" s="97" t="str">
        <f>PEDIDOS!F292</f>
        <v>M</v>
      </c>
      <c r="I292" s="99">
        <f t="shared" si="5"/>
        <v>0.96</v>
      </c>
      <c r="J292" s="43" t="s">
        <v>974</v>
      </c>
      <c r="K292" s="113">
        <v>46183.0</v>
      </c>
      <c r="L292" s="49" t="str">
        <f t="shared" si="2"/>
        <v>ENTREGADO</v>
      </c>
      <c r="M292" s="43" t="s">
        <v>975</v>
      </c>
      <c r="N292" s="43">
        <v>35.0</v>
      </c>
    </row>
    <row r="293" ht="22.5" hidden="1" customHeight="1">
      <c r="A293" s="101">
        <f>PEDIDOS!A293</f>
        <v>26102</v>
      </c>
      <c r="B293" s="102">
        <f>PEDIDOS!B293</f>
        <v>46153</v>
      </c>
      <c r="C293" s="103">
        <f>PEDIDOS!C293</f>
        <v>14442</v>
      </c>
      <c r="D293" s="102" t="str">
        <f>PEDIDOS!D293</f>
        <v>JACTANS - DISNEY</v>
      </c>
      <c r="E293" s="102" t="str">
        <f>PEDIDOS!E293</f>
        <v>DP-50983-Perf. infantil fco Grand Prix x55ml/Es.1192AG</v>
      </c>
      <c r="F293" s="104">
        <f>PEDIDOS!G293</f>
        <v>3000</v>
      </c>
      <c r="G293" s="104">
        <f>9*70+21*70+12*70+14</f>
        <v>2954</v>
      </c>
      <c r="H293" s="103" t="str">
        <f>PEDIDOS!F293</f>
        <v>M</v>
      </c>
      <c r="I293" s="99">
        <f t="shared" si="5"/>
        <v>0.9846666667</v>
      </c>
      <c r="J293" s="108" t="s">
        <v>976</v>
      </c>
      <c r="K293" s="109">
        <v>46182.0</v>
      </c>
      <c r="L293" s="101" t="str">
        <f t="shared" si="2"/>
        <v>ENTREGADO</v>
      </c>
      <c r="M293" s="108" t="s">
        <v>977</v>
      </c>
      <c r="N293" s="108" t="s">
        <v>978</v>
      </c>
    </row>
    <row r="294" ht="22.5" hidden="1" customHeight="1">
      <c r="A294" s="49">
        <f>PEDIDOS!A294</f>
        <v>26102</v>
      </c>
      <c r="B294" s="81">
        <f>PEDIDOS!B294</f>
        <v>46153</v>
      </c>
      <c r="C294" s="97">
        <f>PEDIDOS!C294</f>
        <v>14442</v>
      </c>
      <c r="D294" s="81" t="str">
        <f>PEDIDOS!D294</f>
        <v>JACTANS - DISNEY</v>
      </c>
      <c r="E294" s="81" t="str">
        <f>PEDIDOS!E294</f>
        <v>DP-48709-PERFUME INF fco Mariana x 50ml/Es. 0270WT</v>
      </c>
      <c r="F294" s="98">
        <f>PEDIDOS!G294</f>
        <v>2000</v>
      </c>
      <c r="G294" s="98">
        <f>49*40+36</f>
        <v>1996</v>
      </c>
      <c r="H294" s="97" t="str">
        <f>PEDIDOS!F294</f>
        <v>M</v>
      </c>
      <c r="I294" s="99">
        <f t="shared" si="5"/>
        <v>0.998</v>
      </c>
      <c r="J294" s="43" t="s">
        <v>979</v>
      </c>
      <c r="K294" s="113">
        <v>46164.0</v>
      </c>
      <c r="L294" s="49" t="str">
        <f t="shared" si="2"/>
        <v>ENTREGADO</v>
      </c>
      <c r="M294" s="43" t="s">
        <v>980</v>
      </c>
      <c r="N294" s="43">
        <v>3494.0</v>
      </c>
    </row>
    <row r="295" ht="22.5" hidden="1" customHeight="1">
      <c r="A295" s="101">
        <f>PEDIDOS!A295</f>
        <v>26102</v>
      </c>
      <c r="B295" s="102">
        <f>PEDIDOS!B295</f>
        <v>46153</v>
      </c>
      <c r="C295" s="103">
        <f>PEDIDOS!C295</f>
        <v>14442</v>
      </c>
      <c r="D295" s="102" t="str">
        <f>PEDIDOS!D295</f>
        <v>JACTANS - DISNEY</v>
      </c>
      <c r="E295" s="102" t="str">
        <f>PEDIDOS!E295</f>
        <v>DP-42103-Perfume inf.Fco cubic/memor. x50ml/Es. 0300IE</v>
      </c>
      <c r="F295" s="104">
        <f>PEDIDOS!G295</f>
        <v>2000</v>
      </c>
      <c r="G295" s="104"/>
      <c r="H295" s="103" t="str">
        <f>PEDIDOS!F295</f>
        <v>M</v>
      </c>
      <c r="I295" s="99" t="str">
        <f t="shared" si="5"/>
        <v/>
      </c>
      <c r="J295" s="101"/>
      <c r="K295" s="101"/>
      <c r="L295" s="101" t="str">
        <f t="shared" si="2"/>
        <v>EN PROCESO</v>
      </c>
      <c r="M295" s="101"/>
      <c r="N295" s="101"/>
    </row>
    <row r="296" ht="22.5" hidden="1" customHeight="1">
      <c r="A296" s="49">
        <f>PEDIDOS!A296</f>
        <v>26103</v>
      </c>
      <c r="B296" s="81">
        <f>PEDIDOS!B296</f>
        <v>46153</v>
      </c>
      <c r="C296" s="97">
        <f>PEDIDOS!C296</f>
        <v>14441</v>
      </c>
      <c r="D296" s="81" t="str">
        <f>PEDIDOS!D296</f>
        <v>JACTANS - DISNEY</v>
      </c>
      <c r="E296" s="81" t="str">
        <f>PEDIDOS!E296</f>
        <v>DP-51263-Perf infantil fco Armani x50ml/Es. 0434TS</v>
      </c>
      <c r="F296" s="98">
        <f>PEDIDOS!G296</f>
        <v>1000</v>
      </c>
      <c r="G296" s="98">
        <f>8*41+16*41+32</f>
        <v>1016</v>
      </c>
      <c r="H296" s="97" t="str">
        <f>PEDIDOS!F296</f>
        <v>M</v>
      </c>
      <c r="I296" s="99">
        <f t="shared" si="5"/>
        <v>1.016</v>
      </c>
      <c r="J296" s="43" t="s">
        <v>981</v>
      </c>
      <c r="K296" s="113">
        <v>46174.0</v>
      </c>
      <c r="L296" s="49" t="str">
        <f t="shared" si="2"/>
        <v>ENTREGADO</v>
      </c>
      <c r="M296" s="43" t="s">
        <v>982</v>
      </c>
      <c r="N296" s="43" t="s">
        <v>983</v>
      </c>
    </row>
    <row r="297" ht="22.5" hidden="1" customHeight="1">
      <c r="A297" s="101">
        <f>PEDIDOS!A297</f>
        <v>26103</v>
      </c>
      <c r="B297" s="102">
        <f>PEDIDOS!B297</f>
        <v>46153</v>
      </c>
      <c r="C297" s="103">
        <f>PEDIDOS!C297</f>
        <v>14441</v>
      </c>
      <c r="D297" s="102" t="str">
        <f>PEDIDOS!D297</f>
        <v>JACTANS - DISNEY</v>
      </c>
      <c r="E297" s="102" t="str">
        <f>PEDIDOS!E297</f>
        <v>DP-51270-Perf. infan. fco mariana x50ml/Es. 0269IN</v>
      </c>
      <c r="F297" s="104">
        <f>PEDIDOS!G297</f>
        <v>1300</v>
      </c>
      <c r="G297" s="104">
        <f>8*40+11*40+6*72+10+3*40+20</f>
        <v>1342</v>
      </c>
      <c r="H297" s="103" t="str">
        <f>PEDIDOS!F297</f>
        <v>M</v>
      </c>
      <c r="I297" s="99">
        <f t="shared" si="5"/>
        <v>1.032307692</v>
      </c>
      <c r="J297" s="108" t="s">
        <v>984</v>
      </c>
      <c r="K297" s="109">
        <v>46168.0</v>
      </c>
      <c r="L297" s="101" t="str">
        <f t="shared" si="2"/>
        <v>ENTREGADO</v>
      </c>
      <c r="M297" s="108" t="s">
        <v>985</v>
      </c>
      <c r="N297" s="108" t="s">
        <v>986</v>
      </c>
    </row>
    <row r="298" ht="22.5" hidden="1" customHeight="1">
      <c r="A298" s="49">
        <f>PEDIDOS!A298</f>
        <v>26103</v>
      </c>
      <c r="B298" s="81">
        <f>PEDIDOS!B298</f>
        <v>46153</v>
      </c>
      <c r="C298" s="97">
        <f>PEDIDOS!C298</f>
        <v>14441</v>
      </c>
      <c r="D298" s="81" t="str">
        <f>PEDIDOS!D298</f>
        <v>JACTANS - DISNEY</v>
      </c>
      <c r="E298" s="81" t="str">
        <f>PEDIDOS!E298</f>
        <v>DP-51287-Perf infantil fco PVC x 65ml/Es. 0279BD</v>
      </c>
      <c r="F298" s="98">
        <f>PEDIDOS!G298</f>
        <v>1300</v>
      </c>
      <c r="G298" s="114">
        <v>1300.0</v>
      </c>
      <c r="H298" s="97" t="str">
        <f>PEDIDOS!F298</f>
        <v>M</v>
      </c>
      <c r="I298" s="99">
        <f t="shared" si="5"/>
        <v>1</v>
      </c>
      <c r="J298" s="43" t="s">
        <v>987</v>
      </c>
      <c r="K298" s="115">
        <v>46168.0</v>
      </c>
      <c r="L298" s="49" t="str">
        <f t="shared" si="2"/>
        <v>ENTREGADO</v>
      </c>
      <c r="M298" s="43" t="s">
        <v>988</v>
      </c>
      <c r="N298" s="43">
        <v>3498.0</v>
      </c>
    </row>
    <row r="299" ht="22.5" hidden="1" customHeight="1">
      <c r="A299" s="101">
        <f>PEDIDOS!A299</f>
        <v>26103</v>
      </c>
      <c r="B299" s="102">
        <f>PEDIDOS!B299</f>
        <v>46153</v>
      </c>
      <c r="C299" s="103">
        <f>PEDIDOS!C299</f>
        <v>14441</v>
      </c>
      <c r="D299" s="102" t="str">
        <f>PEDIDOS!D299</f>
        <v>JACTANS - DISNEY</v>
      </c>
      <c r="E299" s="102" t="str">
        <f>PEDIDOS!E299</f>
        <v>DP-51294-Perfume infantil fco PVC x65ml/Es. 0429UX</v>
      </c>
      <c r="F299" s="104">
        <f>PEDIDOS!G299</f>
        <v>1300</v>
      </c>
      <c r="G299" s="107">
        <v>1308.0</v>
      </c>
      <c r="H299" s="103" t="str">
        <f>PEDIDOS!F299</f>
        <v>M</v>
      </c>
      <c r="I299" s="99">
        <f t="shared" si="5"/>
        <v>1.006153846</v>
      </c>
      <c r="J299" s="108" t="s">
        <v>989</v>
      </c>
      <c r="K299" s="117">
        <v>46168.0</v>
      </c>
      <c r="L299" s="101" t="str">
        <f t="shared" si="2"/>
        <v>ENTREGADO</v>
      </c>
      <c r="M299" s="108" t="s">
        <v>990</v>
      </c>
      <c r="N299" s="108">
        <v>3498.0</v>
      </c>
    </row>
    <row r="300" ht="22.5" hidden="1" customHeight="1">
      <c r="A300" s="49">
        <f>PEDIDOS!A300</f>
        <v>26103</v>
      </c>
      <c r="B300" s="81">
        <f>PEDIDOS!B300</f>
        <v>46153</v>
      </c>
      <c r="C300" s="97">
        <f>PEDIDOS!C300</f>
        <v>14441</v>
      </c>
      <c r="D300" s="81" t="str">
        <f>PEDIDOS!D300</f>
        <v>JACTANS - DISNEY</v>
      </c>
      <c r="E300" s="81" t="str">
        <f>PEDIDOS!E300</f>
        <v>DP-51300-Perf infantil fco Armani x50ml/Es. 0301BG</v>
      </c>
      <c r="F300" s="98">
        <f>PEDIDOS!G300</f>
        <v>1300</v>
      </c>
      <c r="G300" s="98">
        <f>19*41+4*41+40</f>
        <v>983</v>
      </c>
      <c r="H300" s="97" t="str">
        <f>PEDIDOS!F300</f>
        <v>M</v>
      </c>
      <c r="I300" s="99">
        <f t="shared" si="5"/>
        <v>0.7561538462</v>
      </c>
      <c r="J300" s="43" t="s">
        <v>991</v>
      </c>
      <c r="K300" s="113">
        <v>46170.0</v>
      </c>
      <c r="L300" s="49" t="str">
        <f t="shared" si="2"/>
        <v>ENTREGADO</v>
      </c>
      <c r="M300" s="43" t="s">
        <v>992</v>
      </c>
      <c r="N300" s="43" t="s">
        <v>993</v>
      </c>
    </row>
    <row r="301" ht="22.5" customHeight="1">
      <c r="A301" s="101">
        <f>PEDIDOS!A301</f>
        <v>26104</v>
      </c>
      <c r="B301" s="102">
        <f>PEDIDOS!B301</f>
        <v>46156</v>
      </c>
      <c r="C301" s="103">
        <f>PEDIDOS!C301</f>
        <v>797</v>
      </c>
      <c r="D301" s="102" t="str">
        <f>PEDIDOS!D301</f>
        <v>CAV</v>
      </c>
      <c r="E301" s="102" t="str">
        <f>PEDIDOS!E301</f>
        <v>SHAMPOO BIONIC X400ML</v>
      </c>
      <c r="F301" s="104">
        <f>PEDIDOS!G301</f>
        <v>400</v>
      </c>
      <c r="G301" s="104">
        <f>21*18+8</f>
        <v>386</v>
      </c>
      <c r="H301" s="103" t="str">
        <f>PEDIDOS!F301</f>
        <v>M</v>
      </c>
      <c r="I301" s="99">
        <f t="shared" si="5"/>
        <v>0.965</v>
      </c>
      <c r="J301" s="108" t="s">
        <v>994</v>
      </c>
      <c r="K301" s="109">
        <v>46174.0</v>
      </c>
      <c r="L301" s="101" t="str">
        <f t="shared" si="2"/>
        <v>ENTREGADO</v>
      </c>
      <c r="M301" s="108" t="s">
        <v>781</v>
      </c>
      <c r="N301" s="108">
        <v>2.0</v>
      </c>
    </row>
    <row r="302" ht="22.5" customHeight="1">
      <c r="A302" s="49">
        <f>PEDIDOS!A302</f>
        <v>26104</v>
      </c>
      <c r="B302" s="81">
        <f>PEDIDOS!B302</f>
        <v>46156</v>
      </c>
      <c r="C302" s="97">
        <f>PEDIDOS!C302</f>
        <v>797</v>
      </c>
      <c r="D302" s="81" t="str">
        <f>PEDIDOS!D302</f>
        <v>CAV</v>
      </c>
      <c r="E302" s="81" t="str">
        <f>PEDIDOS!E302</f>
        <v>CONDITIONER BIONIC X400ML</v>
      </c>
      <c r="F302" s="98">
        <f>PEDIDOS!G302</f>
        <v>400</v>
      </c>
      <c r="G302" s="98">
        <f>19*18+17</f>
        <v>359</v>
      </c>
      <c r="H302" s="97" t="str">
        <f>PEDIDOS!F302</f>
        <v>M</v>
      </c>
      <c r="I302" s="99">
        <f t="shared" si="5"/>
        <v>0.8975</v>
      </c>
      <c r="J302" s="43" t="s">
        <v>995</v>
      </c>
      <c r="K302" s="113">
        <v>46174.0</v>
      </c>
      <c r="L302" s="49" t="str">
        <f t="shared" si="2"/>
        <v>ENTREGADO</v>
      </c>
      <c r="M302" s="43" t="s">
        <v>783</v>
      </c>
      <c r="N302" s="43">
        <v>2.0</v>
      </c>
    </row>
    <row r="303" ht="22.5" hidden="1" customHeight="1">
      <c r="A303" s="101">
        <f>PEDIDOS!A303</f>
        <v>26105</v>
      </c>
      <c r="B303" s="102">
        <f>PEDIDOS!B303</f>
        <v>46156</v>
      </c>
      <c r="C303" s="103">
        <f>PEDIDOS!C303</f>
        <v>15246</v>
      </c>
      <c r="D303" s="102" t="str">
        <f>PEDIDOS!D303</f>
        <v>THELMA Y LOUISE</v>
      </c>
      <c r="E303" s="102" t="str">
        <f>PEDIDOS!E303</f>
        <v>SANITIZANTE "KEEP IT CLEAN" FLORAL CRUSH - ROSA CLARO</v>
      </c>
      <c r="F303" s="104">
        <f>PEDIDOS!G303</f>
        <v>5000</v>
      </c>
      <c r="G303" s="107">
        <v>4924.0</v>
      </c>
      <c r="H303" s="103" t="str">
        <f>PEDIDOS!F303</f>
        <v>M</v>
      </c>
      <c r="I303" s="99">
        <f t="shared" si="5"/>
        <v>0.9848</v>
      </c>
      <c r="J303" s="108" t="s">
        <v>996</v>
      </c>
      <c r="K303" s="117">
        <v>46171.0</v>
      </c>
      <c r="L303" s="101" t="str">
        <f t="shared" si="2"/>
        <v>ENTREGADO</v>
      </c>
      <c r="M303" s="108">
        <v>270504.0</v>
      </c>
      <c r="N303" s="122" t="s">
        <v>997</v>
      </c>
    </row>
    <row r="304" ht="22.5" hidden="1" customHeight="1">
      <c r="A304" s="49">
        <f>PEDIDOS!A304</f>
        <v>26105</v>
      </c>
      <c r="B304" s="81">
        <f>PEDIDOS!B304</f>
        <v>46156</v>
      </c>
      <c r="C304" s="97">
        <f>PEDIDOS!C304</f>
        <v>15246</v>
      </c>
      <c r="D304" s="81" t="str">
        <f>PEDIDOS!D304</f>
        <v>THELMA Y LOUISE</v>
      </c>
      <c r="E304" s="81" t="str">
        <f>PEDIDOS!E304</f>
        <v>SANITIZANTE "KEEP IT CLEAN" FRUIT SMOOTHIE - CORAL</v>
      </c>
      <c r="F304" s="98">
        <f>PEDIDOS!G304</f>
        <v>5000</v>
      </c>
      <c r="G304" s="114">
        <v>4992.0</v>
      </c>
      <c r="H304" s="97" t="str">
        <f>PEDIDOS!F304</f>
        <v>M</v>
      </c>
      <c r="I304" s="99">
        <f t="shared" si="5"/>
        <v>0.9984</v>
      </c>
      <c r="J304" s="43" t="s">
        <v>998</v>
      </c>
      <c r="K304" s="115">
        <v>46171.0</v>
      </c>
      <c r="L304" s="49" t="str">
        <f t="shared" si="2"/>
        <v>ENTREGADO</v>
      </c>
      <c r="M304" s="43">
        <v>260501.0</v>
      </c>
      <c r="N304" s="123" t="s">
        <v>997</v>
      </c>
    </row>
    <row r="305" ht="22.5" hidden="1" customHeight="1">
      <c r="A305" s="101">
        <f>PEDIDOS!A305</f>
        <v>26106</v>
      </c>
      <c r="B305" s="102">
        <f>PEDIDOS!B305</f>
        <v>46156</v>
      </c>
      <c r="C305" s="103" t="str">
        <f>PEDIDOS!C305</f>
        <v/>
      </c>
      <c r="D305" s="102" t="str">
        <f>PEDIDOS!D305</f>
        <v>ASHA</v>
      </c>
      <c r="E305" s="102" t="str">
        <f>PEDIDOS!E305</f>
        <v>SERUM TENSOR</v>
      </c>
      <c r="F305" s="104">
        <f>PEDIDOS!G305</f>
        <v>500</v>
      </c>
      <c r="G305" s="104"/>
      <c r="H305" s="103" t="str">
        <f>PEDIDOS!F305</f>
        <v>P</v>
      </c>
      <c r="I305" s="99" t="str">
        <f t="shared" si="5"/>
        <v/>
      </c>
      <c r="J305" s="101"/>
      <c r="K305" s="101"/>
      <c r="L305" s="101" t="str">
        <f t="shared" si="2"/>
        <v>EN PROCESO</v>
      </c>
      <c r="M305" s="101"/>
      <c r="N305" s="101"/>
    </row>
    <row r="306" ht="22.5" hidden="1" customHeight="1">
      <c r="A306" s="49">
        <f>PEDIDOS!A306</f>
        <v>26107</v>
      </c>
      <c r="B306" s="81">
        <f>PEDIDOS!B306</f>
        <v>46157</v>
      </c>
      <c r="C306" s="97" t="str">
        <f>PEDIDOS!C306</f>
        <v/>
      </c>
      <c r="D306" s="81" t="str">
        <f>PEDIDOS!D306</f>
        <v>THE GLOW FACTOR</v>
      </c>
      <c r="E306" s="81" t="str">
        <f>PEDIDOS!E306</f>
        <v>RADIANT EYES CONTORNO DE OJOS</v>
      </c>
      <c r="F306" s="98">
        <f>PEDIDOS!G306</f>
        <v>3000</v>
      </c>
      <c r="G306" s="98">
        <f>22*138+104</f>
        <v>3140</v>
      </c>
      <c r="H306" s="97" t="str">
        <f>PEDIDOS!F306</f>
        <v>P</v>
      </c>
      <c r="I306" s="99">
        <f t="shared" si="5"/>
        <v>1.046666667</v>
      </c>
      <c r="J306" s="43" t="s">
        <v>999</v>
      </c>
      <c r="K306" s="118">
        <v>46178.0</v>
      </c>
      <c r="L306" s="49" t="str">
        <f t="shared" si="2"/>
        <v>ENTREGADO</v>
      </c>
      <c r="M306" s="43" t="s">
        <v>1000</v>
      </c>
      <c r="N306" s="43">
        <v>3511.0</v>
      </c>
    </row>
    <row r="307" ht="22.5" hidden="1" customHeight="1">
      <c r="A307" s="101">
        <f>PEDIDOS!A307</f>
        <v>26107</v>
      </c>
      <c r="B307" s="102">
        <f>PEDIDOS!B307</f>
        <v>46157</v>
      </c>
      <c r="C307" s="103" t="str">
        <f>PEDIDOS!C307</f>
        <v/>
      </c>
      <c r="D307" s="102" t="str">
        <f>PEDIDOS!D307</f>
        <v>THE GLOW FACTOR</v>
      </c>
      <c r="E307" s="102" t="str">
        <f>PEDIDOS!E307</f>
        <v>CREMA FACIAL CLARITÉ</v>
      </c>
      <c r="F307" s="104">
        <f>PEDIDOS!G307</f>
        <v>2000</v>
      </c>
      <c r="G307" s="104">
        <f>9*16+14+26*16+80*16</f>
        <v>1854</v>
      </c>
      <c r="H307" s="103" t="str">
        <f>PEDIDOS!F307</f>
        <v>P</v>
      </c>
      <c r="I307" s="99">
        <f t="shared" si="5"/>
        <v>0.927</v>
      </c>
      <c r="J307" s="108" t="s">
        <v>1001</v>
      </c>
      <c r="K307" s="109">
        <v>46175.0</v>
      </c>
      <c r="L307" s="101" t="str">
        <f t="shared" si="2"/>
        <v>ENTREGADO</v>
      </c>
      <c r="M307" s="108" t="s">
        <v>1002</v>
      </c>
      <c r="N307" s="108">
        <v>3514.0</v>
      </c>
    </row>
    <row r="308" ht="22.5" hidden="1" customHeight="1">
      <c r="A308" s="49">
        <f>PEDIDOS!A308</f>
        <v>26108</v>
      </c>
      <c r="B308" s="81">
        <f>PEDIDOS!B308</f>
        <v>46157</v>
      </c>
      <c r="C308" s="97">
        <f>PEDIDOS!C308</f>
        <v>15294</v>
      </c>
      <c r="D308" s="81" t="str">
        <f>PEDIDOS!D308</f>
        <v>THELMA Y LOUISE</v>
      </c>
      <c r="E308" s="81" t="str">
        <f>PEDIDOS!E308</f>
        <v>ALCOHOL EN GEL NEUTRO VAMOS ARGENTINA</v>
      </c>
      <c r="F308" s="98">
        <f>PEDIDOS!G308</f>
        <v>2000</v>
      </c>
      <c r="G308" s="98">
        <f>12*140+142</f>
        <v>1822</v>
      </c>
      <c r="H308" s="97" t="str">
        <f>PEDIDOS!F308</f>
        <v>M</v>
      </c>
      <c r="I308" s="99">
        <f t="shared" si="5"/>
        <v>0.911</v>
      </c>
      <c r="J308" s="43" t="s">
        <v>1003</v>
      </c>
      <c r="K308" s="118">
        <v>46175.0</v>
      </c>
      <c r="L308" s="49" t="str">
        <f t="shared" si="2"/>
        <v>ENTREGADO</v>
      </c>
      <c r="M308" s="43">
        <v>10601.0</v>
      </c>
      <c r="N308" s="123" t="s">
        <v>997</v>
      </c>
    </row>
    <row r="309" ht="22.5" hidden="1" customHeight="1">
      <c r="A309" s="101">
        <f>PEDIDOS!A309</f>
        <v>26108</v>
      </c>
      <c r="B309" s="102">
        <f>PEDIDOS!B309</f>
        <v>46157</v>
      </c>
      <c r="C309" s="103">
        <f>PEDIDOS!C309</f>
        <v>15294</v>
      </c>
      <c r="D309" s="102" t="str">
        <f>PEDIDOS!D309</f>
        <v>THELMA Y LOUISE</v>
      </c>
      <c r="E309" s="102" t="str">
        <f>PEDIDOS!E309</f>
        <v>ALCOHOL EN GEL NEUTRO CORONADOS DE GLORIA</v>
      </c>
      <c r="F309" s="104">
        <f>PEDIDOS!G309</f>
        <v>2000</v>
      </c>
      <c r="G309" s="104">
        <f>14*140+125</f>
        <v>2085</v>
      </c>
      <c r="H309" s="103" t="str">
        <f>PEDIDOS!F309</f>
        <v>M</v>
      </c>
      <c r="I309" s="99">
        <f t="shared" si="5"/>
        <v>1.0425</v>
      </c>
      <c r="J309" s="108" t="s">
        <v>1004</v>
      </c>
      <c r="K309" s="109">
        <v>46174.0</v>
      </c>
      <c r="L309" s="101" t="str">
        <f t="shared" si="2"/>
        <v>ENTREGADO</v>
      </c>
      <c r="M309" s="108">
        <v>290501.0</v>
      </c>
      <c r="N309" s="122" t="s">
        <v>997</v>
      </c>
    </row>
    <row r="310" ht="22.5" hidden="1" customHeight="1">
      <c r="A310" s="49">
        <f>PEDIDOS!A310</f>
        <v>26109</v>
      </c>
      <c r="B310" s="81">
        <f>PEDIDOS!B310</f>
        <v>46157</v>
      </c>
      <c r="C310" s="97" t="str">
        <f>PEDIDOS!C310</f>
        <v/>
      </c>
      <c r="D310" s="81" t="str">
        <f>PEDIDOS!D310</f>
        <v>OSSPRET</v>
      </c>
      <c r="E310" s="81" t="str">
        <f>PEDIDOS!E310</f>
        <v>CREMA DE ORDEÑE</v>
      </c>
      <c r="F310" s="98">
        <f>PEDIDOS!G310</f>
        <v>300</v>
      </c>
      <c r="G310" s="98"/>
      <c r="H310" s="97" t="str">
        <f>PEDIDOS!F310</f>
        <v>M</v>
      </c>
      <c r="I310" s="99" t="str">
        <f t="shared" si="5"/>
        <v/>
      </c>
      <c r="J310" s="49"/>
      <c r="K310" s="49"/>
      <c r="L310" s="49" t="str">
        <f t="shared" si="2"/>
        <v>EN PROCESO</v>
      </c>
      <c r="M310" s="49"/>
      <c r="N310" s="49"/>
    </row>
    <row r="311" ht="22.5" hidden="1" customHeight="1">
      <c r="A311" s="101">
        <f>PEDIDOS!A311</f>
        <v>26109</v>
      </c>
      <c r="B311" s="102">
        <f>PEDIDOS!B311</f>
        <v>46157</v>
      </c>
      <c r="C311" s="103" t="str">
        <f>PEDIDOS!C311</f>
        <v/>
      </c>
      <c r="D311" s="102" t="str">
        <f>PEDIDOS!D311</f>
        <v>OSSPRET</v>
      </c>
      <c r="E311" s="102" t="str">
        <f>PEDIDOS!E311</f>
        <v>CREMA BASE</v>
      </c>
      <c r="F311" s="104">
        <f>PEDIDOS!G311</f>
        <v>100</v>
      </c>
      <c r="G311" s="104"/>
      <c r="H311" s="103" t="str">
        <f>PEDIDOS!F311</f>
        <v>M</v>
      </c>
      <c r="I311" s="99" t="str">
        <f t="shared" si="5"/>
        <v/>
      </c>
      <c r="J311" s="101"/>
      <c r="K311" s="101"/>
      <c r="L311" s="101" t="str">
        <f t="shared" si="2"/>
        <v>EN PROCESO</v>
      </c>
      <c r="M311" s="101"/>
      <c r="N311" s="101"/>
    </row>
    <row r="312" ht="22.5" customHeight="1">
      <c r="A312" s="49">
        <f>PEDIDOS!A312</f>
        <v>26110</v>
      </c>
      <c r="B312" s="81">
        <f>PEDIDOS!B312</f>
        <v>46163</v>
      </c>
      <c r="C312" s="97">
        <f>PEDIDOS!C312</f>
        <v>803</v>
      </c>
      <c r="D312" s="81" t="str">
        <f>PEDIDOS!D312</f>
        <v>CAV</v>
      </c>
      <c r="E312" s="81" t="str">
        <f>PEDIDOS!E312</f>
        <v>Mascara BIO Molecular X 300 ml. Vitamin Shock</v>
      </c>
      <c r="F312" s="98">
        <f>PEDIDOS!G312</f>
        <v>700</v>
      </c>
      <c r="G312" s="114">
        <v>637.0</v>
      </c>
      <c r="H312" s="97" t="str">
        <f>PEDIDOS!F312</f>
        <v>P</v>
      </c>
      <c r="I312" s="99">
        <f t="shared" si="5"/>
        <v>0.91</v>
      </c>
      <c r="J312" s="43" t="s">
        <v>1005</v>
      </c>
      <c r="K312" s="113">
        <v>46176.0</v>
      </c>
      <c r="L312" s="49" t="str">
        <f t="shared" si="2"/>
        <v>ENTREGADO</v>
      </c>
      <c r="M312" s="43" t="s">
        <v>1006</v>
      </c>
      <c r="N312" s="43" t="s">
        <v>1007</v>
      </c>
    </row>
    <row r="313" ht="22.5" hidden="1" customHeight="1">
      <c r="A313" s="101">
        <f>PEDIDOS!A313</f>
        <v>26111</v>
      </c>
      <c r="B313" s="102">
        <f>PEDIDOS!B313</f>
        <v>46163</v>
      </c>
      <c r="C313" s="103" t="str">
        <f>PEDIDOS!C313</f>
        <v/>
      </c>
      <c r="D313" s="102" t="str">
        <f>PEDIDOS!D313</f>
        <v>MURDA</v>
      </c>
      <c r="E313" s="102" t="str">
        <f>PEDIDOS!E313</f>
        <v>SERUM HIDRATANTE PARA CEJAS Y PESTAÑAS X 5 ml</v>
      </c>
      <c r="F313" s="104">
        <f>PEDIDOS!G313</f>
        <v>1500</v>
      </c>
      <c r="G313" s="104"/>
      <c r="H313" s="103" t="str">
        <f>PEDIDOS!F313</f>
        <v>P</v>
      </c>
      <c r="I313" s="99" t="str">
        <f t="shared" si="5"/>
        <v/>
      </c>
      <c r="J313" s="101"/>
      <c r="K313" s="101"/>
      <c r="L313" s="101" t="str">
        <f t="shared" si="2"/>
        <v>EN PROCESO</v>
      </c>
      <c r="M313" s="101"/>
      <c r="N313" s="101"/>
    </row>
    <row r="314" ht="22.5" hidden="1" customHeight="1">
      <c r="A314" s="49">
        <f>PEDIDOS!A314</f>
        <v>26111</v>
      </c>
      <c r="B314" s="81">
        <f>PEDIDOS!B314</f>
        <v>46163</v>
      </c>
      <c r="C314" s="97" t="str">
        <f>PEDIDOS!C314</f>
        <v/>
      </c>
      <c r="D314" s="81" t="str">
        <f>PEDIDOS!D314</f>
        <v>MURDA</v>
      </c>
      <c r="E314" s="81" t="str">
        <f>PEDIDOS!E314</f>
        <v>SERUM HIDRATANTE PARA CEJAS Y PESTAÑAS X 30 ml</v>
      </c>
      <c r="F314" s="98">
        <f>PEDIDOS!G314</f>
        <v>1000</v>
      </c>
      <c r="G314" s="98"/>
      <c r="H314" s="97" t="str">
        <f>PEDIDOS!F314</f>
        <v>P</v>
      </c>
      <c r="I314" s="99" t="str">
        <f t="shared" si="5"/>
        <v/>
      </c>
      <c r="J314" s="49"/>
      <c r="K314" s="49"/>
      <c r="L314" s="49" t="str">
        <f t="shared" si="2"/>
        <v>EN PROCESO</v>
      </c>
      <c r="M314" s="49"/>
      <c r="N314" s="49"/>
    </row>
    <row r="315" ht="22.5" hidden="1" customHeight="1">
      <c r="A315" s="101">
        <f>PEDIDOS!A315</f>
        <v>26112</v>
      </c>
      <c r="B315" s="102">
        <f>PEDIDOS!B315</f>
        <v>46163</v>
      </c>
      <c r="C315" s="103" t="str">
        <f>PEDIDOS!C315</f>
        <v/>
      </c>
      <c r="D315" s="102" t="str">
        <f>PEDIDOS!D315</f>
        <v>ORIGINAL BLACK</v>
      </c>
      <c r="E315" s="102" t="str">
        <f>PEDIDOS!E315</f>
        <v>POMADA MATE X50G</v>
      </c>
      <c r="F315" s="104">
        <f>PEDIDOS!G315</f>
        <v>1600</v>
      </c>
      <c r="G315" s="104">
        <f>22*65+73+5*55+28</f>
        <v>1806</v>
      </c>
      <c r="H315" s="103" t="str">
        <f>PEDIDOS!F315</f>
        <v>M</v>
      </c>
      <c r="I315" s="99">
        <f t="shared" si="5"/>
        <v>1.12875</v>
      </c>
      <c r="J315" s="108" t="s">
        <v>1008</v>
      </c>
      <c r="K315" s="120">
        <v>46184.0</v>
      </c>
      <c r="L315" s="101" t="str">
        <f t="shared" si="2"/>
        <v>ENTREGADO</v>
      </c>
      <c r="M315" s="108" t="s">
        <v>1009</v>
      </c>
      <c r="N315" s="108" t="s">
        <v>1010</v>
      </c>
    </row>
    <row r="316" ht="22.5" hidden="1" customHeight="1">
      <c r="A316" s="49">
        <f>PEDIDOS!A316</f>
        <v>26113</v>
      </c>
      <c r="B316" s="81">
        <f>PEDIDOS!B316</f>
        <v>46163</v>
      </c>
      <c r="C316" s="97" t="str">
        <f>PEDIDOS!C316</f>
        <v/>
      </c>
      <c r="D316" s="81" t="str">
        <f>PEDIDOS!D316</f>
        <v>PROFESSIONAL BEAUTY</v>
      </c>
      <c r="E316" s="81" t="str">
        <f>PEDIDOS!E316</f>
        <v>ADVANCE ACIDO HIALURONICO 2%</v>
      </c>
      <c r="F316" s="98">
        <f>PEDIDOS!G316</f>
        <v>500</v>
      </c>
      <c r="G316" s="114">
        <v>501.0</v>
      </c>
      <c r="H316" s="97" t="str">
        <f>PEDIDOS!F316</f>
        <v>P</v>
      </c>
      <c r="I316" s="99">
        <f t="shared" si="5"/>
        <v>1.002</v>
      </c>
      <c r="J316" s="43" t="s">
        <v>674</v>
      </c>
      <c r="K316" s="113">
        <v>46182.0</v>
      </c>
      <c r="L316" s="49" t="str">
        <f t="shared" si="2"/>
        <v>ENTREGADO</v>
      </c>
      <c r="M316" s="43" t="s">
        <v>1011</v>
      </c>
      <c r="N316" s="43">
        <v>20.0</v>
      </c>
    </row>
    <row r="317" ht="22.5" hidden="1" customHeight="1">
      <c r="A317" s="101">
        <f>PEDIDOS!A317</f>
        <v>26113</v>
      </c>
      <c r="B317" s="102">
        <f>PEDIDOS!B317</f>
        <v>46163</v>
      </c>
      <c r="C317" s="103" t="str">
        <f>PEDIDOS!C317</f>
        <v/>
      </c>
      <c r="D317" s="102" t="str">
        <f>PEDIDOS!D317</f>
        <v>PROFESSIONAL BEAUTY</v>
      </c>
      <c r="E317" s="102" t="str">
        <f>PEDIDOS!E317</f>
        <v>ADVANCE ACIDO HIALURONICO 1%</v>
      </c>
      <c r="F317" s="104">
        <f>PEDIDOS!G317</f>
        <v>500</v>
      </c>
      <c r="G317" s="104">
        <f>500+8</f>
        <v>508</v>
      </c>
      <c r="H317" s="103" t="str">
        <f>PEDIDOS!F317</f>
        <v>P</v>
      </c>
      <c r="I317" s="99">
        <f t="shared" si="5"/>
        <v>1.016</v>
      </c>
      <c r="J317" s="108" t="s">
        <v>1012</v>
      </c>
      <c r="K317" s="109">
        <v>46182.0</v>
      </c>
      <c r="L317" s="101" t="str">
        <f t="shared" si="2"/>
        <v>ENTREGADO</v>
      </c>
      <c r="M317" s="108" t="s">
        <v>754</v>
      </c>
      <c r="N317" s="108">
        <v>20.0</v>
      </c>
    </row>
    <row r="318" ht="22.5" hidden="1" customHeight="1">
      <c r="A318" s="49">
        <f>PEDIDOS!A318</f>
        <v>26113</v>
      </c>
      <c r="B318" s="81">
        <f>PEDIDOS!B318</f>
        <v>46163</v>
      </c>
      <c r="C318" s="97" t="str">
        <f>PEDIDOS!C318</f>
        <v/>
      </c>
      <c r="D318" s="81" t="str">
        <f>PEDIDOS!D318</f>
        <v>PROFESSIONAL BEAUTY</v>
      </c>
      <c r="E318" s="81" t="str">
        <f>PEDIDOS!E318</f>
        <v>ADVANCE DMAE 7%</v>
      </c>
      <c r="F318" s="98">
        <f>PEDIDOS!G318</f>
        <v>500</v>
      </c>
      <c r="G318" s="98">
        <f>500+40</f>
        <v>540</v>
      </c>
      <c r="H318" s="97" t="str">
        <f>PEDIDOS!F318</f>
        <v>P</v>
      </c>
      <c r="I318" s="99">
        <f t="shared" si="5"/>
        <v>1.08</v>
      </c>
      <c r="J318" s="43" t="s">
        <v>1013</v>
      </c>
      <c r="K318" s="113">
        <v>46182.0</v>
      </c>
      <c r="L318" s="49" t="str">
        <f t="shared" si="2"/>
        <v>ENTREGADO</v>
      </c>
      <c r="M318" s="43" t="s">
        <v>867</v>
      </c>
      <c r="N318" s="43">
        <v>20.0</v>
      </c>
    </row>
    <row r="319" ht="22.5" hidden="1" customHeight="1">
      <c r="A319" s="101">
        <f>PEDIDOS!A319</f>
        <v>26113</v>
      </c>
      <c r="B319" s="102">
        <f>PEDIDOS!B319</f>
        <v>46163</v>
      </c>
      <c r="C319" s="103" t="str">
        <f>PEDIDOS!C319</f>
        <v/>
      </c>
      <c r="D319" s="102" t="str">
        <f>PEDIDOS!D319</f>
        <v>PROFESSIONAL BEAUTY</v>
      </c>
      <c r="E319" s="102" t="str">
        <f>PEDIDOS!E319</f>
        <v>AQUAPEEL PG2</v>
      </c>
      <c r="F319" s="104">
        <f>PEDIDOS!G319</f>
        <v>500</v>
      </c>
      <c r="G319" s="104">
        <f>28*18+12</f>
        <v>516</v>
      </c>
      <c r="H319" s="103" t="str">
        <f>PEDIDOS!F319</f>
        <v>P</v>
      </c>
      <c r="I319" s="99">
        <f t="shared" si="5"/>
        <v>1.032</v>
      </c>
      <c r="J319" s="108" t="s">
        <v>1014</v>
      </c>
      <c r="K319" s="109">
        <v>46191.0</v>
      </c>
      <c r="L319" s="101" t="str">
        <f t="shared" si="2"/>
        <v>LISTO PARA ENTREGAR</v>
      </c>
      <c r="M319" s="108" t="s">
        <v>1015</v>
      </c>
      <c r="N319" s="101"/>
    </row>
    <row r="320" ht="22.5" hidden="1" customHeight="1">
      <c r="A320" s="49">
        <f>PEDIDOS!A320</f>
        <v>26113</v>
      </c>
      <c r="B320" s="81">
        <f>PEDIDOS!B320</f>
        <v>46163</v>
      </c>
      <c r="C320" s="97" t="str">
        <f>PEDIDOS!C320</f>
        <v/>
      </c>
      <c r="D320" s="81" t="str">
        <f>PEDIDOS!D320</f>
        <v>PROFESSIONAL BEAUTY</v>
      </c>
      <c r="E320" s="81" t="str">
        <f>PEDIDOS!E320</f>
        <v>ADVANCE ARG</v>
      </c>
      <c r="F320" s="98">
        <f>PEDIDOS!G320</f>
        <v>500</v>
      </c>
      <c r="G320" s="98">
        <f>500+10</f>
        <v>510</v>
      </c>
      <c r="H320" s="97" t="str">
        <f>PEDIDOS!F320</f>
        <v>P</v>
      </c>
      <c r="I320" s="99">
        <f t="shared" si="5"/>
        <v>1.02</v>
      </c>
      <c r="J320" s="43" t="s">
        <v>1016</v>
      </c>
      <c r="K320" s="113">
        <v>46182.0</v>
      </c>
      <c r="L320" s="49" t="str">
        <f t="shared" si="2"/>
        <v>ENTREGADO</v>
      </c>
      <c r="M320" s="43" t="s">
        <v>879</v>
      </c>
      <c r="N320" s="43">
        <v>20.0</v>
      </c>
    </row>
    <row r="321" ht="22.5" hidden="1" customHeight="1">
      <c r="A321" s="101">
        <f>PEDIDOS!A321</f>
        <v>26114</v>
      </c>
      <c r="B321" s="102">
        <f>PEDIDOS!B321</f>
        <v>46168</v>
      </c>
      <c r="C321" s="103">
        <f>PEDIDOS!C321</f>
        <v>15303</v>
      </c>
      <c r="D321" s="102" t="str">
        <f>PEDIDOS!D321</f>
        <v>THELMA Y LOUISE</v>
      </c>
      <c r="E321" s="102" t="str">
        <f>PEDIDOS!E321</f>
        <v>ACEITE CORPORAL COCO LIMA</v>
      </c>
      <c r="F321" s="104">
        <f>PEDIDOS!G321</f>
        <v>3300</v>
      </c>
      <c r="G321" s="107">
        <v>3078.0</v>
      </c>
      <c r="H321" s="103" t="str">
        <f>PEDIDOS!F321</f>
        <v>M</v>
      </c>
      <c r="I321" s="99">
        <f t="shared" si="5"/>
        <v>0.9327272727</v>
      </c>
      <c r="J321" s="108" t="s">
        <v>1017</v>
      </c>
      <c r="K321" s="109">
        <v>46203.0</v>
      </c>
      <c r="L321" s="101" t="str">
        <f t="shared" si="2"/>
        <v>ENTREGADO</v>
      </c>
      <c r="M321" s="122" t="s">
        <v>1018</v>
      </c>
      <c r="N321" s="108">
        <v>47.0</v>
      </c>
    </row>
    <row r="322" ht="22.5" hidden="1" customHeight="1">
      <c r="A322" s="49">
        <f>PEDIDOS!A322</f>
        <v>26115</v>
      </c>
      <c r="B322" s="81">
        <f>PEDIDOS!B322</f>
        <v>46160</v>
      </c>
      <c r="C322" s="97" t="str">
        <f>PEDIDOS!C322</f>
        <v/>
      </c>
      <c r="D322" s="81" t="str">
        <f>PEDIDOS!D322</f>
        <v>UNICA</v>
      </c>
      <c r="E322" s="81" t="str">
        <f>PEDIDOS!E322</f>
        <v>AGUA MICELAR</v>
      </c>
      <c r="F322" s="98">
        <f>PEDIDOS!G322</f>
        <v>500</v>
      </c>
      <c r="G322" s="98">
        <f>10*48+10</f>
        <v>490</v>
      </c>
      <c r="H322" s="97" t="str">
        <f>PEDIDOS!F322</f>
        <v>M</v>
      </c>
      <c r="I322" s="99">
        <f t="shared" si="5"/>
        <v>0.98</v>
      </c>
      <c r="J322" s="43" t="s">
        <v>1019</v>
      </c>
      <c r="K322" s="113">
        <v>46184.0</v>
      </c>
      <c r="L322" s="49" t="str">
        <f t="shared" si="2"/>
        <v>ENTREGADO</v>
      </c>
      <c r="M322" s="43">
        <v>110601.0</v>
      </c>
      <c r="N322" s="43">
        <v>120626.0</v>
      </c>
    </row>
    <row r="323" ht="22.5" hidden="1" customHeight="1">
      <c r="A323" s="101">
        <f>PEDIDOS!A323</f>
        <v>26116</v>
      </c>
      <c r="B323" s="102">
        <f>PEDIDOS!B323</f>
        <v>46169</v>
      </c>
      <c r="C323" s="103" t="str">
        <f>PEDIDOS!C323</f>
        <v/>
      </c>
      <c r="D323" s="102" t="str">
        <f>PEDIDOS!D323</f>
        <v>COSMECEUTICALS</v>
      </c>
      <c r="E323" s="102" t="str">
        <f>PEDIDOS!E323</f>
        <v>CREMA PDND NAD+ (airless)</v>
      </c>
      <c r="F323" s="104">
        <f>PEDIDOS!G323</f>
        <v>1000</v>
      </c>
      <c r="G323" s="104">
        <f>82*12+9</f>
        <v>993</v>
      </c>
      <c r="H323" s="103" t="str">
        <f>PEDIDOS!F323</f>
        <v>P</v>
      </c>
      <c r="I323" s="99">
        <f t="shared" si="5"/>
        <v>0.993</v>
      </c>
      <c r="J323" s="108" t="s">
        <v>1020</v>
      </c>
      <c r="K323" s="109">
        <v>46185.0</v>
      </c>
      <c r="L323" s="101" t="str">
        <f t="shared" si="2"/>
        <v>ENTREGADO</v>
      </c>
      <c r="M323" s="108" t="s">
        <v>1021</v>
      </c>
      <c r="N323" s="108">
        <v>29.0</v>
      </c>
    </row>
    <row r="324" ht="22.5" hidden="1" customHeight="1">
      <c r="A324" s="49">
        <f>PEDIDOS!A324</f>
        <v>26116</v>
      </c>
      <c r="B324" s="81">
        <f>PEDIDOS!B324</f>
        <v>46169</v>
      </c>
      <c r="C324" s="97" t="str">
        <f>PEDIDOS!C324</f>
        <v/>
      </c>
      <c r="D324" s="81" t="str">
        <f>PEDIDOS!D324</f>
        <v>COSMECEUTICALS</v>
      </c>
      <c r="E324" s="81" t="str">
        <f>PEDIDOS!E324</f>
        <v>ESPUMA MICELAR</v>
      </c>
      <c r="F324" s="98">
        <f>PEDIDOS!G324</f>
        <v>1000</v>
      </c>
      <c r="G324" s="114">
        <v>1020.0</v>
      </c>
      <c r="H324" s="97" t="str">
        <f>PEDIDOS!F324</f>
        <v>P</v>
      </c>
      <c r="I324" s="99">
        <f t="shared" si="5"/>
        <v>1.02</v>
      </c>
      <c r="J324" s="43" t="s">
        <v>1022</v>
      </c>
      <c r="K324" s="113">
        <v>46183.0</v>
      </c>
      <c r="L324" s="49" t="str">
        <f t="shared" si="2"/>
        <v>ENTREGADO</v>
      </c>
      <c r="M324" s="43" t="s">
        <v>1023</v>
      </c>
      <c r="N324" s="43">
        <v>29.0</v>
      </c>
    </row>
    <row r="325" ht="22.5" hidden="1" customHeight="1">
      <c r="A325" s="101">
        <f>PEDIDOS!A325</f>
        <v>26117</v>
      </c>
      <c r="B325" s="102">
        <f>PEDIDOS!B325</f>
        <v>46170</v>
      </c>
      <c r="C325" s="103" t="str">
        <f>PEDIDOS!C325</f>
        <v/>
      </c>
      <c r="D325" s="102" t="str">
        <f>PEDIDOS!D325</f>
        <v>AGUEDA REY - KUNST</v>
      </c>
      <c r="E325" s="102" t="str">
        <f>PEDIDOS!E325</f>
        <v>Alisado Capilar D260021/2</v>
      </c>
      <c r="F325" s="104">
        <f>PEDIDOS!G325</f>
        <v>300</v>
      </c>
      <c r="G325" s="104">
        <f>13*22+13</f>
        <v>299</v>
      </c>
      <c r="H325" s="103" t="str">
        <f>PEDIDOS!F325</f>
        <v>M</v>
      </c>
      <c r="I325" s="99">
        <f t="shared" si="5"/>
        <v>0.9966666667</v>
      </c>
      <c r="J325" s="108" t="s">
        <v>1024</v>
      </c>
      <c r="K325" s="109">
        <v>46198.0</v>
      </c>
      <c r="L325" s="101" t="str">
        <f t="shared" si="2"/>
        <v>LISTO PARA ENTREGAR</v>
      </c>
      <c r="M325" s="108" t="s">
        <v>1025</v>
      </c>
      <c r="N325" s="101"/>
    </row>
    <row r="326" ht="22.5" hidden="1" customHeight="1">
      <c r="A326" s="49">
        <f>PEDIDOS!A326</f>
        <v>26117</v>
      </c>
      <c r="B326" s="81">
        <f>PEDIDOS!B326</f>
        <v>46170</v>
      </c>
      <c r="C326" s="97" t="str">
        <f>PEDIDOS!C326</f>
        <v/>
      </c>
      <c r="D326" s="81" t="str">
        <f>PEDIDOS!D326</f>
        <v>AGUEDA REY - KUNST</v>
      </c>
      <c r="E326" s="81" t="str">
        <f>PEDIDOS!E326</f>
        <v>Alisado Capilar D260021/2</v>
      </c>
      <c r="F326" s="98">
        <f>PEDIDOS!G326</f>
        <v>500</v>
      </c>
      <c r="G326" s="98">
        <f>83*6+2</f>
        <v>500</v>
      </c>
      <c r="H326" s="97" t="str">
        <f>PEDIDOS!F326</f>
        <v>M</v>
      </c>
      <c r="I326" s="99">
        <f t="shared" si="5"/>
        <v>1</v>
      </c>
      <c r="J326" s="43" t="s">
        <v>1026</v>
      </c>
      <c r="K326" s="113">
        <v>46198.0</v>
      </c>
      <c r="L326" s="49" t="str">
        <f t="shared" si="2"/>
        <v>LISTO PARA ENTREGAR</v>
      </c>
      <c r="M326" s="43" t="s">
        <v>1025</v>
      </c>
      <c r="N326" s="49"/>
    </row>
    <row r="327" ht="22.5" hidden="1" customHeight="1">
      <c r="A327" s="101">
        <f>PEDIDOS!A327</f>
        <v>26118</v>
      </c>
      <c r="B327" s="102">
        <f>PEDIDOS!B327</f>
        <v>46170</v>
      </c>
      <c r="C327" s="103" t="str">
        <f>PEDIDOS!C327</f>
        <v/>
      </c>
      <c r="D327" s="102" t="str">
        <f>PEDIDOS!D327</f>
        <v>LUCENT</v>
      </c>
      <c r="E327" s="102" t="str">
        <f>PEDIDOS!E327</f>
        <v>SKIN GLOW HIDROLIZADO DE COLAGENO</v>
      </c>
      <c r="F327" s="104">
        <f>PEDIDOS!G327</f>
        <v>1000</v>
      </c>
      <c r="G327" s="104">
        <f>154+2*270+135</f>
        <v>829</v>
      </c>
      <c r="H327" s="103" t="str">
        <f>PEDIDOS!F327</f>
        <v>P</v>
      </c>
      <c r="I327" s="99">
        <f t="shared" si="5"/>
        <v>0.829</v>
      </c>
      <c r="J327" s="108" t="s">
        <v>1027</v>
      </c>
      <c r="K327" s="109">
        <v>46174.0</v>
      </c>
      <c r="L327" s="101" t="str">
        <f t="shared" si="2"/>
        <v>ENTREGADO</v>
      </c>
      <c r="M327" s="108" t="s">
        <v>1028</v>
      </c>
      <c r="N327" s="108" t="s">
        <v>1029</v>
      </c>
    </row>
    <row r="328" ht="22.5" hidden="1" customHeight="1">
      <c r="A328" s="49">
        <f>PEDIDOS!A328</f>
        <v>26119</v>
      </c>
      <c r="B328" s="81">
        <f>PEDIDOS!B328</f>
        <v>46174</v>
      </c>
      <c r="C328" s="97">
        <f>PEDIDOS!C328</f>
        <v>147</v>
      </c>
      <c r="D328" s="81" t="str">
        <f>PEDIDOS!D328</f>
        <v>ICONO</v>
      </c>
      <c r="E328" s="81" t="str">
        <f>PEDIDOS!E328</f>
        <v>CREMA EQUILIBRANTE NIACINAMIDA</v>
      </c>
      <c r="F328" s="98">
        <f>PEDIDOS!G328</f>
        <v>2000</v>
      </c>
      <c r="G328" s="98">
        <f>54*36+16</f>
        <v>1960</v>
      </c>
      <c r="H328" s="97" t="str">
        <f>PEDIDOS!F328</f>
        <v>P</v>
      </c>
      <c r="I328" s="99">
        <f t="shared" si="5"/>
        <v>0.98</v>
      </c>
      <c r="J328" s="43" t="s">
        <v>1030</v>
      </c>
      <c r="K328" s="113">
        <v>46192.0</v>
      </c>
      <c r="L328" s="49" t="str">
        <f t="shared" si="2"/>
        <v>ENTREGADO</v>
      </c>
      <c r="M328" s="43" t="s">
        <v>1031</v>
      </c>
      <c r="N328" s="43">
        <v>43.0</v>
      </c>
    </row>
    <row r="329" ht="22.5" hidden="1" customHeight="1">
      <c r="A329" s="101">
        <f>PEDIDOS!A329</f>
        <v>26119</v>
      </c>
      <c r="B329" s="102">
        <f>PEDIDOS!B329</f>
        <v>46174</v>
      </c>
      <c r="C329" s="103">
        <f>PEDIDOS!C329</f>
        <v>147</v>
      </c>
      <c r="D329" s="102" t="str">
        <f>PEDIDOS!D329</f>
        <v>ICONO</v>
      </c>
      <c r="E329" s="102" t="str">
        <f>PEDIDOS!E329</f>
        <v>MASCARA DESINCRUSTANTE DE PAPAYA x 250GR.</v>
      </c>
      <c r="F329" s="104">
        <f>PEDIDOS!G329</f>
        <v>3000</v>
      </c>
      <c r="G329" s="107">
        <v>2994.0</v>
      </c>
      <c r="H329" s="103" t="str">
        <f>PEDIDOS!F329</f>
        <v>M</v>
      </c>
      <c r="I329" s="99">
        <f t="shared" si="5"/>
        <v>0.998</v>
      </c>
      <c r="J329" s="108" t="s">
        <v>1032</v>
      </c>
      <c r="K329" s="117">
        <v>46195.0</v>
      </c>
      <c r="L329" s="101" t="str">
        <f t="shared" si="2"/>
        <v>ENTREGADO</v>
      </c>
      <c r="M329" s="108" t="s">
        <v>1033</v>
      </c>
      <c r="N329" s="108">
        <v>43.0</v>
      </c>
    </row>
    <row r="330" ht="22.5" hidden="1" customHeight="1">
      <c r="A330" s="49">
        <f>PEDIDOS!A330</f>
        <v>26120</v>
      </c>
      <c r="B330" s="81">
        <f>PEDIDOS!B330</f>
        <v>46174</v>
      </c>
      <c r="C330" s="97" t="str">
        <f>PEDIDOS!C330</f>
        <v>#P01362</v>
      </c>
      <c r="D330" s="81" t="str">
        <f>PEDIDOS!D330</f>
        <v>BIOESENCIA</v>
      </c>
      <c r="E330" s="81" t="str">
        <f>PEDIDOS!E330</f>
        <v>GEL DE LIMPIEZA VEGAN</v>
      </c>
      <c r="F330" s="98">
        <f>PEDIDOS!G330</f>
        <v>1000</v>
      </c>
      <c r="G330" s="98">
        <f>10*56+7*56+30</f>
        <v>982</v>
      </c>
      <c r="H330" s="97" t="str">
        <f>PEDIDOS!F330</f>
        <v>M</v>
      </c>
      <c r="I330" s="99">
        <f t="shared" si="5"/>
        <v>0.982</v>
      </c>
      <c r="J330" s="43" t="s">
        <v>1034</v>
      </c>
      <c r="K330" s="113">
        <v>46196.0</v>
      </c>
      <c r="L330" s="49" t="str">
        <f t="shared" si="2"/>
        <v>ENTREGADO</v>
      </c>
      <c r="M330" s="43">
        <v>110602.0</v>
      </c>
      <c r="N330" s="43">
        <v>300626.0</v>
      </c>
    </row>
    <row r="331" ht="22.5" hidden="1" customHeight="1">
      <c r="A331" s="101">
        <f>PEDIDOS!A331</f>
        <v>26120</v>
      </c>
      <c r="B331" s="102">
        <f>PEDIDOS!B331</f>
        <v>46174</v>
      </c>
      <c r="C331" s="103" t="str">
        <f>PEDIDOS!C331</f>
        <v>#P01362</v>
      </c>
      <c r="D331" s="102" t="str">
        <f>PEDIDOS!D331</f>
        <v>BIOESENCIA</v>
      </c>
      <c r="E331" s="102" t="str">
        <f>PEDIDOS!E331</f>
        <v>CREMA DIA ORIGENES</v>
      </c>
      <c r="F331" s="104">
        <f>PEDIDOS!G331</f>
        <v>1000</v>
      </c>
      <c r="G331" s="104">
        <f>5*156+166</f>
        <v>946</v>
      </c>
      <c r="H331" s="103" t="str">
        <f>PEDIDOS!F331</f>
        <v>M</v>
      </c>
      <c r="I331" s="99">
        <f t="shared" si="5"/>
        <v>0.946</v>
      </c>
      <c r="J331" s="108" t="s">
        <v>1035</v>
      </c>
      <c r="K331" s="109">
        <v>46183.0</v>
      </c>
      <c r="L331" s="101" t="str">
        <f t="shared" si="2"/>
        <v>ENTREGADO</v>
      </c>
      <c r="M331" s="108">
        <v>100601.0</v>
      </c>
      <c r="N331" s="108">
        <v>170626.0</v>
      </c>
    </row>
    <row r="332" ht="22.5" hidden="1" customHeight="1">
      <c r="A332" s="49">
        <f>PEDIDOS!A332</f>
        <v>26120</v>
      </c>
      <c r="B332" s="81">
        <f>PEDIDOS!B332</f>
        <v>46174</v>
      </c>
      <c r="C332" s="97" t="str">
        <f>PEDIDOS!C332</f>
        <v>#P01362</v>
      </c>
      <c r="D332" s="81" t="str">
        <f>PEDIDOS!D332</f>
        <v>BIOESENCIA</v>
      </c>
      <c r="E332" s="81" t="str">
        <f>PEDIDOS!E332</f>
        <v>CREMA MEN INTENSIVE CARE</v>
      </c>
      <c r="F332" s="98">
        <f>PEDIDOS!G332</f>
        <v>1000</v>
      </c>
      <c r="G332" s="114">
        <v>987.0</v>
      </c>
      <c r="H332" s="97" t="str">
        <f>PEDIDOS!F332</f>
        <v>M</v>
      </c>
      <c r="I332" s="99">
        <f t="shared" si="5"/>
        <v>0.987</v>
      </c>
      <c r="J332" s="43" t="s">
        <v>1036</v>
      </c>
      <c r="K332" s="115">
        <v>46176.0</v>
      </c>
      <c r="L332" s="49" t="str">
        <f t="shared" si="2"/>
        <v>ENTREGADO</v>
      </c>
      <c r="M332" s="43">
        <v>280502.0</v>
      </c>
      <c r="N332" s="43">
        <v>30626.0</v>
      </c>
    </row>
    <row r="333" ht="22.5" hidden="1" customHeight="1">
      <c r="A333" s="101">
        <f>PEDIDOS!A333</f>
        <v>26121</v>
      </c>
      <c r="B333" s="102">
        <f>PEDIDOS!B333</f>
        <v>46169</v>
      </c>
      <c r="C333" s="103" t="str">
        <f>PEDIDOS!C333</f>
        <v>10A</v>
      </c>
      <c r="D333" s="102" t="str">
        <f>PEDIDOS!D333</f>
        <v>ORIGINAL BLACK</v>
      </c>
      <c r="E333" s="102" t="str">
        <f>PEDIDOS!E333</f>
        <v>AFTER SHAVE AZUL</v>
      </c>
      <c r="F333" s="104">
        <f>PEDIDOS!G333</f>
        <v>4000</v>
      </c>
      <c r="G333" s="104">
        <f>1200+480+564</f>
        <v>2244</v>
      </c>
      <c r="H333" s="103" t="str">
        <f>PEDIDOS!F333</f>
        <v>M</v>
      </c>
      <c r="I333" s="99">
        <f t="shared" si="5"/>
        <v>0.561</v>
      </c>
      <c r="J333" s="108" t="s">
        <v>1037</v>
      </c>
      <c r="K333" s="101"/>
      <c r="L333" s="101" t="str">
        <f t="shared" si="2"/>
        <v>EN PROCESO</v>
      </c>
      <c r="M333" s="101"/>
      <c r="N333" s="101"/>
    </row>
    <row r="334" ht="22.5" hidden="1" customHeight="1">
      <c r="A334" s="49">
        <f>PEDIDOS!A334</f>
        <v>26121</v>
      </c>
      <c r="B334" s="81">
        <f>PEDIDOS!B334</f>
        <v>46169</v>
      </c>
      <c r="C334" s="97" t="str">
        <f>PEDIDOS!C334</f>
        <v>10A</v>
      </c>
      <c r="D334" s="81" t="str">
        <f>PEDIDOS!D334</f>
        <v>ORIGINAL BLACK</v>
      </c>
      <c r="E334" s="81" t="str">
        <f>PEDIDOS!E334</f>
        <v>AFTER SHAVE VERDE</v>
      </c>
      <c r="F334" s="98">
        <f>PEDIDOS!G334</f>
        <v>2000</v>
      </c>
      <c r="G334" s="98">
        <f>1104+996</f>
        <v>2100</v>
      </c>
      <c r="H334" s="97" t="str">
        <f>PEDIDOS!F334</f>
        <v>M</v>
      </c>
      <c r="I334" s="99">
        <f t="shared" si="5"/>
        <v>1.05</v>
      </c>
      <c r="J334" s="43" t="s">
        <v>1038</v>
      </c>
      <c r="K334" s="118">
        <v>46183.0</v>
      </c>
      <c r="L334" s="49" t="str">
        <f t="shared" si="2"/>
        <v>ENTREGADO</v>
      </c>
      <c r="M334" s="49"/>
      <c r="N334" s="43" t="s">
        <v>1039</v>
      </c>
    </row>
    <row r="335" ht="22.5" hidden="1" customHeight="1">
      <c r="A335" s="101">
        <f>PEDIDOS!A335</f>
        <v>26121</v>
      </c>
      <c r="B335" s="102">
        <f>PEDIDOS!B335</f>
        <v>46169</v>
      </c>
      <c r="C335" s="103" t="str">
        <f>PEDIDOS!C335</f>
        <v>10A</v>
      </c>
      <c r="D335" s="102" t="str">
        <f>PEDIDOS!D335</f>
        <v>ORIGINAL BLACK</v>
      </c>
      <c r="E335" s="102" t="str">
        <f>PEDIDOS!E335</f>
        <v>AFTER SHAVE VIOLETA</v>
      </c>
      <c r="F335" s="104">
        <f>PEDIDOS!G335</f>
        <v>4000</v>
      </c>
      <c r="G335" s="107">
        <f>2400+204</f>
        <v>2604</v>
      </c>
      <c r="H335" s="103" t="str">
        <f>PEDIDOS!F335</f>
        <v>M</v>
      </c>
      <c r="I335" s="99">
        <f t="shared" si="5"/>
        <v>0.651</v>
      </c>
      <c r="J335" s="108" t="s">
        <v>1040</v>
      </c>
      <c r="K335" s="101"/>
      <c r="L335" s="101" t="str">
        <f t="shared" si="2"/>
        <v>EN PROCESO</v>
      </c>
      <c r="M335" s="101"/>
      <c r="N335" s="101"/>
    </row>
    <row r="336" ht="22.5" hidden="1" customHeight="1">
      <c r="A336" s="49">
        <f>PEDIDOS!A336</f>
        <v>26122</v>
      </c>
      <c r="B336" s="81">
        <f>PEDIDOS!B336</f>
        <v>46181</v>
      </c>
      <c r="C336" s="97">
        <f>PEDIDOS!C336</f>
        <v>1090</v>
      </c>
      <c r="D336" s="81" t="str">
        <f>PEDIDOS!D336</f>
        <v>NIZA</v>
      </c>
      <c r="E336" s="81" t="str">
        <f>PEDIDOS!E336</f>
        <v>AQUA BOMB RICH X 250 ML</v>
      </c>
      <c r="F336" s="98">
        <f>PEDIDOS!G336</f>
        <v>300</v>
      </c>
      <c r="G336" s="114">
        <v>286.0</v>
      </c>
      <c r="H336" s="97" t="str">
        <f>PEDIDOS!F336</f>
        <v>P</v>
      </c>
      <c r="I336" s="99">
        <f t="shared" si="5"/>
        <v>0.9533333333</v>
      </c>
      <c r="J336" s="43" t="s">
        <v>1041</v>
      </c>
      <c r="K336" s="113">
        <v>46204.0</v>
      </c>
      <c r="L336" s="49" t="str">
        <f t="shared" si="2"/>
        <v>LISTO PARA ENTREGAR</v>
      </c>
      <c r="M336" s="43" t="s">
        <v>1042</v>
      </c>
      <c r="N336" s="49"/>
    </row>
    <row r="337" ht="22.5" hidden="1" customHeight="1">
      <c r="A337" s="101">
        <f>PEDIDOS!A337</f>
        <v>26122</v>
      </c>
      <c r="B337" s="102">
        <f>PEDIDOS!B337</f>
        <v>46181</v>
      </c>
      <c r="C337" s="103">
        <f>PEDIDOS!C337</f>
        <v>1090</v>
      </c>
      <c r="D337" s="102" t="str">
        <f>PEDIDOS!D337</f>
        <v>NIZA</v>
      </c>
      <c r="E337" s="102" t="str">
        <f>PEDIDOS!E337</f>
        <v>MIXOLOGY DESVITALIZADA X300ML</v>
      </c>
      <c r="F337" s="104">
        <f>PEDIDOS!G337</f>
        <v>300</v>
      </c>
      <c r="G337" s="104"/>
      <c r="H337" s="103" t="str">
        <f>PEDIDOS!F337</f>
        <v>P</v>
      </c>
      <c r="I337" s="99" t="str">
        <f t="shared" si="5"/>
        <v/>
      </c>
      <c r="J337" s="101"/>
      <c r="K337" s="101"/>
      <c r="L337" s="101" t="str">
        <f t="shared" si="2"/>
        <v>EN PROCESO</v>
      </c>
      <c r="M337" s="101"/>
      <c r="N337" s="101"/>
    </row>
    <row r="338" ht="22.5" hidden="1" customHeight="1">
      <c r="A338" s="49">
        <f>PEDIDOS!A338</f>
        <v>26122</v>
      </c>
      <c r="B338" s="81">
        <f>PEDIDOS!B338</f>
        <v>46181</v>
      </c>
      <c r="C338" s="97">
        <f>PEDIDOS!C338</f>
        <v>1090</v>
      </c>
      <c r="D338" s="81" t="str">
        <f>PEDIDOS!D338</f>
        <v>NIZA</v>
      </c>
      <c r="E338" s="81" t="str">
        <f>PEDIDOS!E338</f>
        <v>PROBIOTONIC BALANCE X500ML</v>
      </c>
      <c r="F338" s="98">
        <f>PEDIDOS!G338</f>
        <v>300</v>
      </c>
      <c r="G338" s="114">
        <v>302.0</v>
      </c>
      <c r="H338" s="97" t="str">
        <f>PEDIDOS!F338</f>
        <v>P</v>
      </c>
      <c r="I338" s="99">
        <f t="shared" si="5"/>
        <v>1.006666667</v>
      </c>
      <c r="J338" s="43" t="s">
        <v>1043</v>
      </c>
      <c r="K338" s="113">
        <v>46204.0</v>
      </c>
      <c r="L338" s="49" t="str">
        <f t="shared" si="2"/>
        <v>LISTO PARA ENTREGAR</v>
      </c>
      <c r="M338" s="43" t="s">
        <v>1044</v>
      </c>
      <c r="N338" s="49"/>
    </row>
    <row r="339" ht="22.5" hidden="1" customHeight="1">
      <c r="A339" s="101">
        <f>PEDIDOS!A339</f>
        <v>26122</v>
      </c>
      <c r="B339" s="102">
        <f>PEDIDOS!B339</f>
        <v>46181</v>
      </c>
      <c r="C339" s="103">
        <f>PEDIDOS!C339</f>
        <v>1090</v>
      </c>
      <c r="D339" s="102" t="str">
        <f>PEDIDOS!D339</f>
        <v>NIZA</v>
      </c>
      <c r="E339" s="102" t="str">
        <f>PEDIDOS!E339</f>
        <v>PROBIOTONIC HYDRA X500ML</v>
      </c>
      <c r="F339" s="104">
        <f>PEDIDOS!G339</f>
        <v>300</v>
      </c>
      <c r="G339" s="107">
        <v>308.0</v>
      </c>
      <c r="H339" s="103" t="str">
        <f>PEDIDOS!F339</f>
        <v>P</v>
      </c>
      <c r="I339" s="99">
        <f t="shared" si="5"/>
        <v>1.026666667</v>
      </c>
      <c r="J339" s="108" t="s">
        <v>1045</v>
      </c>
      <c r="K339" s="109">
        <v>46204.0</v>
      </c>
      <c r="L339" s="101" t="str">
        <f t="shared" si="2"/>
        <v>LISTO PARA ENTREGAR</v>
      </c>
      <c r="M339" s="108" t="s">
        <v>1046</v>
      </c>
      <c r="N339" s="101"/>
    </row>
    <row r="340" ht="22.5" hidden="1" customHeight="1">
      <c r="A340" s="49">
        <f>PEDIDOS!A340</f>
        <v>26123</v>
      </c>
      <c r="B340" s="81">
        <f>PEDIDOS!B340</f>
        <v>46178</v>
      </c>
      <c r="C340" s="97" t="str">
        <f>PEDIDOS!C340</f>
        <v/>
      </c>
      <c r="D340" s="81" t="str">
        <f>PEDIDOS!D340</f>
        <v>THELMA Y LOUISE</v>
      </c>
      <c r="E340" s="81" t="str">
        <f>PEDIDOS!E340</f>
        <v>ALCOHOL EN GEL TYL CHERRY</v>
      </c>
      <c r="F340" s="98">
        <f>PEDIDOS!G340</f>
        <v>5000</v>
      </c>
      <c r="G340" s="114">
        <v>5137.0</v>
      </c>
      <c r="H340" s="97" t="str">
        <f>PEDIDOS!F340</f>
        <v>M</v>
      </c>
      <c r="I340" s="99">
        <f t="shared" si="5"/>
        <v>1.0274</v>
      </c>
      <c r="J340" s="43" t="s">
        <v>1047</v>
      </c>
      <c r="K340" s="115">
        <v>46192.0</v>
      </c>
      <c r="L340" s="49" t="str">
        <f t="shared" si="2"/>
        <v>ENTREGADO</v>
      </c>
      <c r="M340" s="43">
        <v>120601.0</v>
      </c>
      <c r="N340" s="43">
        <v>230626.0</v>
      </c>
    </row>
    <row r="341" ht="22.5" hidden="1" customHeight="1">
      <c r="A341" s="101">
        <f>PEDIDOS!A341</f>
        <v>26123</v>
      </c>
      <c r="B341" s="102">
        <f>PEDIDOS!B341</f>
        <v>46178</v>
      </c>
      <c r="C341" s="103" t="str">
        <f>PEDIDOS!C341</f>
        <v/>
      </c>
      <c r="D341" s="102" t="str">
        <f>PEDIDOS!D341</f>
        <v>THELMA Y LOUISE</v>
      </c>
      <c r="E341" s="102" t="str">
        <f>PEDIDOS!E341</f>
        <v>ALCOHOL EN GEL TYL FRUTILLA</v>
      </c>
      <c r="F341" s="104">
        <f>PEDIDOS!G341</f>
        <v>5000</v>
      </c>
      <c r="G341" s="107">
        <v>4930.0</v>
      </c>
      <c r="H341" s="103" t="str">
        <f>PEDIDOS!F341</f>
        <v>M</v>
      </c>
      <c r="I341" s="99">
        <f t="shared" si="5"/>
        <v>0.986</v>
      </c>
      <c r="J341" s="108" t="s">
        <v>1048</v>
      </c>
      <c r="K341" s="117">
        <v>46203.0</v>
      </c>
      <c r="L341" s="101" t="str">
        <f t="shared" si="2"/>
        <v>ENTREGADO</v>
      </c>
      <c r="M341" s="108">
        <v>190601.0</v>
      </c>
      <c r="N341" s="108" t="s">
        <v>1049</v>
      </c>
    </row>
    <row r="342" ht="22.5" hidden="1" customHeight="1">
      <c r="A342" s="49">
        <f>PEDIDOS!A342</f>
        <v>26124</v>
      </c>
      <c r="B342" s="81">
        <f>PEDIDOS!B342</f>
        <v>46181</v>
      </c>
      <c r="C342" s="97" t="str">
        <f>PEDIDOS!C342</f>
        <v>N° .0703240143</v>
      </c>
      <c r="D342" s="81" t="str">
        <f>PEDIDOS!D342</f>
        <v>BENNIE</v>
      </c>
      <c r="E342" s="81" t="str">
        <f>PEDIDOS!E342</f>
        <v>SERUM BOOBIE DROPS</v>
      </c>
      <c r="F342" s="98">
        <f>PEDIDOS!G342</f>
        <v>2100</v>
      </c>
      <c r="G342" s="98">
        <f>38*55+33+7</f>
        <v>2130</v>
      </c>
      <c r="H342" s="97" t="str">
        <f>PEDIDOS!F342</f>
        <v>P</v>
      </c>
      <c r="I342" s="99">
        <f t="shared" si="5"/>
        <v>1.014285714</v>
      </c>
      <c r="J342" s="43" t="s">
        <v>1050</v>
      </c>
      <c r="K342" s="113">
        <v>46221.0</v>
      </c>
      <c r="L342" s="49" t="str">
        <f t="shared" si="2"/>
        <v>ENTREGADO</v>
      </c>
      <c r="M342" s="43" t="s">
        <v>1051</v>
      </c>
      <c r="N342" s="43">
        <v>38.0</v>
      </c>
    </row>
    <row r="343" ht="22.5" hidden="1" customHeight="1">
      <c r="A343" s="101">
        <f>PEDIDOS!A343</f>
        <v>26125</v>
      </c>
      <c r="B343" s="102">
        <f>PEDIDOS!B343</f>
        <v>46182</v>
      </c>
      <c r="C343" s="103" t="str">
        <f>PEDIDOS!C343</f>
        <v/>
      </c>
      <c r="D343" s="102" t="str">
        <f>PEDIDOS!D343</f>
        <v>CRISLY</v>
      </c>
      <c r="E343" s="102" t="str">
        <f>PEDIDOS!E343</f>
        <v>LECHE EMOLIENTE AVENA</v>
      </c>
      <c r="F343" s="104">
        <f>PEDIDOS!G343</f>
        <v>500</v>
      </c>
      <c r="G343" s="104">
        <f>46*12+11</f>
        <v>563</v>
      </c>
      <c r="H343" s="103" t="str">
        <f>PEDIDOS!F343</f>
        <v>M</v>
      </c>
      <c r="I343" s="99">
        <f t="shared" si="5"/>
        <v>1.126</v>
      </c>
      <c r="J343" s="108" t="s">
        <v>1052</v>
      </c>
      <c r="K343" s="109">
        <v>46195.0</v>
      </c>
      <c r="L343" s="101" t="str">
        <f t="shared" si="2"/>
        <v>ENTREGADO</v>
      </c>
      <c r="M343" s="108" t="s">
        <v>1053</v>
      </c>
      <c r="N343" s="108">
        <v>45.0</v>
      </c>
    </row>
    <row r="344" ht="22.5" hidden="1" customHeight="1">
      <c r="A344" s="49">
        <f>PEDIDOS!A344</f>
        <v>26126</v>
      </c>
      <c r="B344" s="81">
        <f>PEDIDOS!B344</f>
        <v>46174</v>
      </c>
      <c r="C344" s="97" t="str">
        <f>PEDIDOS!C344</f>
        <v>10B</v>
      </c>
      <c r="D344" s="81" t="str">
        <f>PEDIDOS!D344</f>
        <v>ORIGINAL BLACK</v>
      </c>
      <c r="E344" s="81" t="str">
        <f>PEDIDOS!E344</f>
        <v>AFTER SHAVE AZUL</v>
      </c>
      <c r="F344" s="98">
        <f>PEDIDOS!G344</f>
        <v>4000</v>
      </c>
      <c r="G344" s="98"/>
      <c r="H344" s="97" t="str">
        <f>PEDIDOS!F344</f>
        <v>M</v>
      </c>
      <c r="I344" s="99" t="str">
        <f t="shared" si="5"/>
        <v/>
      </c>
      <c r="J344" s="49"/>
      <c r="K344" s="49"/>
      <c r="L344" s="49" t="str">
        <f t="shared" si="2"/>
        <v>EN PROCESO</v>
      </c>
      <c r="M344" s="49"/>
      <c r="N344" s="49"/>
    </row>
    <row r="345" ht="22.5" hidden="1" customHeight="1">
      <c r="A345" s="101">
        <f>PEDIDOS!A345</f>
        <v>26126</v>
      </c>
      <c r="B345" s="102">
        <f>PEDIDOS!B345</f>
        <v>46174</v>
      </c>
      <c r="C345" s="103" t="str">
        <f>PEDIDOS!C345</f>
        <v>10B</v>
      </c>
      <c r="D345" s="102" t="str">
        <f>PEDIDOS!D345</f>
        <v>ORIGINAL BLACK</v>
      </c>
      <c r="E345" s="102" t="str">
        <f>PEDIDOS!E345</f>
        <v>AFTER SHAVE VERDE</v>
      </c>
      <c r="F345" s="104">
        <f>PEDIDOS!G345</f>
        <v>2000</v>
      </c>
      <c r="G345" s="107">
        <v>2400.0</v>
      </c>
      <c r="H345" s="103" t="str">
        <f>PEDIDOS!F345</f>
        <v>M</v>
      </c>
      <c r="I345" s="99">
        <f t="shared" si="5"/>
        <v>1.2</v>
      </c>
      <c r="J345" s="108" t="s">
        <v>1054</v>
      </c>
      <c r="K345" s="120">
        <v>46197.0</v>
      </c>
      <c r="L345" s="101" t="str">
        <f t="shared" si="2"/>
        <v>ENTREGADO</v>
      </c>
      <c r="M345" s="101"/>
      <c r="N345" s="108" t="s">
        <v>1055</v>
      </c>
    </row>
    <row r="346" ht="22.5" hidden="1" customHeight="1">
      <c r="A346" s="49">
        <f>PEDIDOS!A346</f>
        <v>26126</v>
      </c>
      <c r="B346" s="81">
        <f>PEDIDOS!B346</f>
        <v>46174</v>
      </c>
      <c r="C346" s="97" t="str">
        <f>PEDIDOS!C346</f>
        <v>10B</v>
      </c>
      <c r="D346" s="81" t="str">
        <f>PEDIDOS!D346</f>
        <v>ORIGINAL BLACK</v>
      </c>
      <c r="E346" s="81" t="str">
        <f>PEDIDOS!E346</f>
        <v>AFTER SHAVE VIOLETA</v>
      </c>
      <c r="F346" s="98">
        <f>PEDIDOS!G346</f>
        <v>4000</v>
      </c>
      <c r="G346" s="114">
        <v>3996.0</v>
      </c>
      <c r="H346" s="97" t="str">
        <f>PEDIDOS!F346</f>
        <v>M</v>
      </c>
      <c r="I346" s="99">
        <f t="shared" si="5"/>
        <v>0.999</v>
      </c>
      <c r="J346" s="43" t="s">
        <v>1056</v>
      </c>
      <c r="K346" s="49"/>
      <c r="L346" s="49" t="str">
        <f t="shared" si="2"/>
        <v>EN PROCESO</v>
      </c>
      <c r="M346" s="49"/>
      <c r="N346" s="49"/>
    </row>
    <row r="347" ht="22.5" hidden="1" customHeight="1">
      <c r="A347" s="101">
        <f>PEDIDOS!A347</f>
        <v>26127</v>
      </c>
      <c r="B347" s="102">
        <f>PEDIDOS!B347</f>
        <v>46178</v>
      </c>
      <c r="C347" s="103" t="str">
        <f>PEDIDOS!C347</f>
        <v/>
      </c>
      <c r="D347" s="102" t="str">
        <f>PEDIDOS!D347</f>
        <v>BL COSMETICS</v>
      </c>
      <c r="E347" s="102" t="str">
        <f>PEDIDOS!E347</f>
        <v>ALISADO EXPERT </v>
      </c>
      <c r="F347" s="104">
        <f>PEDIDOS!G347</f>
        <v>3000</v>
      </c>
      <c r="G347" s="104">
        <f>46*27+80*22</f>
        <v>3002</v>
      </c>
      <c r="H347" s="103" t="str">
        <f>PEDIDOS!F347</f>
        <v>M</v>
      </c>
      <c r="I347" s="99">
        <f t="shared" si="5"/>
        <v>1.000666667</v>
      </c>
      <c r="J347" s="108" t="s">
        <v>1057</v>
      </c>
      <c r="K347" s="109">
        <v>46203.0</v>
      </c>
      <c r="L347" s="101" t="str">
        <f t="shared" si="2"/>
        <v>ENTREGADO</v>
      </c>
      <c r="M347" s="108" t="s">
        <v>1058</v>
      </c>
      <c r="N347" s="108">
        <v>65.0</v>
      </c>
    </row>
    <row r="348" ht="22.5" hidden="1" customHeight="1">
      <c r="A348" s="49">
        <f>PEDIDOS!A348</f>
        <v>26128</v>
      </c>
      <c r="B348" s="81">
        <f>PEDIDOS!B348</f>
        <v>46183</v>
      </c>
      <c r="C348" s="97">
        <f>PEDIDOS!C348</f>
        <v>6455</v>
      </c>
      <c r="D348" s="81" t="str">
        <f>PEDIDOS!D348</f>
        <v>HEBURN</v>
      </c>
      <c r="E348" s="81" t="str">
        <f>PEDIDOS!E348</f>
        <v>BRUMA FIJADORA DE MAQUILLAJE</v>
      </c>
      <c r="F348" s="98">
        <f>PEDIDOS!G348</f>
        <v>1000</v>
      </c>
      <c r="G348" s="98">
        <f>24*41+10</f>
        <v>994</v>
      </c>
      <c r="H348" s="97" t="str">
        <f>PEDIDOS!F348</f>
        <v>M</v>
      </c>
      <c r="I348" s="99">
        <f t="shared" si="5"/>
        <v>0.994</v>
      </c>
      <c r="J348" s="43" t="s">
        <v>1059</v>
      </c>
      <c r="K348" s="113">
        <v>46197.0</v>
      </c>
      <c r="L348" s="49" t="str">
        <f t="shared" si="2"/>
        <v>LISTO PARA ENTREGAR</v>
      </c>
      <c r="M348" s="43" t="s">
        <v>1060</v>
      </c>
      <c r="N348" s="49"/>
    </row>
    <row r="349" ht="22.5" hidden="1" customHeight="1">
      <c r="A349" s="101">
        <f>PEDIDOS!A349</f>
        <v>26129</v>
      </c>
      <c r="B349" s="102">
        <f>PEDIDOS!B349</f>
        <v>46183</v>
      </c>
      <c r="C349" s="103">
        <f>PEDIDOS!C349</f>
        <v>14474</v>
      </c>
      <c r="D349" s="102" t="str">
        <f>PEDIDOS!D349</f>
        <v>JACTANS - DISNEY</v>
      </c>
      <c r="E349" s="102" t="str">
        <f>PEDIDOS!E349</f>
        <v>DL-019-Laca infantil ROSA (+6)</v>
      </c>
      <c r="F349" s="104">
        <f>PEDIDOS!G349</f>
        <v>10</v>
      </c>
      <c r="G349" s="107">
        <v>10.0</v>
      </c>
      <c r="H349" s="103" t="str">
        <f>PEDIDOS!F349</f>
        <v>M</v>
      </c>
      <c r="I349" s="99">
        <f t="shared" si="5"/>
        <v>1</v>
      </c>
      <c r="J349" s="108" t="s">
        <v>1061</v>
      </c>
      <c r="K349" s="120">
        <v>46197.0</v>
      </c>
      <c r="L349" s="101" t="str">
        <f t="shared" si="2"/>
        <v>ENTREGADO</v>
      </c>
      <c r="M349" s="108" t="s">
        <v>1062</v>
      </c>
      <c r="N349" s="108">
        <v>53.0</v>
      </c>
    </row>
    <row r="350" ht="22.5" hidden="1" customHeight="1">
      <c r="A350" s="49">
        <f>PEDIDOS!A350</f>
        <v>26129</v>
      </c>
      <c r="B350" s="81">
        <f>PEDIDOS!B350</f>
        <v>46183</v>
      </c>
      <c r="C350" s="97">
        <f>PEDIDOS!C350</f>
        <v>14474</v>
      </c>
      <c r="D350" s="81" t="str">
        <f>PEDIDOS!D350</f>
        <v>JACTANS - DISNEY</v>
      </c>
      <c r="E350" s="81" t="str">
        <f>PEDIDOS!E350</f>
        <v>DL-021-Laca infantil CELESTE (+6)</v>
      </c>
      <c r="F350" s="98">
        <f>PEDIDOS!G350</f>
        <v>10</v>
      </c>
      <c r="G350" s="114">
        <v>10.0</v>
      </c>
      <c r="H350" s="97" t="str">
        <f>PEDIDOS!F350</f>
        <v>M</v>
      </c>
      <c r="I350" s="99">
        <f t="shared" si="5"/>
        <v>1</v>
      </c>
      <c r="J350" s="43" t="s">
        <v>1061</v>
      </c>
      <c r="K350" s="118">
        <v>46197.0</v>
      </c>
      <c r="L350" s="49" t="str">
        <f t="shared" si="2"/>
        <v>ENTREGADO</v>
      </c>
      <c r="M350" s="43" t="s">
        <v>1063</v>
      </c>
      <c r="N350" s="43">
        <v>53.0</v>
      </c>
    </row>
    <row r="351" ht="22.5" hidden="1" customHeight="1">
      <c r="A351" s="101">
        <f>PEDIDOS!A351</f>
        <v>26129</v>
      </c>
      <c r="B351" s="102">
        <f>PEDIDOS!B351</f>
        <v>46183</v>
      </c>
      <c r="C351" s="103">
        <f>PEDIDOS!C351</f>
        <v>14474</v>
      </c>
      <c r="D351" s="102" t="str">
        <f>PEDIDOS!D351</f>
        <v>JACTANS - DISNEY</v>
      </c>
      <c r="E351" s="102" t="str">
        <f>PEDIDOS!E351</f>
        <v>DL-020-Laca infantil CORAL (+6)</v>
      </c>
      <c r="F351" s="104">
        <f>PEDIDOS!G351</f>
        <v>20</v>
      </c>
      <c r="G351" s="107">
        <v>20.0</v>
      </c>
      <c r="H351" s="103" t="str">
        <f>PEDIDOS!F351</f>
        <v>M</v>
      </c>
      <c r="I351" s="99">
        <f t="shared" si="5"/>
        <v>1</v>
      </c>
      <c r="J351" s="108" t="s">
        <v>1064</v>
      </c>
      <c r="K351" s="120">
        <v>46197.0</v>
      </c>
      <c r="L351" s="101" t="str">
        <f t="shared" si="2"/>
        <v>ENTREGADO</v>
      </c>
      <c r="M351" s="108" t="s">
        <v>1065</v>
      </c>
      <c r="N351" s="108">
        <v>53.0</v>
      </c>
    </row>
    <row r="352" ht="22.5" hidden="1" customHeight="1">
      <c r="A352" s="49">
        <f>PEDIDOS!A352</f>
        <v>26129</v>
      </c>
      <c r="B352" s="81">
        <f>PEDIDOS!B352</f>
        <v>46183</v>
      </c>
      <c r="C352" s="97">
        <f>PEDIDOS!C352</f>
        <v>14474</v>
      </c>
      <c r="D352" s="81" t="str">
        <f>PEDIDOS!D352</f>
        <v>JACTANS - DISNEY</v>
      </c>
      <c r="E352" s="81" t="str">
        <f>PEDIDOS!E352</f>
        <v>DL-022-Laca infantil TURQUESA (+6)</v>
      </c>
      <c r="F352" s="98">
        <f>PEDIDOS!G352</f>
        <v>20</v>
      </c>
      <c r="G352" s="114">
        <v>20.0</v>
      </c>
      <c r="H352" s="97" t="str">
        <f>PEDIDOS!F352</f>
        <v>M</v>
      </c>
      <c r="I352" s="99">
        <f t="shared" si="5"/>
        <v>1</v>
      </c>
      <c r="J352" s="43" t="s">
        <v>1064</v>
      </c>
      <c r="K352" s="118">
        <v>46197.0</v>
      </c>
      <c r="L352" s="49" t="str">
        <f t="shared" si="2"/>
        <v>ENTREGADO</v>
      </c>
      <c r="M352" s="43" t="s">
        <v>1066</v>
      </c>
      <c r="N352" s="43">
        <v>53.0</v>
      </c>
    </row>
    <row r="353" ht="22.5" hidden="1" customHeight="1">
      <c r="A353" s="101">
        <f>PEDIDOS!A353</f>
        <v>26130</v>
      </c>
      <c r="B353" s="102">
        <f>PEDIDOS!B353</f>
        <v>46183</v>
      </c>
      <c r="C353" s="103">
        <f>PEDIDOS!C353</f>
        <v>14463</v>
      </c>
      <c r="D353" s="102" t="str">
        <f>PEDIDOS!D353</f>
        <v>JACTANS - DISNEY</v>
      </c>
      <c r="E353" s="102" t="str">
        <f>PEDIDOS!E353</f>
        <v>DP-46583-Perfume infantil fco pvc x65ml/Es. 0298RK</v>
      </c>
      <c r="F353" s="104">
        <f>PEDIDOS!G353</f>
        <v>1500</v>
      </c>
      <c r="G353" s="104"/>
      <c r="H353" s="103" t="str">
        <f>PEDIDOS!F353</f>
        <v>M</v>
      </c>
      <c r="I353" s="99" t="str">
        <f t="shared" si="5"/>
        <v/>
      </c>
      <c r="J353" s="101"/>
      <c r="K353" s="101"/>
      <c r="L353" s="101" t="str">
        <f t="shared" si="2"/>
        <v>EN PROCESO</v>
      </c>
      <c r="M353" s="101"/>
      <c r="N353" s="101"/>
    </row>
    <row r="354" ht="22.5" hidden="1" customHeight="1">
      <c r="A354" s="49">
        <f>PEDIDOS!A354</f>
        <v>26130</v>
      </c>
      <c r="B354" s="81">
        <f>PEDIDOS!B354</f>
        <v>46183</v>
      </c>
      <c r="C354" s="97">
        <f>PEDIDOS!C354</f>
        <v>14463</v>
      </c>
      <c r="D354" s="81" t="str">
        <f>PEDIDOS!D354</f>
        <v>JACTANS - DISNEY</v>
      </c>
      <c r="E354" s="81" t="str">
        <f>PEDIDOS!E354</f>
        <v>DP-48617.1-Perf inf Fco Armani x50ml/Es. 0278LS</v>
      </c>
      <c r="F354" s="98">
        <f>PEDIDOS!G354</f>
        <v>1500</v>
      </c>
      <c r="G354" s="98"/>
      <c r="H354" s="97" t="str">
        <f>PEDIDOS!F354</f>
        <v>M</v>
      </c>
      <c r="I354" s="99" t="str">
        <f t="shared" si="5"/>
        <v/>
      </c>
      <c r="J354" s="49"/>
      <c r="K354" s="49"/>
      <c r="L354" s="49" t="str">
        <f t="shared" si="2"/>
        <v>EN PROCESO</v>
      </c>
      <c r="M354" s="49"/>
      <c r="N354" s="49"/>
    </row>
    <row r="355" ht="22.5" hidden="1" customHeight="1">
      <c r="A355" s="101">
        <f>PEDIDOS!A355</f>
        <v>26130</v>
      </c>
      <c r="B355" s="102">
        <f>PEDIDOS!B355</f>
        <v>46183</v>
      </c>
      <c r="C355" s="103">
        <f>PEDIDOS!C355</f>
        <v>14463</v>
      </c>
      <c r="D355" s="102" t="str">
        <f>PEDIDOS!D355</f>
        <v>JACTANS - DISNEY</v>
      </c>
      <c r="E355" s="102" t="str">
        <f>PEDIDOS!E355</f>
        <v>DP-48624.1-Perfume inf. fco. Armani x50ml/Es. 0278LS</v>
      </c>
      <c r="F355" s="104">
        <f>PEDIDOS!G355</f>
        <v>1500</v>
      </c>
      <c r="G355" s="104"/>
      <c r="H355" s="103" t="str">
        <f>PEDIDOS!F355</f>
        <v>M</v>
      </c>
      <c r="I355" s="99" t="str">
        <f t="shared" si="5"/>
        <v/>
      </c>
      <c r="J355" s="101"/>
      <c r="K355" s="101"/>
      <c r="L355" s="101" t="str">
        <f t="shared" si="2"/>
        <v>EN PROCESO</v>
      </c>
      <c r="M355" s="101"/>
      <c r="N355" s="101"/>
    </row>
    <row r="356" ht="22.5" hidden="1" customHeight="1">
      <c r="A356" s="49">
        <f>PEDIDOS!A356</f>
        <v>26130</v>
      </c>
      <c r="B356" s="81">
        <f>PEDIDOS!B356</f>
        <v>46183</v>
      </c>
      <c r="C356" s="97">
        <f>PEDIDOS!C356</f>
        <v>14463</v>
      </c>
      <c r="D356" s="81" t="str">
        <f>PEDIDOS!D356</f>
        <v>JACTANS - DISNEY</v>
      </c>
      <c r="E356" s="81" t="str">
        <f>PEDIDOS!E356</f>
        <v>DP-48631.1-Perf inf fco armani x50ml / ES 20-0264AN</v>
      </c>
      <c r="F356" s="98">
        <f>PEDIDOS!G356</f>
        <v>1500</v>
      </c>
      <c r="G356" s="98"/>
      <c r="H356" s="97" t="str">
        <f>PEDIDOS!F356</f>
        <v>M</v>
      </c>
      <c r="I356" s="99" t="str">
        <f t="shared" si="5"/>
        <v/>
      </c>
      <c r="J356" s="49"/>
      <c r="K356" s="49"/>
      <c r="L356" s="49" t="str">
        <f t="shared" si="2"/>
        <v>EN PROCESO</v>
      </c>
      <c r="M356" s="49"/>
      <c r="N356" s="49"/>
    </row>
    <row r="357" ht="22.5" hidden="1" customHeight="1">
      <c r="A357" s="101">
        <f>PEDIDOS!A357</f>
        <v>26130</v>
      </c>
      <c r="B357" s="102">
        <f>PEDIDOS!B357</f>
        <v>46183</v>
      </c>
      <c r="C357" s="103">
        <f>PEDIDOS!C357</f>
        <v>14463</v>
      </c>
      <c r="D357" s="102" t="str">
        <f>PEDIDOS!D357</f>
        <v>JACTANS - DISNEY</v>
      </c>
      <c r="E357" s="102" t="str">
        <f>PEDIDOS!E357</f>
        <v>DP-48679-Perf. inf. fco Mariana x50ml/Es. 0269IN</v>
      </c>
      <c r="F357" s="104">
        <f>PEDIDOS!G357</f>
        <v>1500</v>
      </c>
      <c r="G357" s="104"/>
      <c r="H357" s="103" t="str">
        <f>PEDIDOS!F357</f>
        <v>M</v>
      </c>
      <c r="I357" s="99" t="str">
        <f t="shared" si="5"/>
        <v/>
      </c>
      <c r="J357" s="101"/>
      <c r="K357" s="101"/>
      <c r="L357" s="101" t="str">
        <f t="shared" si="2"/>
        <v>EN PROCESO</v>
      </c>
      <c r="M357" s="101"/>
      <c r="N357" s="101"/>
    </row>
    <row r="358" ht="22.5" hidden="1" customHeight="1">
      <c r="A358" s="49">
        <f>PEDIDOS!A358</f>
        <v>26130</v>
      </c>
      <c r="B358" s="81">
        <f>PEDIDOS!B358</f>
        <v>46183</v>
      </c>
      <c r="C358" s="97">
        <f>PEDIDOS!C358</f>
        <v>14463</v>
      </c>
      <c r="D358" s="81" t="str">
        <f>PEDIDOS!D358</f>
        <v>JACTANS - DISNEY</v>
      </c>
      <c r="E358" s="81" t="str">
        <f>PEDIDOS!E358</f>
        <v>DP-48686-Perf. inf. Fco Mariana x50ml  0270WT</v>
      </c>
      <c r="F358" s="98">
        <f>PEDIDOS!G358</f>
        <v>1500</v>
      </c>
      <c r="G358" s="98"/>
      <c r="H358" s="97" t="str">
        <f>PEDIDOS!F358</f>
        <v>M</v>
      </c>
      <c r="I358" s="99" t="str">
        <f t="shared" si="5"/>
        <v/>
      </c>
      <c r="J358" s="49"/>
      <c r="K358" s="49"/>
      <c r="L358" s="49" t="str">
        <f t="shared" si="2"/>
        <v>EN PROCESO</v>
      </c>
      <c r="M358" s="49"/>
      <c r="N358" s="49"/>
    </row>
    <row r="359" ht="22.5" hidden="1" customHeight="1">
      <c r="A359" s="101">
        <f>PEDIDOS!A359</f>
        <v>26130</v>
      </c>
      <c r="B359" s="102">
        <f>PEDIDOS!B359</f>
        <v>46183</v>
      </c>
      <c r="C359" s="103">
        <f>PEDIDOS!C359</f>
        <v>14463</v>
      </c>
      <c r="D359" s="102" t="str">
        <f>PEDIDOS!D359</f>
        <v>JACTANS - DISNEY</v>
      </c>
      <c r="E359" s="102" t="str">
        <f>PEDIDOS!E359</f>
        <v>DP-49737-Perf. inf. Fco Mariana x50ml  0269IN</v>
      </c>
      <c r="F359" s="104">
        <f>PEDIDOS!G359</f>
        <v>1500</v>
      </c>
      <c r="G359" s="104"/>
      <c r="H359" s="103" t="str">
        <f>PEDIDOS!F359</f>
        <v>M</v>
      </c>
      <c r="I359" s="99" t="str">
        <f t="shared" si="5"/>
        <v/>
      </c>
      <c r="J359" s="101"/>
      <c r="K359" s="101"/>
      <c r="L359" s="101" t="str">
        <f t="shared" si="2"/>
        <v>EN PROCESO</v>
      </c>
      <c r="M359" s="101"/>
      <c r="N359" s="101"/>
    </row>
    <row r="360" ht="22.5" hidden="1" customHeight="1">
      <c r="A360" s="49">
        <f>PEDIDOS!A360</f>
        <v>26130</v>
      </c>
      <c r="B360" s="81">
        <f>PEDIDOS!B360</f>
        <v>46183</v>
      </c>
      <c r="C360" s="97">
        <f>PEDIDOS!C360</f>
        <v>14463</v>
      </c>
      <c r="D360" s="81" t="str">
        <f>PEDIDOS!D360</f>
        <v>JACTANS - DISNEY</v>
      </c>
      <c r="E360" s="81" t="str">
        <f>PEDIDOS!E360</f>
        <v>DP-50617-Perfume inf. fco silueta pvc x45ml  0368PB</v>
      </c>
      <c r="F360" s="98">
        <f>PEDIDOS!G360</f>
        <v>2000</v>
      </c>
      <c r="G360" s="98"/>
      <c r="H360" s="97" t="str">
        <f>PEDIDOS!F360</f>
        <v>M</v>
      </c>
      <c r="I360" s="99" t="str">
        <f t="shared" si="5"/>
        <v/>
      </c>
      <c r="J360" s="49"/>
      <c r="K360" s="49"/>
      <c r="L360" s="49" t="str">
        <f t="shared" si="2"/>
        <v>EN PROCESO</v>
      </c>
      <c r="M360" s="49"/>
      <c r="N360" s="49"/>
    </row>
    <row r="361" ht="22.5" hidden="1" customHeight="1">
      <c r="A361" s="101">
        <f>PEDIDOS!A361</f>
        <v>26130</v>
      </c>
      <c r="B361" s="102">
        <f>PEDIDOS!B361</f>
        <v>46183</v>
      </c>
      <c r="C361" s="103">
        <f>PEDIDOS!C361</f>
        <v>14463</v>
      </c>
      <c r="D361" s="102" t="str">
        <f>PEDIDOS!D361</f>
        <v>JACTANS - DISNEY</v>
      </c>
      <c r="E361" s="102" t="str">
        <f>PEDIDOS!E361</f>
        <v>DP-50662-Perfume inf. fco Eugenia x50ML/Es. 0369RD</v>
      </c>
      <c r="F361" s="104">
        <f>PEDIDOS!G361</f>
        <v>1500</v>
      </c>
      <c r="G361" s="104"/>
      <c r="H361" s="103" t="str">
        <f>PEDIDOS!F361</f>
        <v>M</v>
      </c>
      <c r="I361" s="99" t="str">
        <f t="shared" si="5"/>
        <v/>
      </c>
      <c r="J361" s="101"/>
      <c r="K361" s="101"/>
      <c r="L361" s="101" t="str">
        <f t="shared" si="2"/>
        <v>EN PROCESO</v>
      </c>
      <c r="M361" s="101"/>
      <c r="N361" s="101"/>
    </row>
    <row r="362" ht="22.5" hidden="1" customHeight="1">
      <c r="A362" s="49">
        <f>PEDIDOS!A362</f>
        <v>26130</v>
      </c>
      <c r="B362" s="81">
        <f>PEDIDOS!B362</f>
        <v>46183</v>
      </c>
      <c r="C362" s="97">
        <f>PEDIDOS!C362</f>
        <v>14463</v>
      </c>
      <c r="D362" s="81" t="str">
        <f>PEDIDOS!D362</f>
        <v>JACTANS - DISNEY</v>
      </c>
      <c r="E362" s="81" t="str">
        <f>PEDIDOS!E362</f>
        <v>DP-50815-Perfume inf. fco silueta pvc x45ML  0367AG</v>
      </c>
      <c r="F362" s="98">
        <f>PEDIDOS!G362</f>
        <v>2000</v>
      </c>
      <c r="G362" s="98"/>
      <c r="H362" s="97" t="str">
        <f>PEDIDOS!F362</f>
        <v>M</v>
      </c>
      <c r="I362" s="99" t="str">
        <f t="shared" si="5"/>
        <v/>
      </c>
      <c r="J362" s="49"/>
      <c r="K362" s="49"/>
      <c r="L362" s="49" t="str">
        <f t="shared" si="2"/>
        <v>EN PROCESO</v>
      </c>
      <c r="M362" s="49"/>
      <c r="N362" s="49"/>
    </row>
    <row r="363" ht="22.5" hidden="1" customHeight="1">
      <c r="A363" s="101">
        <f>PEDIDOS!A363</f>
        <v>26130</v>
      </c>
      <c r="B363" s="102">
        <f>PEDIDOS!B363</f>
        <v>46183</v>
      </c>
      <c r="C363" s="103">
        <f>PEDIDOS!C363</f>
        <v>14463</v>
      </c>
      <c r="D363" s="102" t="str">
        <f>PEDIDOS!D363</f>
        <v>JACTANS - DISNEY</v>
      </c>
      <c r="E363" s="102" t="str">
        <f>PEDIDOS!E363</f>
        <v>DP-50877-Perf inf fco Mariana x50ml 0296LP</v>
      </c>
      <c r="F363" s="104">
        <f>PEDIDOS!G363</f>
        <v>2000</v>
      </c>
      <c r="G363" s="104"/>
      <c r="H363" s="103" t="str">
        <f>PEDIDOS!F363</f>
        <v>M</v>
      </c>
      <c r="I363" s="99" t="str">
        <f t="shared" si="5"/>
        <v/>
      </c>
      <c r="J363" s="101"/>
      <c r="K363" s="101"/>
      <c r="L363" s="101" t="str">
        <f t="shared" si="2"/>
        <v>EN PROCESO</v>
      </c>
      <c r="M363" s="101"/>
      <c r="N363" s="101"/>
    </row>
    <row r="364" ht="22.5" hidden="1" customHeight="1">
      <c r="A364" s="49">
        <f>PEDIDOS!A364</f>
        <v>26130</v>
      </c>
      <c r="B364" s="81">
        <f>PEDIDOS!B364</f>
        <v>46183</v>
      </c>
      <c r="C364" s="97">
        <f>PEDIDOS!C364</f>
        <v>14463</v>
      </c>
      <c r="D364" s="81" t="str">
        <f>PEDIDOS!D364</f>
        <v>JACTANS - DISNEY</v>
      </c>
      <c r="E364" s="81" t="str">
        <f>PEDIDOS!E364</f>
        <v>DP-50907-Perfume inf. fco pvc x65ml/Es. 0436CH</v>
      </c>
      <c r="F364" s="98">
        <f>PEDIDOS!G364</f>
        <v>3000</v>
      </c>
      <c r="G364" s="98"/>
      <c r="H364" s="97" t="str">
        <f>PEDIDOS!F364</f>
        <v>M</v>
      </c>
      <c r="I364" s="99" t="str">
        <f t="shared" si="5"/>
        <v/>
      </c>
      <c r="J364" s="49"/>
      <c r="K364" s="49"/>
      <c r="L364" s="49" t="str">
        <f t="shared" si="2"/>
        <v>EN PROCESO</v>
      </c>
      <c r="M364" s="49"/>
      <c r="N364" s="49"/>
    </row>
    <row r="365" ht="22.5" hidden="1" customHeight="1">
      <c r="A365" s="101">
        <f>PEDIDOS!A365</f>
        <v>26130</v>
      </c>
      <c r="B365" s="102">
        <f>PEDIDOS!B365</f>
        <v>46183</v>
      </c>
      <c r="C365" s="103">
        <f>PEDIDOS!C365</f>
        <v>14463</v>
      </c>
      <c r="D365" s="102" t="str">
        <f>PEDIDOS!D365</f>
        <v>JACTANS - DISNEY</v>
      </c>
      <c r="E365" s="102" t="str">
        <f>PEDIDOS!E365</f>
        <v>DP-51270-Perf. infan. fco mariana x50ml/Es. 0269IN</v>
      </c>
      <c r="F365" s="104">
        <f>PEDIDOS!G365</f>
        <v>2000</v>
      </c>
      <c r="G365" s="104"/>
      <c r="H365" s="103" t="str">
        <f>PEDIDOS!F365</f>
        <v>M</v>
      </c>
      <c r="I365" s="99" t="str">
        <f t="shared" si="5"/>
        <v/>
      </c>
      <c r="J365" s="101"/>
      <c r="K365" s="101"/>
      <c r="L365" s="101" t="str">
        <f t="shared" si="2"/>
        <v>EN PROCESO</v>
      </c>
      <c r="M365" s="101"/>
      <c r="N365" s="101"/>
    </row>
    <row r="366" ht="22.5" hidden="1" customHeight="1">
      <c r="A366" s="49">
        <f>PEDIDOS!A366</f>
        <v>26130</v>
      </c>
      <c r="B366" s="81">
        <f>PEDIDOS!B366</f>
        <v>46183</v>
      </c>
      <c r="C366" s="97">
        <f>PEDIDOS!C366</f>
        <v>14463</v>
      </c>
      <c r="D366" s="81" t="str">
        <f>PEDIDOS!D366</f>
        <v>JACTANS - DISNEY</v>
      </c>
      <c r="E366" s="81" t="str">
        <f>PEDIDOS!E366</f>
        <v>DP-95057-Perfume inf. Fco Imperial  x50ML  0298RK</v>
      </c>
      <c r="F366" s="98">
        <f>PEDIDOS!G366</f>
        <v>1500</v>
      </c>
      <c r="G366" s="98"/>
      <c r="H366" s="97" t="str">
        <f>PEDIDOS!F366</f>
        <v>M</v>
      </c>
      <c r="I366" s="99" t="str">
        <f t="shared" si="5"/>
        <v/>
      </c>
      <c r="J366" s="49"/>
      <c r="K366" s="49"/>
      <c r="L366" s="49" t="str">
        <f t="shared" si="2"/>
        <v>EN PROCESO</v>
      </c>
      <c r="M366" s="49"/>
      <c r="N366" s="49"/>
    </row>
    <row r="367" ht="22.5" hidden="1" customHeight="1">
      <c r="A367" s="101">
        <f>PEDIDOS!A367</f>
        <v>26130</v>
      </c>
      <c r="B367" s="102">
        <f>PEDIDOS!B367</f>
        <v>46183</v>
      </c>
      <c r="C367" s="103">
        <f>PEDIDOS!C367</f>
        <v>14463</v>
      </c>
      <c r="D367" s="102" t="str">
        <f>PEDIDOS!D367</f>
        <v>JACTANS - DISNEY</v>
      </c>
      <c r="E367" s="102" t="str">
        <f>PEDIDOS!E367</f>
        <v>DP-97525-Perfume inf. fco. imperial x50ml 0297UT</v>
      </c>
      <c r="F367" s="104">
        <f>PEDIDOS!G367</f>
        <v>1500</v>
      </c>
      <c r="G367" s="104"/>
      <c r="H367" s="103" t="str">
        <f>PEDIDOS!F367</f>
        <v>M</v>
      </c>
      <c r="I367" s="99" t="str">
        <f t="shared" si="5"/>
        <v/>
      </c>
      <c r="J367" s="101"/>
      <c r="K367" s="101"/>
      <c r="L367" s="101" t="str">
        <f t="shared" si="2"/>
        <v>EN PROCESO</v>
      </c>
      <c r="M367" s="101"/>
      <c r="N367" s="101"/>
    </row>
    <row r="368" ht="22.5" hidden="1" customHeight="1">
      <c r="A368" s="49">
        <f>PEDIDOS!A368</f>
        <v>26130</v>
      </c>
      <c r="B368" s="81">
        <f>PEDIDOS!B368</f>
        <v>46183</v>
      </c>
      <c r="C368" s="97">
        <f>PEDIDOS!C368</f>
        <v>14463</v>
      </c>
      <c r="D368" s="81" t="str">
        <f>PEDIDOS!D368</f>
        <v>JACTANS - DISNEY</v>
      </c>
      <c r="E368" s="81" t="str">
        <f>PEDIDOS!E368</f>
        <v>DP-0304-Perfume inf fco triangular x50ml/Es. 0299RB</v>
      </c>
      <c r="F368" s="98">
        <f>PEDIDOS!G368</f>
        <v>1500</v>
      </c>
      <c r="G368" s="114">
        <v>1527.0</v>
      </c>
      <c r="H368" s="97" t="str">
        <f>PEDIDOS!F368</f>
        <v>M</v>
      </c>
      <c r="I368" s="99">
        <f t="shared" si="5"/>
        <v>1.018</v>
      </c>
      <c r="J368" s="43" t="s">
        <v>1067</v>
      </c>
      <c r="K368" s="115">
        <v>46202.0</v>
      </c>
      <c r="L368" s="49" t="str">
        <f t="shared" si="2"/>
        <v>ENTREGADO</v>
      </c>
      <c r="M368" s="43" t="s">
        <v>1068</v>
      </c>
      <c r="N368" s="43">
        <v>64.0</v>
      </c>
    </row>
    <row r="369" ht="22.5" hidden="1" customHeight="1">
      <c r="A369" s="101">
        <f>PEDIDOS!A369</f>
        <v>26130</v>
      </c>
      <c r="B369" s="102">
        <f>PEDIDOS!B369</f>
        <v>46183</v>
      </c>
      <c r="C369" s="103">
        <f>PEDIDOS!C369</f>
        <v>14463</v>
      </c>
      <c r="D369" s="102" t="str">
        <f>PEDIDOS!D369</f>
        <v>JACTANS - DISNEY</v>
      </c>
      <c r="E369" s="102" t="str">
        <f>PEDIDOS!E369</f>
        <v>DP-0311-Perfume inf fco triangular pvc x50ml 0297UT</v>
      </c>
      <c r="F369" s="104">
        <f>PEDIDOS!G369</f>
        <v>1500</v>
      </c>
      <c r="G369" s="107">
        <v>1505.0</v>
      </c>
      <c r="H369" s="103" t="str">
        <f>PEDIDOS!F369</f>
        <v>M</v>
      </c>
      <c r="I369" s="99">
        <f t="shared" si="5"/>
        <v>1.003333333</v>
      </c>
      <c r="J369" s="108" t="s">
        <v>1069</v>
      </c>
      <c r="K369" s="117">
        <v>46202.0</v>
      </c>
      <c r="L369" s="101" t="str">
        <f t="shared" si="2"/>
        <v>ENTREGADO</v>
      </c>
      <c r="M369" s="108" t="s">
        <v>1070</v>
      </c>
      <c r="N369" s="108">
        <v>64.0</v>
      </c>
    </row>
    <row r="370" ht="22.5" hidden="1" customHeight="1">
      <c r="A370" s="49">
        <f>PEDIDOS!A370</f>
        <v>26130</v>
      </c>
      <c r="B370" s="81">
        <f>PEDIDOS!B370</f>
        <v>46183</v>
      </c>
      <c r="C370" s="97">
        <f>PEDIDOS!C370</f>
        <v>14463</v>
      </c>
      <c r="D370" s="81" t="str">
        <f>PEDIDOS!D370</f>
        <v>JACTANS - DISNEY</v>
      </c>
      <c r="E370" s="81" t="str">
        <f>PEDIDOS!E370</f>
        <v>DP-0328-Perf. inf. fco triang. pvc x50ml/Es. 0280BD</v>
      </c>
      <c r="F370" s="98">
        <f>PEDIDOS!G370</f>
        <v>1500</v>
      </c>
      <c r="G370" s="114">
        <v>1508.0</v>
      </c>
      <c r="H370" s="97" t="str">
        <f>PEDIDOS!F370</f>
        <v>M</v>
      </c>
      <c r="I370" s="99">
        <f t="shared" si="5"/>
        <v>1.005333333</v>
      </c>
      <c r="J370" s="43" t="s">
        <v>1071</v>
      </c>
      <c r="K370" s="115">
        <v>46203.0</v>
      </c>
      <c r="L370" s="49" t="str">
        <f t="shared" si="2"/>
        <v>ENTREGADO</v>
      </c>
      <c r="M370" s="43" t="s">
        <v>1072</v>
      </c>
      <c r="N370" s="43">
        <v>69.0</v>
      </c>
    </row>
    <row r="371" ht="22.5" hidden="1" customHeight="1">
      <c r="A371" s="101">
        <f>PEDIDOS!A371</f>
        <v>26130</v>
      </c>
      <c r="B371" s="102">
        <f>PEDIDOS!B371</f>
        <v>46183</v>
      </c>
      <c r="C371" s="103">
        <f>PEDIDOS!C371</f>
        <v>14463</v>
      </c>
      <c r="D371" s="102" t="str">
        <f>PEDIDOS!D371</f>
        <v>JACTANS - DISNEY</v>
      </c>
      <c r="E371" s="102" t="str">
        <f>PEDIDOS!E371</f>
        <v>DP-1134-Perfume inf fco pvc x120ml/Es. 0298RK</v>
      </c>
      <c r="F371" s="104">
        <f>PEDIDOS!G371</f>
        <v>1500</v>
      </c>
      <c r="G371" s="104"/>
      <c r="H371" s="103" t="str">
        <f>PEDIDOS!F371</f>
        <v>M</v>
      </c>
      <c r="I371" s="99" t="str">
        <f t="shared" si="5"/>
        <v/>
      </c>
      <c r="J371" s="101"/>
      <c r="K371" s="101"/>
      <c r="L371" s="101" t="str">
        <f t="shared" si="2"/>
        <v>EN PROCESO</v>
      </c>
      <c r="M371" s="101"/>
      <c r="N371" s="101"/>
    </row>
    <row r="372" ht="22.5" hidden="1" customHeight="1">
      <c r="A372" s="49">
        <f>PEDIDOS!A372</f>
        <v>26130</v>
      </c>
      <c r="B372" s="81">
        <f>PEDIDOS!B372</f>
        <v>46183</v>
      </c>
      <c r="C372" s="97">
        <f>PEDIDOS!C372</f>
        <v>14463</v>
      </c>
      <c r="D372" s="81" t="str">
        <f>PEDIDOS!D372</f>
        <v>JACTANS - DISNEY</v>
      </c>
      <c r="E372" s="81" t="str">
        <f>PEDIDOS!E372</f>
        <v>DP-1349-Perfume inf. fco corazon pvc x30ml/Es. 0297UT</v>
      </c>
      <c r="F372" s="98">
        <f>PEDIDOS!G372</f>
        <v>1500</v>
      </c>
      <c r="G372" s="98"/>
      <c r="H372" s="97" t="str">
        <f>PEDIDOS!F372</f>
        <v>M</v>
      </c>
      <c r="I372" s="99" t="str">
        <f t="shared" si="5"/>
        <v/>
      </c>
      <c r="J372" s="49"/>
      <c r="K372" s="49"/>
      <c r="L372" s="49" t="str">
        <f t="shared" si="2"/>
        <v>EN PROCESO</v>
      </c>
      <c r="M372" s="49"/>
      <c r="N372" s="49"/>
    </row>
    <row r="373" ht="22.5" hidden="1" customHeight="1">
      <c r="A373" s="101">
        <f>PEDIDOS!A373</f>
        <v>26130</v>
      </c>
      <c r="B373" s="102">
        <f>PEDIDOS!B373</f>
        <v>46183</v>
      </c>
      <c r="C373" s="103">
        <f>PEDIDOS!C373</f>
        <v>14463</v>
      </c>
      <c r="D373" s="102" t="str">
        <f>PEDIDOS!D373</f>
        <v>JACTANS - DISNEY</v>
      </c>
      <c r="E373" s="102" t="str">
        <f>PEDIDOS!E373</f>
        <v>DP-40543-Perfume inf. fco pvc x65ml 0300IE</v>
      </c>
      <c r="F373" s="104">
        <f>PEDIDOS!G373</f>
        <v>1500</v>
      </c>
      <c r="G373" s="107">
        <v>1511.0</v>
      </c>
      <c r="H373" s="103" t="str">
        <f>PEDIDOS!F373</f>
        <v>M</v>
      </c>
      <c r="I373" s="99">
        <f t="shared" si="5"/>
        <v>1.007333333</v>
      </c>
      <c r="J373" s="108" t="s">
        <v>1073</v>
      </c>
      <c r="K373" s="117">
        <v>46204.0</v>
      </c>
      <c r="L373" s="101" t="str">
        <f t="shared" si="2"/>
        <v>ENTREGADO</v>
      </c>
      <c r="M373" s="108" t="s">
        <v>1074</v>
      </c>
      <c r="N373" s="108">
        <v>69.0</v>
      </c>
    </row>
    <row r="374" ht="22.5" hidden="1" customHeight="1">
      <c r="A374" s="49">
        <f>PEDIDOS!A374</f>
        <v>26130</v>
      </c>
      <c r="B374" s="81">
        <f>PEDIDOS!B374</f>
        <v>46183</v>
      </c>
      <c r="C374" s="97">
        <f>PEDIDOS!C374</f>
        <v>14463</v>
      </c>
      <c r="D374" s="81" t="str">
        <f>PEDIDOS!D374</f>
        <v>JACTANS - DISNEY</v>
      </c>
      <c r="E374" s="81" t="str">
        <f>PEDIDOS!E374</f>
        <v>DP-44107-Perfume inf fco Mariana x50ml 0296LP</v>
      </c>
      <c r="F374" s="98">
        <f>PEDIDOS!G374</f>
        <v>1500</v>
      </c>
      <c r="G374" s="98"/>
      <c r="H374" s="97" t="str">
        <f>PEDIDOS!F374</f>
        <v>M</v>
      </c>
      <c r="I374" s="99" t="str">
        <f t="shared" si="5"/>
        <v/>
      </c>
      <c r="J374" s="49"/>
      <c r="K374" s="49"/>
      <c r="L374" s="49" t="str">
        <f t="shared" si="2"/>
        <v>EN PROCESO</v>
      </c>
      <c r="M374" s="49"/>
      <c r="N374" s="49"/>
    </row>
    <row r="375" ht="22.5" hidden="1" customHeight="1">
      <c r="A375" s="101">
        <f>PEDIDOS!A375</f>
        <v>26130</v>
      </c>
      <c r="B375" s="102">
        <f>PEDIDOS!B375</f>
        <v>46183</v>
      </c>
      <c r="C375" s="103">
        <f>PEDIDOS!C375</f>
        <v>14463</v>
      </c>
      <c r="D375" s="102" t="str">
        <f>PEDIDOS!D375</f>
        <v>JACTANS - DISNEY</v>
      </c>
      <c r="E375" s="102" t="str">
        <f>PEDIDOS!E375</f>
        <v>DP-45784-Perfume inf. fco imperial x50ml/0270WT</v>
      </c>
      <c r="F375" s="104">
        <f>PEDIDOS!G375</f>
        <v>1500</v>
      </c>
      <c r="G375" s="104"/>
      <c r="H375" s="103" t="str">
        <f>PEDIDOS!F375</f>
        <v>M</v>
      </c>
      <c r="I375" s="99" t="str">
        <f t="shared" si="5"/>
        <v/>
      </c>
      <c r="J375" s="101"/>
      <c r="K375" s="101"/>
      <c r="L375" s="101" t="str">
        <f t="shared" si="2"/>
        <v>EN PROCESO</v>
      </c>
      <c r="M375" s="101"/>
      <c r="N375" s="101"/>
    </row>
    <row r="376" ht="22.5" hidden="1" customHeight="1">
      <c r="A376" s="49">
        <f>PEDIDOS!A376</f>
        <v>26130</v>
      </c>
      <c r="B376" s="81">
        <f>PEDIDOS!B376</f>
        <v>46183</v>
      </c>
      <c r="C376" s="97">
        <f>PEDIDOS!C376</f>
        <v>14463</v>
      </c>
      <c r="D376" s="81" t="str">
        <f>PEDIDOS!D376</f>
        <v>JACTANS - DISNEY</v>
      </c>
      <c r="E376" s="81" t="str">
        <f>PEDIDOS!E376</f>
        <v>DP-46347-Perfume Inf. fco pvc x65ml/Es. 0278LS</v>
      </c>
      <c r="F376" s="98">
        <f>PEDIDOS!G376</f>
        <v>1500</v>
      </c>
      <c r="G376" s="98"/>
      <c r="H376" s="97" t="str">
        <f>PEDIDOS!F376</f>
        <v>M</v>
      </c>
      <c r="I376" s="99" t="str">
        <f t="shared" si="5"/>
        <v/>
      </c>
      <c r="J376" s="49"/>
      <c r="K376" s="49"/>
      <c r="L376" s="49" t="str">
        <f t="shared" si="2"/>
        <v>EN PROCESO</v>
      </c>
      <c r="M376" s="49"/>
      <c r="N376" s="49"/>
    </row>
    <row r="377" ht="22.5" hidden="1" customHeight="1">
      <c r="A377" s="101">
        <f>PEDIDOS!A377</f>
        <v>26131</v>
      </c>
      <c r="B377" s="102">
        <f>PEDIDOS!B377</f>
        <v>46184</v>
      </c>
      <c r="C377" s="103" t="str">
        <f>PEDIDOS!C377</f>
        <v/>
      </c>
      <c r="D377" s="102" t="str">
        <f>PEDIDOS!D377</f>
        <v>BAHIA EVANS</v>
      </c>
      <c r="E377" s="102" t="str">
        <f>PEDIDOS!E377</f>
        <v>TRATAMIENTO STRAIGHT</v>
      </c>
      <c r="F377" s="104">
        <f>PEDIDOS!G377</f>
        <v>300</v>
      </c>
      <c r="G377" s="104">
        <f>9*30+21</f>
        <v>291</v>
      </c>
      <c r="H377" s="103" t="str">
        <f>PEDIDOS!F377</f>
        <v>M</v>
      </c>
      <c r="I377" s="99">
        <f t="shared" si="5"/>
        <v>0.97</v>
      </c>
      <c r="J377" s="108" t="s">
        <v>1075</v>
      </c>
      <c r="K377" s="109">
        <v>46198.0</v>
      </c>
      <c r="L377" s="101" t="str">
        <f t="shared" si="2"/>
        <v>LISTO PARA ENTREGAR</v>
      </c>
      <c r="M377" s="108" t="s">
        <v>1076</v>
      </c>
      <c r="N377" s="101"/>
    </row>
    <row r="378" ht="22.5" customHeight="1">
      <c r="A378" s="49">
        <f>PEDIDOS!A378</f>
        <v>26132</v>
      </c>
      <c r="B378" s="81">
        <f>PEDIDOS!B378</f>
        <v>46189</v>
      </c>
      <c r="C378" s="97">
        <f>PEDIDOS!C378</f>
        <v>809</v>
      </c>
      <c r="D378" s="81" t="str">
        <f>PEDIDOS!D378</f>
        <v>CAV</v>
      </c>
      <c r="E378" s="81" t="str">
        <f>PEDIDOS!E378</f>
        <v>CREMA VITAMIN SHOCK X150G</v>
      </c>
      <c r="F378" s="98">
        <f>PEDIDOS!G378</f>
        <v>500</v>
      </c>
      <c r="G378" s="98"/>
      <c r="H378" s="97" t="str">
        <f>PEDIDOS!F378</f>
        <v>M</v>
      </c>
      <c r="I378" s="99" t="str">
        <f t="shared" si="5"/>
        <v/>
      </c>
      <c r="J378" s="49"/>
      <c r="K378" s="49"/>
      <c r="L378" s="49" t="str">
        <f t="shared" si="2"/>
        <v>EN PROCESO</v>
      </c>
      <c r="M378" s="49"/>
      <c r="N378" s="49"/>
    </row>
    <row r="379" ht="22.5" customHeight="1">
      <c r="A379" s="101">
        <f>PEDIDOS!A379</f>
        <v>26132</v>
      </c>
      <c r="B379" s="102">
        <f>PEDIDOS!B379</f>
        <v>46189</v>
      </c>
      <c r="C379" s="103">
        <f>PEDIDOS!C379</f>
        <v>809</v>
      </c>
      <c r="D379" s="102" t="str">
        <f>PEDIDOS!D379</f>
        <v>CAV</v>
      </c>
      <c r="E379" s="102" t="str">
        <f>PEDIDOS!E379</f>
        <v>SHAMPOO BIO MOLECULAR X400ML VITAMIN SHOCK</v>
      </c>
      <c r="F379" s="104">
        <f>PEDIDOS!G379</f>
        <v>500</v>
      </c>
      <c r="G379" s="107">
        <v>514.0</v>
      </c>
      <c r="H379" s="103" t="str">
        <f>PEDIDOS!F379</f>
        <v>M</v>
      </c>
      <c r="I379" s="99">
        <f t="shared" si="5"/>
        <v>1.028</v>
      </c>
      <c r="J379" s="108" t="s">
        <v>1077</v>
      </c>
      <c r="K379" s="120">
        <v>46203.0</v>
      </c>
      <c r="L379" s="101" t="str">
        <f t="shared" si="2"/>
        <v>ENTREGADO</v>
      </c>
      <c r="M379" s="108" t="s">
        <v>1078</v>
      </c>
      <c r="N379" s="108">
        <v>68.0</v>
      </c>
    </row>
    <row r="380" ht="22.5" customHeight="1">
      <c r="A380" s="49">
        <f>PEDIDOS!A380</f>
        <v>26132</v>
      </c>
      <c r="B380" s="81">
        <f>PEDIDOS!B380</f>
        <v>46189</v>
      </c>
      <c r="C380" s="97">
        <f>PEDIDOS!C380</f>
        <v>809</v>
      </c>
      <c r="D380" s="81" t="str">
        <f>PEDIDOS!D380</f>
        <v>CAV</v>
      </c>
      <c r="E380" s="81" t="str">
        <f>PEDIDOS!E380</f>
        <v>SHAMPOO BIO MOLECULAR X900ML VITAMIN SHOCK</v>
      </c>
      <c r="F380" s="98">
        <f>PEDIDOS!G380</f>
        <v>200</v>
      </c>
      <c r="G380" s="98">
        <f>16*12+9</f>
        <v>201</v>
      </c>
      <c r="H380" s="97" t="str">
        <f>PEDIDOS!F380</f>
        <v>M</v>
      </c>
      <c r="I380" s="99">
        <f t="shared" si="5"/>
        <v>1.005</v>
      </c>
      <c r="J380" s="43" t="s">
        <v>1079</v>
      </c>
      <c r="K380" s="118">
        <v>46204.0</v>
      </c>
      <c r="L380" s="49" t="str">
        <f t="shared" si="2"/>
        <v>ENTREGADO</v>
      </c>
      <c r="M380" s="43" t="s">
        <v>1078</v>
      </c>
      <c r="N380" s="43">
        <v>70.0</v>
      </c>
    </row>
    <row r="381" ht="22.5" customHeight="1">
      <c r="A381" s="101">
        <f>PEDIDOS!A381</f>
        <v>26132</v>
      </c>
      <c r="B381" s="102">
        <f>PEDIDOS!B381</f>
        <v>46189</v>
      </c>
      <c r="C381" s="103">
        <f>PEDIDOS!C381</f>
        <v>809</v>
      </c>
      <c r="D381" s="102" t="str">
        <f>PEDIDOS!D381</f>
        <v>CAV</v>
      </c>
      <c r="E381" s="102" t="str">
        <f>PEDIDOS!E381</f>
        <v>CONDITIONER BIO MOLECULAR X400ML VITAMIN SHOCK</v>
      </c>
      <c r="F381" s="104">
        <f>PEDIDOS!G381</f>
        <v>500</v>
      </c>
      <c r="G381" s="104">
        <f>27*18+16</f>
        <v>502</v>
      </c>
      <c r="H381" s="103" t="str">
        <f>PEDIDOS!F381</f>
        <v>M</v>
      </c>
      <c r="I381" s="99">
        <f t="shared" si="5"/>
        <v>1.004</v>
      </c>
      <c r="J381" s="108" t="s">
        <v>1080</v>
      </c>
      <c r="K381" s="124">
        <v>46204.0</v>
      </c>
      <c r="L381" s="101" t="str">
        <f t="shared" si="2"/>
        <v>ENTREGADO</v>
      </c>
      <c r="M381" s="108" t="s">
        <v>1081</v>
      </c>
      <c r="N381" s="108">
        <v>70.0</v>
      </c>
    </row>
    <row r="382" ht="22.5" customHeight="1">
      <c r="A382" s="49">
        <f>PEDIDOS!A382</f>
        <v>26132</v>
      </c>
      <c r="B382" s="81">
        <f>PEDIDOS!B382</f>
        <v>46189</v>
      </c>
      <c r="C382" s="97">
        <f>PEDIDOS!C382</f>
        <v>809</v>
      </c>
      <c r="D382" s="81" t="str">
        <f>PEDIDOS!D382</f>
        <v>CAV</v>
      </c>
      <c r="E382" s="81" t="str">
        <f>PEDIDOS!E382</f>
        <v>CONDITIONER BIO MOLECULAR X900ML VITAMIN SHOCK</v>
      </c>
      <c r="F382" s="98">
        <f>PEDIDOS!G382</f>
        <v>200</v>
      </c>
      <c r="G382" s="98"/>
      <c r="H382" s="97" t="str">
        <f>PEDIDOS!F382</f>
        <v>M</v>
      </c>
      <c r="I382" s="99" t="str">
        <f t="shared" si="5"/>
        <v/>
      </c>
      <c r="J382" s="49"/>
      <c r="K382" s="49"/>
      <c r="L382" s="49" t="str">
        <f t="shared" si="2"/>
        <v>EN PROCESO</v>
      </c>
      <c r="M382" s="49"/>
      <c r="N382" s="49"/>
    </row>
    <row r="383" ht="22.5" customHeight="1">
      <c r="A383" s="101">
        <f>PEDIDOS!A383</f>
        <v>26132</v>
      </c>
      <c r="B383" s="102">
        <f>PEDIDOS!B383</f>
        <v>46189</v>
      </c>
      <c r="C383" s="103">
        <f>PEDIDOS!C383</f>
        <v>809</v>
      </c>
      <c r="D383" s="102" t="str">
        <f>PEDIDOS!D383</f>
        <v>CAV</v>
      </c>
      <c r="E383" s="102" t="str">
        <f>PEDIDOS!E383</f>
        <v>SHAMPOO BIONIC X900ML</v>
      </c>
      <c r="F383" s="104">
        <f>PEDIDOS!G383</f>
        <v>200</v>
      </c>
      <c r="G383" s="104"/>
      <c r="H383" s="103" t="str">
        <f>PEDIDOS!F383</f>
        <v>M</v>
      </c>
      <c r="I383" s="99" t="str">
        <f t="shared" si="5"/>
        <v/>
      </c>
      <c r="J383" s="101"/>
      <c r="K383" s="101"/>
      <c r="L383" s="101" t="str">
        <f t="shared" si="2"/>
        <v>EN PROCESO</v>
      </c>
      <c r="M383" s="101"/>
      <c r="N383" s="101"/>
    </row>
    <row r="384" ht="22.5" customHeight="1">
      <c r="A384" s="49">
        <f>PEDIDOS!A384</f>
        <v>26132</v>
      </c>
      <c r="B384" s="81">
        <f>PEDIDOS!B384</f>
        <v>46189</v>
      </c>
      <c r="C384" s="97">
        <f>PEDIDOS!C384</f>
        <v>809</v>
      </c>
      <c r="D384" s="81" t="str">
        <f>PEDIDOS!D384</f>
        <v>CAV</v>
      </c>
      <c r="E384" s="81" t="str">
        <f>PEDIDOS!E384</f>
        <v>BALSAMO BIONIC X900ML</v>
      </c>
      <c r="F384" s="98">
        <f>PEDIDOS!G384</f>
        <v>200</v>
      </c>
      <c r="G384" s="98"/>
      <c r="H384" s="97" t="str">
        <f>PEDIDOS!F384</f>
        <v>M</v>
      </c>
      <c r="I384" s="99" t="str">
        <f t="shared" si="5"/>
        <v/>
      </c>
      <c r="J384" s="49"/>
      <c r="K384" s="49"/>
      <c r="L384" s="49" t="str">
        <f t="shared" si="2"/>
        <v>EN PROCESO</v>
      </c>
      <c r="M384" s="49"/>
      <c r="N384" s="49"/>
    </row>
    <row r="385" ht="22.5" customHeight="1">
      <c r="A385" s="101">
        <f>PEDIDOS!A385</f>
        <v>26132</v>
      </c>
      <c r="B385" s="102">
        <f>PEDIDOS!B385</f>
        <v>46189</v>
      </c>
      <c r="C385" s="103">
        <f>PEDIDOS!C385</f>
        <v>809</v>
      </c>
      <c r="D385" s="102" t="str">
        <f>PEDIDOS!D385</f>
        <v>CAV</v>
      </c>
      <c r="E385" s="102" t="str">
        <f>PEDIDOS!E385</f>
        <v>PROTECTOR C-PLEX PASO 3X150ML</v>
      </c>
      <c r="F385" s="104">
        <f>PEDIDOS!G385</f>
        <v>500</v>
      </c>
      <c r="G385" s="104"/>
      <c r="H385" s="103" t="str">
        <f>PEDIDOS!F385</f>
        <v>M</v>
      </c>
      <c r="I385" s="99" t="str">
        <f t="shared" si="5"/>
        <v/>
      </c>
      <c r="J385" s="101"/>
      <c r="K385" s="101"/>
      <c r="L385" s="101" t="str">
        <f t="shared" si="2"/>
        <v>EN PROCESO</v>
      </c>
      <c r="M385" s="101"/>
      <c r="N385" s="101"/>
    </row>
    <row r="386" ht="22.5" customHeight="1">
      <c r="A386" s="49">
        <f>PEDIDOS!A386</f>
        <v>26132</v>
      </c>
      <c r="B386" s="81">
        <f>PEDIDOS!B386</f>
        <v>46189</v>
      </c>
      <c r="C386" s="97">
        <f>PEDIDOS!C386</f>
        <v>809</v>
      </c>
      <c r="D386" s="81" t="str">
        <f>PEDIDOS!D386</f>
        <v>CAV</v>
      </c>
      <c r="E386" s="81" t="str">
        <f>PEDIDOS!E386</f>
        <v>SHAMPOO BIONIC X400ML</v>
      </c>
      <c r="F386" s="98">
        <f>PEDIDOS!G386</f>
        <v>500</v>
      </c>
      <c r="G386" s="98"/>
      <c r="H386" s="97" t="str">
        <f>PEDIDOS!F386</f>
        <v>M</v>
      </c>
      <c r="I386" s="99" t="str">
        <f t="shared" si="5"/>
        <v/>
      </c>
      <c r="J386" s="49"/>
      <c r="K386" s="49"/>
      <c r="L386" s="49" t="str">
        <f t="shared" si="2"/>
        <v>EN PROCESO</v>
      </c>
      <c r="M386" s="49"/>
      <c r="N386" s="49"/>
    </row>
    <row r="387" ht="22.5" customHeight="1">
      <c r="A387" s="101">
        <f>PEDIDOS!A387</f>
        <v>26132</v>
      </c>
      <c r="B387" s="102">
        <f>PEDIDOS!B387</f>
        <v>46189</v>
      </c>
      <c r="C387" s="103">
        <f>PEDIDOS!C387</f>
        <v>809</v>
      </c>
      <c r="D387" s="102" t="str">
        <f>PEDIDOS!D387</f>
        <v>CAV</v>
      </c>
      <c r="E387" s="102" t="str">
        <f>PEDIDOS!E387</f>
        <v>BALSAMO BIONIC X400ML</v>
      </c>
      <c r="F387" s="104">
        <f>PEDIDOS!G387</f>
        <v>500</v>
      </c>
      <c r="G387" s="104"/>
      <c r="H387" s="103" t="str">
        <f>PEDIDOS!F387</f>
        <v>M</v>
      </c>
      <c r="I387" s="99" t="str">
        <f t="shared" si="5"/>
        <v/>
      </c>
      <c r="J387" s="101"/>
      <c r="K387" s="101"/>
      <c r="L387" s="101" t="str">
        <f t="shared" si="2"/>
        <v>EN PROCESO</v>
      </c>
      <c r="M387" s="101"/>
      <c r="N387" s="101"/>
    </row>
    <row r="388" ht="22.5" customHeight="1">
      <c r="A388" s="49">
        <f>PEDIDOS!A388</f>
        <v>26132</v>
      </c>
      <c r="B388" s="81">
        <f>PEDIDOS!B388</f>
        <v>46189</v>
      </c>
      <c r="C388" s="97">
        <f>PEDIDOS!C388</f>
        <v>809</v>
      </c>
      <c r="D388" s="81" t="str">
        <f>PEDIDOS!D388</f>
        <v>CAV</v>
      </c>
      <c r="E388" s="81" t="str">
        <f>PEDIDOS!E388</f>
        <v>Mascara BIO Molecular X 300 ml. Vitamin Shock</v>
      </c>
      <c r="F388" s="98">
        <f>PEDIDOS!G388</f>
        <v>500</v>
      </c>
      <c r="G388" s="98"/>
      <c r="H388" s="97" t="str">
        <f>PEDIDOS!F388</f>
        <v>M</v>
      </c>
      <c r="I388" s="99" t="str">
        <f t="shared" si="5"/>
        <v/>
      </c>
      <c r="J388" s="49"/>
      <c r="K388" s="49"/>
      <c r="L388" s="49" t="str">
        <f t="shared" si="2"/>
        <v>EN PROCESO</v>
      </c>
      <c r="M388" s="49"/>
      <c r="N388" s="49"/>
    </row>
    <row r="389" ht="22.5" hidden="1" customHeight="1">
      <c r="A389" s="101">
        <f>PEDIDOS!A389</f>
        <v>26133</v>
      </c>
      <c r="B389" s="102">
        <f>PEDIDOS!B389</f>
        <v>46189</v>
      </c>
      <c r="C389" s="103" t="str">
        <f>PEDIDOS!C389</f>
        <v/>
      </c>
      <c r="D389" s="102" t="str">
        <f>PEDIDOS!D389</f>
        <v>DERMION / FRANCO</v>
      </c>
      <c r="E389" s="102" t="str">
        <f>PEDIDOS!E389</f>
        <v>SERUM AH + NIACI</v>
      </c>
      <c r="F389" s="104">
        <f>PEDIDOS!G389</f>
        <v>1000</v>
      </c>
      <c r="G389" s="104">
        <f>9*112+43</f>
        <v>1051</v>
      </c>
      <c r="H389" s="103" t="str">
        <f>PEDIDOS!F389</f>
        <v>P</v>
      </c>
      <c r="I389" s="99">
        <f t="shared" si="5"/>
        <v>1.051</v>
      </c>
      <c r="J389" s="108" t="s">
        <v>1082</v>
      </c>
      <c r="K389" s="109">
        <v>46202.0</v>
      </c>
      <c r="L389" s="101" t="str">
        <f t="shared" si="2"/>
        <v>ENTREGADO</v>
      </c>
      <c r="M389" s="108" t="s">
        <v>1083</v>
      </c>
      <c r="N389" s="108">
        <v>63.0</v>
      </c>
    </row>
    <row r="390" ht="22.5" hidden="1" customHeight="1">
      <c r="A390" s="49">
        <f>PEDIDOS!A390</f>
        <v>26134</v>
      </c>
      <c r="B390" s="81">
        <f>PEDIDOS!B390</f>
        <v>46189</v>
      </c>
      <c r="C390" s="97" t="str">
        <f>PEDIDOS!C390</f>
        <v/>
      </c>
      <c r="D390" s="81" t="str">
        <f>PEDIDOS!D390</f>
        <v>MACA MODAS</v>
      </c>
      <c r="E390" s="81" t="str">
        <f>PEDIDOS!E390</f>
        <v>SERUM AH + NIACI</v>
      </c>
      <c r="F390" s="98">
        <f>PEDIDOS!G390</f>
        <v>500</v>
      </c>
      <c r="G390" s="98"/>
      <c r="H390" s="97" t="str">
        <f>PEDIDOS!F390</f>
        <v>P</v>
      </c>
      <c r="I390" s="99" t="str">
        <f t="shared" si="5"/>
        <v/>
      </c>
      <c r="J390" s="49"/>
      <c r="K390" s="49"/>
      <c r="L390" s="49" t="str">
        <f t="shared" si="2"/>
        <v>EN PROCESO</v>
      </c>
      <c r="M390" s="49"/>
      <c r="N390" s="49"/>
    </row>
    <row r="391" ht="22.5" hidden="1" customHeight="1">
      <c r="A391" s="101">
        <f>PEDIDOS!A391</f>
        <v>26134</v>
      </c>
      <c r="B391" s="102">
        <f>PEDIDOS!B391</f>
        <v>46189</v>
      </c>
      <c r="C391" s="103" t="str">
        <f>PEDIDOS!C391</f>
        <v/>
      </c>
      <c r="D391" s="102" t="str">
        <f>PEDIDOS!D391</f>
        <v>MACA MODAS</v>
      </c>
      <c r="E391" s="102" t="str">
        <f>PEDIDOS!E391</f>
        <v>CREMA AH + NIACI</v>
      </c>
      <c r="F391" s="104">
        <f>PEDIDOS!G391</f>
        <v>500</v>
      </c>
      <c r="G391" s="104"/>
      <c r="H391" s="103" t="str">
        <f>PEDIDOS!F391</f>
        <v>P</v>
      </c>
      <c r="I391" s="99" t="str">
        <f t="shared" si="5"/>
        <v/>
      </c>
      <c r="J391" s="101"/>
      <c r="K391" s="101"/>
      <c r="L391" s="101" t="str">
        <f t="shared" si="2"/>
        <v>EN PROCESO</v>
      </c>
      <c r="M391" s="101"/>
      <c r="N391" s="101"/>
    </row>
    <row r="392" ht="22.5" hidden="1" customHeight="1">
      <c r="A392" s="49">
        <f>PEDIDOS!A392</f>
        <v>26135</v>
      </c>
      <c r="B392" s="81">
        <f>PEDIDOS!B392</f>
        <v>46184</v>
      </c>
      <c r="C392" s="97" t="str">
        <f>PEDIDOS!C392</f>
        <v/>
      </c>
      <c r="D392" s="81" t="str">
        <f>PEDIDOS!D392</f>
        <v>LUCENT</v>
      </c>
      <c r="E392" s="81" t="str">
        <f>PEDIDOS!E392</f>
        <v>SERUM VITAMINA C</v>
      </c>
      <c r="F392" s="98">
        <f>PEDIDOS!G392</f>
        <v>1000</v>
      </c>
      <c r="G392" s="98">
        <f>390+260+207</f>
        <v>857</v>
      </c>
      <c r="H392" s="97" t="str">
        <f>PEDIDOS!F392</f>
        <v>P</v>
      </c>
      <c r="I392" s="99">
        <f t="shared" si="5"/>
        <v>0.857</v>
      </c>
      <c r="J392" s="43" t="s">
        <v>1084</v>
      </c>
      <c r="K392" s="118">
        <v>46199.0</v>
      </c>
      <c r="L392" s="49" t="str">
        <f t="shared" si="2"/>
        <v>ENTREGADO</v>
      </c>
      <c r="M392" s="43" t="s">
        <v>1085</v>
      </c>
      <c r="N392" s="43">
        <v>62.0</v>
      </c>
    </row>
    <row r="393" ht="22.5" hidden="1" customHeight="1">
      <c r="A393" s="101">
        <f>PEDIDOS!A393</f>
        <v>26136</v>
      </c>
      <c r="B393" s="102">
        <f>PEDIDOS!B393</f>
        <v>46184</v>
      </c>
      <c r="C393" s="103" t="str">
        <f>PEDIDOS!C393</f>
        <v/>
      </c>
      <c r="D393" s="102" t="str">
        <f>PEDIDOS!D393</f>
        <v>BL COSMETICS</v>
      </c>
      <c r="E393" s="102" t="str">
        <f>PEDIDOS!E393</f>
        <v>MASCARA ANTIFRIZZ 300ML</v>
      </c>
      <c r="F393" s="104">
        <f>PEDIDOS!G393</f>
        <v>3000</v>
      </c>
      <c r="G393" s="104"/>
      <c r="H393" s="103" t="str">
        <f>PEDIDOS!F393</f>
        <v>M</v>
      </c>
      <c r="I393" s="99" t="str">
        <f t="shared" si="5"/>
        <v/>
      </c>
      <c r="J393" s="101"/>
      <c r="K393" s="101"/>
      <c r="L393" s="101" t="str">
        <f t="shared" si="2"/>
        <v>EN PROCESO</v>
      </c>
      <c r="M393" s="101"/>
      <c r="N393" s="101"/>
    </row>
    <row r="394" ht="22.5" hidden="1" customHeight="1">
      <c r="A394" s="49">
        <f>PEDIDOS!A394</f>
        <v>26136</v>
      </c>
      <c r="B394" s="81">
        <f>PEDIDOS!B394</f>
        <v>46184</v>
      </c>
      <c r="C394" s="97" t="str">
        <f>PEDIDOS!C394</f>
        <v/>
      </c>
      <c r="D394" s="81" t="str">
        <f>PEDIDOS!D394</f>
        <v>BL COSMETICS</v>
      </c>
      <c r="E394" s="81" t="str">
        <f>PEDIDOS!E394</f>
        <v>MASCARA ANTIFRIZZ 1000ML</v>
      </c>
      <c r="F394" s="98">
        <f>PEDIDOS!G394</f>
        <v>800</v>
      </c>
      <c r="G394" s="98"/>
      <c r="H394" s="97" t="str">
        <f>PEDIDOS!F394</f>
        <v>M</v>
      </c>
      <c r="I394" s="99" t="str">
        <f t="shared" si="5"/>
        <v/>
      </c>
      <c r="J394" s="49"/>
      <c r="K394" s="49"/>
      <c r="L394" s="49" t="str">
        <f t="shared" si="2"/>
        <v>EN PROCESO</v>
      </c>
      <c r="M394" s="49"/>
      <c r="N394" s="49"/>
    </row>
    <row r="395" ht="22.5" hidden="1" customHeight="1">
      <c r="A395" s="101">
        <f>PEDIDOS!A395</f>
        <v>26137</v>
      </c>
      <c r="B395" s="102">
        <f>PEDIDOS!B395</f>
        <v>46196</v>
      </c>
      <c r="C395" s="103" t="str">
        <f>PEDIDOS!C395</f>
        <v/>
      </c>
      <c r="D395" s="102" t="str">
        <f>PEDIDOS!D395</f>
        <v>AGUEDA REY - IKIGAI</v>
      </c>
      <c r="E395" s="102" t="str">
        <f>PEDIDOS!E395</f>
        <v>GEL DE LIMPIEZA FACIAL</v>
      </c>
      <c r="F395" s="104">
        <f>PEDIDOS!G395</f>
        <v>1200</v>
      </c>
      <c r="G395" s="104"/>
      <c r="H395" s="103" t="str">
        <f>PEDIDOS!F395</f>
        <v>P</v>
      </c>
      <c r="I395" s="99" t="str">
        <f t="shared" si="5"/>
        <v/>
      </c>
      <c r="J395" s="101"/>
      <c r="K395" s="101"/>
      <c r="L395" s="101" t="str">
        <f t="shared" si="2"/>
        <v>EN PROCESO</v>
      </c>
      <c r="M395" s="101"/>
      <c r="N395" s="101"/>
    </row>
    <row r="396" ht="22.5" hidden="1" customHeight="1">
      <c r="A396" s="49">
        <f>PEDIDOS!A396</f>
        <v>26138</v>
      </c>
      <c r="B396" s="81">
        <f>PEDIDOS!B396</f>
        <v>46197</v>
      </c>
      <c r="C396" s="97" t="str">
        <f>PEDIDOS!C396</f>
        <v/>
      </c>
      <c r="D396" s="81" t="str">
        <f>PEDIDOS!D396</f>
        <v>KALA</v>
      </c>
      <c r="E396" s="81" t="str">
        <f>PEDIDOS!E396</f>
        <v>BALSAMO LABIAL SANDIA</v>
      </c>
      <c r="F396" s="98">
        <f>PEDIDOS!G396</f>
        <v>2000</v>
      </c>
      <c r="G396" s="98"/>
      <c r="H396" s="97" t="str">
        <f>PEDIDOS!F396</f>
        <v>M</v>
      </c>
      <c r="I396" s="99" t="str">
        <f t="shared" si="5"/>
        <v/>
      </c>
      <c r="J396" s="49"/>
      <c r="K396" s="49"/>
      <c r="L396" s="49" t="str">
        <f t="shared" si="2"/>
        <v>EN PROCESO</v>
      </c>
      <c r="M396" s="49"/>
      <c r="N396" s="49"/>
    </row>
    <row r="397" ht="22.5" hidden="1" customHeight="1">
      <c r="A397" s="101">
        <f>PEDIDOS!A397</f>
        <v>26138</v>
      </c>
      <c r="B397" s="102">
        <f>PEDIDOS!B397</f>
        <v>46197</v>
      </c>
      <c r="C397" s="103" t="str">
        <f>PEDIDOS!C397</f>
        <v/>
      </c>
      <c r="D397" s="102" t="str">
        <f>PEDIDOS!D397</f>
        <v>KALA</v>
      </c>
      <c r="E397" s="102" t="str">
        <f>PEDIDOS!E397</f>
        <v>BALSAMO LABIAL MANGO</v>
      </c>
      <c r="F397" s="104">
        <f>PEDIDOS!G397</f>
        <v>2000</v>
      </c>
      <c r="G397" s="104"/>
      <c r="H397" s="103" t="str">
        <f>PEDIDOS!F397</f>
        <v>M</v>
      </c>
      <c r="I397" s="99" t="str">
        <f t="shared" si="5"/>
        <v/>
      </c>
      <c r="J397" s="101"/>
      <c r="K397" s="101"/>
      <c r="L397" s="101" t="str">
        <f t="shared" si="2"/>
        <v>EN PROCESO</v>
      </c>
      <c r="M397" s="101"/>
      <c r="N397" s="101"/>
    </row>
    <row r="398" ht="22.5" hidden="1" customHeight="1">
      <c r="A398" s="49">
        <f>PEDIDOS!A398</f>
        <v>26139</v>
      </c>
      <c r="B398" s="81">
        <f>PEDIDOS!B398</f>
        <v>46197</v>
      </c>
      <c r="C398" s="97">
        <f>PEDIDOS!C398</f>
        <v>149</v>
      </c>
      <c r="D398" s="81" t="str">
        <f>PEDIDOS!D398</f>
        <v>ICONO</v>
      </c>
      <c r="E398" s="81" t="str">
        <f>PEDIDOS!E398</f>
        <v>MASCARA LINEA EQUILIBRANTE x 250GR.</v>
      </c>
      <c r="F398" s="98">
        <f>PEDIDOS!G398</f>
        <v>2000</v>
      </c>
      <c r="G398" s="98"/>
      <c r="H398" s="97" t="str">
        <f>PEDIDOS!F398</f>
        <v>M</v>
      </c>
      <c r="I398" s="99" t="str">
        <f t="shared" si="5"/>
        <v/>
      </c>
      <c r="J398" s="49"/>
      <c r="K398" s="49"/>
      <c r="L398" s="49" t="str">
        <f t="shared" si="2"/>
        <v>EN PROCESO</v>
      </c>
      <c r="M398" s="49"/>
      <c r="N398" s="49"/>
    </row>
    <row r="399" ht="22.5" hidden="1" customHeight="1">
      <c r="A399" s="101">
        <f>PEDIDOS!A399</f>
        <v>26140</v>
      </c>
      <c r="B399" s="102">
        <f>PEDIDOS!B399</f>
        <v>46164</v>
      </c>
      <c r="C399" s="103" t="str">
        <f>PEDIDOS!C399</f>
        <v/>
      </c>
      <c r="D399" s="102" t="str">
        <f>PEDIDOS!D399</f>
        <v>LUCENT</v>
      </c>
      <c r="E399" s="102" t="str">
        <f>PEDIDOS!E399</f>
        <v>SERUM W+</v>
      </c>
      <c r="F399" s="104">
        <f>PEDIDOS!G399</f>
        <v>500</v>
      </c>
      <c r="G399" s="104">
        <f>390+94</f>
        <v>484</v>
      </c>
      <c r="H399" s="103" t="str">
        <f>PEDIDOS!F399</f>
        <v>P</v>
      </c>
      <c r="I399" s="99">
        <f t="shared" si="5"/>
        <v>0.968</v>
      </c>
      <c r="J399" s="108" t="s">
        <v>1086</v>
      </c>
      <c r="K399" s="109">
        <v>46199.0</v>
      </c>
      <c r="L399" s="101" t="str">
        <f t="shared" si="2"/>
        <v>ENTREGADO</v>
      </c>
      <c r="M399" s="108" t="s">
        <v>1087</v>
      </c>
      <c r="N399" s="108">
        <v>62.0</v>
      </c>
    </row>
    <row r="400" ht="22.5" hidden="1" customHeight="1">
      <c r="A400" s="49">
        <f>PEDIDOS!A400</f>
        <v>26140</v>
      </c>
      <c r="B400" s="81">
        <f>PEDIDOS!B400</f>
        <v>46164</v>
      </c>
      <c r="C400" s="97" t="str">
        <f>PEDIDOS!C400</f>
        <v/>
      </c>
      <c r="D400" s="81" t="str">
        <f>PEDIDOS!D400</f>
        <v>LUCENT</v>
      </c>
      <c r="E400" s="81" t="str">
        <f>PEDIDOS!E400</f>
        <v>SERUM N+</v>
      </c>
      <c r="F400" s="98">
        <f>PEDIDOS!G400</f>
        <v>500</v>
      </c>
      <c r="G400" s="98">
        <f>290+217</f>
        <v>507</v>
      </c>
      <c r="H400" s="97" t="str">
        <f>PEDIDOS!F400</f>
        <v>P</v>
      </c>
      <c r="I400" s="99">
        <f t="shared" si="5"/>
        <v>1.014</v>
      </c>
      <c r="J400" s="43" t="s">
        <v>1088</v>
      </c>
      <c r="K400" s="113">
        <v>46199.0</v>
      </c>
      <c r="L400" s="49" t="str">
        <f t="shared" si="2"/>
        <v>ENTREGADO</v>
      </c>
      <c r="M400" s="43" t="s">
        <v>1089</v>
      </c>
      <c r="N400" s="43">
        <v>62.0</v>
      </c>
    </row>
    <row r="401" ht="22.5" hidden="1" customHeight="1">
      <c r="A401" s="101">
        <f>PEDIDOS!A401</f>
        <v>26141</v>
      </c>
      <c r="B401" s="102">
        <f>PEDIDOS!B401</f>
        <v>46192</v>
      </c>
      <c r="C401" s="103">
        <f>PEDIDOS!C401</f>
        <v>15329</v>
      </c>
      <c r="D401" s="102" t="str">
        <f>PEDIDOS!D401</f>
        <v>THELMA Y LOUISE</v>
      </c>
      <c r="E401" s="102" t="str">
        <f>PEDIDOS!E401</f>
        <v>EXFOLIANTE ARROZ</v>
      </c>
      <c r="F401" s="104">
        <f>PEDIDOS!G401</f>
        <v>3300</v>
      </c>
      <c r="G401" s="107">
        <v>3265.0</v>
      </c>
      <c r="H401" s="103" t="str">
        <f>PEDIDOS!F401</f>
        <v>M</v>
      </c>
      <c r="I401" s="99">
        <f t="shared" si="5"/>
        <v>0.9893939394</v>
      </c>
      <c r="J401" s="108" t="s">
        <v>1090</v>
      </c>
      <c r="K401" s="117">
        <v>46203.0</v>
      </c>
      <c r="L401" s="101" t="str">
        <f t="shared" si="2"/>
        <v>ENTREGADO</v>
      </c>
      <c r="M401" s="108" t="s">
        <v>1091</v>
      </c>
      <c r="N401" s="108">
        <v>66.0</v>
      </c>
    </row>
    <row r="402" ht="22.5" hidden="1" customHeight="1">
      <c r="A402" s="49">
        <f>PEDIDOS!A402</f>
        <v>26142</v>
      </c>
      <c r="B402" s="81">
        <f>PEDIDOS!B402</f>
        <v>46192</v>
      </c>
      <c r="C402" s="97">
        <f>PEDIDOS!C402</f>
        <v>15330</v>
      </c>
      <c r="D402" s="81" t="str">
        <f>PEDIDOS!D402</f>
        <v>THELMA Y LOUISE</v>
      </c>
      <c r="E402" s="81" t="str">
        <f>PEDIDOS!E402</f>
        <v>GEL DE LIMPIEZA ROSAS</v>
      </c>
      <c r="F402" s="98">
        <f>PEDIDOS!G402</f>
        <v>3640</v>
      </c>
      <c r="G402" s="98"/>
      <c r="H402" s="97" t="str">
        <f>PEDIDOS!F402</f>
        <v>M</v>
      </c>
      <c r="I402" s="99" t="str">
        <f t="shared" si="5"/>
        <v/>
      </c>
      <c r="J402" s="49"/>
      <c r="K402" s="49"/>
      <c r="L402" s="49" t="str">
        <f t="shared" si="2"/>
        <v>EN PROCESO</v>
      </c>
      <c r="M402" s="49"/>
      <c r="N402" s="49"/>
    </row>
    <row r="403" ht="22.5" hidden="1" customHeight="1">
      <c r="A403" s="101">
        <f>PEDIDOS!A403</f>
        <v>26143</v>
      </c>
      <c r="B403" s="102">
        <f>PEDIDOS!B403</f>
        <v>46198</v>
      </c>
      <c r="C403" s="103">
        <f>PEDIDOS!C403</f>
        <v>15334</v>
      </c>
      <c r="D403" s="102" t="str">
        <f>PEDIDOS!D403</f>
        <v>THELMA Y LOUISE</v>
      </c>
      <c r="E403" s="102" t="str">
        <f>PEDIDOS!E403</f>
        <v>SANITIZANTE BLANCO AGUA DE COCO</v>
      </c>
      <c r="F403" s="104">
        <f>PEDIDOS!G403</f>
        <v>450</v>
      </c>
      <c r="G403" s="104"/>
      <c r="H403" s="103" t="str">
        <f>PEDIDOS!F403</f>
        <v>M</v>
      </c>
      <c r="I403" s="99" t="str">
        <f t="shared" si="5"/>
        <v/>
      </c>
      <c r="J403" s="101"/>
      <c r="K403" s="101"/>
      <c r="L403" s="101" t="str">
        <f t="shared" si="2"/>
        <v>EN PROCESO</v>
      </c>
      <c r="M403" s="101"/>
      <c r="N403" s="101"/>
    </row>
    <row r="404" ht="22.5" hidden="1" customHeight="1">
      <c r="A404" s="49">
        <f>PEDIDOS!A404</f>
        <v>26143</v>
      </c>
      <c r="B404" s="81">
        <f>PEDIDOS!B404</f>
        <v>46198</v>
      </c>
      <c r="C404" s="97">
        <f>PEDIDOS!C404</f>
        <v>15334</v>
      </c>
      <c r="D404" s="81" t="str">
        <f>PEDIDOS!D404</f>
        <v>THELMA Y LOUISE</v>
      </c>
      <c r="E404" s="81" t="str">
        <f>PEDIDOS!E404</f>
        <v>SANITIZANTE VIOLETA UVA</v>
      </c>
      <c r="F404" s="98">
        <f>PEDIDOS!G404</f>
        <v>1000</v>
      </c>
      <c r="G404" s="98"/>
      <c r="H404" s="97" t="str">
        <f>PEDIDOS!F404</f>
        <v>M</v>
      </c>
      <c r="I404" s="99" t="str">
        <f t="shared" si="5"/>
        <v/>
      </c>
      <c r="J404" s="49"/>
      <c r="K404" s="49"/>
      <c r="L404" s="49" t="str">
        <f t="shared" si="2"/>
        <v>EN PROCESO</v>
      </c>
      <c r="M404" s="49"/>
      <c r="N404" s="49"/>
    </row>
    <row r="405" ht="22.5" hidden="1" customHeight="1">
      <c r="A405" s="101">
        <f>PEDIDOS!A405</f>
        <v>26143</v>
      </c>
      <c r="B405" s="102">
        <f>PEDIDOS!B405</f>
        <v>46198</v>
      </c>
      <c r="C405" s="103">
        <f>PEDIDOS!C405</f>
        <v>15334</v>
      </c>
      <c r="D405" s="102" t="str">
        <f>PEDIDOS!D405</f>
        <v>THELMA Y LOUISE</v>
      </c>
      <c r="E405" s="102" t="str">
        <f>PEDIDOS!E405</f>
        <v>SANITIZANTE ROJO CHERRY</v>
      </c>
      <c r="F405" s="104">
        <f>PEDIDOS!G405</f>
        <v>2500</v>
      </c>
      <c r="G405" s="104"/>
      <c r="H405" s="103" t="str">
        <f>PEDIDOS!F405</f>
        <v>M</v>
      </c>
      <c r="I405" s="99" t="str">
        <f t="shared" si="5"/>
        <v/>
      </c>
      <c r="J405" s="101"/>
      <c r="K405" s="101"/>
      <c r="L405" s="101" t="str">
        <f t="shared" si="2"/>
        <v>EN PROCESO</v>
      </c>
      <c r="M405" s="101"/>
      <c r="N405" s="101"/>
    </row>
    <row r="406" ht="22.5" hidden="1" customHeight="1">
      <c r="A406" s="49">
        <f>PEDIDOS!A406</f>
        <v>26143</v>
      </c>
      <c r="B406" s="81">
        <f>PEDIDOS!B406</f>
        <v>46198</v>
      </c>
      <c r="C406" s="97">
        <f>PEDIDOS!C406</f>
        <v>15334</v>
      </c>
      <c r="D406" s="81" t="str">
        <f>PEDIDOS!D406</f>
        <v>THELMA Y LOUISE</v>
      </c>
      <c r="E406" s="81" t="str">
        <f>PEDIDOS!E406</f>
        <v>SANITIZANTE ROSA FRUTILLA</v>
      </c>
      <c r="F406" s="98">
        <f>PEDIDOS!G406</f>
        <v>3050</v>
      </c>
      <c r="G406" s="98"/>
      <c r="H406" s="97" t="str">
        <f>PEDIDOS!F406</f>
        <v>M</v>
      </c>
      <c r="I406" s="99" t="str">
        <f t="shared" si="5"/>
        <v/>
      </c>
      <c r="J406" s="49"/>
      <c r="K406" s="49"/>
      <c r="L406" s="49" t="str">
        <f t="shared" si="2"/>
        <v>EN PROCESO</v>
      </c>
      <c r="M406" s="49"/>
      <c r="N406" s="49"/>
    </row>
    <row r="407" ht="22.5" hidden="1" customHeight="1">
      <c r="A407" s="101">
        <f>PEDIDOS!A407</f>
        <v>26144</v>
      </c>
      <c r="B407" s="102">
        <f>PEDIDOS!B407</f>
        <v>46199</v>
      </c>
      <c r="C407" s="103" t="str">
        <f>PEDIDOS!C407</f>
        <v/>
      </c>
      <c r="D407" s="102" t="str">
        <f>PEDIDOS!D407</f>
        <v>UNICA</v>
      </c>
      <c r="E407" s="102" t="str">
        <f>PEDIDOS!E407</f>
        <v>JABON LIQUIDO KARITE</v>
      </c>
      <c r="F407" s="104">
        <f>PEDIDOS!G407</f>
        <v>500</v>
      </c>
      <c r="G407" s="104"/>
      <c r="H407" s="103" t="str">
        <f>PEDIDOS!F407</f>
        <v>M</v>
      </c>
      <c r="I407" s="99" t="str">
        <f t="shared" si="5"/>
        <v/>
      </c>
      <c r="J407" s="101"/>
      <c r="K407" s="101"/>
      <c r="L407" s="101" t="str">
        <f t="shared" si="2"/>
        <v>EN PROCESO</v>
      </c>
      <c r="M407" s="101"/>
      <c r="N407" s="101"/>
    </row>
    <row r="408" ht="22.5" hidden="1" customHeight="1">
      <c r="A408" s="49">
        <f>PEDIDOS!A408</f>
        <v>26145</v>
      </c>
      <c r="B408" s="81">
        <f>PEDIDOS!B408</f>
        <v>46199</v>
      </c>
      <c r="C408" s="97" t="str">
        <f>PEDIDOS!C408</f>
        <v/>
      </c>
      <c r="D408" s="81" t="str">
        <f>PEDIDOS!D408</f>
        <v>LUCENT</v>
      </c>
      <c r="E408" s="81" t="str">
        <f>PEDIDOS!E408</f>
        <v>SERUM CAPIXYL</v>
      </c>
      <c r="F408" s="98">
        <f>PEDIDOS!G408</f>
        <v>1000</v>
      </c>
      <c r="G408" s="98"/>
      <c r="H408" s="97" t="str">
        <f>PEDIDOS!F408</f>
        <v>P</v>
      </c>
      <c r="I408" s="99" t="str">
        <f t="shared" si="5"/>
        <v/>
      </c>
      <c r="J408" s="49"/>
      <c r="K408" s="49"/>
      <c r="L408" s="49" t="str">
        <f t="shared" si="2"/>
        <v>EN PROCESO</v>
      </c>
      <c r="M408" s="49"/>
      <c r="N408" s="49"/>
    </row>
    <row r="409" ht="22.5" hidden="1" customHeight="1">
      <c r="A409" s="101">
        <f>PEDIDOS!A409</f>
        <v>26147</v>
      </c>
      <c r="B409" s="102">
        <f>PEDIDOS!B409</f>
        <v>46199</v>
      </c>
      <c r="C409" s="103">
        <f>PEDIDOS!C409</f>
        <v>147</v>
      </c>
      <c r="D409" s="102" t="str">
        <f>PEDIDOS!D409</f>
        <v>PROFESSIONAL BEAUTY</v>
      </c>
      <c r="E409" s="102" t="str">
        <f>PEDIDOS!E409</f>
        <v>Advance Cafeina + Carnitina</v>
      </c>
      <c r="F409" s="104">
        <f>PEDIDOS!G409</f>
        <v>500</v>
      </c>
      <c r="G409" s="104"/>
      <c r="H409" s="103" t="str">
        <f>PEDIDOS!F409</f>
        <v>P</v>
      </c>
      <c r="I409" s="99" t="str">
        <f t="shared" si="5"/>
        <v/>
      </c>
      <c r="J409" s="101"/>
      <c r="K409" s="101"/>
      <c r="L409" s="101" t="str">
        <f t="shared" si="2"/>
        <v>EN PROCESO</v>
      </c>
      <c r="M409" s="101"/>
      <c r="N409" s="101"/>
    </row>
    <row r="410" ht="22.5" hidden="1" customHeight="1">
      <c r="A410" s="49">
        <f>PEDIDOS!A410</f>
        <v>26147</v>
      </c>
      <c r="B410" s="81">
        <f>PEDIDOS!B410</f>
        <v>46199</v>
      </c>
      <c r="C410" s="97">
        <f>PEDIDOS!C410</f>
        <v>147</v>
      </c>
      <c r="D410" s="81" t="str">
        <f>PEDIDOS!D410</f>
        <v>PROFESSIONAL BEAUTY</v>
      </c>
      <c r="E410" s="81" t="str">
        <f>PEDIDOS!E410</f>
        <v>Advance Hialurónico 1%</v>
      </c>
      <c r="F410" s="98">
        <f>PEDIDOS!G410</f>
        <v>500</v>
      </c>
      <c r="G410" s="98"/>
      <c r="H410" s="97" t="str">
        <f>PEDIDOS!F410</f>
        <v>P</v>
      </c>
      <c r="I410" s="99" t="str">
        <f t="shared" si="5"/>
        <v/>
      </c>
      <c r="J410" s="49"/>
      <c r="K410" s="49"/>
      <c r="L410" s="49" t="str">
        <f t="shared" si="2"/>
        <v>EN PROCESO</v>
      </c>
      <c r="M410" s="49"/>
      <c r="N410" s="49"/>
    </row>
    <row r="411" ht="22.5" hidden="1" customHeight="1">
      <c r="A411" s="101">
        <f>PEDIDOS!A411</f>
        <v>26148</v>
      </c>
      <c r="B411" s="102">
        <f>PEDIDOS!B411</f>
        <v>46199</v>
      </c>
      <c r="C411" s="103">
        <f>PEDIDOS!C411</f>
        <v>14491</v>
      </c>
      <c r="D411" s="102" t="str">
        <f>PEDIDOS!D411</f>
        <v>JACTANS - DISNEY</v>
      </c>
      <c r="E411" s="102" t="str">
        <f>PEDIDOS!E411</f>
        <v>DL-024-Laca infantil ROJO (+6)</v>
      </c>
      <c r="F411" s="104">
        <f>PEDIDOS!G411</f>
        <v>20</v>
      </c>
      <c r="G411" s="104"/>
      <c r="H411" s="103" t="str">
        <f>PEDIDOS!F411</f>
        <v>M</v>
      </c>
      <c r="I411" s="99" t="str">
        <f t="shared" si="5"/>
        <v/>
      </c>
      <c r="J411" s="101"/>
      <c r="K411" s="101"/>
      <c r="L411" s="101" t="str">
        <f t="shared" si="2"/>
        <v>EN PROCESO</v>
      </c>
      <c r="M411" s="101"/>
      <c r="N411" s="101"/>
    </row>
    <row r="412" ht="22.5" hidden="1" customHeight="1">
      <c r="A412" s="49">
        <f>PEDIDOS!A412</f>
        <v>26148</v>
      </c>
      <c r="B412" s="81">
        <f>PEDIDOS!B412</f>
        <v>46199</v>
      </c>
      <c r="C412" s="97">
        <f>PEDIDOS!C412</f>
        <v>14491</v>
      </c>
      <c r="D412" s="81" t="str">
        <f>PEDIDOS!D412</f>
        <v>JACTANS - DISNEY</v>
      </c>
      <c r="E412" s="81" t="str">
        <f>PEDIDOS!E412</f>
        <v>DL-023-Laca infantil LILA (+6)</v>
      </c>
      <c r="F412" s="98">
        <f>PEDIDOS!G412</f>
        <v>10</v>
      </c>
      <c r="G412" s="98"/>
      <c r="H412" s="97" t="str">
        <f>PEDIDOS!F412</f>
        <v>M</v>
      </c>
      <c r="I412" s="99" t="str">
        <f t="shared" si="5"/>
        <v/>
      </c>
      <c r="J412" s="49"/>
      <c r="K412" s="49"/>
      <c r="L412" s="49" t="str">
        <f t="shared" si="2"/>
        <v>EN PROCESO</v>
      </c>
      <c r="M412" s="49"/>
      <c r="N412" s="49"/>
    </row>
    <row r="413" ht="22.5" hidden="1" customHeight="1">
      <c r="A413" s="101">
        <f>PEDIDOS!A413</f>
        <v>26149</v>
      </c>
      <c r="B413" s="102">
        <f>PEDIDOS!B413</f>
        <v>46202</v>
      </c>
      <c r="C413" s="103" t="str">
        <f>PEDIDOS!C413</f>
        <v/>
      </c>
      <c r="D413" s="102" t="str">
        <f>PEDIDOS!D413</f>
        <v>ORGANIC WAX</v>
      </c>
      <c r="E413" s="102" t="str">
        <f>PEDIDOS!E413</f>
        <v>SUGAR SCRUB</v>
      </c>
      <c r="F413" s="104">
        <f>PEDIDOS!G413</f>
        <v>500</v>
      </c>
      <c r="G413" s="104"/>
      <c r="H413" s="103" t="str">
        <f>PEDIDOS!F413</f>
        <v>P</v>
      </c>
      <c r="I413" s="99" t="str">
        <f t="shared" si="5"/>
        <v/>
      </c>
      <c r="J413" s="101"/>
      <c r="K413" s="101"/>
      <c r="L413" s="101" t="str">
        <f t="shared" si="2"/>
        <v>EN PROCESO</v>
      </c>
      <c r="M413" s="101"/>
      <c r="N413" s="101"/>
    </row>
    <row r="414" ht="22.5" hidden="1" customHeight="1">
      <c r="A414" s="49">
        <f>PEDIDOS!A414</f>
        <v>26150</v>
      </c>
      <c r="B414" s="81">
        <f>PEDIDOS!B414</f>
        <v>46202</v>
      </c>
      <c r="C414" s="97" t="str">
        <f>PEDIDOS!C414</f>
        <v/>
      </c>
      <c r="D414" s="81" t="str">
        <f>PEDIDOS!D414</f>
        <v>THE CHEMIST LOOK</v>
      </c>
      <c r="E414" s="81" t="str">
        <f>PEDIDOS!E414</f>
        <v>ACNE PROTOCOL</v>
      </c>
      <c r="F414" s="98">
        <f>PEDIDOS!G414</f>
        <v>1200</v>
      </c>
      <c r="G414" s="98"/>
      <c r="H414" s="97" t="str">
        <f>PEDIDOS!F414</f>
        <v>P</v>
      </c>
      <c r="I414" s="99" t="str">
        <f t="shared" si="5"/>
        <v/>
      </c>
      <c r="J414" s="49"/>
      <c r="K414" s="49"/>
      <c r="L414" s="49" t="str">
        <f t="shared" si="2"/>
        <v>EN PROCESO</v>
      </c>
      <c r="M414" s="49"/>
      <c r="N414" s="49"/>
    </row>
    <row r="415" ht="22.5" hidden="1" customHeight="1">
      <c r="A415" s="101">
        <f>PEDIDOS!A415</f>
        <v>26150</v>
      </c>
      <c r="B415" s="102">
        <f>PEDIDOS!B415</f>
        <v>46202</v>
      </c>
      <c r="C415" s="103" t="str">
        <f>PEDIDOS!C415</f>
        <v/>
      </c>
      <c r="D415" s="102" t="str">
        <f>PEDIDOS!D415</f>
        <v>THE CHEMIST LOOK</v>
      </c>
      <c r="E415" s="102" t="str">
        <f>PEDIDOS!E415</f>
        <v>2ND SKIN</v>
      </c>
      <c r="F415" s="104">
        <f>PEDIDOS!G415</f>
        <v>800</v>
      </c>
      <c r="G415" s="104"/>
      <c r="H415" s="103" t="str">
        <f>PEDIDOS!F415</f>
        <v>P</v>
      </c>
      <c r="I415" s="99" t="str">
        <f t="shared" si="5"/>
        <v/>
      </c>
      <c r="J415" s="101"/>
      <c r="K415" s="101"/>
      <c r="L415" s="101" t="str">
        <f t="shared" si="2"/>
        <v>EN PROCESO</v>
      </c>
      <c r="M415" s="101"/>
      <c r="N415" s="101"/>
    </row>
    <row r="416" ht="22.5" hidden="1" customHeight="1">
      <c r="A416" s="49">
        <f>PEDIDOS!A416</f>
        <v>26151</v>
      </c>
      <c r="B416" s="81">
        <f>PEDIDOS!B416</f>
        <v>46203</v>
      </c>
      <c r="C416" s="97">
        <f>PEDIDOS!C416</f>
        <v>1093</v>
      </c>
      <c r="D416" s="81" t="str">
        <f>PEDIDOS!D416</f>
        <v>NIZA</v>
      </c>
      <c r="E416" s="81" t="str">
        <f>PEDIDOS!E416</f>
        <v>AQUA BOMB LIGHT X 50 ML</v>
      </c>
      <c r="F416" s="98">
        <f>PEDIDOS!G416</f>
        <v>300</v>
      </c>
      <c r="G416" s="98"/>
      <c r="H416" s="97" t="str">
        <f>PEDIDOS!F416</f>
        <v>P</v>
      </c>
      <c r="I416" s="99" t="str">
        <f t="shared" si="5"/>
        <v/>
      </c>
      <c r="J416" s="49"/>
      <c r="K416" s="49"/>
      <c r="L416" s="49" t="str">
        <f t="shared" si="2"/>
        <v>EN PROCESO</v>
      </c>
      <c r="M416" s="49"/>
      <c r="N416" s="49"/>
    </row>
    <row r="417" ht="22.5" hidden="1" customHeight="1">
      <c r="A417" s="101">
        <f>PEDIDOS!A417</f>
        <v>26151</v>
      </c>
      <c r="B417" s="102">
        <f>PEDIDOS!B417</f>
        <v>46203</v>
      </c>
      <c r="C417" s="103">
        <f>PEDIDOS!C417</f>
        <v>1093</v>
      </c>
      <c r="D417" s="102" t="str">
        <f>PEDIDOS!D417</f>
        <v>NIZA</v>
      </c>
      <c r="E417" s="102" t="str">
        <f>PEDIDOS!E417</f>
        <v>CLEAR ACNE MASK X 100 G</v>
      </c>
      <c r="F417" s="104">
        <f>PEDIDOS!G417</f>
        <v>300</v>
      </c>
      <c r="G417" s="104"/>
      <c r="H417" s="103" t="str">
        <f>PEDIDOS!F417</f>
        <v>P</v>
      </c>
      <c r="I417" s="99" t="str">
        <f t="shared" si="5"/>
        <v/>
      </c>
      <c r="J417" s="101"/>
      <c r="K417" s="101"/>
      <c r="L417" s="101" t="str">
        <f t="shared" si="2"/>
        <v>EN PROCESO</v>
      </c>
      <c r="M417" s="101"/>
      <c r="N417" s="101"/>
    </row>
    <row r="418" ht="22.5" hidden="1" customHeight="1">
      <c r="A418" s="49">
        <f>PEDIDOS!A418</f>
        <v>26152</v>
      </c>
      <c r="B418" s="81">
        <f>PEDIDOS!B418</f>
        <v>46203</v>
      </c>
      <c r="C418" s="97" t="str">
        <f>PEDIDOS!C418</f>
        <v/>
      </c>
      <c r="D418" s="81" t="str">
        <f>PEDIDOS!D418</f>
        <v>KATALIA</v>
      </c>
      <c r="E418" s="81" t="str">
        <f>PEDIDOS!E418</f>
        <v>BRUMA FIJADORA DE MAQUILLAJE</v>
      </c>
      <c r="F418" s="98">
        <f>PEDIDOS!G418</f>
        <v>1500</v>
      </c>
      <c r="G418" s="98"/>
      <c r="H418" s="97" t="str">
        <f>PEDIDOS!F418</f>
        <v>M</v>
      </c>
      <c r="I418" s="99" t="str">
        <f t="shared" si="5"/>
        <v/>
      </c>
      <c r="J418" s="49"/>
      <c r="K418" s="49"/>
      <c r="L418" s="49" t="str">
        <f t="shared" si="2"/>
        <v>EN PROCESO</v>
      </c>
      <c r="M418" s="49"/>
      <c r="N418" s="49"/>
    </row>
    <row r="419" ht="22.5" hidden="1" customHeight="1">
      <c r="A419" s="101">
        <f>PEDIDOS!A419</f>
        <v>26153</v>
      </c>
      <c r="B419" s="102">
        <f>PEDIDOS!B419</f>
        <v>46204</v>
      </c>
      <c r="C419" s="103" t="str">
        <f>PEDIDOS!C419</f>
        <v/>
      </c>
      <c r="D419" s="102" t="str">
        <f>PEDIDOS!D419</f>
        <v>BAHIA EVANS</v>
      </c>
      <c r="E419" s="102" t="str">
        <f>PEDIDOS!E419</f>
        <v>POMADA CREAM WAX FIJACION MEDIA</v>
      </c>
      <c r="F419" s="104">
        <f>PEDIDOS!G419</f>
        <v>200</v>
      </c>
      <c r="G419" s="104"/>
      <c r="H419" s="103" t="str">
        <f>PEDIDOS!F419</f>
        <v>M</v>
      </c>
      <c r="I419" s="99" t="str">
        <f t="shared" si="5"/>
        <v/>
      </c>
      <c r="J419" s="101"/>
      <c r="K419" s="101"/>
      <c r="L419" s="101" t="str">
        <f t="shared" si="2"/>
        <v>EN PROCESO</v>
      </c>
      <c r="M419" s="101"/>
      <c r="N419" s="101"/>
    </row>
    <row r="420" ht="22.5" hidden="1" customHeight="1">
      <c r="A420" s="49">
        <f>PEDIDOS!A420</f>
        <v>26153</v>
      </c>
      <c r="B420" s="81">
        <f>PEDIDOS!B420</f>
        <v>46204</v>
      </c>
      <c r="C420" s="97" t="str">
        <f>PEDIDOS!C420</f>
        <v/>
      </c>
      <c r="D420" s="81" t="str">
        <f>PEDIDOS!D420</f>
        <v>BAHIA EVANS</v>
      </c>
      <c r="E420" s="81" t="str">
        <f>PEDIDOS!E420</f>
        <v>POMADA CREAM WAX ULTRA STRONG</v>
      </c>
      <c r="F420" s="98">
        <f>PEDIDOS!G420</f>
        <v>200</v>
      </c>
      <c r="G420" s="98"/>
      <c r="H420" s="97" t="str">
        <f>PEDIDOS!F420</f>
        <v>M</v>
      </c>
      <c r="I420" s="99" t="str">
        <f t="shared" si="5"/>
        <v/>
      </c>
      <c r="J420" s="49"/>
      <c r="K420" s="49"/>
      <c r="L420" s="49" t="str">
        <f t="shared" si="2"/>
        <v>EN PROCESO</v>
      </c>
      <c r="M420" s="49"/>
      <c r="N420" s="49"/>
    </row>
    <row r="421" ht="22.5" hidden="1" customHeight="1">
      <c r="A421" s="101">
        <f>PEDIDOS!A421</f>
        <v>26153</v>
      </c>
      <c r="B421" s="102">
        <f>PEDIDOS!B421</f>
        <v>46204</v>
      </c>
      <c r="C421" s="103" t="str">
        <f>PEDIDOS!C421</f>
        <v/>
      </c>
      <c r="D421" s="102" t="str">
        <f>PEDIDOS!D421</f>
        <v>BAHIA EVANS</v>
      </c>
      <c r="E421" s="102" t="str">
        <f>PEDIDOS!E421</f>
        <v>POMADA BRILLANTE GOLDEN ULTRA STRONG</v>
      </c>
      <c r="F421" s="104">
        <f>PEDIDOS!G421</f>
        <v>200</v>
      </c>
      <c r="G421" s="104"/>
      <c r="H421" s="103" t="str">
        <f>PEDIDOS!F421</f>
        <v>M</v>
      </c>
      <c r="I421" s="99" t="str">
        <f t="shared" si="5"/>
        <v/>
      </c>
      <c r="J421" s="101"/>
      <c r="K421" s="101"/>
      <c r="L421" s="101" t="str">
        <f t="shared" si="2"/>
        <v>EN PROCESO</v>
      </c>
      <c r="M421" s="101"/>
      <c r="N421" s="101"/>
    </row>
    <row r="422" ht="22.5" hidden="1" customHeight="1">
      <c r="A422" s="49" t="str">
        <f>PEDIDOS!A422</f>
        <v/>
      </c>
      <c r="B422" s="81" t="str">
        <f>PEDIDOS!B422</f>
        <v/>
      </c>
      <c r="C422" s="97" t="str">
        <f>PEDIDOS!C422</f>
        <v/>
      </c>
      <c r="D422" s="81" t="str">
        <f>PEDIDOS!D422</f>
        <v/>
      </c>
      <c r="E422" s="81" t="str">
        <f>PEDIDOS!E422</f>
        <v/>
      </c>
      <c r="F422" s="98" t="str">
        <f>PEDIDOS!G422</f>
        <v/>
      </c>
      <c r="G422" s="98"/>
      <c r="H422" s="97" t="str">
        <f>PEDIDOS!F422</f>
        <v/>
      </c>
      <c r="I422" s="99" t="str">
        <f t="shared" si="5"/>
        <v/>
      </c>
      <c r="J422" s="49"/>
      <c r="K422" s="49"/>
      <c r="L422" s="49" t="str">
        <f t="shared" si="2"/>
        <v>EN PROCESO</v>
      </c>
      <c r="M422" s="49"/>
      <c r="N422" s="49"/>
    </row>
    <row r="423" ht="22.5" hidden="1" customHeight="1">
      <c r="A423" s="101" t="str">
        <f>PEDIDOS!A423</f>
        <v/>
      </c>
      <c r="B423" s="102" t="str">
        <f>PEDIDOS!B423</f>
        <v/>
      </c>
      <c r="C423" s="103" t="str">
        <f>PEDIDOS!C423</f>
        <v/>
      </c>
      <c r="D423" s="102" t="str">
        <f>PEDIDOS!D423</f>
        <v/>
      </c>
      <c r="E423" s="102" t="str">
        <f>PEDIDOS!E423</f>
        <v/>
      </c>
      <c r="F423" s="104" t="str">
        <f>PEDIDOS!G423</f>
        <v/>
      </c>
      <c r="G423" s="104"/>
      <c r="H423" s="103" t="str">
        <f>PEDIDOS!F423</f>
        <v/>
      </c>
      <c r="I423" s="99" t="str">
        <f t="shared" si="5"/>
        <v/>
      </c>
      <c r="J423" s="101"/>
      <c r="K423" s="101"/>
      <c r="L423" s="101" t="str">
        <f t="shared" si="2"/>
        <v>EN PROCESO</v>
      </c>
      <c r="M423" s="101"/>
      <c r="N423" s="101"/>
    </row>
    <row r="424" ht="22.5" hidden="1" customHeight="1">
      <c r="A424" s="49" t="str">
        <f>PEDIDOS!A424</f>
        <v/>
      </c>
      <c r="B424" s="81" t="str">
        <f>PEDIDOS!B424</f>
        <v/>
      </c>
      <c r="C424" s="97" t="str">
        <f>PEDIDOS!C424</f>
        <v/>
      </c>
      <c r="D424" s="81" t="str">
        <f>PEDIDOS!D424</f>
        <v/>
      </c>
      <c r="E424" s="81" t="str">
        <f>PEDIDOS!E424</f>
        <v/>
      </c>
      <c r="F424" s="98" t="str">
        <f>PEDIDOS!G424</f>
        <v/>
      </c>
      <c r="G424" s="98"/>
      <c r="H424" s="97" t="str">
        <f>PEDIDOS!F424</f>
        <v/>
      </c>
      <c r="I424" s="99" t="str">
        <f t="shared" si="5"/>
        <v/>
      </c>
      <c r="J424" s="49"/>
      <c r="K424" s="49"/>
      <c r="L424" s="49" t="str">
        <f t="shared" si="2"/>
        <v>EN PROCESO</v>
      </c>
      <c r="M424" s="49"/>
      <c r="N424" s="49"/>
    </row>
    <row r="425" ht="22.5" hidden="1" customHeight="1">
      <c r="A425" s="101" t="str">
        <f>PEDIDOS!A425</f>
        <v/>
      </c>
      <c r="B425" s="102" t="str">
        <f>PEDIDOS!B425</f>
        <v/>
      </c>
      <c r="C425" s="103" t="str">
        <f>PEDIDOS!C425</f>
        <v/>
      </c>
      <c r="D425" s="102" t="str">
        <f>PEDIDOS!D425</f>
        <v/>
      </c>
      <c r="E425" s="102" t="str">
        <f>PEDIDOS!E425</f>
        <v/>
      </c>
      <c r="F425" s="104" t="str">
        <f>PEDIDOS!G425</f>
        <v/>
      </c>
      <c r="G425" s="104"/>
      <c r="H425" s="103" t="str">
        <f>PEDIDOS!F425</f>
        <v/>
      </c>
      <c r="I425" s="99" t="str">
        <f t="shared" si="5"/>
        <v/>
      </c>
      <c r="J425" s="101"/>
      <c r="K425" s="101"/>
      <c r="L425" s="101" t="str">
        <f t="shared" si="2"/>
        <v>EN PROCESO</v>
      </c>
      <c r="M425" s="101"/>
      <c r="N425" s="101"/>
    </row>
    <row r="426" ht="22.5" hidden="1" customHeight="1">
      <c r="A426" s="49" t="str">
        <f>PEDIDOS!A426</f>
        <v/>
      </c>
      <c r="B426" s="81" t="str">
        <f>PEDIDOS!B426</f>
        <v/>
      </c>
      <c r="C426" s="97" t="str">
        <f>PEDIDOS!C426</f>
        <v/>
      </c>
      <c r="D426" s="81" t="str">
        <f>PEDIDOS!D426</f>
        <v/>
      </c>
      <c r="E426" s="81" t="str">
        <f>PEDIDOS!E426</f>
        <v/>
      </c>
      <c r="F426" s="98" t="str">
        <f>PEDIDOS!G426</f>
        <v/>
      </c>
      <c r="G426" s="98"/>
      <c r="H426" s="97" t="str">
        <f>PEDIDOS!F426</f>
        <v/>
      </c>
      <c r="I426" s="99" t="str">
        <f t="shared" si="5"/>
        <v/>
      </c>
      <c r="J426" s="49"/>
      <c r="K426" s="49"/>
      <c r="L426" s="49" t="str">
        <f t="shared" si="2"/>
        <v>EN PROCESO</v>
      </c>
      <c r="M426" s="49"/>
      <c r="N426" s="49"/>
    </row>
    <row r="427" ht="22.5" hidden="1" customHeight="1">
      <c r="A427" s="101" t="str">
        <f>PEDIDOS!A427</f>
        <v/>
      </c>
      <c r="B427" s="102" t="str">
        <f>PEDIDOS!B427</f>
        <v/>
      </c>
      <c r="C427" s="103" t="str">
        <f>PEDIDOS!C427</f>
        <v/>
      </c>
      <c r="D427" s="102" t="str">
        <f>PEDIDOS!D427</f>
        <v/>
      </c>
      <c r="E427" s="102" t="str">
        <f>PEDIDOS!E427</f>
        <v/>
      </c>
      <c r="F427" s="104" t="str">
        <f>PEDIDOS!G427</f>
        <v/>
      </c>
      <c r="G427" s="104"/>
      <c r="H427" s="103" t="str">
        <f>PEDIDOS!F427</f>
        <v/>
      </c>
      <c r="I427" s="99" t="str">
        <f t="shared" si="5"/>
        <v/>
      </c>
      <c r="J427" s="101"/>
      <c r="K427" s="101"/>
      <c r="L427" s="101" t="str">
        <f t="shared" si="2"/>
        <v>EN PROCESO</v>
      </c>
      <c r="M427" s="101"/>
      <c r="N427" s="101"/>
    </row>
    <row r="428" ht="22.5" hidden="1" customHeight="1">
      <c r="A428" s="49" t="str">
        <f>PEDIDOS!A428</f>
        <v/>
      </c>
      <c r="B428" s="81" t="str">
        <f>PEDIDOS!B428</f>
        <v/>
      </c>
      <c r="C428" s="97" t="str">
        <f>PEDIDOS!C428</f>
        <v/>
      </c>
      <c r="D428" s="81" t="str">
        <f>PEDIDOS!D428</f>
        <v/>
      </c>
      <c r="E428" s="81" t="str">
        <f>PEDIDOS!E428</f>
        <v/>
      </c>
      <c r="F428" s="98" t="str">
        <f>PEDIDOS!G428</f>
        <v/>
      </c>
      <c r="G428" s="98"/>
      <c r="H428" s="97" t="str">
        <f>PEDIDOS!F428</f>
        <v/>
      </c>
      <c r="I428" s="99" t="str">
        <f t="shared" si="5"/>
        <v/>
      </c>
      <c r="J428" s="49"/>
      <c r="K428" s="49"/>
      <c r="L428" s="49" t="str">
        <f t="shared" si="2"/>
        <v>EN PROCESO</v>
      </c>
      <c r="M428" s="49"/>
      <c r="N428" s="49"/>
    </row>
    <row r="429" ht="22.5" hidden="1" customHeight="1">
      <c r="A429" s="101" t="str">
        <f>PEDIDOS!A429</f>
        <v/>
      </c>
      <c r="B429" s="102" t="str">
        <f>PEDIDOS!B429</f>
        <v/>
      </c>
      <c r="C429" s="103" t="str">
        <f>PEDIDOS!C429</f>
        <v/>
      </c>
      <c r="D429" s="102" t="str">
        <f>PEDIDOS!D429</f>
        <v/>
      </c>
      <c r="E429" s="102" t="str">
        <f>PEDIDOS!E429</f>
        <v/>
      </c>
      <c r="F429" s="104" t="str">
        <f>PEDIDOS!G429</f>
        <v/>
      </c>
      <c r="G429" s="104"/>
      <c r="H429" s="103" t="str">
        <f>PEDIDOS!F429</f>
        <v/>
      </c>
      <c r="I429" s="99" t="str">
        <f t="shared" si="5"/>
        <v/>
      </c>
      <c r="J429" s="101"/>
      <c r="K429" s="101"/>
      <c r="L429" s="101" t="str">
        <f t="shared" si="2"/>
        <v>EN PROCESO</v>
      </c>
      <c r="M429" s="101"/>
      <c r="N429" s="101"/>
    </row>
    <row r="430" ht="22.5" hidden="1" customHeight="1">
      <c r="A430" s="81" t="str">
        <f>PEDIDOS!A430</f>
        <v/>
      </c>
      <c r="B430" s="81" t="str">
        <f>PEDIDOS!B430</f>
        <v/>
      </c>
      <c r="C430" s="97" t="str">
        <f>PEDIDOS!C430</f>
        <v/>
      </c>
      <c r="D430" s="81" t="str">
        <f>PEDIDOS!D430</f>
        <v/>
      </c>
      <c r="E430" s="81" t="str">
        <f>PEDIDOS!E430</f>
        <v/>
      </c>
      <c r="F430" s="98" t="str">
        <f>PEDIDOS!G430</f>
        <v/>
      </c>
      <c r="G430" s="98"/>
      <c r="H430" s="97" t="str">
        <f>PEDIDOS!F430</f>
        <v/>
      </c>
      <c r="I430" s="99" t="str">
        <f t="shared" si="5"/>
        <v/>
      </c>
      <c r="J430" s="49"/>
      <c r="K430" s="49"/>
      <c r="L430" s="49" t="str">
        <f t="shared" si="2"/>
        <v>EN PROCESO</v>
      </c>
      <c r="M430" s="49"/>
      <c r="N430" s="49"/>
    </row>
    <row r="431" ht="22.5" hidden="1" customHeight="1">
      <c r="A431" s="102" t="str">
        <f>PEDIDOS!A431</f>
        <v/>
      </c>
      <c r="B431" s="102" t="str">
        <f>PEDIDOS!B431</f>
        <v/>
      </c>
      <c r="C431" s="103" t="str">
        <f>PEDIDOS!C431</f>
        <v/>
      </c>
      <c r="D431" s="102" t="str">
        <f>PEDIDOS!D431</f>
        <v/>
      </c>
      <c r="E431" s="102" t="str">
        <f>PEDIDOS!E431</f>
        <v/>
      </c>
      <c r="F431" s="104" t="str">
        <f>PEDIDOS!G431</f>
        <v/>
      </c>
      <c r="G431" s="104"/>
      <c r="H431" s="103" t="str">
        <f>PEDIDOS!F431</f>
        <v/>
      </c>
      <c r="I431" s="99" t="str">
        <f t="shared" si="5"/>
        <v/>
      </c>
      <c r="J431" s="101"/>
      <c r="K431" s="101"/>
      <c r="L431" s="101" t="str">
        <f t="shared" si="2"/>
        <v>EN PROCESO</v>
      </c>
      <c r="M431" s="101"/>
      <c r="N431" s="101"/>
    </row>
    <row r="432" ht="22.5" hidden="1" customHeight="1">
      <c r="A432" s="81" t="str">
        <f>PEDIDOS!A432</f>
        <v/>
      </c>
      <c r="B432" s="81" t="str">
        <f>PEDIDOS!B432</f>
        <v/>
      </c>
      <c r="C432" s="97" t="str">
        <f>PEDIDOS!C432</f>
        <v/>
      </c>
      <c r="D432" s="81" t="str">
        <f>PEDIDOS!D432</f>
        <v/>
      </c>
      <c r="E432" s="81" t="str">
        <f>PEDIDOS!E432</f>
        <v/>
      </c>
      <c r="F432" s="98" t="str">
        <f>PEDIDOS!G432</f>
        <v/>
      </c>
      <c r="G432" s="98"/>
      <c r="H432" s="97" t="str">
        <f>PEDIDOS!F432</f>
        <v/>
      </c>
      <c r="I432" s="99" t="str">
        <f t="shared" si="5"/>
        <v/>
      </c>
      <c r="J432" s="49"/>
      <c r="K432" s="49"/>
      <c r="L432" s="49" t="str">
        <f t="shared" si="2"/>
        <v>EN PROCESO</v>
      </c>
      <c r="M432" s="49"/>
      <c r="N432" s="49"/>
    </row>
    <row r="433" ht="22.5" hidden="1" customHeight="1">
      <c r="A433" s="102" t="str">
        <f>PEDIDOS!A433</f>
        <v/>
      </c>
      <c r="B433" s="102" t="str">
        <f>PEDIDOS!B433</f>
        <v/>
      </c>
      <c r="C433" s="103" t="str">
        <f>PEDIDOS!C433</f>
        <v/>
      </c>
      <c r="D433" s="102" t="str">
        <f>PEDIDOS!D433</f>
        <v/>
      </c>
      <c r="E433" s="102" t="str">
        <f>PEDIDOS!E433</f>
        <v/>
      </c>
      <c r="F433" s="104" t="str">
        <f>PEDIDOS!G433</f>
        <v/>
      </c>
      <c r="G433" s="104"/>
      <c r="H433" s="103" t="str">
        <f>PEDIDOS!F433</f>
        <v/>
      </c>
      <c r="I433" s="99" t="str">
        <f t="shared" si="5"/>
        <v/>
      </c>
      <c r="J433" s="101"/>
      <c r="K433" s="101"/>
      <c r="L433" s="101" t="str">
        <f t="shared" si="2"/>
        <v>EN PROCESO</v>
      </c>
      <c r="M433" s="101"/>
      <c r="N433" s="101"/>
    </row>
    <row r="434" ht="22.5" hidden="1" customHeight="1">
      <c r="A434" s="81" t="str">
        <f>PEDIDOS!A434</f>
        <v/>
      </c>
      <c r="B434" s="81" t="str">
        <f>PEDIDOS!B434</f>
        <v/>
      </c>
      <c r="C434" s="97" t="str">
        <f>PEDIDOS!C434</f>
        <v/>
      </c>
      <c r="D434" s="81" t="str">
        <f>PEDIDOS!D434</f>
        <v/>
      </c>
      <c r="E434" s="81" t="str">
        <f>PEDIDOS!E434</f>
        <v/>
      </c>
      <c r="F434" s="98" t="str">
        <f>PEDIDOS!G434</f>
        <v/>
      </c>
      <c r="G434" s="98"/>
      <c r="H434" s="97" t="str">
        <f>PEDIDOS!F434</f>
        <v/>
      </c>
      <c r="I434" s="99" t="str">
        <f t="shared" si="5"/>
        <v/>
      </c>
      <c r="J434" s="49"/>
      <c r="K434" s="49"/>
      <c r="L434" s="49" t="str">
        <f t="shared" si="2"/>
        <v>EN PROCESO</v>
      </c>
      <c r="M434" s="49"/>
      <c r="N434" s="49"/>
    </row>
    <row r="435" ht="22.5" hidden="1" customHeight="1">
      <c r="A435" s="102" t="str">
        <f>PEDIDOS!A435</f>
        <v/>
      </c>
      <c r="B435" s="102" t="str">
        <f>PEDIDOS!B435</f>
        <v/>
      </c>
      <c r="C435" s="103" t="str">
        <f>PEDIDOS!C435</f>
        <v/>
      </c>
      <c r="D435" s="102" t="str">
        <f>PEDIDOS!D435</f>
        <v/>
      </c>
      <c r="E435" s="102" t="str">
        <f>PEDIDOS!E435</f>
        <v/>
      </c>
      <c r="F435" s="104" t="str">
        <f>PEDIDOS!G435</f>
        <v/>
      </c>
      <c r="G435" s="104"/>
      <c r="H435" s="103" t="str">
        <f>PEDIDOS!F435</f>
        <v/>
      </c>
      <c r="I435" s="99" t="str">
        <f t="shared" si="5"/>
        <v/>
      </c>
      <c r="J435" s="101"/>
      <c r="K435" s="101"/>
      <c r="L435" s="101" t="str">
        <f t="shared" si="2"/>
        <v>EN PROCESO</v>
      </c>
      <c r="M435" s="101"/>
      <c r="N435" s="101"/>
    </row>
    <row r="436" ht="22.5" hidden="1" customHeight="1">
      <c r="A436" s="81" t="str">
        <f>PEDIDOS!A436</f>
        <v/>
      </c>
      <c r="B436" s="81" t="str">
        <f>PEDIDOS!B436</f>
        <v/>
      </c>
      <c r="C436" s="97" t="str">
        <f>PEDIDOS!C436</f>
        <v/>
      </c>
      <c r="D436" s="81" t="str">
        <f>PEDIDOS!D436</f>
        <v/>
      </c>
      <c r="E436" s="81" t="str">
        <f>PEDIDOS!E436</f>
        <v/>
      </c>
      <c r="F436" s="98" t="str">
        <f>PEDIDOS!G436</f>
        <v/>
      </c>
      <c r="G436" s="98"/>
      <c r="H436" s="97" t="str">
        <f>PEDIDOS!F436</f>
        <v/>
      </c>
      <c r="I436" s="99" t="str">
        <f t="shared" si="5"/>
        <v/>
      </c>
      <c r="J436" s="49"/>
      <c r="K436" s="49"/>
      <c r="L436" s="49" t="str">
        <f t="shared" si="2"/>
        <v>EN PROCESO</v>
      </c>
      <c r="M436" s="49"/>
      <c r="N436" s="49"/>
    </row>
    <row r="437" ht="22.5" hidden="1" customHeight="1">
      <c r="A437" s="102" t="str">
        <f>PEDIDOS!A437</f>
        <v/>
      </c>
      <c r="B437" s="102" t="str">
        <f>PEDIDOS!B437</f>
        <v/>
      </c>
      <c r="C437" s="103" t="str">
        <f>PEDIDOS!C437</f>
        <v/>
      </c>
      <c r="D437" s="102" t="str">
        <f>PEDIDOS!D437</f>
        <v/>
      </c>
      <c r="E437" s="102" t="str">
        <f>PEDIDOS!E437</f>
        <v/>
      </c>
      <c r="F437" s="104" t="str">
        <f>PEDIDOS!G437</f>
        <v/>
      </c>
      <c r="G437" s="104"/>
      <c r="H437" s="103" t="str">
        <f>PEDIDOS!F437</f>
        <v/>
      </c>
      <c r="I437" s="99" t="str">
        <f t="shared" si="5"/>
        <v/>
      </c>
      <c r="J437" s="101"/>
      <c r="K437" s="101"/>
      <c r="L437" s="101" t="str">
        <f t="shared" si="2"/>
        <v>EN PROCESO</v>
      </c>
      <c r="M437" s="101"/>
      <c r="N437" s="101"/>
    </row>
    <row r="438" ht="22.5" hidden="1" customHeight="1">
      <c r="A438" s="81" t="str">
        <f>PEDIDOS!A438</f>
        <v/>
      </c>
      <c r="B438" s="81" t="str">
        <f>PEDIDOS!B438</f>
        <v/>
      </c>
      <c r="C438" s="97" t="str">
        <f>PEDIDOS!C438</f>
        <v/>
      </c>
      <c r="D438" s="81" t="str">
        <f>PEDIDOS!D438</f>
        <v/>
      </c>
      <c r="E438" s="81" t="str">
        <f>PEDIDOS!E438</f>
        <v/>
      </c>
      <c r="F438" s="98" t="str">
        <f>PEDIDOS!G438</f>
        <v/>
      </c>
      <c r="G438" s="98"/>
      <c r="H438" s="97" t="str">
        <f>PEDIDOS!F438</f>
        <v/>
      </c>
      <c r="I438" s="99" t="str">
        <f t="shared" si="5"/>
        <v/>
      </c>
      <c r="J438" s="49"/>
      <c r="K438" s="49"/>
      <c r="L438" s="49" t="str">
        <f t="shared" si="2"/>
        <v>EN PROCESO</v>
      </c>
      <c r="M438" s="49"/>
      <c r="N438" s="49"/>
    </row>
    <row r="439" ht="22.5" hidden="1" customHeight="1">
      <c r="A439" s="101"/>
      <c r="B439" s="102"/>
      <c r="C439" s="103"/>
      <c r="D439" s="101"/>
      <c r="E439" s="101"/>
      <c r="F439" s="104"/>
      <c r="G439" s="104"/>
      <c r="H439" s="103"/>
      <c r="I439" s="99" t="str">
        <f t="shared" si="5"/>
        <v/>
      </c>
      <c r="J439" s="101"/>
      <c r="K439" s="101"/>
      <c r="L439" s="101" t="str">
        <f t="shared" si="2"/>
        <v>EN PROCESO</v>
      </c>
      <c r="M439" s="101"/>
      <c r="N439" s="101"/>
    </row>
    <row r="440" ht="22.5" hidden="1" customHeight="1">
      <c r="A440" s="49"/>
      <c r="B440" s="81"/>
      <c r="C440" s="97"/>
      <c r="D440" s="49"/>
      <c r="E440" s="49"/>
      <c r="F440" s="98"/>
      <c r="G440" s="98"/>
      <c r="H440" s="97"/>
      <c r="I440" s="99" t="str">
        <f t="shared" si="5"/>
        <v/>
      </c>
      <c r="J440" s="49"/>
      <c r="K440" s="49"/>
      <c r="L440" s="49" t="str">
        <f t="shared" si="2"/>
        <v>EN PROCESO</v>
      </c>
      <c r="M440" s="49"/>
      <c r="N440" s="49"/>
    </row>
    <row r="441" ht="22.5" hidden="1" customHeight="1">
      <c r="A441" s="101"/>
      <c r="B441" s="102"/>
      <c r="C441" s="103"/>
      <c r="D441" s="101"/>
      <c r="E441" s="101"/>
      <c r="F441" s="104"/>
      <c r="G441" s="104"/>
      <c r="H441" s="103"/>
      <c r="I441" s="99" t="str">
        <f t="shared" si="5"/>
        <v/>
      </c>
      <c r="J441" s="101"/>
      <c r="K441" s="101"/>
      <c r="L441" s="101" t="str">
        <f t="shared" si="2"/>
        <v>EN PROCESO</v>
      </c>
      <c r="M441" s="101"/>
      <c r="N441" s="101"/>
    </row>
    <row r="442" ht="22.5" hidden="1" customHeight="1">
      <c r="A442" s="49"/>
      <c r="B442" s="81"/>
      <c r="C442" s="97"/>
      <c r="D442" s="49"/>
      <c r="E442" s="49"/>
      <c r="F442" s="98"/>
      <c r="G442" s="98"/>
      <c r="H442" s="97"/>
      <c r="I442" s="99" t="str">
        <f t="shared" si="5"/>
        <v/>
      </c>
      <c r="J442" s="49"/>
      <c r="K442" s="49"/>
      <c r="L442" s="49" t="str">
        <f t="shared" si="2"/>
        <v>EN PROCESO</v>
      </c>
      <c r="M442" s="49"/>
      <c r="N442" s="49"/>
    </row>
    <row r="443" ht="22.5" hidden="1" customHeight="1">
      <c r="A443" s="101"/>
      <c r="B443" s="102"/>
      <c r="C443" s="103"/>
      <c r="D443" s="101"/>
      <c r="E443" s="101"/>
      <c r="F443" s="104"/>
      <c r="G443" s="104"/>
      <c r="H443" s="103"/>
      <c r="I443" s="99" t="str">
        <f t="shared" si="5"/>
        <v/>
      </c>
      <c r="J443" s="101"/>
      <c r="K443" s="101"/>
      <c r="L443" s="101" t="str">
        <f t="shared" si="2"/>
        <v>EN PROCESO</v>
      </c>
      <c r="M443" s="101"/>
      <c r="N443" s="101"/>
    </row>
    <row r="444" ht="22.5" hidden="1" customHeight="1">
      <c r="A444" s="49"/>
      <c r="B444" s="81"/>
      <c r="C444" s="97"/>
      <c r="D444" s="49"/>
      <c r="E444" s="49"/>
      <c r="F444" s="98"/>
      <c r="G444" s="98"/>
      <c r="H444" s="97"/>
      <c r="I444" s="99" t="str">
        <f t="shared" si="5"/>
        <v/>
      </c>
      <c r="J444" s="49"/>
      <c r="K444" s="49"/>
      <c r="L444" s="49" t="str">
        <f t="shared" si="2"/>
        <v>EN PROCESO</v>
      </c>
      <c r="M444" s="49"/>
      <c r="N444" s="49"/>
    </row>
    <row r="445" ht="22.5" hidden="1" customHeight="1">
      <c r="A445" s="101"/>
      <c r="B445" s="102"/>
      <c r="C445" s="103"/>
      <c r="D445" s="101"/>
      <c r="E445" s="101"/>
      <c r="F445" s="104"/>
      <c r="G445" s="104"/>
      <c r="H445" s="103"/>
      <c r="I445" s="99" t="str">
        <f t="shared" si="5"/>
        <v/>
      </c>
      <c r="J445" s="101"/>
      <c r="K445" s="101"/>
      <c r="L445" s="101" t="str">
        <f t="shared" si="2"/>
        <v>EN PROCESO</v>
      </c>
      <c r="M445" s="101"/>
      <c r="N445" s="101"/>
    </row>
    <row r="446" ht="22.5" hidden="1" customHeight="1">
      <c r="A446" s="49"/>
      <c r="B446" s="81"/>
      <c r="C446" s="97"/>
      <c r="D446" s="49"/>
      <c r="E446" s="49"/>
      <c r="F446" s="98"/>
      <c r="G446" s="98"/>
      <c r="H446" s="97"/>
      <c r="I446" s="99" t="str">
        <f t="shared" si="5"/>
        <v/>
      </c>
      <c r="J446" s="49"/>
      <c r="K446" s="49"/>
      <c r="L446" s="49" t="str">
        <f t="shared" si="2"/>
        <v>EN PROCESO</v>
      </c>
      <c r="M446" s="49"/>
      <c r="N446" s="49"/>
    </row>
    <row r="447" ht="22.5" hidden="1" customHeight="1">
      <c r="A447" s="101"/>
      <c r="B447" s="102"/>
      <c r="C447" s="103"/>
      <c r="D447" s="101"/>
      <c r="E447" s="101"/>
      <c r="F447" s="104"/>
      <c r="G447" s="104"/>
      <c r="H447" s="103"/>
      <c r="I447" s="99" t="str">
        <f t="shared" si="5"/>
        <v/>
      </c>
      <c r="J447" s="101"/>
      <c r="K447" s="101"/>
      <c r="L447" s="101" t="str">
        <f t="shared" si="2"/>
        <v>EN PROCESO</v>
      </c>
      <c r="M447" s="101"/>
      <c r="N447" s="101"/>
    </row>
    <row r="448" ht="22.5" hidden="1" customHeight="1">
      <c r="A448" s="49"/>
      <c r="B448" s="81"/>
      <c r="C448" s="97"/>
      <c r="D448" s="49"/>
      <c r="E448" s="49"/>
      <c r="F448" s="98"/>
      <c r="G448" s="98"/>
      <c r="H448" s="97"/>
      <c r="I448" s="99" t="str">
        <f t="shared" si="5"/>
        <v/>
      </c>
      <c r="J448" s="49"/>
      <c r="K448" s="49"/>
      <c r="L448" s="49" t="str">
        <f t="shared" si="2"/>
        <v>EN PROCESO</v>
      </c>
      <c r="M448" s="49"/>
      <c r="N448" s="49"/>
    </row>
    <row r="449" ht="22.5" hidden="1" customHeight="1">
      <c r="A449" s="101"/>
      <c r="B449" s="102"/>
      <c r="C449" s="103"/>
      <c r="D449" s="101"/>
      <c r="E449" s="101"/>
      <c r="F449" s="104"/>
      <c r="G449" s="104"/>
      <c r="H449" s="103"/>
      <c r="I449" s="99" t="str">
        <f t="shared" si="5"/>
        <v/>
      </c>
      <c r="J449" s="101"/>
      <c r="K449" s="101"/>
      <c r="L449" s="101" t="str">
        <f t="shared" si="2"/>
        <v>EN PROCESO</v>
      </c>
      <c r="M449" s="101"/>
      <c r="N449" s="101"/>
    </row>
    <row r="450" ht="22.5" hidden="1" customHeight="1">
      <c r="A450" s="49"/>
      <c r="B450" s="81"/>
      <c r="C450" s="97"/>
      <c r="D450" s="49"/>
      <c r="E450" s="49"/>
      <c r="F450" s="98"/>
      <c r="G450" s="98"/>
      <c r="H450" s="97"/>
      <c r="I450" s="99" t="str">
        <f t="shared" si="5"/>
        <v/>
      </c>
      <c r="J450" s="49"/>
      <c r="K450" s="49"/>
      <c r="L450" s="49" t="str">
        <f t="shared" si="2"/>
        <v>EN PROCESO</v>
      </c>
      <c r="M450" s="49"/>
      <c r="N450" s="49"/>
    </row>
    <row r="451" ht="22.5" hidden="1" customHeight="1">
      <c r="A451" s="101"/>
      <c r="B451" s="102"/>
      <c r="C451" s="103"/>
      <c r="D451" s="101"/>
      <c r="E451" s="101"/>
      <c r="F451" s="104"/>
      <c r="G451" s="104"/>
      <c r="H451" s="103"/>
      <c r="I451" s="99" t="str">
        <f t="shared" si="5"/>
        <v/>
      </c>
      <c r="J451" s="101"/>
      <c r="K451" s="101"/>
      <c r="L451" s="101" t="str">
        <f t="shared" si="2"/>
        <v>EN PROCESO</v>
      </c>
      <c r="M451" s="101"/>
      <c r="N451" s="101"/>
    </row>
    <row r="452" ht="22.5" hidden="1" customHeight="1">
      <c r="A452" s="49"/>
      <c r="B452" s="81"/>
      <c r="C452" s="97"/>
      <c r="D452" s="49"/>
      <c r="E452" s="49"/>
      <c r="F452" s="98"/>
      <c r="G452" s="98"/>
      <c r="H452" s="97"/>
      <c r="I452" s="99" t="str">
        <f t="shared" si="5"/>
        <v/>
      </c>
      <c r="J452" s="49"/>
      <c r="K452" s="49"/>
      <c r="L452" s="49" t="str">
        <f t="shared" si="2"/>
        <v>EN PROCESO</v>
      </c>
      <c r="M452" s="49"/>
      <c r="N452" s="49"/>
    </row>
    <row r="453" ht="22.5" hidden="1" customHeight="1">
      <c r="A453" s="101"/>
      <c r="B453" s="102"/>
      <c r="C453" s="103"/>
      <c r="D453" s="101"/>
      <c r="E453" s="101"/>
      <c r="F453" s="104"/>
      <c r="G453" s="104"/>
      <c r="H453" s="103"/>
      <c r="I453" s="99" t="str">
        <f t="shared" si="5"/>
        <v/>
      </c>
      <c r="J453" s="101"/>
      <c r="K453" s="101"/>
      <c r="L453" s="101" t="str">
        <f t="shared" si="2"/>
        <v>EN PROCESO</v>
      </c>
      <c r="M453" s="101"/>
      <c r="N453" s="101"/>
    </row>
    <row r="454" ht="22.5" hidden="1" customHeight="1">
      <c r="A454" s="49"/>
      <c r="B454" s="81"/>
      <c r="C454" s="97"/>
      <c r="D454" s="49"/>
      <c r="E454" s="49"/>
      <c r="F454" s="98"/>
      <c r="G454" s="98"/>
      <c r="H454" s="97"/>
      <c r="I454" s="99" t="str">
        <f t="shared" si="5"/>
        <v/>
      </c>
      <c r="J454" s="49"/>
      <c r="K454" s="49"/>
      <c r="L454" s="49" t="str">
        <f t="shared" si="2"/>
        <v>EN PROCESO</v>
      </c>
      <c r="M454" s="49"/>
      <c r="N454" s="49"/>
    </row>
    <row r="455" ht="22.5" hidden="1" customHeight="1">
      <c r="A455" s="101"/>
      <c r="B455" s="102"/>
      <c r="C455" s="103"/>
      <c r="D455" s="101"/>
      <c r="E455" s="101"/>
      <c r="F455" s="104"/>
      <c r="G455" s="104"/>
      <c r="H455" s="103"/>
      <c r="I455" s="99" t="str">
        <f t="shared" si="5"/>
        <v/>
      </c>
      <c r="J455" s="101"/>
      <c r="K455" s="101"/>
      <c r="L455" s="101" t="str">
        <f t="shared" si="2"/>
        <v>EN PROCESO</v>
      </c>
      <c r="M455" s="101"/>
      <c r="N455" s="101"/>
    </row>
    <row r="456" ht="22.5" hidden="1" customHeight="1">
      <c r="A456" s="49"/>
      <c r="B456" s="81"/>
      <c r="C456" s="97"/>
      <c r="D456" s="49"/>
      <c r="E456" s="49"/>
      <c r="F456" s="98"/>
      <c r="G456" s="98"/>
      <c r="H456" s="97"/>
      <c r="I456" s="99" t="str">
        <f t="shared" si="5"/>
        <v/>
      </c>
      <c r="J456" s="49"/>
      <c r="K456" s="49"/>
      <c r="L456" s="49" t="str">
        <f t="shared" si="2"/>
        <v>EN PROCESO</v>
      </c>
      <c r="M456" s="49"/>
      <c r="N456" s="49"/>
    </row>
    <row r="457" ht="22.5" hidden="1" customHeight="1">
      <c r="A457" s="101"/>
      <c r="B457" s="102"/>
      <c r="C457" s="103"/>
      <c r="D457" s="101"/>
      <c r="E457" s="101"/>
      <c r="F457" s="104"/>
      <c r="G457" s="104"/>
      <c r="H457" s="103"/>
      <c r="I457" s="99" t="str">
        <f t="shared" si="5"/>
        <v/>
      </c>
      <c r="J457" s="101"/>
      <c r="K457" s="101"/>
      <c r="L457" s="101" t="str">
        <f t="shared" si="2"/>
        <v>EN PROCESO</v>
      </c>
      <c r="M457" s="101"/>
      <c r="N457" s="101"/>
    </row>
    <row r="458" ht="22.5" hidden="1" customHeight="1">
      <c r="A458" s="49"/>
      <c r="B458" s="81"/>
      <c r="C458" s="97"/>
      <c r="D458" s="49"/>
      <c r="E458" s="49"/>
      <c r="F458" s="98"/>
      <c r="G458" s="98"/>
      <c r="H458" s="97"/>
      <c r="I458" s="99" t="str">
        <f t="shared" si="5"/>
        <v/>
      </c>
      <c r="J458" s="49"/>
      <c r="K458" s="49"/>
      <c r="L458" s="49" t="str">
        <f t="shared" si="2"/>
        <v>EN PROCESO</v>
      </c>
      <c r="M458" s="49"/>
      <c r="N458" s="49"/>
    </row>
    <row r="459" ht="22.5" hidden="1" customHeight="1">
      <c r="A459" s="101"/>
      <c r="B459" s="102"/>
      <c r="C459" s="103"/>
      <c r="D459" s="101"/>
      <c r="E459" s="101"/>
      <c r="F459" s="104"/>
      <c r="G459" s="104"/>
      <c r="H459" s="103"/>
      <c r="I459" s="99" t="str">
        <f t="shared" si="5"/>
        <v/>
      </c>
      <c r="J459" s="101"/>
      <c r="K459" s="101"/>
      <c r="L459" s="101" t="str">
        <f t="shared" si="2"/>
        <v>EN PROCESO</v>
      </c>
      <c r="M459" s="101"/>
      <c r="N459" s="101"/>
    </row>
    <row r="460" ht="22.5" hidden="1" customHeight="1">
      <c r="A460" s="49"/>
      <c r="B460" s="81"/>
      <c r="C460" s="97"/>
      <c r="D460" s="49"/>
      <c r="E460" s="49"/>
      <c r="F460" s="98"/>
      <c r="G460" s="98"/>
      <c r="H460" s="97"/>
      <c r="I460" s="99" t="str">
        <f t="shared" si="5"/>
        <v/>
      </c>
      <c r="J460" s="49"/>
      <c r="K460" s="49"/>
      <c r="L460" s="49" t="str">
        <f t="shared" si="2"/>
        <v>EN PROCESO</v>
      </c>
      <c r="M460" s="49"/>
      <c r="N460" s="49"/>
    </row>
    <row r="461" ht="22.5" hidden="1" customHeight="1">
      <c r="A461" s="101"/>
      <c r="B461" s="102"/>
      <c r="C461" s="103"/>
      <c r="D461" s="101"/>
      <c r="E461" s="101"/>
      <c r="F461" s="104"/>
      <c r="G461" s="104"/>
      <c r="H461" s="103"/>
      <c r="I461" s="99" t="str">
        <f t="shared" si="5"/>
        <v/>
      </c>
      <c r="J461" s="101"/>
      <c r="K461" s="101"/>
      <c r="L461" s="101" t="str">
        <f t="shared" si="2"/>
        <v>EN PROCESO</v>
      </c>
      <c r="M461" s="101"/>
      <c r="N461" s="101"/>
    </row>
    <row r="462" ht="22.5" hidden="1" customHeight="1">
      <c r="A462" s="49"/>
      <c r="B462" s="81"/>
      <c r="C462" s="97"/>
      <c r="D462" s="49"/>
      <c r="E462" s="49"/>
      <c r="F462" s="98"/>
      <c r="G462" s="98"/>
      <c r="H462" s="97"/>
      <c r="I462" s="99" t="str">
        <f t="shared" si="5"/>
        <v/>
      </c>
      <c r="J462" s="49"/>
      <c r="K462" s="49"/>
      <c r="L462" s="49" t="str">
        <f t="shared" si="2"/>
        <v>EN PROCESO</v>
      </c>
      <c r="M462" s="49"/>
      <c r="N462" s="49"/>
    </row>
    <row r="463" ht="22.5" hidden="1" customHeight="1">
      <c r="A463" s="101"/>
      <c r="B463" s="102"/>
      <c r="C463" s="103"/>
      <c r="D463" s="101"/>
      <c r="E463" s="101"/>
      <c r="F463" s="104"/>
      <c r="G463" s="104"/>
      <c r="H463" s="103"/>
      <c r="I463" s="99" t="str">
        <f t="shared" si="5"/>
        <v/>
      </c>
      <c r="J463" s="101"/>
      <c r="K463" s="101"/>
      <c r="L463" s="101" t="str">
        <f t="shared" si="2"/>
        <v>EN PROCESO</v>
      </c>
      <c r="M463" s="101"/>
      <c r="N463" s="101"/>
    </row>
    <row r="464" ht="22.5" hidden="1" customHeight="1">
      <c r="A464" s="49"/>
      <c r="B464" s="81"/>
      <c r="C464" s="97"/>
      <c r="D464" s="49"/>
      <c r="E464" s="49"/>
      <c r="F464" s="98"/>
      <c r="G464" s="98"/>
      <c r="H464" s="97"/>
      <c r="I464" s="99" t="str">
        <f t="shared" si="5"/>
        <v/>
      </c>
      <c r="J464" s="49"/>
      <c r="K464" s="49"/>
      <c r="L464" s="49" t="str">
        <f t="shared" si="2"/>
        <v>EN PROCESO</v>
      </c>
      <c r="M464" s="49"/>
      <c r="N464" s="49"/>
    </row>
    <row r="465" ht="22.5" hidden="1" customHeight="1">
      <c r="A465" s="101"/>
      <c r="B465" s="102"/>
      <c r="C465" s="103"/>
      <c r="D465" s="101"/>
      <c r="E465" s="101"/>
      <c r="F465" s="104"/>
      <c r="G465" s="104"/>
      <c r="H465" s="103"/>
      <c r="I465" s="99" t="str">
        <f t="shared" si="5"/>
        <v/>
      </c>
      <c r="J465" s="101"/>
      <c r="K465" s="101"/>
      <c r="L465" s="101" t="str">
        <f t="shared" si="2"/>
        <v>EN PROCESO</v>
      </c>
      <c r="M465" s="101"/>
      <c r="N465" s="101"/>
    </row>
    <row r="466" ht="22.5" hidden="1" customHeight="1">
      <c r="A466" s="49"/>
      <c r="B466" s="81"/>
      <c r="C466" s="97"/>
      <c r="D466" s="49"/>
      <c r="E466" s="49"/>
      <c r="F466" s="98"/>
      <c r="G466" s="98"/>
      <c r="H466" s="97"/>
      <c r="I466" s="99" t="str">
        <f t="shared" si="5"/>
        <v/>
      </c>
      <c r="J466" s="49"/>
      <c r="K466" s="49"/>
      <c r="L466" s="49" t="str">
        <f t="shared" si="2"/>
        <v>EN PROCESO</v>
      </c>
      <c r="M466" s="49"/>
      <c r="N466" s="49"/>
    </row>
    <row r="467" ht="22.5" hidden="1" customHeight="1">
      <c r="A467" s="101"/>
      <c r="B467" s="102"/>
      <c r="C467" s="103"/>
      <c r="D467" s="101"/>
      <c r="E467" s="101"/>
      <c r="F467" s="104"/>
      <c r="G467" s="104"/>
      <c r="H467" s="103"/>
      <c r="I467" s="99" t="str">
        <f t="shared" si="5"/>
        <v/>
      </c>
      <c r="J467" s="101"/>
      <c r="K467" s="101"/>
      <c r="L467" s="101" t="str">
        <f t="shared" si="2"/>
        <v>EN PROCESO</v>
      </c>
      <c r="M467" s="101"/>
      <c r="N467" s="101"/>
    </row>
    <row r="468" ht="22.5" hidden="1" customHeight="1">
      <c r="A468" s="49"/>
      <c r="B468" s="81"/>
      <c r="C468" s="97"/>
      <c r="D468" s="49"/>
      <c r="E468" s="49"/>
      <c r="F468" s="98"/>
      <c r="G468" s="98"/>
      <c r="H468" s="97"/>
      <c r="I468" s="99" t="str">
        <f t="shared" si="5"/>
        <v/>
      </c>
      <c r="J468" s="49"/>
      <c r="K468" s="49"/>
      <c r="L468" s="49" t="str">
        <f t="shared" si="2"/>
        <v>EN PROCESO</v>
      </c>
      <c r="M468" s="49"/>
      <c r="N468" s="49"/>
    </row>
    <row r="469" ht="22.5" hidden="1" customHeight="1">
      <c r="A469" s="101"/>
      <c r="B469" s="102"/>
      <c r="C469" s="103"/>
      <c r="D469" s="101"/>
      <c r="E469" s="101"/>
      <c r="F469" s="104"/>
      <c r="G469" s="104"/>
      <c r="H469" s="103"/>
      <c r="I469" s="99" t="str">
        <f t="shared" si="5"/>
        <v/>
      </c>
      <c r="J469" s="101"/>
      <c r="K469" s="101"/>
      <c r="L469" s="101" t="str">
        <f t="shared" si="2"/>
        <v>EN PROCESO</v>
      </c>
      <c r="M469" s="101"/>
      <c r="N469" s="101"/>
    </row>
    <row r="470" ht="22.5" hidden="1" customHeight="1">
      <c r="A470" s="49"/>
      <c r="B470" s="81"/>
      <c r="C470" s="97"/>
      <c r="D470" s="49"/>
      <c r="E470" s="49"/>
      <c r="F470" s="98"/>
      <c r="G470" s="98"/>
      <c r="H470" s="97"/>
      <c r="I470" s="99" t="str">
        <f t="shared" si="5"/>
        <v/>
      </c>
      <c r="J470" s="49"/>
      <c r="K470" s="49"/>
      <c r="L470" s="49" t="str">
        <f t="shared" si="2"/>
        <v>EN PROCESO</v>
      </c>
      <c r="M470" s="49"/>
      <c r="N470" s="49"/>
    </row>
    <row r="471" ht="22.5" hidden="1" customHeight="1">
      <c r="A471" s="101"/>
      <c r="B471" s="102"/>
      <c r="C471" s="103"/>
      <c r="D471" s="101"/>
      <c r="E471" s="101"/>
      <c r="F471" s="104"/>
      <c r="G471" s="104"/>
      <c r="H471" s="103"/>
      <c r="I471" s="99" t="str">
        <f t="shared" si="5"/>
        <v/>
      </c>
      <c r="J471" s="101"/>
      <c r="K471" s="101"/>
      <c r="L471" s="101" t="str">
        <f t="shared" si="2"/>
        <v>EN PROCESO</v>
      </c>
      <c r="M471" s="101"/>
      <c r="N471" s="101"/>
    </row>
    <row r="472" ht="22.5" hidden="1" customHeight="1">
      <c r="A472" s="49"/>
      <c r="B472" s="81"/>
      <c r="C472" s="97"/>
      <c r="D472" s="49"/>
      <c r="E472" s="49"/>
      <c r="F472" s="98"/>
      <c r="G472" s="98"/>
      <c r="H472" s="97"/>
      <c r="I472" s="99" t="str">
        <f t="shared" si="5"/>
        <v/>
      </c>
      <c r="J472" s="49"/>
      <c r="K472" s="49"/>
      <c r="L472" s="49" t="str">
        <f t="shared" si="2"/>
        <v>EN PROCESO</v>
      </c>
      <c r="M472" s="49"/>
      <c r="N472" s="49"/>
    </row>
    <row r="473" ht="22.5" hidden="1" customHeight="1">
      <c r="A473" s="101"/>
      <c r="B473" s="102"/>
      <c r="C473" s="103"/>
      <c r="D473" s="101"/>
      <c r="E473" s="101"/>
      <c r="F473" s="104"/>
      <c r="G473" s="104"/>
      <c r="H473" s="103"/>
      <c r="I473" s="99" t="str">
        <f t="shared" si="5"/>
        <v/>
      </c>
      <c r="J473" s="101"/>
      <c r="K473" s="101"/>
      <c r="L473" s="101" t="str">
        <f t="shared" si="2"/>
        <v>EN PROCESO</v>
      </c>
      <c r="M473" s="101"/>
      <c r="N473" s="101"/>
    </row>
    <row r="474" ht="22.5" hidden="1" customHeight="1">
      <c r="A474" s="49"/>
      <c r="B474" s="81"/>
      <c r="C474" s="97"/>
      <c r="D474" s="49"/>
      <c r="E474" s="49"/>
      <c r="F474" s="98"/>
      <c r="G474" s="98"/>
      <c r="H474" s="97"/>
      <c r="I474" s="99" t="str">
        <f t="shared" si="5"/>
        <v/>
      </c>
      <c r="J474" s="49"/>
      <c r="K474" s="49"/>
      <c r="L474" s="49" t="str">
        <f t="shared" si="2"/>
        <v>EN PROCESO</v>
      </c>
      <c r="M474" s="49"/>
      <c r="N474" s="49"/>
    </row>
    <row r="475" ht="22.5" hidden="1" customHeight="1">
      <c r="A475" s="101"/>
      <c r="B475" s="102"/>
      <c r="C475" s="103"/>
      <c r="D475" s="101"/>
      <c r="E475" s="101"/>
      <c r="F475" s="104"/>
      <c r="G475" s="104"/>
      <c r="H475" s="103"/>
      <c r="I475" s="99" t="str">
        <f t="shared" si="5"/>
        <v/>
      </c>
      <c r="J475" s="101"/>
      <c r="K475" s="101"/>
      <c r="L475" s="101" t="str">
        <f t="shared" si="2"/>
        <v>EN PROCESO</v>
      </c>
      <c r="M475" s="101"/>
      <c r="N475" s="101"/>
    </row>
    <row r="476" ht="22.5" hidden="1" customHeight="1">
      <c r="A476" s="49"/>
      <c r="B476" s="81"/>
      <c r="C476" s="97"/>
      <c r="D476" s="49"/>
      <c r="E476" s="49"/>
      <c r="F476" s="98"/>
      <c r="G476" s="98"/>
      <c r="H476" s="97"/>
      <c r="I476" s="99" t="str">
        <f t="shared" si="5"/>
        <v/>
      </c>
      <c r="J476" s="49"/>
      <c r="K476" s="49"/>
      <c r="L476" s="49" t="str">
        <f t="shared" si="2"/>
        <v>EN PROCESO</v>
      </c>
      <c r="M476" s="49"/>
      <c r="N476" s="49"/>
    </row>
    <row r="477" ht="22.5" hidden="1" customHeight="1">
      <c r="A477" s="101"/>
      <c r="B477" s="102"/>
      <c r="C477" s="103"/>
      <c r="D477" s="101"/>
      <c r="E477" s="101"/>
      <c r="F477" s="104"/>
      <c r="G477" s="104"/>
      <c r="H477" s="103"/>
      <c r="I477" s="99" t="str">
        <f t="shared" si="5"/>
        <v/>
      </c>
      <c r="J477" s="101"/>
      <c r="K477" s="101"/>
      <c r="L477" s="101" t="str">
        <f t="shared" si="2"/>
        <v>EN PROCESO</v>
      </c>
      <c r="M477" s="101"/>
      <c r="N477" s="101"/>
    </row>
    <row r="478" ht="22.5" hidden="1" customHeight="1">
      <c r="A478" s="49"/>
      <c r="B478" s="81"/>
      <c r="C478" s="97"/>
      <c r="D478" s="49"/>
      <c r="E478" s="49"/>
      <c r="F478" s="98"/>
      <c r="G478" s="98"/>
      <c r="H478" s="97"/>
      <c r="I478" s="99" t="str">
        <f t="shared" si="5"/>
        <v/>
      </c>
      <c r="J478" s="49"/>
      <c r="K478" s="49"/>
      <c r="L478" s="49" t="str">
        <f t="shared" si="2"/>
        <v>EN PROCESO</v>
      </c>
      <c r="M478" s="49"/>
      <c r="N478" s="49"/>
    </row>
    <row r="479" ht="22.5" hidden="1" customHeight="1">
      <c r="A479" s="101"/>
      <c r="B479" s="102"/>
      <c r="C479" s="103"/>
      <c r="D479" s="101"/>
      <c r="E479" s="101"/>
      <c r="F479" s="104"/>
      <c r="G479" s="104"/>
      <c r="H479" s="103"/>
      <c r="I479" s="99" t="str">
        <f t="shared" si="5"/>
        <v/>
      </c>
      <c r="J479" s="101"/>
      <c r="K479" s="101"/>
      <c r="L479" s="101" t="str">
        <f t="shared" si="2"/>
        <v>EN PROCESO</v>
      </c>
      <c r="M479" s="101"/>
      <c r="N479" s="101"/>
    </row>
    <row r="480" ht="22.5" hidden="1" customHeight="1">
      <c r="A480" s="49"/>
      <c r="B480" s="81"/>
      <c r="C480" s="97"/>
      <c r="D480" s="49"/>
      <c r="E480" s="49"/>
      <c r="F480" s="98"/>
      <c r="G480" s="98"/>
      <c r="H480" s="97"/>
      <c r="I480" s="99" t="str">
        <f t="shared" si="5"/>
        <v/>
      </c>
      <c r="J480" s="49"/>
      <c r="K480" s="49"/>
      <c r="L480" s="49" t="str">
        <f t="shared" si="2"/>
        <v>EN PROCESO</v>
      </c>
      <c r="M480" s="49"/>
      <c r="N480" s="49"/>
    </row>
    <row r="481" ht="22.5" hidden="1" customHeight="1">
      <c r="A481" s="101"/>
      <c r="B481" s="102"/>
      <c r="C481" s="103"/>
      <c r="D481" s="101"/>
      <c r="E481" s="101"/>
      <c r="F481" s="104"/>
      <c r="G481" s="104"/>
      <c r="H481" s="103"/>
      <c r="I481" s="99" t="str">
        <f t="shared" si="5"/>
        <v/>
      </c>
      <c r="J481" s="101"/>
      <c r="K481" s="101"/>
      <c r="L481" s="101" t="str">
        <f t="shared" si="2"/>
        <v>EN PROCESO</v>
      </c>
      <c r="M481" s="101"/>
      <c r="N481" s="101"/>
    </row>
    <row r="482" ht="22.5" hidden="1" customHeight="1">
      <c r="A482" s="49"/>
      <c r="B482" s="81"/>
      <c r="C482" s="97"/>
      <c r="D482" s="49"/>
      <c r="E482" s="49"/>
      <c r="F482" s="98"/>
      <c r="G482" s="98"/>
      <c r="H482" s="97"/>
      <c r="I482" s="99" t="str">
        <f t="shared" si="5"/>
        <v/>
      </c>
      <c r="J482" s="49"/>
      <c r="K482" s="49"/>
      <c r="L482" s="49" t="str">
        <f t="shared" si="2"/>
        <v>EN PROCESO</v>
      </c>
      <c r="M482" s="49"/>
      <c r="N482" s="49"/>
    </row>
    <row r="483" ht="22.5" hidden="1" customHeight="1">
      <c r="A483" s="101"/>
      <c r="B483" s="102"/>
      <c r="C483" s="103"/>
      <c r="D483" s="101"/>
      <c r="E483" s="101"/>
      <c r="F483" s="104"/>
      <c r="G483" s="104"/>
      <c r="H483" s="103"/>
      <c r="I483" s="99" t="str">
        <f t="shared" si="5"/>
        <v/>
      </c>
      <c r="J483" s="101"/>
      <c r="K483" s="101"/>
      <c r="L483" s="101" t="str">
        <f t="shared" si="2"/>
        <v>EN PROCESO</v>
      </c>
      <c r="M483" s="101"/>
      <c r="N483" s="101"/>
    </row>
    <row r="484" ht="22.5" hidden="1" customHeight="1">
      <c r="A484" s="49"/>
      <c r="B484" s="81"/>
      <c r="C484" s="97"/>
      <c r="D484" s="49"/>
      <c r="E484" s="49"/>
      <c r="F484" s="98"/>
      <c r="G484" s="98"/>
      <c r="H484" s="97"/>
      <c r="I484" s="99" t="str">
        <f t="shared" si="5"/>
        <v/>
      </c>
      <c r="J484" s="49"/>
      <c r="K484" s="49"/>
      <c r="L484" s="49" t="str">
        <f t="shared" si="2"/>
        <v>EN PROCESO</v>
      </c>
      <c r="M484" s="49"/>
      <c r="N484" s="49"/>
    </row>
    <row r="485" ht="22.5" hidden="1" customHeight="1">
      <c r="A485" s="101"/>
      <c r="B485" s="102"/>
      <c r="C485" s="103"/>
      <c r="D485" s="101"/>
      <c r="E485" s="101"/>
      <c r="F485" s="104"/>
      <c r="G485" s="104"/>
      <c r="H485" s="103"/>
      <c r="I485" s="99" t="str">
        <f t="shared" si="5"/>
        <v/>
      </c>
      <c r="J485" s="101"/>
      <c r="K485" s="101"/>
      <c r="L485" s="101" t="str">
        <f t="shared" si="2"/>
        <v>EN PROCESO</v>
      </c>
      <c r="M485" s="101"/>
      <c r="N485" s="101"/>
    </row>
    <row r="486" ht="22.5" hidden="1" customHeight="1">
      <c r="A486" s="49"/>
      <c r="B486" s="81"/>
      <c r="C486" s="97"/>
      <c r="D486" s="49"/>
      <c r="E486" s="49"/>
      <c r="F486" s="98"/>
      <c r="G486" s="98"/>
      <c r="H486" s="97"/>
      <c r="I486" s="99" t="str">
        <f t="shared" si="5"/>
        <v/>
      </c>
      <c r="J486" s="49"/>
      <c r="K486" s="49"/>
      <c r="L486" s="49" t="str">
        <f t="shared" si="2"/>
        <v>EN PROCESO</v>
      </c>
      <c r="M486" s="49"/>
      <c r="N486" s="49"/>
    </row>
    <row r="487" ht="22.5" hidden="1" customHeight="1">
      <c r="A487" s="101"/>
      <c r="B487" s="102"/>
      <c r="C487" s="103"/>
      <c r="D487" s="101"/>
      <c r="E487" s="101"/>
      <c r="F487" s="104"/>
      <c r="G487" s="104"/>
      <c r="H487" s="103"/>
      <c r="I487" s="99" t="str">
        <f t="shared" si="5"/>
        <v/>
      </c>
      <c r="J487" s="101"/>
      <c r="K487" s="101"/>
      <c r="L487" s="101" t="str">
        <f t="shared" si="2"/>
        <v>EN PROCESO</v>
      </c>
      <c r="M487" s="101"/>
      <c r="N487" s="101"/>
    </row>
    <row r="488" ht="22.5" hidden="1" customHeight="1">
      <c r="A488" s="49"/>
      <c r="B488" s="81"/>
      <c r="C488" s="97"/>
      <c r="D488" s="49"/>
      <c r="E488" s="49"/>
      <c r="F488" s="98"/>
      <c r="G488" s="98"/>
      <c r="H488" s="97"/>
      <c r="I488" s="99" t="str">
        <f t="shared" si="5"/>
        <v/>
      </c>
      <c r="J488" s="49"/>
      <c r="K488" s="49"/>
      <c r="L488" s="49" t="str">
        <f t="shared" si="2"/>
        <v>EN PROCESO</v>
      </c>
      <c r="M488" s="49"/>
      <c r="N488" s="49"/>
    </row>
    <row r="489" ht="22.5" hidden="1" customHeight="1">
      <c r="A489" s="101"/>
      <c r="B489" s="102"/>
      <c r="C489" s="103"/>
      <c r="D489" s="101"/>
      <c r="E489" s="101"/>
      <c r="F489" s="104"/>
      <c r="G489" s="104"/>
      <c r="H489" s="103"/>
      <c r="I489" s="99" t="str">
        <f t="shared" si="5"/>
        <v/>
      </c>
      <c r="J489" s="101"/>
      <c r="K489" s="101"/>
      <c r="L489" s="101" t="str">
        <f t="shared" si="2"/>
        <v>EN PROCESO</v>
      </c>
      <c r="M489" s="101"/>
      <c r="N489" s="101"/>
    </row>
    <row r="490" ht="22.5" hidden="1" customHeight="1">
      <c r="A490" s="49"/>
      <c r="B490" s="81"/>
      <c r="C490" s="97"/>
      <c r="D490" s="49"/>
      <c r="E490" s="49"/>
      <c r="F490" s="98"/>
      <c r="G490" s="98"/>
      <c r="H490" s="97"/>
      <c r="I490" s="99" t="str">
        <f t="shared" si="5"/>
        <v/>
      </c>
      <c r="J490" s="49"/>
      <c r="K490" s="49"/>
      <c r="L490" s="49" t="str">
        <f t="shared" si="2"/>
        <v>EN PROCESO</v>
      </c>
      <c r="M490" s="49"/>
      <c r="N490" s="49"/>
    </row>
    <row r="491" ht="22.5" hidden="1" customHeight="1">
      <c r="A491" s="101"/>
      <c r="B491" s="102"/>
      <c r="C491" s="103"/>
      <c r="D491" s="101"/>
      <c r="E491" s="101"/>
      <c r="F491" s="104"/>
      <c r="G491" s="104"/>
      <c r="H491" s="103"/>
      <c r="I491" s="99" t="str">
        <f t="shared" si="5"/>
        <v/>
      </c>
      <c r="J491" s="101"/>
      <c r="K491" s="101"/>
      <c r="L491" s="101" t="str">
        <f t="shared" si="2"/>
        <v>EN PROCESO</v>
      </c>
      <c r="M491" s="101"/>
      <c r="N491" s="101"/>
    </row>
    <row r="492" ht="22.5" hidden="1" customHeight="1">
      <c r="A492" s="49"/>
      <c r="B492" s="81"/>
      <c r="C492" s="97"/>
      <c r="D492" s="49"/>
      <c r="E492" s="49"/>
      <c r="F492" s="98"/>
      <c r="G492" s="98"/>
      <c r="H492" s="97"/>
      <c r="I492" s="99" t="str">
        <f t="shared" si="5"/>
        <v/>
      </c>
      <c r="J492" s="49"/>
      <c r="K492" s="49"/>
      <c r="L492" s="49" t="str">
        <f t="shared" si="2"/>
        <v>EN PROCESO</v>
      </c>
      <c r="M492" s="49"/>
      <c r="N492" s="49"/>
    </row>
    <row r="493" ht="22.5" hidden="1" customHeight="1">
      <c r="A493" s="101"/>
      <c r="B493" s="102"/>
      <c r="C493" s="103"/>
      <c r="D493" s="101"/>
      <c r="E493" s="101"/>
      <c r="F493" s="104"/>
      <c r="G493" s="104"/>
      <c r="H493" s="103"/>
      <c r="I493" s="99" t="str">
        <f t="shared" si="5"/>
        <v/>
      </c>
      <c r="J493" s="101"/>
      <c r="K493" s="101"/>
      <c r="L493" s="101" t="str">
        <f t="shared" si="2"/>
        <v>EN PROCESO</v>
      </c>
      <c r="M493" s="101"/>
      <c r="N493" s="101"/>
    </row>
    <row r="494" ht="22.5" hidden="1" customHeight="1">
      <c r="A494" s="49"/>
      <c r="B494" s="81"/>
      <c r="C494" s="97"/>
      <c r="D494" s="49"/>
      <c r="E494" s="49"/>
      <c r="F494" s="98"/>
      <c r="G494" s="98"/>
      <c r="H494" s="97"/>
      <c r="I494" s="99" t="str">
        <f t="shared" si="5"/>
        <v/>
      </c>
      <c r="J494" s="49"/>
      <c r="K494" s="49"/>
      <c r="L494" s="49" t="str">
        <f t="shared" si="2"/>
        <v>EN PROCESO</v>
      </c>
      <c r="M494" s="49"/>
      <c r="N494" s="49"/>
    </row>
    <row r="495" ht="22.5" hidden="1" customHeight="1">
      <c r="A495" s="101"/>
      <c r="B495" s="102"/>
      <c r="C495" s="103"/>
      <c r="D495" s="101"/>
      <c r="E495" s="101"/>
      <c r="F495" s="104"/>
      <c r="G495" s="104"/>
      <c r="H495" s="103"/>
      <c r="I495" s="99" t="str">
        <f t="shared" si="5"/>
        <v/>
      </c>
      <c r="J495" s="101"/>
      <c r="K495" s="101"/>
      <c r="L495" s="101" t="str">
        <f t="shared" si="2"/>
        <v>EN PROCESO</v>
      </c>
      <c r="M495" s="101"/>
      <c r="N495" s="101"/>
    </row>
    <row r="496" ht="22.5" hidden="1" customHeight="1">
      <c r="A496" s="49"/>
      <c r="B496" s="81"/>
      <c r="C496" s="97"/>
      <c r="D496" s="49"/>
      <c r="E496" s="49"/>
      <c r="F496" s="98"/>
      <c r="G496" s="98"/>
      <c r="H496" s="97"/>
      <c r="I496" s="99" t="str">
        <f t="shared" si="5"/>
        <v/>
      </c>
      <c r="J496" s="49"/>
      <c r="K496" s="49"/>
      <c r="L496" s="49" t="str">
        <f t="shared" si="2"/>
        <v>EN PROCESO</v>
      </c>
      <c r="M496" s="49"/>
      <c r="N496" s="49"/>
    </row>
    <row r="497" ht="22.5" hidden="1" customHeight="1">
      <c r="A497" s="101"/>
      <c r="B497" s="102"/>
      <c r="C497" s="103"/>
      <c r="D497" s="101"/>
      <c r="E497" s="101"/>
      <c r="F497" s="104"/>
      <c r="G497" s="104"/>
      <c r="H497" s="103"/>
      <c r="I497" s="99" t="str">
        <f t="shared" si="5"/>
        <v/>
      </c>
      <c r="J497" s="101"/>
      <c r="K497" s="101"/>
      <c r="L497" s="101" t="str">
        <f t="shared" si="2"/>
        <v>EN PROCESO</v>
      </c>
      <c r="M497" s="101"/>
      <c r="N497" s="101"/>
    </row>
    <row r="498" ht="22.5" hidden="1" customHeight="1">
      <c r="A498" s="49"/>
      <c r="B498" s="81"/>
      <c r="C498" s="97"/>
      <c r="D498" s="49"/>
      <c r="E498" s="49"/>
      <c r="F498" s="98"/>
      <c r="G498" s="98"/>
      <c r="H498" s="97"/>
      <c r="I498" s="99" t="str">
        <f t="shared" si="5"/>
        <v/>
      </c>
      <c r="J498" s="49"/>
      <c r="K498" s="49"/>
      <c r="L498" s="49" t="str">
        <f t="shared" si="2"/>
        <v>EN PROCESO</v>
      </c>
      <c r="M498" s="49"/>
      <c r="N498" s="49"/>
    </row>
    <row r="499" ht="22.5" hidden="1" customHeight="1">
      <c r="A499" s="101"/>
      <c r="B499" s="102"/>
      <c r="C499" s="103"/>
      <c r="D499" s="101"/>
      <c r="E499" s="101"/>
      <c r="F499" s="104"/>
      <c r="G499" s="104"/>
      <c r="H499" s="103"/>
      <c r="I499" s="99" t="str">
        <f t="shared" si="5"/>
        <v/>
      </c>
      <c r="J499" s="101"/>
      <c r="K499" s="101"/>
      <c r="L499" s="101" t="str">
        <f t="shared" si="2"/>
        <v>EN PROCESO</v>
      </c>
      <c r="M499" s="101"/>
      <c r="N499" s="101"/>
    </row>
    <row r="500" ht="22.5" hidden="1" customHeight="1">
      <c r="A500" s="49"/>
      <c r="B500" s="81"/>
      <c r="C500" s="97"/>
      <c r="D500" s="49"/>
      <c r="E500" s="49"/>
      <c r="F500" s="98"/>
      <c r="G500" s="98"/>
      <c r="H500" s="97"/>
      <c r="I500" s="99" t="str">
        <f t="shared" si="5"/>
        <v/>
      </c>
      <c r="J500" s="49"/>
      <c r="K500" s="49"/>
      <c r="L500" s="49" t="str">
        <f t="shared" si="2"/>
        <v>EN PROCESO</v>
      </c>
      <c r="M500" s="49"/>
      <c r="N500" s="49"/>
    </row>
    <row r="501" ht="22.5" hidden="1" customHeight="1">
      <c r="A501" s="101"/>
      <c r="B501" s="102"/>
      <c r="C501" s="103"/>
      <c r="D501" s="101"/>
      <c r="E501" s="101"/>
      <c r="F501" s="104"/>
      <c r="G501" s="104"/>
      <c r="H501" s="103"/>
      <c r="I501" s="99" t="str">
        <f t="shared" si="5"/>
        <v/>
      </c>
      <c r="J501" s="101"/>
      <c r="K501" s="101"/>
      <c r="L501" s="101" t="str">
        <f t="shared" si="2"/>
        <v>EN PROCESO</v>
      </c>
      <c r="M501" s="101"/>
      <c r="N501" s="101"/>
    </row>
    <row r="502" ht="22.5" hidden="1" customHeight="1">
      <c r="A502" s="49"/>
      <c r="B502" s="81"/>
      <c r="C502" s="97"/>
      <c r="D502" s="49"/>
      <c r="E502" s="49"/>
      <c r="F502" s="98"/>
      <c r="G502" s="98"/>
      <c r="H502" s="97"/>
      <c r="I502" s="99" t="str">
        <f t="shared" si="5"/>
        <v/>
      </c>
      <c r="J502" s="49"/>
      <c r="K502" s="49"/>
      <c r="L502" s="49" t="str">
        <f t="shared" si="2"/>
        <v>EN PROCESO</v>
      </c>
      <c r="M502" s="49"/>
      <c r="N502" s="49"/>
    </row>
    <row r="503" ht="22.5" hidden="1" customHeight="1">
      <c r="A503" s="101"/>
      <c r="B503" s="102"/>
      <c r="C503" s="103"/>
      <c r="D503" s="101"/>
      <c r="E503" s="101"/>
      <c r="F503" s="104"/>
      <c r="G503" s="104"/>
      <c r="H503" s="103"/>
      <c r="I503" s="99" t="str">
        <f t="shared" si="5"/>
        <v/>
      </c>
      <c r="J503" s="101"/>
      <c r="K503" s="101"/>
      <c r="L503" s="101" t="str">
        <f t="shared" si="2"/>
        <v>EN PROCESO</v>
      </c>
      <c r="M503" s="101"/>
      <c r="N503" s="101"/>
    </row>
    <row r="504" ht="22.5" hidden="1" customHeight="1">
      <c r="A504" s="49"/>
      <c r="B504" s="81"/>
      <c r="C504" s="97"/>
      <c r="D504" s="49"/>
      <c r="E504" s="49"/>
      <c r="F504" s="98"/>
      <c r="G504" s="98"/>
      <c r="H504" s="97"/>
      <c r="I504" s="99" t="str">
        <f t="shared" si="5"/>
        <v/>
      </c>
      <c r="J504" s="49"/>
      <c r="K504" s="49"/>
      <c r="L504" s="49" t="str">
        <f t="shared" si="2"/>
        <v>EN PROCESO</v>
      </c>
      <c r="M504" s="49"/>
      <c r="N504" s="49"/>
    </row>
    <row r="505" ht="22.5" hidden="1" customHeight="1">
      <c r="A505" s="101"/>
      <c r="B505" s="102"/>
      <c r="C505" s="103"/>
      <c r="D505" s="101"/>
      <c r="E505" s="101"/>
      <c r="F505" s="104"/>
      <c r="G505" s="104"/>
      <c r="H505" s="103"/>
      <c r="I505" s="99" t="str">
        <f t="shared" si="5"/>
        <v/>
      </c>
      <c r="J505" s="101"/>
      <c r="K505" s="101"/>
      <c r="L505" s="101" t="str">
        <f t="shared" si="2"/>
        <v>EN PROCESO</v>
      </c>
      <c r="M505" s="101"/>
      <c r="N505" s="101"/>
    </row>
    <row r="506" ht="22.5" hidden="1" customHeight="1">
      <c r="A506" s="49"/>
      <c r="B506" s="81"/>
      <c r="C506" s="97"/>
      <c r="D506" s="49"/>
      <c r="E506" s="49"/>
      <c r="F506" s="98"/>
      <c r="G506" s="98"/>
      <c r="H506" s="97"/>
      <c r="I506" s="99" t="str">
        <f t="shared" si="5"/>
        <v/>
      </c>
      <c r="J506" s="49"/>
      <c r="K506" s="49"/>
      <c r="L506" s="49" t="str">
        <f t="shared" si="2"/>
        <v>EN PROCESO</v>
      </c>
      <c r="M506" s="49"/>
      <c r="N506" s="49"/>
    </row>
    <row r="507" ht="22.5" hidden="1" customHeight="1">
      <c r="A507" s="101"/>
      <c r="B507" s="102"/>
      <c r="C507" s="103"/>
      <c r="D507" s="101"/>
      <c r="E507" s="101"/>
      <c r="F507" s="104"/>
      <c r="G507" s="104"/>
      <c r="H507" s="103"/>
      <c r="I507" s="99" t="str">
        <f t="shared" si="5"/>
        <v/>
      </c>
      <c r="J507" s="101"/>
      <c r="K507" s="101"/>
      <c r="L507" s="101" t="str">
        <f t="shared" si="2"/>
        <v>EN PROCESO</v>
      </c>
      <c r="M507" s="101"/>
      <c r="N507" s="101"/>
    </row>
    <row r="508" ht="22.5" hidden="1" customHeight="1">
      <c r="A508" s="49"/>
      <c r="B508" s="81"/>
      <c r="C508" s="97"/>
      <c r="D508" s="49"/>
      <c r="E508" s="49"/>
      <c r="F508" s="98"/>
      <c r="G508" s="98"/>
      <c r="H508" s="97"/>
      <c r="I508" s="99" t="str">
        <f t="shared" si="5"/>
        <v/>
      </c>
      <c r="J508" s="49"/>
      <c r="K508" s="49"/>
      <c r="L508" s="49" t="str">
        <f t="shared" si="2"/>
        <v>EN PROCESO</v>
      </c>
      <c r="M508" s="49"/>
      <c r="N508" s="49"/>
    </row>
    <row r="509" ht="22.5" hidden="1" customHeight="1">
      <c r="A509" s="101"/>
      <c r="B509" s="102"/>
      <c r="C509" s="103"/>
      <c r="D509" s="101"/>
      <c r="E509" s="101"/>
      <c r="F509" s="104"/>
      <c r="G509" s="104"/>
      <c r="H509" s="103"/>
      <c r="I509" s="99" t="str">
        <f t="shared" si="5"/>
        <v/>
      </c>
      <c r="J509" s="101"/>
      <c r="K509" s="101"/>
      <c r="L509" s="101" t="str">
        <f t="shared" si="2"/>
        <v>EN PROCESO</v>
      </c>
      <c r="M509" s="101"/>
      <c r="N509" s="101"/>
    </row>
    <row r="510" ht="22.5" hidden="1" customHeight="1">
      <c r="A510" s="49"/>
      <c r="B510" s="81"/>
      <c r="C510" s="97"/>
      <c r="D510" s="49"/>
      <c r="E510" s="49"/>
      <c r="F510" s="98"/>
      <c r="G510" s="98"/>
      <c r="H510" s="97"/>
      <c r="I510" s="99" t="str">
        <f t="shared" si="5"/>
        <v/>
      </c>
      <c r="J510" s="49"/>
      <c r="K510" s="49"/>
      <c r="L510" s="49" t="str">
        <f t="shared" si="2"/>
        <v>EN PROCESO</v>
      </c>
      <c r="M510" s="49"/>
      <c r="N510" s="49"/>
    </row>
    <row r="511" ht="22.5" hidden="1" customHeight="1">
      <c r="A511" s="101"/>
      <c r="B511" s="102"/>
      <c r="C511" s="103"/>
      <c r="D511" s="101"/>
      <c r="E511" s="101"/>
      <c r="F511" s="104"/>
      <c r="G511" s="104"/>
      <c r="H511" s="103"/>
      <c r="I511" s="99" t="str">
        <f t="shared" si="5"/>
        <v/>
      </c>
      <c r="J511" s="101"/>
      <c r="K511" s="101"/>
      <c r="L511" s="101" t="str">
        <f t="shared" si="2"/>
        <v>EN PROCESO</v>
      </c>
      <c r="M511" s="101"/>
      <c r="N511" s="101"/>
    </row>
    <row r="512" ht="22.5" hidden="1" customHeight="1">
      <c r="A512" s="49"/>
      <c r="B512" s="81"/>
      <c r="C512" s="97"/>
      <c r="D512" s="49"/>
      <c r="E512" s="49"/>
      <c r="F512" s="98"/>
      <c r="G512" s="98"/>
      <c r="H512" s="97"/>
      <c r="I512" s="99" t="str">
        <f t="shared" si="5"/>
        <v/>
      </c>
      <c r="J512" s="49"/>
      <c r="K512" s="49"/>
      <c r="L512" s="49" t="str">
        <f t="shared" si="2"/>
        <v>EN PROCESO</v>
      </c>
      <c r="M512" s="49"/>
      <c r="N512" s="49"/>
    </row>
    <row r="513" ht="22.5" hidden="1" customHeight="1">
      <c r="A513" s="101"/>
      <c r="B513" s="102"/>
      <c r="C513" s="103"/>
      <c r="D513" s="101"/>
      <c r="E513" s="101"/>
      <c r="F513" s="104"/>
      <c r="G513" s="104"/>
      <c r="H513" s="103"/>
      <c r="I513" s="99" t="str">
        <f t="shared" si="5"/>
        <v/>
      </c>
      <c r="J513" s="101"/>
      <c r="K513" s="101"/>
      <c r="L513" s="101" t="str">
        <f t="shared" si="2"/>
        <v>EN PROCESO</v>
      </c>
      <c r="M513" s="101"/>
      <c r="N513" s="101"/>
    </row>
    <row r="514" ht="22.5" hidden="1" customHeight="1">
      <c r="A514" s="49"/>
      <c r="B514" s="81"/>
      <c r="C514" s="97"/>
      <c r="D514" s="49"/>
      <c r="E514" s="49"/>
      <c r="F514" s="98"/>
      <c r="G514" s="98"/>
      <c r="H514" s="97"/>
      <c r="I514" s="99" t="str">
        <f t="shared" si="5"/>
        <v/>
      </c>
      <c r="J514" s="49"/>
      <c r="K514" s="49"/>
      <c r="L514" s="49" t="str">
        <f t="shared" si="2"/>
        <v>EN PROCESO</v>
      </c>
      <c r="M514" s="49"/>
      <c r="N514" s="49"/>
    </row>
    <row r="515" ht="22.5" hidden="1" customHeight="1">
      <c r="A515" s="101"/>
      <c r="B515" s="102"/>
      <c r="C515" s="103"/>
      <c r="D515" s="101"/>
      <c r="E515" s="101"/>
      <c r="F515" s="104"/>
      <c r="G515" s="104"/>
      <c r="H515" s="103"/>
      <c r="I515" s="99" t="str">
        <f t="shared" si="5"/>
        <v/>
      </c>
      <c r="J515" s="101"/>
      <c r="K515" s="101"/>
      <c r="L515" s="101" t="str">
        <f t="shared" si="2"/>
        <v>EN PROCESO</v>
      </c>
      <c r="M515" s="101"/>
      <c r="N515" s="101"/>
    </row>
    <row r="516" ht="22.5" hidden="1" customHeight="1">
      <c r="A516" s="49"/>
      <c r="B516" s="81"/>
      <c r="C516" s="97"/>
      <c r="D516" s="49"/>
      <c r="E516" s="49"/>
      <c r="F516" s="98"/>
      <c r="G516" s="98"/>
      <c r="H516" s="97"/>
      <c r="I516" s="99" t="str">
        <f t="shared" si="5"/>
        <v/>
      </c>
      <c r="J516" s="49"/>
      <c r="K516" s="49"/>
      <c r="L516" s="49" t="str">
        <f t="shared" si="2"/>
        <v>EN PROCESO</v>
      </c>
      <c r="M516" s="49"/>
      <c r="N516" s="49"/>
    </row>
    <row r="517" ht="22.5" hidden="1" customHeight="1">
      <c r="A517" s="101"/>
      <c r="B517" s="102"/>
      <c r="C517" s="103"/>
      <c r="D517" s="101"/>
      <c r="E517" s="101"/>
      <c r="F517" s="104"/>
      <c r="G517" s="104"/>
      <c r="H517" s="103"/>
      <c r="I517" s="99" t="str">
        <f t="shared" si="5"/>
        <v/>
      </c>
      <c r="J517" s="101"/>
      <c r="K517" s="101"/>
      <c r="L517" s="101" t="str">
        <f t="shared" si="2"/>
        <v>EN PROCESO</v>
      </c>
      <c r="M517" s="101"/>
      <c r="N517" s="101"/>
    </row>
    <row r="518" ht="22.5" hidden="1" customHeight="1">
      <c r="A518" s="49"/>
      <c r="B518" s="81"/>
      <c r="C518" s="97"/>
      <c r="D518" s="49"/>
      <c r="E518" s="49"/>
      <c r="F518" s="98"/>
      <c r="G518" s="98"/>
      <c r="H518" s="97"/>
      <c r="I518" s="99" t="str">
        <f t="shared" si="5"/>
        <v/>
      </c>
      <c r="J518" s="49"/>
      <c r="K518" s="49"/>
      <c r="L518" s="49" t="str">
        <f t="shared" si="2"/>
        <v>EN PROCESO</v>
      </c>
      <c r="M518" s="49"/>
      <c r="N518" s="49"/>
    </row>
    <row r="519" ht="22.5" hidden="1" customHeight="1">
      <c r="A519" s="101"/>
      <c r="B519" s="102"/>
      <c r="C519" s="103"/>
      <c r="D519" s="101"/>
      <c r="E519" s="101"/>
      <c r="F519" s="104"/>
      <c r="G519" s="104"/>
      <c r="H519" s="103"/>
      <c r="I519" s="99" t="str">
        <f t="shared" si="5"/>
        <v/>
      </c>
      <c r="J519" s="101"/>
      <c r="K519" s="101"/>
      <c r="L519" s="101" t="str">
        <f t="shared" si="2"/>
        <v>EN PROCESO</v>
      </c>
      <c r="M519" s="101"/>
      <c r="N519" s="101"/>
    </row>
    <row r="520" ht="22.5" hidden="1" customHeight="1">
      <c r="A520" s="49"/>
      <c r="B520" s="81"/>
      <c r="C520" s="97"/>
      <c r="D520" s="49"/>
      <c r="E520" s="49"/>
      <c r="F520" s="98"/>
      <c r="G520" s="98"/>
      <c r="H520" s="97"/>
      <c r="I520" s="99" t="str">
        <f t="shared" si="5"/>
        <v/>
      </c>
      <c r="J520" s="49"/>
      <c r="K520" s="49"/>
      <c r="L520" s="49" t="str">
        <f t="shared" si="2"/>
        <v>EN PROCESO</v>
      </c>
      <c r="M520" s="49"/>
      <c r="N520" s="49"/>
    </row>
    <row r="521" ht="22.5" hidden="1" customHeight="1">
      <c r="A521" s="101"/>
      <c r="B521" s="102"/>
      <c r="C521" s="103"/>
      <c r="D521" s="101"/>
      <c r="E521" s="101"/>
      <c r="F521" s="104"/>
      <c r="G521" s="104"/>
      <c r="H521" s="103"/>
      <c r="I521" s="99" t="str">
        <f t="shared" si="5"/>
        <v/>
      </c>
      <c r="J521" s="101"/>
      <c r="K521" s="101"/>
      <c r="L521" s="101" t="str">
        <f t="shared" si="2"/>
        <v>EN PROCESO</v>
      </c>
      <c r="M521" s="101"/>
      <c r="N521" s="101"/>
    </row>
    <row r="522" ht="22.5" hidden="1" customHeight="1">
      <c r="A522" s="49"/>
      <c r="B522" s="81"/>
      <c r="C522" s="97"/>
      <c r="D522" s="49"/>
      <c r="E522" s="49"/>
      <c r="F522" s="98"/>
      <c r="G522" s="98"/>
      <c r="H522" s="97"/>
      <c r="I522" s="99" t="str">
        <f t="shared" si="5"/>
        <v/>
      </c>
      <c r="J522" s="49"/>
      <c r="K522" s="49"/>
      <c r="L522" s="49" t="str">
        <f t="shared" si="2"/>
        <v>EN PROCESO</v>
      </c>
      <c r="M522" s="49"/>
      <c r="N522" s="49"/>
    </row>
    <row r="523" ht="22.5" hidden="1" customHeight="1">
      <c r="A523" s="101"/>
      <c r="B523" s="102"/>
      <c r="C523" s="103"/>
      <c r="D523" s="101"/>
      <c r="E523" s="101"/>
      <c r="F523" s="104"/>
      <c r="G523" s="104"/>
      <c r="H523" s="103"/>
      <c r="I523" s="99" t="str">
        <f t="shared" si="5"/>
        <v/>
      </c>
      <c r="J523" s="101"/>
      <c r="K523" s="101"/>
      <c r="L523" s="101" t="str">
        <f t="shared" si="2"/>
        <v>EN PROCESO</v>
      </c>
      <c r="M523" s="101"/>
      <c r="N523" s="101"/>
    </row>
    <row r="524" ht="22.5" hidden="1" customHeight="1">
      <c r="A524" s="49"/>
      <c r="B524" s="81"/>
      <c r="C524" s="97"/>
      <c r="D524" s="49"/>
      <c r="E524" s="49"/>
      <c r="F524" s="98"/>
      <c r="G524" s="98"/>
      <c r="H524" s="97"/>
      <c r="I524" s="99" t="str">
        <f t="shared" si="5"/>
        <v/>
      </c>
      <c r="J524" s="49"/>
      <c r="K524" s="49"/>
      <c r="L524" s="49" t="str">
        <f t="shared" si="2"/>
        <v>EN PROCESO</v>
      </c>
      <c r="M524" s="49"/>
      <c r="N524" s="49"/>
    </row>
    <row r="525" ht="22.5" hidden="1" customHeight="1">
      <c r="A525" s="101"/>
      <c r="B525" s="102"/>
      <c r="C525" s="103"/>
      <c r="D525" s="101"/>
      <c r="E525" s="101"/>
      <c r="F525" s="104"/>
      <c r="G525" s="104"/>
      <c r="H525" s="103"/>
      <c r="I525" s="99" t="str">
        <f t="shared" si="5"/>
        <v/>
      </c>
      <c r="J525" s="101"/>
      <c r="K525" s="101"/>
      <c r="L525" s="101" t="str">
        <f t="shared" si="2"/>
        <v>EN PROCESO</v>
      </c>
      <c r="M525" s="101"/>
      <c r="N525" s="101"/>
    </row>
    <row r="526" ht="22.5" hidden="1" customHeight="1">
      <c r="A526" s="49"/>
      <c r="B526" s="81"/>
      <c r="C526" s="97"/>
      <c r="D526" s="49"/>
      <c r="E526" s="49"/>
      <c r="F526" s="98"/>
      <c r="G526" s="98"/>
      <c r="H526" s="97"/>
      <c r="I526" s="99" t="str">
        <f t="shared" si="5"/>
        <v/>
      </c>
      <c r="J526" s="49"/>
      <c r="K526" s="49"/>
      <c r="L526" s="49" t="str">
        <f t="shared" si="2"/>
        <v>EN PROCESO</v>
      </c>
      <c r="M526" s="49"/>
      <c r="N526" s="49"/>
    </row>
    <row r="527" ht="22.5" hidden="1" customHeight="1">
      <c r="A527" s="101"/>
      <c r="B527" s="102"/>
      <c r="C527" s="103"/>
      <c r="D527" s="101"/>
      <c r="E527" s="101"/>
      <c r="F527" s="104"/>
      <c r="G527" s="104"/>
      <c r="H527" s="103"/>
      <c r="I527" s="99" t="str">
        <f t="shared" si="5"/>
        <v/>
      </c>
      <c r="J527" s="101"/>
      <c r="K527" s="101"/>
      <c r="L527" s="101" t="str">
        <f t="shared" si="2"/>
        <v>EN PROCESO</v>
      </c>
      <c r="M527" s="101"/>
      <c r="N527" s="101"/>
    </row>
    <row r="528" ht="22.5" hidden="1" customHeight="1">
      <c r="A528" s="49"/>
      <c r="B528" s="81"/>
      <c r="C528" s="97"/>
      <c r="D528" s="49"/>
      <c r="E528" s="49"/>
      <c r="F528" s="98"/>
      <c r="G528" s="98"/>
      <c r="H528" s="97"/>
      <c r="I528" s="99" t="str">
        <f t="shared" si="5"/>
        <v/>
      </c>
      <c r="J528" s="49"/>
      <c r="K528" s="49"/>
      <c r="L528" s="49" t="str">
        <f t="shared" si="2"/>
        <v>EN PROCESO</v>
      </c>
      <c r="M528" s="49"/>
      <c r="N528" s="49"/>
    </row>
    <row r="529" ht="22.5" hidden="1" customHeight="1">
      <c r="A529" s="101"/>
      <c r="B529" s="102"/>
      <c r="C529" s="103"/>
      <c r="D529" s="101"/>
      <c r="E529" s="101"/>
      <c r="F529" s="104"/>
      <c r="G529" s="104"/>
      <c r="H529" s="103"/>
      <c r="I529" s="99" t="str">
        <f t="shared" si="5"/>
        <v/>
      </c>
      <c r="J529" s="101"/>
      <c r="K529" s="101"/>
      <c r="L529" s="101" t="str">
        <f t="shared" si="2"/>
        <v>EN PROCESO</v>
      </c>
      <c r="M529" s="101"/>
      <c r="N529" s="101"/>
    </row>
    <row r="530" ht="22.5" hidden="1" customHeight="1">
      <c r="A530" s="49"/>
      <c r="B530" s="81"/>
      <c r="C530" s="97"/>
      <c r="D530" s="49"/>
      <c r="E530" s="49"/>
      <c r="F530" s="98"/>
      <c r="G530" s="98"/>
      <c r="H530" s="97"/>
      <c r="I530" s="99" t="str">
        <f t="shared" si="5"/>
        <v/>
      </c>
      <c r="J530" s="49"/>
      <c r="K530" s="49"/>
      <c r="L530" s="49" t="str">
        <f t="shared" si="2"/>
        <v>EN PROCESO</v>
      </c>
      <c r="M530" s="49"/>
      <c r="N530" s="49"/>
    </row>
    <row r="531" ht="22.5" hidden="1" customHeight="1">
      <c r="A531" s="101"/>
      <c r="B531" s="102"/>
      <c r="C531" s="103"/>
      <c r="D531" s="101"/>
      <c r="E531" s="101"/>
      <c r="F531" s="104"/>
      <c r="G531" s="104"/>
      <c r="H531" s="103"/>
      <c r="I531" s="99" t="str">
        <f t="shared" si="5"/>
        <v/>
      </c>
      <c r="J531" s="101"/>
      <c r="K531" s="101"/>
      <c r="L531" s="101" t="str">
        <f t="shared" si="2"/>
        <v>EN PROCESO</v>
      </c>
      <c r="M531" s="101"/>
      <c r="N531" s="101"/>
    </row>
    <row r="532" ht="22.5" hidden="1" customHeight="1">
      <c r="A532" s="49"/>
      <c r="B532" s="81"/>
      <c r="C532" s="97"/>
      <c r="D532" s="49"/>
      <c r="E532" s="49"/>
      <c r="F532" s="98"/>
      <c r="G532" s="98"/>
      <c r="H532" s="97"/>
      <c r="I532" s="99" t="str">
        <f t="shared" si="5"/>
        <v/>
      </c>
      <c r="J532" s="49"/>
      <c r="K532" s="49"/>
      <c r="L532" s="49" t="str">
        <f t="shared" si="2"/>
        <v>EN PROCESO</v>
      </c>
      <c r="M532" s="49"/>
      <c r="N532" s="49"/>
    </row>
    <row r="533" ht="22.5" hidden="1" customHeight="1">
      <c r="A533" s="101"/>
      <c r="B533" s="102"/>
      <c r="C533" s="103"/>
      <c r="D533" s="101"/>
      <c r="E533" s="101"/>
      <c r="F533" s="104"/>
      <c r="G533" s="104"/>
      <c r="H533" s="103"/>
      <c r="I533" s="99" t="str">
        <f t="shared" si="5"/>
        <v/>
      </c>
      <c r="J533" s="101"/>
      <c r="K533" s="101"/>
      <c r="L533" s="101" t="str">
        <f t="shared" si="2"/>
        <v>EN PROCESO</v>
      </c>
      <c r="M533" s="101"/>
      <c r="N533" s="101"/>
    </row>
    <row r="534" ht="22.5" hidden="1" customHeight="1">
      <c r="A534" s="49"/>
      <c r="B534" s="81"/>
      <c r="C534" s="97"/>
      <c r="D534" s="49"/>
      <c r="E534" s="49"/>
      <c r="F534" s="98"/>
      <c r="G534" s="98"/>
      <c r="H534" s="97"/>
      <c r="I534" s="99" t="str">
        <f t="shared" si="5"/>
        <v/>
      </c>
      <c r="J534" s="49"/>
      <c r="K534" s="49"/>
      <c r="L534" s="49" t="str">
        <f t="shared" si="2"/>
        <v>EN PROCESO</v>
      </c>
      <c r="M534" s="49"/>
      <c r="N534" s="49"/>
    </row>
    <row r="535" ht="22.5" hidden="1" customHeight="1">
      <c r="A535" s="101"/>
      <c r="B535" s="102"/>
      <c r="C535" s="103"/>
      <c r="D535" s="101"/>
      <c r="E535" s="101"/>
      <c r="F535" s="104"/>
      <c r="G535" s="104"/>
      <c r="H535" s="103"/>
      <c r="I535" s="99" t="str">
        <f t="shared" si="5"/>
        <v/>
      </c>
      <c r="J535" s="101"/>
      <c r="K535" s="101"/>
      <c r="L535" s="101" t="str">
        <f t="shared" si="2"/>
        <v>EN PROCESO</v>
      </c>
      <c r="M535" s="101"/>
      <c r="N535" s="101"/>
    </row>
    <row r="536" ht="22.5" hidden="1" customHeight="1">
      <c r="A536" s="49"/>
      <c r="B536" s="81"/>
      <c r="C536" s="97"/>
      <c r="D536" s="49"/>
      <c r="E536" s="49"/>
      <c r="F536" s="98"/>
      <c r="G536" s="98"/>
      <c r="H536" s="97"/>
      <c r="I536" s="99" t="str">
        <f t="shared" si="5"/>
        <v/>
      </c>
      <c r="J536" s="49"/>
      <c r="K536" s="49"/>
      <c r="L536" s="49" t="str">
        <f t="shared" si="2"/>
        <v>EN PROCESO</v>
      </c>
      <c r="M536" s="49"/>
      <c r="N536" s="49"/>
    </row>
    <row r="537" ht="22.5" hidden="1" customHeight="1">
      <c r="A537" s="101"/>
      <c r="B537" s="102"/>
      <c r="C537" s="103"/>
      <c r="D537" s="101"/>
      <c r="E537" s="101"/>
      <c r="F537" s="104"/>
      <c r="G537" s="104"/>
      <c r="H537" s="103"/>
      <c r="I537" s="99" t="str">
        <f t="shared" si="5"/>
        <v/>
      </c>
      <c r="J537" s="101"/>
      <c r="K537" s="101"/>
      <c r="L537" s="101" t="str">
        <f t="shared" si="2"/>
        <v>EN PROCESO</v>
      </c>
      <c r="M537" s="101"/>
      <c r="N537" s="101"/>
    </row>
    <row r="538" ht="22.5" hidden="1" customHeight="1">
      <c r="A538" s="49"/>
      <c r="B538" s="81"/>
      <c r="C538" s="97"/>
      <c r="D538" s="49"/>
      <c r="E538" s="49"/>
      <c r="F538" s="98"/>
      <c r="G538" s="98"/>
      <c r="H538" s="97"/>
      <c r="I538" s="99" t="str">
        <f t="shared" si="5"/>
        <v/>
      </c>
      <c r="J538" s="49"/>
      <c r="K538" s="49"/>
      <c r="L538" s="49" t="str">
        <f t="shared" si="2"/>
        <v>EN PROCESO</v>
      </c>
      <c r="M538" s="49"/>
      <c r="N538" s="49"/>
    </row>
    <row r="539" ht="22.5" hidden="1" customHeight="1">
      <c r="A539" s="101"/>
      <c r="B539" s="102"/>
      <c r="C539" s="103"/>
      <c r="D539" s="101"/>
      <c r="E539" s="101"/>
      <c r="F539" s="104"/>
      <c r="G539" s="104"/>
      <c r="H539" s="103"/>
      <c r="I539" s="99" t="str">
        <f t="shared" si="5"/>
        <v/>
      </c>
      <c r="J539" s="101"/>
      <c r="K539" s="101"/>
      <c r="L539" s="101" t="str">
        <f t="shared" si="2"/>
        <v>EN PROCESO</v>
      </c>
      <c r="M539" s="101"/>
      <c r="N539" s="101"/>
    </row>
    <row r="540" ht="22.5" hidden="1" customHeight="1">
      <c r="A540" s="49"/>
      <c r="B540" s="81"/>
      <c r="C540" s="97"/>
      <c r="D540" s="49"/>
      <c r="E540" s="49"/>
      <c r="F540" s="98"/>
      <c r="G540" s="98"/>
      <c r="H540" s="97"/>
      <c r="I540" s="99" t="str">
        <f t="shared" si="5"/>
        <v/>
      </c>
      <c r="J540" s="49"/>
      <c r="K540" s="49"/>
      <c r="L540" s="49" t="str">
        <f t="shared" si="2"/>
        <v>EN PROCESO</v>
      </c>
      <c r="M540" s="49"/>
      <c r="N540" s="49"/>
    </row>
    <row r="541" ht="22.5" hidden="1" customHeight="1">
      <c r="A541" s="101"/>
      <c r="B541" s="102"/>
      <c r="C541" s="103"/>
      <c r="D541" s="101"/>
      <c r="E541" s="101"/>
      <c r="F541" s="104"/>
      <c r="G541" s="104"/>
      <c r="H541" s="103"/>
      <c r="I541" s="99" t="str">
        <f t="shared" si="5"/>
        <v/>
      </c>
      <c r="J541" s="101"/>
      <c r="K541" s="101"/>
      <c r="L541" s="101" t="str">
        <f t="shared" si="2"/>
        <v>EN PROCESO</v>
      </c>
      <c r="M541" s="101"/>
      <c r="N541" s="101"/>
    </row>
    <row r="542" ht="22.5" hidden="1" customHeight="1">
      <c r="A542" s="49"/>
      <c r="B542" s="81"/>
      <c r="C542" s="97"/>
      <c r="D542" s="49"/>
      <c r="E542" s="49"/>
      <c r="F542" s="98"/>
      <c r="G542" s="98"/>
      <c r="H542" s="97"/>
      <c r="I542" s="99" t="str">
        <f t="shared" si="5"/>
        <v/>
      </c>
      <c r="J542" s="49"/>
      <c r="K542" s="49"/>
      <c r="L542" s="49" t="str">
        <f t="shared" si="2"/>
        <v>EN PROCESO</v>
      </c>
      <c r="M542" s="49"/>
      <c r="N542" s="49"/>
    </row>
    <row r="543" ht="22.5" hidden="1" customHeight="1">
      <c r="A543" s="101"/>
      <c r="B543" s="102"/>
      <c r="C543" s="103"/>
      <c r="D543" s="101"/>
      <c r="E543" s="101"/>
      <c r="F543" s="104"/>
      <c r="G543" s="104"/>
      <c r="H543" s="103"/>
      <c r="I543" s="99" t="str">
        <f t="shared" si="5"/>
        <v/>
      </c>
      <c r="J543" s="101"/>
      <c r="K543" s="101"/>
      <c r="L543" s="101" t="str">
        <f t="shared" si="2"/>
        <v>EN PROCESO</v>
      </c>
      <c r="M543" s="101"/>
      <c r="N543" s="101"/>
    </row>
    <row r="544" ht="22.5" hidden="1" customHeight="1">
      <c r="A544" s="49"/>
      <c r="B544" s="81"/>
      <c r="C544" s="97"/>
      <c r="D544" s="49"/>
      <c r="E544" s="49"/>
      <c r="F544" s="98"/>
      <c r="G544" s="98"/>
      <c r="H544" s="97"/>
      <c r="I544" s="99" t="str">
        <f t="shared" si="5"/>
        <v/>
      </c>
      <c r="J544" s="49"/>
      <c r="K544" s="49"/>
      <c r="L544" s="49" t="str">
        <f t="shared" si="2"/>
        <v>EN PROCESO</v>
      </c>
      <c r="M544" s="49"/>
      <c r="N544" s="49"/>
    </row>
    <row r="545" ht="22.5" hidden="1" customHeight="1">
      <c r="A545" s="101"/>
      <c r="B545" s="102"/>
      <c r="C545" s="103"/>
      <c r="D545" s="101"/>
      <c r="E545" s="101"/>
      <c r="F545" s="104"/>
      <c r="G545" s="104"/>
      <c r="H545" s="103"/>
      <c r="I545" s="99" t="str">
        <f t="shared" si="5"/>
        <v/>
      </c>
      <c r="J545" s="101"/>
      <c r="K545" s="101"/>
      <c r="L545" s="101" t="str">
        <f t="shared" si="2"/>
        <v>EN PROCESO</v>
      </c>
      <c r="M545" s="101"/>
      <c r="N545" s="101"/>
    </row>
    <row r="546" ht="22.5" hidden="1" customHeight="1">
      <c r="A546" s="49"/>
      <c r="B546" s="81"/>
      <c r="C546" s="97"/>
      <c r="D546" s="49"/>
      <c r="E546" s="49"/>
      <c r="F546" s="98"/>
      <c r="G546" s="98"/>
      <c r="H546" s="97"/>
      <c r="I546" s="99" t="str">
        <f t="shared" si="5"/>
        <v/>
      </c>
      <c r="J546" s="49"/>
      <c r="K546" s="49"/>
      <c r="L546" s="49" t="str">
        <f t="shared" si="2"/>
        <v>EN PROCESO</v>
      </c>
      <c r="M546" s="49"/>
      <c r="N546" s="49"/>
    </row>
    <row r="547" ht="22.5" hidden="1" customHeight="1">
      <c r="A547" s="101"/>
      <c r="B547" s="102"/>
      <c r="C547" s="103"/>
      <c r="D547" s="101"/>
      <c r="E547" s="101"/>
      <c r="F547" s="104"/>
      <c r="G547" s="104"/>
      <c r="H547" s="103"/>
      <c r="I547" s="99" t="str">
        <f t="shared" si="5"/>
        <v/>
      </c>
      <c r="J547" s="101"/>
      <c r="K547" s="101"/>
      <c r="L547" s="101" t="str">
        <f t="shared" si="2"/>
        <v>EN PROCESO</v>
      </c>
      <c r="M547" s="101"/>
      <c r="N547" s="101"/>
    </row>
    <row r="548" ht="22.5" hidden="1" customHeight="1">
      <c r="A548" s="49"/>
      <c r="B548" s="81"/>
      <c r="C548" s="97"/>
      <c r="D548" s="49"/>
      <c r="E548" s="49"/>
      <c r="F548" s="98"/>
      <c r="G548" s="98"/>
      <c r="H548" s="97"/>
      <c r="I548" s="99" t="str">
        <f t="shared" si="5"/>
        <v/>
      </c>
      <c r="J548" s="49"/>
      <c r="K548" s="49"/>
      <c r="L548" s="49" t="str">
        <f t="shared" si="2"/>
        <v>EN PROCESO</v>
      </c>
      <c r="M548" s="49"/>
      <c r="N548" s="49"/>
    </row>
    <row r="549" ht="22.5" hidden="1" customHeight="1">
      <c r="A549" s="101"/>
      <c r="B549" s="102"/>
      <c r="C549" s="103"/>
      <c r="D549" s="101"/>
      <c r="E549" s="101"/>
      <c r="F549" s="104"/>
      <c r="G549" s="104"/>
      <c r="H549" s="103"/>
      <c r="I549" s="99" t="str">
        <f t="shared" si="5"/>
        <v/>
      </c>
      <c r="J549" s="101"/>
      <c r="K549" s="101"/>
      <c r="L549" s="101" t="str">
        <f t="shared" si="2"/>
        <v>EN PROCESO</v>
      </c>
      <c r="M549" s="101"/>
      <c r="N549" s="101"/>
    </row>
    <row r="550" ht="22.5" hidden="1" customHeight="1">
      <c r="A550" s="49"/>
      <c r="B550" s="81"/>
      <c r="C550" s="97"/>
      <c r="D550" s="49"/>
      <c r="E550" s="49"/>
      <c r="F550" s="98"/>
      <c r="G550" s="98"/>
      <c r="H550" s="97"/>
      <c r="I550" s="99" t="str">
        <f t="shared" si="5"/>
        <v/>
      </c>
      <c r="J550" s="49"/>
      <c r="K550" s="49"/>
      <c r="L550" s="49" t="str">
        <f t="shared" si="2"/>
        <v>EN PROCESO</v>
      </c>
      <c r="M550" s="49"/>
      <c r="N550" s="49"/>
    </row>
    <row r="551" ht="22.5" hidden="1" customHeight="1">
      <c r="A551" s="101"/>
      <c r="B551" s="102"/>
      <c r="C551" s="103"/>
      <c r="D551" s="101"/>
      <c r="E551" s="101"/>
      <c r="F551" s="104"/>
      <c r="G551" s="104"/>
      <c r="H551" s="103"/>
      <c r="I551" s="99" t="str">
        <f t="shared" si="5"/>
        <v/>
      </c>
      <c r="J551" s="101"/>
      <c r="K551" s="101"/>
      <c r="L551" s="101" t="str">
        <f t="shared" si="2"/>
        <v>EN PROCESO</v>
      </c>
      <c r="M551" s="101"/>
      <c r="N551" s="101"/>
    </row>
    <row r="552" ht="22.5" hidden="1" customHeight="1">
      <c r="A552" s="49"/>
      <c r="B552" s="81"/>
      <c r="C552" s="97"/>
      <c r="D552" s="49"/>
      <c r="E552" s="49"/>
      <c r="F552" s="98"/>
      <c r="G552" s="98"/>
      <c r="H552" s="97"/>
      <c r="I552" s="99" t="str">
        <f t="shared" si="5"/>
        <v/>
      </c>
      <c r="J552" s="49"/>
      <c r="K552" s="49"/>
      <c r="L552" s="49" t="str">
        <f t="shared" si="2"/>
        <v>EN PROCESO</v>
      </c>
      <c r="M552" s="49"/>
      <c r="N552" s="49"/>
    </row>
    <row r="553" ht="22.5" hidden="1" customHeight="1">
      <c r="A553" s="101"/>
      <c r="B553" s="102"/>
      <c r="C553" s="103"/>
      <c r="D553" s="101"/>
      <c r="E553" s="101"/>
      <c r="F553" s="104"/>
      <c r="G553" s="104"/>
      <c r="H553" s="103"/>
      <c r="I553" s="99" t="str">
        <f t="shared" si="5"/>
        <v/>
      </c>
      <c r="J553" s="101"/>
      <c r="K553" s="101"/>
      <c r="L553" s="101" t="str">
        <f t="shared" si="2"/>
        <v>EN PROCESO</v>
      </c>
      <c r="M553" s="101"/>
      <c r="N553" s="101"/>
    </row>
    <row r="554" ht="22.5" hidden="1" customHeight="1">
      <c r="A554" s="49"/>
      <c r="B554" s="81"/>
      <c r="C554" s="97"/>
      <c r="D554" s="49"/>
      <c r="E554" s="49"/>
      <c r="F554" s="98"/>
      <c r="G554" s="98"/>
      <c r="H554" s="97"/>
      <c r="I554" s="99" t="str">
        <f t="shared" si="5"/>
        <v/>
      </c>
      <c r="J554" s="49"/>
      <c r="K554" s="49"/>
      <c r="L554" s="49" t="str">
        <f t="shared" si="2"/>
        <v>EN PROCESO</v>
      </c>
      <c r="M554" s="49"/>
      <c r="N554" s="49"/>
    </row>
    <row r="555" ht="22.5" hidden="1" customHeight="1">
      <c r="A555" s="101"/>
      <c r="B555" s="102"/>
      <c r="C555" s="103"/>
      <c r="D555" s="101"/>
      <c r="E555" s="101"/>
      <c r="F555" s="104"/>
      <c r="G555" s="104"/>
      <c r="H555" s="103"/>
      <c r="I555" s="99" t="str">
        <f t="shared" si="5"/>
        <v/>
      </c>
      <c r="J555" s="101"/>
      <c r="K555" s="101"/>
      <c r="L555" s="101" t="str">
        <f t="shared" si="2"/>
        <v>EN PROCESO</v>
      </c>
      <c r="M555" s="101"/>
      <c r="N555" s="101"/>
    </row>
    <row r="556" ht="22.5" hidden="1" customHeight="1">
      <c r="A556" s="49"/>
      <c r="B556" s="81"/>
      <c r="C556" s="97"/>
      <c r="D556" s="49"/>
      <c r="E556" s="49"/>
      <c r="F556" s="98"/>
      <c r="G556" s="98"/>
      <c r="H556" s="97"/>
      <c r="I556" s="99" t="str">
        <f t="shared" si="5"/>
        <v/>
      </c>
      <c r="J556" s="49"/>
      <c r="K556" s="49"/>
      <c r="L556" s="49" t="str">
        <f t="shared" si="2"/>
        <v>EN PROCESO</v>
      </c>
      <c r="M556" s="49"/>
      <c r="N556" s="49"/>
    </row>
    <row r="557" ht="22.5" hidden="1" customHeight="1">
      <c r="A557" s="101"/>
      <c r="B557" s="102"/>
      <c r="C557" s="103"/>
      <c r="D557" s="101"/>
      <c r="E557" s="101"/>
      <c r="F557" s="104"/>
      <c r="G557" s="104"/>
      <c r="H557" s="103"/>
      <c r="I557" s="99" t="str">
        <f t="shared" si="5"/>
        <v/>
      </c>
      <c r="J557" s="101"/>
      <c r="K557" s="101"/>
      <c r="L557" s="101" t="str">
        <f t="shared" si="2"/>
        <v>EN PROCESO</v>
      </c>
      <c r="M557" s="101"/>
      <c r="N557" s="101"/>
    </row>
    <row r="558" ht="22.5" hidden="1" customHeight="1">
      <c r="A558" s="49"/>
      <c r="B558" s="81"/>
      <c r="C558" s="97"/>
      <c r="D558" s="49"/>
      <c r="E558" s="49"/>
      <c r="F558" s="98"/>
      <c r="G558" s="98"/>
      <c r="H558" s="97"/>
      <c r="I558" s="99" t="str">
        <f t="shared" si="5"/>
        <v/>
      </c>
      <c r="J558" s="49"/>
      <c r="K558" s="49"/>
      <c r="L558" s="49" t="str">
        <f t="shared" si="2"/>
        <v>EN PROCESO</v>
      </c>
      <c r="M558" s="49"/>
      <c r="N558" s="49"/>
    </row>
    <row r="559" ht="22.5" hidden="1" customHeight="1">
      <c r="A559" s="101"/>
      <c r="B559" s="102"/>
      <c r="C559" s="103"/>
      <c r="D559" s="101"/>
      <c r="E559" s="101"/>
      <c r="F559" s="104"/>
      <c r="G559" s="104"/>
      <c r="H559" s="103"/>
      <c r="I559" s="99" t="str">
        <f t="shared" si="5"/>
        <v/>
      </c>
      <c r="J559" s="101"/>
      <c r="K559" s="101"/>
      <c r="L559" s="101" t="str">
        <f t="shared" si="2"/>
        <v>EN PROCESO</v>
      </c>
      <c r="M559" s="101"/>
      <c r="N559" s="101"/>
    </row>
    <row r="560" ht="22.5" hidden="1" customHeight="1">
      <c r="A560" s="49"/>
      <c r="B560" s="81"/>
      <c r="C560" s="97"/>
      <c r="D560" s="49"/>
      <c r="E560" s="49"/>
      <c r="F560" s="98"/>
      <c r="G560" s="98"/>
      <c r="H560" s="97"/>
      <c r="I560" s="99" t="str">
        <f t="shared" si="5"/>
        <v/>
      </c>
      <c r="J560" s="49"/>
      <c r="K560" s="49"/>
      <c r="L560" s="49" t="str">
        <f t="shared" si="2"/>
        <v>EN PROCESO</v>
      </c>
      <c r="M560" s="49"/>
      <c r="N560" s="49"/>
    </row>
    <row r="561" ht="22.5" hidden="1" customHeight="1">
      <c r="A561" s="101"/>
      <c r="B561" s="102"/>
      <c r="C561" s="103"/>
      <c r="D561" s="101"/>
      <c r="E561" s="101"/>
      <c r="F561" s="104"/>
      <c r="G561" s="104"/>
      <c r="H561" s="103"/>
      <c r="I561" s="99" t="str">
        <f t="shared" si="5"/>
        <v/>
      </c>
      <c r="J561" s="101"/>
      <c r="K561" s="101"/>
      <c r="L561" s="101" t="str">
        <f t="shared" si="2"/>
        <v>EN PROCESO</v>
      </c>
      <c r="M561" s="101"/>
      <c r="N561" s="101"/>
    </row>
    <row r="562" ht="22.5" hidden="1" customHeight="1">
      <c r="A562" s="49"/>
      <c r="B562" s="81"/>
      <c r="C562" s="97"/>
      <c r="D562" s="49"/>
      <c r="E562" s="49"/>
      <c r="F562" s="98"/>
      <c r="G562" s="98"/>
      <c r="H562" s="97"/>
      <c r="I562" s="99" t="str">
        <f t="shared" si="5"/>
        <v/>
      </c>
      <c r="J562" s="49"/>
      <c r="K562" s="49"/>
      <c r="L562" s="49" t="str">
        <f t="shared" si="2"/>
        <v>EN PROCESO</v>
      </c>
      <c r="M562" s="49"/>
      <c r="N562" s="49"/>
    </row>
    <row r="563" ht="22.5" hidden="1" customHeight="1">
      <c r="A563" s="101"/>
      <c r="B563" s="102"/>
      <c r="C563" s="103"/>
      <c r="D563" s="101"/>
      <c r="E563" s="101"/>
      <c r="F563" s="104"/>
      <c r="G563" s="104"/>
      <c r="H563" s="103"/>
      <c r="I563" s="99" t="str">
        <f t="shared" si="5"/>
        <v/>
      </c>
      <c r="J563" s="101"/>
      <c r="K563" s="101"/>
      <c r="L563" s="101" t="str">
        <f t="shared" si="2"/>
        <v>EN PROCESO</v>
      </c>
      <c r="M563" s="101"/>
      <c r="N563" s="101"/>
    </row>
    <row r="564" ht="22.5" hidden="1" customHeight="1">
      <c r="A564" s="49"/>
      <c r="B564" s="81"/>
      <c r="C564" s="97"/>
      <c r="D564" s="49"/>
      <c r="E564" s="49"/>
      <c r="F564" s="98"/>
      <c r="G564" s="98"/>
      <c r="H564" s="97"/>
      <c r="I564" s="99" t="str">
        <f t="shared" si="5"/>
        <v/>
      </c>
      <c r="J564" s="49"/>
      <c r="K564" s="49"/>
      <c r="L564" s="49" t="str">
        <f t="shared" si="2"/>
        <v>EN PROCESO</v>
      </c>
      <c r="M564" s="49"/>
      <c r="N564" s="49"/>
    </row>
    <row r="565" ht="22.5" hidden="1" customHeight="1">
      <c r="A565" s="101"/>
      <c r="B565" s="102"/>
      <c r="C565" s="103"/>
      <c r="D565" s="101"/>
      <c r="E565" s="101"/>
      <c r="F565" s="104"/>
      <c r="G565" s="104"/>
      <c r="H565" s="103"/>
      <c r="I565" s="99" t="str">
        <f t="shared" si="5"/>
        <v/>
      </c>
      <c r="J565" s="101"/>
      <c r="K565" s="101"/>
      <c r="L565" s="101" t="str">
        <f t="shared" si="2"/>
        <v>EN PROCESO</v>
      </c>
      <c r="M565" s="101"/>
      <c r="N565" s="101"/>
    </row>
    <row r="566" ht="22.5" hidden="1" customHeight="1">
      <c r="A566" s="49"/>
      <c r="B566" s="81"/>
      <c r="C566" s="97"/>
      <c r="D566" s="49"/>
      <c r="E566" s="49"/>
      <c r="F566" s="98"/>
      <c r="G566" s="98"/>
      <c r="H566" s="97"/>
      <c r="I566" s="99" t="str">
        <f t="shared" si="5"/>
        <v/>
      </c>
      <c r="J566" s="49"/>
      <c r="K566" s="49"/>
      <c r="L566" s="49" t="str">
        <f t="shared" si="2"/>
        <v>EN PROCESO</v>
      </c>
      <c r="M566" s="49"/>
      <c r="N566" s="49"/>
    </row>
    <row r="567" ht="22.5" hidden="1" customHeight="1">
      <c r="A567" s="101"/>
      <c r="B567" s="102"/>
      <c r="C567" s="103"/>
      <c r="D567" s="101"/>
      <c r="E567" s="101"/>
      <c r="F567" s="104"/>
      <c r="G567" s="104"/>
      <c r="H567" s="103"/>
      <c r="I567" s="99" t="str">
        <f t="shared" si="5"/>
        <v/>
      </c>
      <c r="J567" s="101"/>
      <c r="K567" s="101"/>
      <c r="L567" s="101" t="str">
        <f t="shared" si="2"/>
        <v>EN PROCESO</v>
      </c>
      <c r="M567" s="101"/>
      <c r="N567" s="101"/>
    </row>
    <row r="568" ht="22.5" hidden="1" customHeight="1">
      <c r="A568" s="49"/>
      <c r="B568" s="81"/>
      <c r="C568" s="97"/>
      <c r="D568" s="49"/>
      <c r="E568" s="49"/>
      <c r="F568" s="98"/>
      <c r="G568" s="98"/>
      <c r="H568" s="97"/>
      <c r="I568" s="99" t="str">
        <f t="shared" si="5"/>
        <v/>
      </c>
      <c r="J568" s="49"/>
      <c r="K568" s="49"/>
      <c r="L568" s="49" t="str">
        <f t="shared" si="2"/>
        <v>EN PROCESO</v>
      </c>
      <c r="M568" s="49"/>
      <c r="N568" s="49"/>
    </row>
    <row r="569" ht="22.5" hidden="1" customHeight="1">
      <c r="A569" s="101"/>
      <c r="B569" s="102"/>
      <c r="C569" s="103"/>
      <c r="D569" s="101"/>
      <c r="E569" s="101"/>
      <c r="F569" s="104"/>
      <c r="G569" s="104"/>
      <c r="H569" s="103"/>
      <c r="I569" s="99" t="str">
        <f t="shared" si="5"/>
        <v/>
      </c>
      <c r="J569" s="101"/>
      <c r="K569" s="101"/>
      <c r="L569" s="101" t="str">
        <f t="shared" si="2"/>
        <v>EN PROCESO</v>
      </c>
      <c r="M569" s="101"/>
      <c r="N569" s="101"/>
    </row>
    <row r="570" ht="22.5" hidden="1" customHeight="1">
      <c r="A570" s="49"/>
      <c r="B570" s="81"/>
      <c r="C570" s="97"/>
      <c r="D570" s="49"/>
      <c r="E570" s="49"/>
      <c r="F570" s="98"/>
      <c r="G570" s="98"/>
      <c r="H570" s="97"/>
      <c r="I570" s="99" t="str">
        <f t="shared" si="5"/>
        <v/>
      </c>
      <c r="J570" s="49"/>
      <c r="K570" s="49"/>
      <c r="L570" s="49" t="str">
        <f t="shared" si="2"/>
        <v>EN PROCESO</v>
      </c>
      <c r="M570" s="49"/>
      <c r="N570" s="49"/>
    </row>
    <row r="571" ht="22.5" hidden="1" customHeight="1">
      <c r="A571" s="101"/>
      <c r="B571" s="102"/>
      <c r="C571" s="103"/>
      <c r="D571" s="101"/>
      <c r="E571" s="101"/>
      <c r="F571" s="104"/>
      <c r="G571" s="104"/>
      <c r="H571" s="103"/>
      <c r="I571" s="99" t="str">
        <f t="shared" si="5"/>
        <v/>
      </c>
      <c r="J571" s="101"/>
      <c r="K571" s="101"/>
      <c r="L571" s="101" t="str">
        <f t="shared" si="2"/>
        <v>EN PROCESO</v>
      </c>
      <c r="M571" s="101"/>
      <c r="N571" s="101"/>
    </row>
    <row r="572" ht="22.5" hidden="1" customHeight="1">
      <c r="A572" s="49"/>
      <c r="B572" s="81"/>
      <c r="C572" s="97"/>
      <c r="D572" s="49"/>
      <c r="E572" s="49"/>
      <c r="F572" s="98"/>
      <c r="G572" s="98"/>
      <c r="H572" s="97"/>
      <c r="I572" s="99" t="str">
        <f t="shared" si="5"/>
        <v/>
      </c>
      <c r="J572" s="49"/>
      <c r="K572" s="49"/>
      <c r="L572" s="49" t="str">
        <f t="shared" si="2"/>
        <v>EN PROCESO</v>
      </c>
      <c r="M572" s="49"/>
      <c r="N572" s="49"/>
    </row>
    <row r="573" ht="22.5" hidden="1" customHeight="1">
      <c r="A573" s="101"/>
      <c r="B573" s="102"/>
      <c r="C573" s="103"/>
      <c r="D573" s="101"/>
      <c r="E573" s="101"/>
      <c r="F573" s="104"/>
      <c r="G573" s="104"/>
      <c r="H573" s="103"/>
      <c r="I573" s="99" t="str">
        <f t="shared" si="5"/>
        <v/>
      </c>
      <c r="J573" s="101"/>
      <c r="K573" s="101"/>
      <c r="L573" s="101" t="str">
        <f t="shared" si="2"/>
        <v>EN PROCESO</v>
      </c>
      <c r="M573" s="101"/>
      <c r="N573" s="101"/>
    </row>
    <row r="574" ht="22.5" hidden="1" customHeight="1">
      <c r="A574" s="49"/>
      <c r="B574" s="81"/>
      <c r="C574" s="97"/>
      <c r="D574" s="49"/>
      <c r="E574" s="49"/>
      <c r="F574" s="98"/>
      <c r="G574" s="98"/>
      <c r="H574" s="97"/>
      <c r="I574" s="99" t="str">
        <f t="shared" si="5"/>
        <v/>
      </c>
      <c r="J574" s="49"/>
      <c r="K574" s="49"/>
      <c r="L574" s="49" t="str">
        <f t="shared" si="2"/>
        <v>EN PROCESO</v>
      </c>
      <c r="M574" s="49"/>
      <c r="N574" s="49"/>
    </row>
    <row r="575" ht="22.5" hidden="1" customHeight="1">
      <c r="A575" s="101"/>
      <c r="B575" s="102"/>
      <c r="C575" s="103"/>
      <c r="D575" s="101"/>
      <c r="E575" s="101"/>
      <c r="F575" s="104"/>
      <c r="G575" s="104"/>
      <c r="H575" s="103"/>
      <c r="I575" s="99" t="str">
        <f t="shared" si="5"/>
        <v/>
      </c>
      <c r="J575" s="101"/>
      <c r="K575" s="101"/>
      <c r="L575" s="101" t="str">
        <f t="shared" si="2"/>
        <v>EN PROCESO</v>
      </c>
      <c r="M575" s="101"/>
      <c r="N575" s="101"/>
    </row>
    <row r="576" ht="22.5" hidden="1" customHeight="1">
      <c r="A576" s="49"/>
      <c r="B576" s="81"/>
      <c r="C576" s="97"/>
      <c r="D576" s="49"/>
      <c r="E576" s="49"/>
      <c r="F576" s="98"/>
      <c r="G576" s="98"/>
      <c r="H576" s="97"/>
      <c r="I576" s="99" t="str">
        <f t="shared" si="5"/>
        <v/>
      </c>
      <c r="J576" s="49"/>
      <c r="K576" s="49"/>
      <c r="L576" s="49" t="str">
        <f t="shared" si="2"/>
        <v>EN PROCESO</v>
      </c>
      <c r="M576" s="49"/>
      <c r="N576" s="49"/>
    </row>
    <row r="577" ht="22.5" hidden="1" customHeight="1">
      <c r="A577" s="101"/>
      <c r="B577" s="102"/>
      <c r="C577" s="103"/>
      <c r="D577" s="101"/>
      <c r="E577" s="101"/>
      <c r="F577" s="104"/>
      <c r="G577" s="104"/>
      <c r="H577" s="103"/>
      <c r="I577" s="99" t="str">
        <f t="shared" si="5"/>
        <v/>
      </c>
      <c r="J577" s="101"/>
      <c r="K577" s="101"/>
      <c r="L577" s="101" t="str">
        <f t="shared" si="2"/>
        <v>EN PROCESO</v>
      </c>
      <c r="M577" s="101"/>
      <c r="N577" s="101"/>
    </row>
    <row r="578" ht="22.5" hidden="1" customHeight="1">
      <c r="A578" s="49"/>
      <c r="B578" s="81"/>
      <c r="C578" s="97"/>
      <c r="D578" s="49"/>
      <c r="E578" s="49"/>
      <c r="F578" s="98"/>
      <c r="G578" s="98"/>
      <c r="H578" s="97"/>
      <c r="I578" s="99" t="str">
        <f t="shared" si="5"/>
        <v/>
      </c>
      <c r="J578" s="49"/>
      <c r="K578" s="49"/>
      <c r="L578" s="49" t="str">
        <f t="shared" si="2"/>
        <v>EN PROCESO</v>
      </c>
      <c r="M578" s="49"/>
      <c r="N578" s="49"/>
    </row>
    <row r="579" ht="22.5" hidden="1" customHeight="1">
      <c r="A579" s="101"/>
      <c r="B579" s="102"/>
      <c r="C579" s="103"/>
      <c r="D579" s="101"/>
      <c r="E579" s="101"/>
      <c r="F579" s="104"/>
      <c r="G579" s="104"/>
      <c r="H579" s="103"/>
      <c r="I579" s="99" t="str">
        <f t="shared" si="5"/>
        <v/>
      </c>
      <c r="J579" s="101"/>
      <c r="K579" s="101"/>
      <c r="L579" s="101" t="str">
        <f t="shared" si="2"/>
        <v>EN PROCESO</v>
      </c>
      <c r="M579" s="101"/>
      <c r="N579" s="101"/>
    </row>
    <row r="580" ht="22.5" hidden="1" customHeight="1">
      <c r="A580" s="49"/>
      <c r="B580" s="81"/>
      <c r="C580" s="97"/>
      <c r="D580" s="49"/>
      <c r="E580" s="49"/>
      <c r="F580" s="98"/>
      <c r="G580" s="98"/>
      <c r="H580" s="97"/>
      <c r="I580" s="99" t="str">
        <f t="shared" si="5"/>
        <v/>
      </c>
      <c r="J580" s="49"/>
      <c r="K580" s="49"/>
      <c r="L580" s="49" t="str">
        <f t="shared" si="2"/>
        <v>EN PROCESO</v>
      </c>
      <c r="M580" s="49"/>
      <c r="N580" s="49"/>
    </row>
    <row r="581" ht="22.5" hidden="1" customHeight="1">
      <c r="A581" s="101"/>
      <c r="B581" s="102"/>
      <c r="C581" s="103"/>
      <c r="D581" s="101"/>
      <c r="E581" s="101"/>
      <c r="F581" s="104"/>
      <c r="G581" s="104"/>
      <c r="H581" s="103"/>
      <c r="I581" s="99" t="str">
        <f t="shared" si="5"/>
        <v/>
      </c>
      <c r="J581" s="101"/>
      <c r="K581" s="101"/>
      <c r="L581" s="101" t="str">
        <f t="shared" si="2"/>
        <v>EN PROCESO</v>
      </c>
      <c r="M581" s="101"/>
      <c r="N581" s="101"/>
    </row>
    <row r="582" ht="22.5" hidden="1" customHeight="1">
      <c r="A582" s="49"/>
      <c r="B582" s="81"/>
      <c r="C582" s="97"/>
      <c r="D582" s="49"/>
      <c r="E582" s="49"/>
      <c r="F582" s="98"/>
      <c r="G582" s="98"/>
      <c r="H582" s="97"/>
      <c r="I582" s="99" t="str">
        <f t="shared" si="5"/>
        <v/>
      </c>
      <c r="J582" s="49"/>
      <c r="K582" s="49"/>
      <c r="L582" s="49" t="str">
        <f t="shared" si="2"/>
        <v>EN PROCESO</v>
      </c>
      <c r="M582" s="49"/>
      <c r="N582" s="49"/>
    </row>
    <row r="583" ht="22.5" hidden="1" customHeight="1">
      <c r="A583" s="101"/>
      <c r="B583" s="102"/>
      <c r="C583" s="103"/>
      <c r="D583" s="101"/>
      <c r="E583" s="101"/>
      <c r="F583" s="104"/>
      <c r="G583" s="104"/>
      <c r="H583" s="103"/>
      <c r="I583" s="99" t="str">
        <f t="shared" si="5"/>
        <v/>
      </c>
      <c r="J583" s="101"/>
      <c r="K583" s="101"/>
      <c r="L583" s="101" t="str">
        <f t="shared" si="2"/>
        <v>EN PROCESO</v>
      </c>
      <c r="M583" s="101"/>
      <c r="N583" s="101"/>
    </row>
    <row r="584" ht="22.5" hidden="1" customHeight="1">
      <c r="A584" s="49"/>
      <c r="B584" s="81"/>
      <c r="C584" s="97"/>
      <c r="D584" s="49"/>
      <c r="E584" s="49"/>
      <c r="F584" s="98"/>
      <c r="G584" s="98"/>
      <c r="H584" s="97"/>
      <c r="I584" s="99" t="str">
        <f t="shared" si="5"/>
        <v/>
      </c>
      <c r="J584" s="49"/>
      <c r="K584" s="49"/>
      <c r="L584" s="49" t="str">
        <f t="shared" si="2"/>
        <v>EN PROCESO</v>
      </c>
      <c r="M584" s="49"/>
      <c r="N584" s="49"/>
    </row>
    <row r="585" ht="22.5" hidden="1" customHeight="1">
      <c r="A585" s="101"/>
      <c r="B585" s="102"/>
      <c r="C585" s="103"/>
      <c r="D585" s="101"/>
      <c r="E585" s="101"/>
      <c r="F585" s="104"/>
      <c r="G585" s="104"/>
      <c r="H585" s="103"/>
      <c r="I585" s="99" t="str">
        <f t="shared" si="5"/>
        <v/>
      </c>
      <c r="J585" s="101"/>
      <c r="K585" s="101"/>
      <c r="L585" s="101" t="str">
        <f t="shared" si="2"/>
        <v>EN PROCESO</v>
      </c>
      <c r="M585" s="101"/>
      <c r="N585" s="101"/>
    </row>
    <row r="586" ht="22.5" hidden="1" customHeight="1">
      <c r="A586" s="49"/>
      <c r="B586" s="81"/>
      <c r="C586" s="97"/>
      <c r="D586" s="49"/>
      <c r="E586" s="49"/>
      <c r="F586" s="98"/>
      <c r="G586" s="98"/>
      <c r="H586" s="97"/>
      <c r="I586" s="99" t="str">
        <f t="shared" si="5"/>
        <v/>
      </c>
      <c r="J586" s="49"/>
      <c r="K586" s="49"/>
      <c r="L586" s="49" t="str">
        <f t="shared" si="2"/>
        <v>EN PROCESO</v>
      </c>
      <c r="M586" s="49"/>
      <c r="N586" s="49"/>
    </row>
    <row r="587" ht="22.5" hidden="1" customHeight="1">
      <c r="A587" s="101"/>
      <c r="B587" s="102"/>
      <c r="C587" s="103"/>
      <c r="D587" s="101"/>
      <c r="E587" s="101"/>
      <c r="F587" s="104"/>
      <c r="G587" s="104"/>
      <c r="H587" s="103"/>
      <c r="I587" s="99" t="str">
        <f t="shared" si="5"/>
        <v/>
      </c>
      <c r="J587" s="101"/>
      <c r="K587" s="101"/>
      <c r="L587" s="101" t="str">
        <f t="shared" si="2"/>
        <v>EN PROCESO</v>
      </c>
      <c r="M587" s="101"/>
      <c r="N587" s="101"/>
    </row>
    <row r="588" ht="22.5" hidden="1" customHeight="1">
      <c r="A588" s="49"/>
      <c r="B588" s="81"/>
      <c r="C588" s="97"/>
      <c r="D588" s="49"/>
      <c r="E588" s="49"/>
      <c r="F588" s="98"/>
      <c r="G588" s="98"/>
      <c r="H588" s="97"/>
      <c r="I588" s="99" t="str">
        <f t="shared" si="5"/>
        <v/>
      </c>
      <c r="J588" s="49"/>
      <c r="K588" s="49"/>
      <c r="L588" s="49" t="str">
        <f t="shared" si="2"/>
        <v>EN PROCESO</v>
      </c>
      <c r="M588" s="49"/>
      <c r="N588" s="49"/>
    </row>
    <row r="589" ht="22.5" hidden="1" customHeight="1">
      <c r="A589" s="101"/>
      <c r="B589" s="102"/>
      <c r="C589" s="103"/>
      <c r="D589" s="101"/>
      <c r="E589" s="101"/>
      <c r="F589" s="104"/>
      <c r="G589" s="104"/>
      <c r="H589" s="103"/>
      <c r="I589" s="99" t="str">
        <f t="shared" si="5"/>
        <v/>
      </c>
      <c r="J589" s="101"/>
      <c r="K589" s="101"/>
      <c r="L589" s="101" t="str">
        <f t="shared" si="2"/>
        <v>EN PROCESO</v>
      </c>
      <c r="M589" s="101"/>
      <c r="N589" s="101"/>
    </row>
    <row r="590" ht="22.5" hidden="1" customHeight="1">
      <c r="A590" s="49"/>
      <c r="B590" s="81"/>
      <c r="C590" s="97"/>
      <c r="D590" s="49"/>
      <c r="E590" s="49"/>
      <c r="F590" s="98"/>
      <c r="G590" s="98"/>
      <c r="H590" s="97"/>
      <c r="I590" s="99" t="str">
        <f t="shared" si="5"/>
        <v/>
      </c>
      <c r="J590" s="49"/>
      <c r="K590" s="49"/>
      <c r="L590" s="49" t="str">
        <f t="shared" si="2"/>
        <v>EN PROCESO</v>
      </c>
      <c r="M590" s="49"/>
      <c r="N590" s="49"/>
    </row>
    <row r="591" ht="22.5" hidden="1" customHeight="1">
      <c r="A591" s="101"/>
      <c r="B591" s="102"/>
      <c r="C591" s="103"/>
      <c r="D591" s="101"/>
      <c r="E591" s="101"/>
      <c r="F591" s="104"/>
      <c r="G591" s="104"/>
      <c r="H591" s="103"/>
      <c r="I591" s="99" t="str">
        <f t="shared" si="5"/>
        <v/>
      </c>
      <c r="J591" s="101"/>
      <c r="K591" s="101"/>
      <c r="L591" s="101" t="str">
        <f t="shared" si="2"/>
        <v>EN PROCESO</v>
      </c>
      <c r="M591" s="101"/>
      <c r="N591" s="101"/>
    </row>
    <row r="592" ht="22.5" hidden="1" customHeight="1">
      <c r="A592" s="49"/>
      <c r="B592" s="81"/>
      <c r="C592" s="97"/>
      <c r="D592" s="49"/>
      <c r="E592" s="49"/>
      <c r="F592" s="98"/>
      <c r="G592" s="98"/>
      <c r="H592" s="97"/>
      <c r="I592" s="99" t="str">
        <f t="shared" si="5"/>
        <v/>
      </c>
      <c r="J592" s="49"/>
      <c r="K592" s="49"/>
      <c r="L592" s="49" t="str">
        <f t="shared" si="2"/>
        <v>EN PROCESO</v>
      </c>
      <c r="M592" s="49"/>
      <c r="N592" s="49"/>
    </row>
    <row r="593" ht="22.5" hidden="1" customHeight="1">
      <c r="A593" s="101"/>
      <c r="B593" s="102"/>
      <c r="C593" s="103"/>
      <c r="D593" s="101"/>
      <c r="E593" s="101"/>
      <c r="F593" s="104"/>
      <c r="G593" s="104"/>
      <c r="H593" s="103"/>
      <c r="I593" s="99" t="str">
        <f t="shared" si="5"/>
        <v/>
      </c>
      <c r="J593" s="101"/>
      <c r="K593" s="101"/>
      <c r="L593" s="101" t="str">
        <f t="shared" si="2"/>
        <v>EN PROCESO</v>
      </c>
      <c r="M593" s="101"/>
      <c r="N593" s="101"/>
    </row>
    <row r="594" ht="22.5" hidden="1" customHeight="1">
      <c r="A594" s="49"/>
      <c r="B594" s="81"/>
      <c r="C594" s="97"/>
      <c r="D594" s="49"/>
      <c r="E594" s="49"/>
      <c r="F594" s="98"/>
      <c r="G594" s="98"/>
      <c r="H594" s="97"/>
      <c r="I594" s="99" t="str">
        <f t="shared" si="5"/>
        <v/>
      </c>
      <c r="J594" s="49"/>
      <c r="K594" s="49"/>
      <c r="L594" s="49" t="str">
        <f t="shared" si="2"/>
        <v>EN PROCESO</v>
      </c>
      <c r="M594" s="49"/>
      <c r="N594" s="49"/>
    </row>
    <row r="595" ht="22.5" hidden="1" customHeight="1">
      <c r="A595" s="101"/>
      <c r="B595" s="102"/>
      <c r="C595" s="103"/>
      <c r="D595" s="101"/>
      <c r="E595" s="101"/>
      <c r="F595" s="104"/>
      <c r="G595" s="104"/>
      <c r="H595" s="103"/>
      <c r="I595" s="99" t="str">
        <f t="shared" si="5"/>
        <v/>
      </c>
      <c r="J595" s="101"/>
      <c r="K595" s="101"/>
      <c r="L595" s="101" t="str">
        <f t="shared" si="2"/>
        <v>EN PROCESO</v>
      </c>
      <c r="M595" s="101"/>
      <c r="N595" s="101"/>
    </row>
    <row r="596" ht="22.5" hidden="1" customHeight="1">
      <c r="A596" s="49"/>
      <c r="B596" s="81"/>
      <c r="C596" s="97"/>
      <c r="D596" s="49"/>
      <c r="E596" s="49"/>
      <c r="F596" s="98"/>
      <c r="G596" s="98"/>
      <c r="H596" s="97"/>
      <c r="I596" s="99" t="str">
        <f t="shared" si="5"/>
        <v/>
      </c>
      <c r="J596" s="49"/>
      <c r="K596" s="49"/>
      <c r="L596" s="49" t="str">
        <f t="shared" si="2"/>
        <v>EN PROCESO</v>
      </c>
      <c r="M596" s="49"/>
      <c r="N596" s="49"/>
    </row>
    <row r="597" ht="22.5" hidden="1" customHeight="1">
      <c r="A597" s="101"/>
      <c r="B597" s="102"/>
      <c r="C597" s="103"/>
      <c r="D597" s="101"/>
      <c r="E597" s="101"/>
      <c r="F597" s="104"/>
      <c r="G597" s="104"/>
      <c r="H597" s="103"/>
      <c r="I597" s="99" t="str">
        <f t="shared" si="5"/>
        <v/>
      </c>
      <c r="J597" s="101"/>
      <c r="K597" s="101"/>
      <c r="L597" s="101" t="str">
        <f t="shared" si="2"/>
        <v>EN PROCESO</v>
      </c>
      <c r="M597" s="101"/>
      <c r="N597" s="101"/>
    </row>
    <row r="598" ht="22.5" hidden="1" customHeight="1">
      <c r="A598" s="49"/>
      <c r="B598" s="81"/>
      <c r="C598" s="97"/>
      <c r="D598" s="49"/>
      <c r="E598" s="49"/>
      <c r="F598" s="98"/>
      <c r="G598" s="98"/>
      <c r="H598" s="97"/>
      <c r="I598" s="99" t="str">
        <f t="shared" si="5"/>
        <v/>
      </c>
      <c r="J598" s="49"/>
      <c r="K598" s="49"/>
      <c r="L598" s="49" t="str">
        <f t="shared" si="2"/>
        <v>EN PROCESO</v>
      </c>
      <c r="M598" s="49"/>
      <c r="N598" s="49"/>
    </row>
    <row r="599" ht="22.5" hidden="1" customHeight="1">
      <c r="A599" s="101"/>
      <c r="B599" s="102"/>
      <c r="C599" s="103"/>
      <c r="D599" s="101"/>
      <c r="E599" s="101"/>
      <c r="F599" s="104"/>
      <c r="G599" s="104"/>
      <c r="H599" s="103"/>
      <c r="I599" s="99" t="str">
        <f t="shared" si="5"/>
        <v/>
      </c>
      <c r="J599" s="101"/>
      <c r="K599" s="101"/>
      <c r="L599" s="101" t="str">
        <f t="shared" si="2"/>
        <v>EN PROCESO</v>
      </c>
      <c r="M599" s="101"/>
      <c r="N599" s="101"/>
    </row>
    <row r="600" ht="22.5" hidden="1" customHeight="1">
      <c r="A600" s="49"/>
      <c r="B600" s="81"/>
      <c r="C600" s="97"/>
      <c r="D600" s="49"/>
      <c r="E600" s="49"/>
      <c r="F600" s="98"/>
      <c r="G600" s="98"/>
      <c r="H600" s="97"/>
      <c r="I600" s="99" t="str">
        <f t="shared" si="5"/>
        <v/>
      </c>
      <c r="J600" s="49"/>
      <c r="K600" s="49"/>
      <c r="L600" s="49" t="str">
        <f t="shared" si="2"/>
        <v>EN PROCESO</v>
      </c>
      <c r="M600" s="49"/>
      <c r="N600" s="49"/>
    </row>
    <row r="601" ht="22.5" hidden="1" customHeight="1">
      <c r="A601" s="101"/>
      <c r="B601" s="102"/>
      <c r="C601" s="103"/>
      <c r="D601" s="101"/>
      <c r="E601" s="101"/>
      <c r="F601" s="104"/>
      <c r="G601" s="104"/>
      <c r="H601" s="103"/>
      <c r="I601" s="99" t="str">
        <f t="shared" si="5"/>
        <v/>
      </c>
      <c r="J601" s="101"/>
      <c r="K601" s="101"/>
      <c r="L601" s="101" t="str">
        <f t="shared" si="2"/>
        <v>EN PROCESO</v>
      </c>
      <c r="M601" s="101"/>
      <c r="N601" s="101"/>
    </row>
    <row r="602" ht="22.5" hidden="1" customHeight="1">
      <c r="A602" s="49"/>
      <c r="B602" s="81"/>
      <c r="C602" s="97"/>
      <c r="D602" s="49"/>
      <c r="E602" s="49"/>
      <c r="F602" s="98"/>
      <c r="G602" s="98"/>
      <c r="H602" s="97"/>
      <c r="I602" s="99" t="str">
        <f t="shared" si="5"/>
        <v/>
      </c>
      <c r="J602" s="49"/>
      <c r="K602" s="49"/>
      <c r="L602" s="49" t="str">
        <f t="shared" si="2"/>
        <v>EN PROCESO</v>
      </c>
      <c r="M602" s="49"/>
      <c r="N602" s="49"/>
    </row>
    <row r="603" ht="22.5" hidden="1" customHeight="1">
      <c r="A603" s="101"/>
      <c r="B603" s="102"/>
      <c r="C603" s="103"/>
      <c r="D603" s="101"/>
      <c r="E603" s="101"/>
      <c r="F603" s="104"/>
      <c r="G603" s="104"/>
      <c r="H603" s="103"/>
      <c r="I603" s="99" t="str">
        <f t="shared" si="5"/>
        <v/>
      </c>
      <c r="J603" s="101"/>
      <c r="K603" s="101"/>
      <c r="L603" s="101" t="str">
        <f t="shared" si="2"/>
        <v>EN PROCESO</v>
      </c>
      <c r="M603" s="101"/>
      <c r="N603" s="101"/>
    </row>
    <row r="604" ht="22.5" hidden="1" customHeight="1">
      <c r="A604" s="49"/>
      <c r="B604" s="81"/>
      <c r="C604" s="97"/>
      <c r="D604" s="49"/>
      <c r="E604" s="49"/>
      <c r="F604" s="98"/>
      <c r="G604" s="98"/>
      <c r="H604" s="97"/>
      <c r="I604" s="99" t="str">
        <f t="shared" si="5"/>
        <v/>
      </c>
      <c r="J604" s="49"/>
      <c r="K604" s="49"/>
      <c r="L604" s="49" t="str">
        <f t="shared" si="2"/>
        <v>EN PROCESO</v>
      </c>
      <c r="M604" s="49"/>
      <c r="N604" s="49"/>
    </row>
    <row r="605" ht="22.5" hidden="1" customHeight="1">
      <c r="A605" s="101"/>
      <c r="B605" s="102"/>
      <c r="C605" s="103"/>
      <c r="D605" s="101"/>
      <c r="E605" s="101"/>
      <c r="F605" s="104"/>
      <c r="G605" s="104"/>
      <c r="H605" s="103"/>
      <c r="I605" s="99" t="str">
        <f t="shared" si="5"/>
        <v/>
      </c>
      <c r="J605" s="101"/>
      <c r="K605" s="101"/>
      <c r="L605" s="101" t="str">
        <f t="shared" si="2"/>
        <v>EN PROCESO</v>
      </c>
      <c r="M605" s="101"/>
      <c r="N605" s="101"/>
    </row>
    <row r="606" ht="22.5" hidden="1" customHeight="1">
      <c r="A606" s="49"/>
      <c r="B606" s="81"/>
      <c r="C606" s="97"/>
      <c r="D606" s="49"/>
      <c r="E606" s="49"/>
      <c r="F606" s="98"/>
      <c r="G606" s="98"/>
      <c r="H606" s="97"/>
      <c r="I606" s="99" t="str">
        <f t="shared" si="5"/>
        <v/>
      </c>
      <c r="J606" s="49"/>
      <c r="K606" s="49"/>
      <c r="L606" s="49" t="str">
        <f t="shared" si="2"/>
        <v>EN PROCESO</v>
      </c>
      <c r="M606" s="49"/>
      <c r="N606" s="49"/>
    </row>
    <row r="607" ht="22.5" hidden="1" customHeight="1">
      <c r="A607" s="101"/>
      <c r="B607" s="102"/>
      <c r="C607" s="103"/>
      <c r="D607" s="101"/>
      <c r="E607" s="101"/>
      <c r="F607" s="104"/>
      <c r="G607" s="104"/>
      <c r="H607" s="103"/>
      <c r="I607" s="99" t="str">
        <f t="shared" si="5"/>
        <v/>
      </c>
      <c r="J607" s="101"/>
      <c r="K607" s="101"/>
      <c r="L607" s="101" t="str">
        <f t="shared" si="2"/>
        <v>EN PROCESO</v>
      </c>
      <c r="M607" s="101"/>
      <c r="N607" s="101"/>
    </row>
    <row r="608" ht="22.5" hidden="1" customHeight="1">
      <c r="A608" s="49"/>
      <c r="B608" s="81"/>
      <c r="C608" s="97"/>
      <c r="D608" s="49"/>
      <c r="E608" s="49"/>
      <c r="F608" s="98"/>
      <c r="G608" s="98"/>
      <c r="H608" s="97"/>
      <c r="I608" s="99" t="str">
        <f t="shared" si="5"/>
        <v/>
      </c>
      <c r="J608" s="49"/>
      <c r="K608" s="49"/>
      <c r="L608" s="49" t="str">
        <f t="shared" si="2"/>
        <v>EN PROCESO</v>
      </c>
      <c r="M608" s="49"/>
      <c r="N608" s="49"/>
    </row>
    <row r="609" ht="22.5" hidden="1" customHeight="1">
      <c r="A609" s="101"/>
      <c r="B609" s="102"/>
      <c r="C609" s="103"/>
      <c r="D609" s="101"/>
      <c r="E609" s="101"/>
      <c r="F609" s="104"/>
      <c r="G609" s="104"/>
      <c r="H609" s="103"/>
      <c r="I609" s="99" t="str">
        <f t="shared" si="5"/>
        <v/>
      </c>
      <c r="J609" s="101"/>
      <c r="K609" s="101"/>
      <c r="L609" s="101" t="str">
        <f t="shared" si="2"/>
        <v>EN PROCESO</v>
      </c>
      <c r="M609" s="101"/>
      <c r="N609" s="101"/>
    </row>
    <row r="610" ht="22.5" hidden="1" customHeight="1">
      <c r="A610" s="49"/>
      <c r="B610" s="81"/>
      <c r="C610" s="97"/>
      <c r="D610" s="49"/>
      <c r="E610" s="49"/>
      <c r="F610" s="98"/>
      <c r="G610" s="98"/>
      <c r="H610" s="97"/>
      <c r="I610" s="99" t="str">
        <f t="shared" si="5"/>
        <v/>
      </c>
      <c r="J610" s="49"/>
      <c r="K610" s="49"/>
      <c r="L610" s="49" t="str">
        <f t="shared" si="2"/>
        <v>EN PROCESO</v>
      </c>
      <c r="M610" s="49"/>
      <c r="N610" s="49"/>
    </row>
    <row r="611" ht="22.5" hidden="1" customHeight="1">
      <c r="A611" s="101"/>
      <c r="B611" s="102"/>
      <c r="C611" s="103"/>
      <c r="D611" s="101"/>
      <c r="E611" s="101"/>
      <c r="F611" s="104"/>
      <c r="G611" s="104"/>
      <c r="H611" s="103"/>
      <c r="I611" s="99" t="str">
        <f t="shared" si="5"/>
        <v/>
      </c>
      <c r="J611" s="101"/>
      <c r="K611" s="101"/>
      <c r="L611" s="101" t="str">
        <f t="shared" si="2"/>
        <v>EN PROCESO</v>
      </c>
      <c r="M611" s="101"/>
      <c r="N611" s="101"/>
    </row>
    <row r="612" ht="22.5" hidden="1" customHeight="1">
      <c r="A612" s="49"/>
      <c r="B612" s="81"/>
      <c r="C612" s="97"/>
      <c r="D612" s="49"/>
      <c r="E612" s="49"/>
      <c r="F612" s="98"/>
      <c r="G612" s="98"/>
      <c r="H612" s="97"/>
      <c r="I612" s="99" t="str">
        <f t="shared" si="5"/>
        <v/>
      </c>
      <c r="J612" s="49"/>
      <c r="K612" s="49"/>
      <c r="L612" s="49" t="str">
        <f t="shared" si="2"/>
        <v>EN PROCESO</v>
      </c>
      <c r="M612" s="49"/>
      <c r="N612" s="49"/>
    </row>
    <row r="613" ht="22.5" hidden="1" customHeight="1">
      <c r="A613" s="101"/>
      <c r="B613" s="102"/>
      <c r="C613" s="103"/>
      <c r="D613" s="101"/>
      <c r="E613" s="101"/>
      <c r="F613" s="104"/>
      <c r="G613" s="104"/>
      <c r="H613" s="103"/>
      <c r="I613" s="99" t="str">
        <f t="shared" si="5"/>
        <v/>
      </c>
      <c r="J613" s="101"/>
      <c r="K613" s="101"/>
      <c r="L613" s="101" t="str">
        <f t="shared" si="2"/>
        <v>EN PROCESO</v>
      </c>
      <c r="M613" s="101"/>
      <c r="N613" s="101"/>
    </row>
    <row r="614" ht="22.5" hidden="1" customHeight="1">
      <c r="A614" s="49"/>
      <c r="B614" s="81"/>
      <c r="C614" s="97"/>
      <c r="D614" s="49"/>
      <c r="E614" s="49"/>
      <c r="F614" s="98"/>
      <c r="G614" s="98"/>
      <c r="H614" s="97"/>
      <c r="I614" s="99" t="str">
        <f t="shared" si="5"/>
        <v/>
      </c>
      <c r="J614" s="49"/>
      <c r="K614" s="49"/>
      <c r="L614" s="49" t="str">
        <f t="shared" si="2"/>
        <v>EN PROCESO</v>
      </c>
      <c r="M614" s="49"/>
      <c r="N614" s="49"/>
    </row>
    <row r="615" ht="22.5" hidden="1" customHeight="1">
      <c r="A615" s="101"/>
      <c r="B615" s="102"/>
      <c r="C615" s="103"/>
      <c r="D615" s="101"/>
      <c r="E615" s="101"/>
      <c r="F615" s="104"/>
      <c r="G615" s="104"/>
      <c r="H615" s="103"/>
      <c r="I615" s="99" t="str">
        <f t="shared" si="5"/>
        <v/>
      </c>
      <c r="J615" s="101"/>
      <c r="K615" s="101"/>
      <c r="L615" s="101" t="str">
        <f t="shared" si="2"/>
        <v>EN PROCESO</v>
      </c>
      <c r="M615" s="101"/>
      <c r="N615" s="101"/>
    </row>
    <row r="616" ht="22.5" hidden="1" customHeight="1">
      <c r="A616" s="49"/>
      <c r="B616" s="81"/>
      <c r="C616" s="97"/>
      <c r="D616" s="49"/>
      <c r="E616" s="49"/>
      <c r="F616" s="98"/>
      <c r="G616" s="98"/>
      <c r="H616" s="97"/>
      <c r="I616" s="99" t="str">
        <f t="shared" si="5"/>
        <v/>
      </c>
      <c r="J616" s="49"/>
      <c r="K616" s="49"/>
      <c r="L616" s="49" t="str">
        <f t="shared" si="2"/>
        <v>EN PROCESO</v>
      </c>
      <c r="M616" s="49"/>
      <c r="N616" s="49"/>
    </row>
    <row r="617" ht="22.5" hidden="1" customHeight="1">
      <c r="A617" s="101"/>
      <c r="B617" s="102"/>
      <c r="C617" s="103"/>
      <c r="D617" s="101"/>
      <c r="E617" s="101"/>
      <c r="F617" s="104"/>
      <c r="G617" s="104"/>
      <c r="H617" s="103"/>
      <c r="I617" s="99" t="str">
        <f t="shared" si="5"/>
        <v/>
      </c>
      <c r="J617" s="101"/>
      <c r="K617" s="101"/>
      <c r="L617" s="101" t="str">
        <f t="shared" si="2"/>
        <v>EN PROCESO</v>
      </c>
      <c r="M617" s="101"/>
      <c r="N617" s="101"/>
    </row>
    <row r="618" ht="22.5" hidden="1" customHeight="1">
      <c r="A618" s="49"/>
      <c r="B618" s="81"/>
      <c r="C618" s="97"/>
      <c r="D618" s="49"/>
      <c r="E618" s="49"/>
      <c r="F618" s="98"/>
      <c r="G618" s="98"/>
      <c r="H618" s="97"/>
      <c r="I618" s="99" t="str">
        <f t="shared" si="5"/>
        <v/>
      </c>
      <c r="J618" s="49"/>
      <c r="K618" s="49"/>
      <c r="L618" s="49" t="str">
        <f t="shared" si="2"/>
        <v>EN PROCESO</v>
      </c>
      <c r="M618" s="49"/>
      <c r="N618" s="49"/>
    </row>
    <row r="619" ht="22.5" hidden="1" customHeight="1">
      <c r="A619" s="101"/>
      <c r="B619" s="102"/>
      <c r="C619" s="103"/>
      <c r="D619" s="101"/>
      <c r="E619" s="101"/>
      <c r="F619" s="104"/>
      <c r="G619" s="104"/>
      <c r="H619" s="103"/>
      <c r="I619" s="99" t="str">
        <f t="shared" si="5"/>
        <v/>
      </c>
      <c r="J619" s="101"/>
      <c r="K619" s="101"/>
      <c r="L619" s="101" t="str">
        <f t="shared" si="2"/>
        <v>EN PROCESO</v>
      </c>
      <c r="M619" s="101"/>
      <c r="N619" s="101"/>
    </row>
    <row r="620" ht="22.5" hidden="1" customHeight="1">
      <c r="A620" s="49"/>
      <c r="B620" s="81"/>
      <c r="C620" s="97"/>
      <c r="D620" s="49"/>
      <c r="E620" s="49"/>
      <c r="F620" s="98"/>
      <c r="G620" s="98"/>
      <c r="H620" s="97"/>
      <c r="I620" s="99" t="str">
        <f t="shared" si="5"/>
        <v/>
      </c>
      <c r="J620" s="49"/>
      <c r="K620" s="49"/>
      <c r="L620" s="49" t="str">
        <f t="shared" si="2"/>
        <v>EN PROCESO</v>
      </c>
      <c r="M620" s="49"/>
      <c r="N620" s="49"/>
    </row>
    <row r="621" ht="22.5" hidden="1" customHeight="1">
      <c r="A621" s="101"/>
      <c r="B621" s="102"/>
      <c r="C621" s="103"/>
      <c r="D621" s="101"/>
      <c r="E621" s="101"/>
      <c r="F621" s="104"/>
      <c r="G621" s="104"/>
      <c r="H621" s="103"/>
      <c r="I621" s="99" t="str">
        <f t="shared" si="5"/>
        <v/>
      </c>
      <c r="J621" s="101"/>
      <c r="K621" s="101"/>
      <c r="L621" s="101" t="str">
        <f t="shared" si="2"/>
        <v>EN PROCESO</v>
      </c>
      <c r="M621" s="101"/>
      <c r="N621" s="101"/>
    </row>
    <row r="622" ht="22.5" hidden="1" customHeight="1">
      <c r="A622" s="49"/>
      <c r="B622" s="81"/>
      <c r="C622" s="97"/>
      <c r="D622" s="49"/>
      <c r="E622" s="49"/>
      <c r="F622" s="98"/>
      <c r="G622" s="98"/>
      <c r="H622" s="97"/>
      <c r="I622" s="99" t="str">
        <f t="shared" si="5"/>
        <v/>
      </c>
      <c r="J622" s="49"/>
      <c r="K622" s="49"/>
      <c r="L622" s="49" t="str">
        <f t="shared" si="2"/>
        <v>EN PROCESO</v>
      </c>
      <c r="M622" s="49"/>
      <c r="N622" s="49"/>
    </row>
    <row r="623" ht="22.5" hidden="1" customHeight="1">
      <c r="A623" s="101"/>
      <c r="B623" s="102"/>
      <c r="C623" s="103"/>
      <c r="D623" s="101"/>
      <c r="E623" s="101"/>
      <c r="F623" s="104"/>
      <c r="G623" s="104"/>
      <c r="H623" s="103"/>
      <c r="I623" s="99" t="str">
        <f t="shared" si="5"/>
        <v/>
      </c>
      <c r="J623" s="101"/>
      <c r="K623" s="101"/>
      <c r="L623" s="101" t="str">
        <f t="shared" si="2"/>
        <v>EN PROCESO</v>
      </c>
      <c r="M623" s="101"/>
      <c r="N623" s="101"/>
    </row>
    <row r="624" ht="22.5" hidden="1" customHeight="1">
      <c r="A624" s="49"/>
      <c r="B624" s="81"/>
      <c r="C624" s="97"/>
      <c r="D624" s="49"/>
      <c r="E624" s="49"/>
      <c r="F624" s="98"/>
      <c r="G624" s="98"/>
      <c r="H624" s="97"/>
      <c r="I624" s="99" t="str">
        <f t="shared" si="5"/>
        <v/>
      </c>
      <c r="J624" s="49"/>
      <c r="K624" s="49"/>
      <c r="L624" s="49" t="str">
        <f t="shared" si="2"/>
        <v>EN PROCESO</v>
      </c>
      <c r="M624" s="49"/>
      <c r="N624" s="49"/>
    </row>
    <row r="625" ht="22.5" hidden="1" customHeight="1">
      <c r="A625" s="101"/>
      <c r="B625" s="102"/>
      <c r="C625" s="103"/>
      <c r="D625" s="101"/>
      <c r="E625" s="101"/>
      <c r="F625" s="104"/>
      <c r="G625" s="104"/>
      <c r="H625" s="103"/>
      <c r="I625" s="99" t="str">
        <f t="shared" si="5"/>
        <v/>
      </c>
      <c r="J625" s="101"/>
      <c r="K625" s="101"/>
      <c r="L625" s="101" t="str">
        <f t="shared" si="2"/>
        <v>EN PROCESO</v>
      </c>
      <c r="M625" s="101"/>
      <c r="N625" s="101"/>
    </row>
    <row r="626" ht="22.5" hidden="1" customHeight="1">
      <c r="A626" s="49"/>
      <c r="B626" s="81"/>
      <c r="C626" s="97"/>
      <c r="D626" s="49"/>
      <c r="E626" s="49"/>
      <c r="F626" s="98"/>
      <c r="G626" s="98"/>
      <c r="H626" s="97"/>
      <c r="I626" s="99" t="str">
        <f t="shared" si="5"/>
        <v/>
      </c>
      <c r="J626" s="49"/>
      <c r="K626" s="49"/>
      <c r="L626" s="49" t="str">
        <f t="shared" si="2"/>
        <v>EN PROCESO</v>
      </c>
      <c r="M626" s="49"/>
      <c r="N626" s="49"/>
    </row>
    <row r="627" ht="22.5" hidden="1" customHeight="1">
      <c r="A627" s="101"/>
      <c r="B627" s="102"/>
      <c r="C627" s="103"/>
      <c r="D627" s="101"/>
      <c r="E627" s="101"/>
      <c r="F627" s="104"/>
      <c r="G627" s="104"/>
      <c r="H627" s="103"/>
      <c r="I627" s="99" t="str">
        <f t="shared" si="5"/>
        <v/>
      </c>
      <c r="J627" s="101"/>
      <c r="K627" s="101"/>
      <c r="L627" s="101" t="str">
        <f t="shared" si="2"/>
        <v>EN PROCESO</v>
      </c>
      <c r="M627" s="101"/>
      <c r="N627" s="101"/>
    </row>
    <row r="628" ht="22.5" hidden="1" customHeight="1">
      <c r="A628" s="49"/>
      <c r="B628" s="81"/>
      <c r="C628" s="97"/>
      <c r="D628" s="49"/>
      <c r="E628" s="49"/>
      <c r="F628" s="98"/>
      <c r="G628" s="98"/>
      <c r="H628" s="97"/>
      <c r="I628" s="99" t="str">
        <f t="shared" si="5"/>
        <v/>
      </c>
      <c r="J628" s="49"/>
      <c r="K628" s="49"/>
      <c r="L628" s="49" t="str">
        <f t="shared" si="2"/>
        <v>EN PROCESO</v>
      </c>
      <c r="M628" s="49"/>
      <c r="N628" s="49"/>
    </row>
    <row r="629" ht="22.5" hidden="1" customHeight="1">
      <c r="A629" s="101"/>
      <c r="B629" s="102"/>
      <c r="C629" s="103"/>
      <c r="D629" s="101"/>
      <c r="E629" s="101"/>
      <c r="F629" s="104"/>
      <c r="G629" s="104"/>
      <c r="H629" s="103"/>
      <c r="I629" s="99" t="str">
        <f t="shared" si="5"/>
        <v/>
      </c>
      <c r="J629" s="101"/>
      <c r="K629" s="101"/>
      <c r="L629" s="101" t="str">
        <f t="shared" si="2"/>
        <v>EN PROCESO</v>
      </c>
      <c r="M629" s="101"/>
      <c r="N629" s="101"/>
    </row>
    <row r="630" ht="22.5" hidden="1" customHeight="1">
      <c r="A630" s="49"/>
      <c r="B630" s="81"/>
      <c r="C630" s="97"/>
      <c r="D630" s="49"/>
      <c r="E630" s="49"/>
      <c r="F630" s="98"/>
      <c r="G630" s="98"/>
      <c r="H630" s="97"/>
      <c r="I630" s="99" t="str">
        <f t="shared" si="5"/>
        <v/>
      </c>
      <c r="J630" s="49"/>
      <c r="K630" s="49"/>
      <c r="L630" s="49" t="str">
        <f t="shared" si="2"/>
        <v>EN PROCESO</v>
      </c>
      <c r="M630" s="49"/>
      <c r="N630" s="49"/>
    </row>
    <row r="631" ht="22.5" hidden="1" customHeight="1">
      <c r="A631" s="101"/>
      <c r="B631" s="102"/>
      <c r="C631" s="103"/>
      <c r="D631" s="101"/>
      <c r="E631" s="101"/>
      <c r="F631" s="104"/>
      <c r="G631" s="104"/>
      <c r="H631" s="103"/>
      <c r="I631" s="99" t="str">
        <f t="shared" si="5"/>
        <v/>
      </c>
      <c r="J631" s="101"/>
      <c r="K631" s="101"/>
      <c r="L631" s="101" t="str">
        <f t="shared" si="2"/>
        <v>EN PROCESO</v>
      </c>
      <c r="M631" s="101"/>
      <c r="N631" s="101"/>
    </row>
    <row r="632" ht="22.5" hidden="1" customHeight="1">
      <c r="A632" s="49"/>
      <c r="B632" s="81"/>
      <c r="C632" s="97"/>
      <c r="D632" s="49"/>
      <c r="E632" s="49"/>
      <c r="F632" s="98"/>
      <c r="G632" s="98"/>
      <c r="H632" s="97"/>
      <c r="I632" s="99" t="str">
        <f t="shared" si="5"/>
        <v/>
      </c>
      <c r="J632" s="49"/>
      <c r="K632" s="49"/>
      <c r="L632" s="49" t="str">
        <f t="shared" si="2"/>
        <v>EN PROCESO</v>
      </c>
      <c r="M632" s="49"/>
      <c r="N632" s="49"/>
    </row>
    <row r="633" ht="22.5" hidden="1" customHeight="1">
      <c r="A633" s="101"/>
      <c r="B633" s="102"/>
      <c r="C633" s="103"/>
      <c r="D633" s="101"/>
      <c r="E633" s="101"/>
      <c r="F633" s="104"/>
      <c r="G633" s="104"/>
      <c r="H633" s="103"/>
      <c r="I633" s="99" t="str">
        <f t="shared" si="5"/>
        <v/>
      </c>
      <c r="J633" s="101"/>
      <c r="K633" s="101"/>
      <c r="L633" s="101" t="str">
        <f t="shared" si="2"/>
        <v>EN PROCESO</v>
      </c>
      <c r="M633" s="101"/>
      <c r="N633" s="101"/>
    </row>
    <row r="634" ht="22.5" hidden="1" customHeight="1">
      <c r="A634" s="49"/>
      <c r="B634" s="81"/>
      <c r="C634" s="97"/>
      <c r="D634" s="49"/>
      <c r="E634" s="49"/>
      <c r="F634" s="98"/>
      <c r="G634" s="98"/>
      <c r="H634" s="97"/>
      <c r="I634" s="99" t="str">
        <f t="shared" si="5"/>
        <v/>
      </c>
      <c r="J634" s="49"/>
      <c r="K634" s="49"/>
      <c r="L634" s="49" t="str">
        <f t="shared" si="2"/>
        <v>EN PROCESO</v>
      </c>
      <c r="M634" s="49"/>
      <c r="N634" s="49"/>
    </row>
    <row r="635" ht="22.5" hidden="1" customHeight="1">
      <c r="A635" s="101"/>
      <c r="B635" s="102"/>
      <c r="C635" s="103"/>
      <c r="D635" s="101"/>
      <c r="E635" s="101"/>
      <c r="F635" s="104"/>
      <c r="G635" s="104"/>
      <c r="H635" s="103"/>
      <c r="I635" s="99" t="str">
        <f t="shared" si="5"/>
        <v/>
      </c>
      <c r="J635" s="101"/>
      <c r="K635" s="101"/>
      <c r="L635" s="101" t="str">
        <f t="shared" si="2"/>
        <v>EN PROCESO</v>
      </c>
      <c r="M635" s="101"/>
      <c r="N635" s="101"/>
    </row>
    <row r="636" ht="22.5" hidden="1" customHeight="1">
      <c r="A636" s="49"/>
      <c r="B636" s="81"/>
      <c r="C636" s="97"/>
      <c r="D636" s="49"/>
      <c r="E636" s="49"/>
      <c r="F636" s="98"/>
      <c r="G636" s="98"/>
      <c r="H636" s="97"/>
      <c r="I636" s="99" t="str">
        <f t="shared" si="5"/>
        <v/>
      </c>
      <c r="J636" s="49"/>
      <c r="K636" s="49"/>
      <c r="L636" s="49" t="str">
        <f t="shared" si="2"/>
        <v>EN PROCESO</v>
      </c>
      <c r="M636" s="49"/>
      <c r="N636" s="49"/>
    </row>
    <row r="637" ht="22.5" hidden="1" customHeight="1">
      <c r="A637" s="101"/>
      <c r="B637" s="102"/>
      <c r="C637" s="103"/>
      <c r="D637" s="101"/>
      <c r="E637" s="101"/>
      <c r="F637" s="104"/>
      <c r="G637" s="104"/>
      <c r="H637" s="103"/>
      <c r="I637" s="99" t="str">
        <f t="shared" si="5"/>
        <v/>
      </c>
      <c r="J637" s="101"/>
      <c r="K637" s="101"/>
      <c r="L637" s="101" t="str">
        <f t="shared" si="2"/>
        <v>EN PROCESO</v>
      </c>
      <c r="M637" s="101"/>
      <c r="N637" s="101"/>
    </row>
    <row r="638" ht="22.5" hidden="1" customHeight="1">
      <c r="A638" s="49"/>
      <c r="B638" s="81"/>
      <c r="C638" s="97"/>
      <c r="D638" s="49"/>
      <c r="E638" s="49"/>
      <c r="F638" s="98"/>
      <c r="G638" s="98"/>
      <c r="H638" s="97"/>
      <c r="I638" s="99" t="str">
        <f t="shared" si="5"/>
        <v/>
      </c>
      <c r="J638" s="49"/>
      <c r="K638" s="49"/>
      <c r="L638" s="49" t="str">
        <f t="shared" si="2"/>
        <v>EN PROCESO</v>
      </c>
      <c r="M638" s="49"/>
      <c r="N638" s="49"/>
    </row>
    <row r="639" ht="22.5" hidden="1" customHeight="1">
      <c r="A639" s="101"/>
      <c r="B639" s="102"/>
      <c r="C639" s="103"/>
      <c r="D639" s="101"/>
      <c r="E639" s="101"/>
      <c r="F639" s="104"/>
      <c r="G639" s="104"/>
      <c r="H639" s="103"/>
      <c r="I639" s="99" t="str">
        <f t="shared" si="5"/>
        <v/>
      </c>
      <c r="J639" s="101"/>
      <c r="K639" s="101"/>
      <c r="L639" s="101" t="str">
        <f t="shared" si="2"/>
        <v>EN PROCESO</v>
      </c>
      <c r="M639" s="101"/>
      <c r="N639" s="101"/>
    </row>
    <row r="640" ht="22.5" hidden="1" customHeight="1">
      <c r="A640" s="49"/>
      <c r="B640" s="81"/>
      <c r="C640" s="97"/>
      <c r="D640" s="49"/>
      <c r="E640" s="49"/>
      <c r="F640" s="98"/>
      <c r="G640" s="98"/>
      <c r="H640" s="97"/>
      <c r="I640" s="99" t="str">
        <f t="shared" si="5"/>
        <v/>
      </c>
      <c r="J640" s="49"/>
      <c r="K640" s="49"/>
      <c r="L640" s="49" t="str">
        <f t="shared" si="2"/>
        <v>EN PROCESO</v>
      </c>
      <c r="M640" s="49"/>
      <c r="N640" s="49"/>
    </row>
    <row r="641" ht="22.5" hidden="1" customHeight="1">
      <c r="A641" s="101"/>
      <c r="B641" s="102"/>
      <c r="C641" s="103"/>
      <c r="D641" s="101"/>
      <c r="E641" s="101"/>
      <c r="F641" s="104"/>
      <c r="G641" s="104"/>
      <c r="H641" s="103"/>
      <c r="I641" s="99" t="str">
        <f t="shared" si="5"/>
        <v/>
      </c>
      <c r="J641" s="101"/>
      <c r="K641" s="101"/>
      <c r="L641" s="101" t="str">
        <f t="shared" si="2"/>
        <v>EN PROCESO</v>
      </c>
      <c r="M641" s="101"/>
      <c r="N641" s="101"/>
    </row>
    <row r="642" ht="22.5" hidden="1" customHeight="1">
      <c r="A642" s="49"/>
      <c r="B642" s="81"/>
      <c r="C642" s="97"/>
      <c r="D642" s="49"/>
      <c r="E642" s="49"/>
      <c r="F642" s="98"/>
      <c r="G642" s="98"/>
      <c r="H642" s="97"/>
      <c r="I642" s="99" t="str">
        <f t="shared" si="5"/>
        <v/>
      </c>
      <c r="J642" s="49"/>
      <c r="K642" s="49"/>
      <c r="L642" s="49" t="str">
        <f t="shared" si="2"/>
        <v>EN PROCESO</v>
      </c>
      <c r="M642" s="49"/>
      <c r="N642" s="49"/>
    </row>
    <row r="643" ht="22.5" hidden="1" customHeight="1">
      <c r="A643" s="101"/>
      <c r="B643" s="102"/>
      <c r="C643" s="103"/>
      <c r="D643" s="101"/>
      <c r="E643" s="101"/>
      <c r="F643" s="104"/>
      <c r="G643" s="104"/>
      <c r="H643" s="103"/>
      <c r="I643" s="99" t="str">
        <f t="shared" si="5"/>
        <v/>
      </c>
      <c r="J643" s="101"/>
      <c r="K643" s="101"/>
      <c r="L643" s="101" t="str">
        <f t="shared" si="2"/>
        <v>EN PROCESO</v>
      </c>
      <c r="M643" s="101"/>
      <c r="N643" s="101"/>
    </row>
    <row r="644" ht="22.5" hidden="1" customHeight="1">
      <c r="A644" s="49"/>
      <c r="B644" s="81"/>
      <c r="C644" s="97"/>
      <c r="D644" s="49"/>
      <c r="E644" s="49"/>
      <c r="F644" s="98"/>
      <c r="G644" s="98"/>
      <c r="H644" s="97"/>
      <c r="I644" s="99" t="str">
        <f t="shared" si="5"/>
        <v/>
      </c>
      <c r="J644" s="49"/>
      <c r="K644" s="49"/>
      <c r="L644" s="49" t="str">
        <f t="shared" si="2"/>
        <v>EN PROCESO</v>
      </c>
      <c r="M644" s="49"/>
      <c r="N644" s="49"/>
    </row>
    <row r="645" ht="22.5" hidden="1" customHeight="1">
      <c r="A645" s="101"/>
      <c r="B645" s="102"/>
      <c r="C645" s="103"/>
      <c r="D645" s="101"/>
      <c r="E645" s="101"/>
      <c r="F645" s="104"/>
      <c r="G645" s="104"/>
      <c r="H645" s="103"/>
      <c r="I645" s="99" t="str">
        <f t="shared" si="5"/>
        <v/>
      </c>
      <c r="J645" s="101"/>
      <c r="K645" s="101"/>
      <c r="L645" s="101" t="str">
        <f t="shared" si="2"/>
        <v>EN PROCESO</v>
      </c>
      <c r="M645" s="101"/>
      <c r="N645" s="101"/>
    </row>
    <row r="646" ht="22.5" hidden="1" customHeight="1">
      <c r="A646" s="49"/>
      <c r="B646" s="81"/>
      <c r="C646" s="97"/>
      <c r="D646" s="49"/>
      <c r="E646" s="49"/>
      <c r="F646" s="98"/>
      <c r="G646" s="98"/>
      <c r="H646" s="97"/>
      <c r="I646" s="99" t="str">
        <f t="shared" si="5"/>
        <v/>
      </c>
      <c r="J646" s="49"/>
      <c r="K646" s="49"/>
      <c r="L646" s="49" t="str">
        <f t="shared" si="2"/>
        <v>EN PROCESO</v>
      </c>
      <c r="M646" s="49"/>
      <c r="N646" s="49"/>
    </row>
    <row r="647" ht="22.5" hidden="1" customHeight="1">
      <c r="A647" s="101"/>
      <c r="B647" s="102"/>
      <c r="C647" s="103"/>
      <c r="D647" s="101"/>
      <c r="E647" s="101"/>
      <c r="F647" s="104"/>
      <c r="G647" s="104"/>
      <c r="H647" s="103"/>
      <c r="I647" s="99" t="str">
        <f t="shared" si="5"/>
        <v/>
      </c>
      <c r="J647" s="101"/>
      <c r="K647" s="101"/>
      <c r="L647" s="101" t="str">
        <f t="shared" si="2"/>
        <v>EN PROCESO</v>
      </c>
      <c r="M647" s="101"/>
      <c r="N647" s="101"/>
    </row>
    <row r="648" ht="22.5" hidden="1" customHeight="1">
      <c r="A648" s="49"/>
      <c r="B648" s="81"/>
      <c r="C648" s="97"/>
      <c r="D648" s="49"/>
      <c r="E648" s="49"/>
      <c r="F648" s="98"/>
      <c r="G648" s="98"/>
      <c r="H648" s="97"/>
      <c r="I648" s="99" t="str">
        <f t="shared" si="5"/>
        <v/>
      </c>
      <c r="J648" s="49"/>
      <c r="K648" s="49"/>
      <c r="L648" s="49" t="str">
        <f t="shared" si="2"/>
        <v>EN PROCESO</v>
      </c>
      <c r="M648" s="49"/>
      <c r="N648" s="49"/>
    </row>
    <row r="649" ht="22.5" hidden="1" customHeight="1">
      <c r="A649" s="101"/>
      <c r="B649" s="102"/>
      <c r="C649" s="103"/>
      <c r="D649" s="101"/>
      <c r="E649" s="101"/>
      <c r="F649" s="104"/>
      <c r="G649" s="104"/>
      <c r="H649" s="103"/>
      <c r="I649" s="99" t="str">
        <f t="shared" si="5"/>
        <v/>
      </c>
      <c r="J649" s="101"/>
      <c r="K649" s="101"/>
      <c r="L649" s="101" t="str">
        <f t="shared" si="2"/>
        <v>EN PROCESO</v>
      </c>
      <c r="M649" s="101"/>
      <c r="N649" s="101"/>
    </row>
    <row r="650" ht="22.5" hidden="1" customHeight="1">
      <c r="A650" s="49"/>
      <c r="B650" s="81"/>
      <c r="C650" s="97"/>
      <c r="D650" s="49"/>
      <c r="E650" s="49"/>
      <c r="F650" s="98"/>
      <c r="G650" s="98"/>
      <c r="H650" s="97"/>
      <c r="I650" s="99" t="str">
        <f t="shared" si="5"/>
        <v/>
      </c>
      <c r="J650" s="49"/>
      <c r="K650" s="49"/>
      <c r="L650" s="49" t="str">
        <f t="shared" si="2"/>
        <v>EN PROCESO</v>
      </c>
      <c r="M650" s="49"/>
      <c r="N650" s="49"/>
    </row>
    <row r="651" ht="22.5" hidden="1" customHeight="1">
      <c r="A651" s="101"/>
      <c r="B651" s="102"/>
      <c r="C651" s="103"/>
      <c r="D651" s="101"/>
      <c r="E651" s="101"/>
      <c r="F651" s="104"/>
      <c r="G651" s="104"/>
      <c r="H651" s="103"/>
      <c r="I651" s="99" t="str">
        <f t="shared" si="5"/>
        <v/>
      </c>
      <c r="J651" s="101"/>
      <c r="K651" s="101"/>
      <c r="L651" s="101" t="str">
        <f t="shared" si="2"/>
        <v>EN PROCESO</v>
      </c>
      <c r="M651" s="101"/>
      <c r="N651" s="101"/>
    </row>
    <row r="652" ht="22.5" hidden="1" customHeight="1">
      <c r="A652" s="49"/>
      <c r="B652" s="81"/>
      <c r="C652" s="97"/>
      <c r="D652" s="49"/>
      <c r="E652" s="49"/>
      <c r="F652" s="98"/>
      <c r="G652" s="98"/>
      <c r="H652" s="97"/>
      <c r="I652" s="99" t="str">
        <f t="shared" si="5"/>
        <v/>
      </c>
      <c r="J652" s="49"/>
      <c r="K652" s="49"/>
      <c r="L652" s="49" t="str">
        <f t="shared" si="2"/>
        <v>EN PROCESO</v>
      </c>
      <c r="M652" s="49"/>
      <c r="N652" s="49"/>
    </row>
    <row r="653" ht="22.5" hidden="1" customHeight="1">
      <c r="A653" s="101"/>
      <c r="B653" s="102"/>
      <c r="C653" s="103"/>
      <c r="D653" s="101"/>
      <c r="E653" s="101"/>
      <c r="F653" s="104"/>
      <c r="G653" s="104"/>
      <c r="H653" s="103"/>
      <c r="I653" s="99" t="str">
        <f t="shared" si="5"/>
        <v/>
      </c>
      <c r="J653" s="101"/>
      <c r="K653" s="101"/>
      <c r="L653" s="101" t="str">
        <f t="shared" si="2"/>
        <v>EN PROCESO</v>
      </c>
      <c r="M653" s="101"/>
      <c r="N653" s="101"/>
    </row>
    <row r="654" ht="22.5" hidden="1" customHeight="1">
      <c r="A654" s="49"/>
      <c r="B654" s="81"/>
      <c r="C654" s="97"/>
      <c r="D654" s="49"/>
      <c r="E654" s="49"/>
      <c r="F654" s="98"/>
      <c r="G654" s="98"/>
      <c r="H654" s="97"/>
      <c r="I654" s="99" t="str">
        <f t="shared" si="5"/>
        <v/>
      </c>
      <c r="J654" s="49"/>
      <c r="K654" s="49"/>
      <c r="L654" s="49" t="str">
        <f t="shared" si="2"/>
        <v>EN PROCESO</v>
      </c>
      <c r="M654" s="49"/>
      <c r="N654" s="49"/>
    </row>
    <row r="655" ht="22.5" hidden="1" customHeight="1">
      <c r="A655" s="101"/>
      <c r="B655" s="102"/>
      <c r="C655" s="103"/>
      <c r="D655" s="101"/>
      <c r="E655" s="101"/>
      <c r="F655" s="104"/>
      <c r="G655" s="104"/>
      <c r="H655" s="103"/>
      <c r="I655" s="99" t="str">
        <f t="shared" si="5"/>
        <v/>
      </c>
      <c r="J655" s="101"/>
      <c r="K655" s="101"/>
      <c r="L655" s="101" t="str">
        <f t="shared" si="2"/>
        <v>EN PROCESO</v>
      </c>
      <c r="M655" s="101"/>
      <c r="N655" s="101"/>
    </row>
    <row r="656" ht="22.5" hidden="1" customHeight="1">
      <c r="A656" s="49"/>
      <c r="B656" s="81"/>
      <c r="C656" s="97"/>
      <c r="D656" s="49"/>
      <c r="E656" s="49"/>
      <c r="F656" s="98"/>
      <c r="G656" s="98"/>
      <c r="H656" s="97"/>
      <c r="I656" s="99" t="str">
        <f t="shared" si="5"/>
        <v/>
      </c>
      <c r="J656" s="49"/>
      <c r="K656" s="49"/>
      <c r="L656" s="49" t="str">
        <f t="shared" si="2"/>
        <v>EN PROCESO</v>
      </c>
      <c r="M656" s="49"/>
      <c r="N656" s="49"/>
    </row>
    <row r="657" ht="22.5" hidden="1" customHeight="1">
      <c r="A657" s="101"/>
      <c r="B657" s="102"/>
      <c r="C657" s="103"/>
      <c r="D657" s="101"/>
      <c r="E657" s="101"/>
      <c r="F657" s="104"/>
      <c r="G657" s="104"/>
      <c r="H657" s="103"/>
      <c r="I657" s="99" t="str">
        <f t="shared" si="5"/>
        <v/>
      </c>
      <c r="J657" s="101"/>
      <c r="K657" s="101"/>
      <c r="L657" s="101" t="str">
        <f t="shared" si="2"/>
        <v>EN PROCESO</v>
      </c>
      <c r="M657" s="101"/>
      <c r="N657" s="101"/>
    </row>
    <row r="658" ht="22.5" hidden="1" customHeight="1">
      <c r="A658" s="49"/>
      <c r="B658" s="81"/>
      <c r="C658" s="97"/>
      <c r="D658" s="49"/>
      <c r="E658" s="49"/>
      <c r="F658" s="98"/>
      <c r="G658" s="98"/>
      <c r="H658" s="97"/>
      <c r="I658" s="99" t="str">
        <f t="shared" si="5"/>
        <v/>
      </c>
      <c r="J658" s="49"/>
      <c r="K658" s="49"/>
      <c r="L658" s="49" t="str">
        <f t="shared" si="2"/>
        <v>EN PROCESO</v>
      </c>
      <c r="M658" s="49"/>
      <c r="N658" s="49"/>
    </row>
    <row r="659" ht="22.5" hidden="1" customHeight="1">
      <c r="A659" s="101"/>
      <c r="B659" s="102"/>
      <c r="C659" s="103"/>
      <c r="D659" s="101"/>
      <c r="E659" s="101"/>
      <c r="F659" s="104"/>
      <c r="G659" s="104"/>
      <c r="H659" s="103"/>
      <c r="I659" s="99" t="str">
        <f t="shared" si="5"/>
        <v/>
      </c>
      <c r="J659" s="101"/>
      <c r="K659" s="101"/>
      <c r="L659" s="101" t="str">
        <f t="shared" si="2"/>
        <v>EN PROCESO</v>
      </c>
      <c r="M659" s="101"/>
      <c r="N659" s="101"/>
    </row>
    <row r="660" ht="22.5" hidden="1" customHeight="1">
      <c r="A660" s="49"/>
      <c r="B660" s="81"/>
      <c r="C660" s="97"/>
      <c r="D660" s="49"/>
      <c r="E660" s="49"/>
      <c r="F660" s="98"/>
      <c r="G660" s="98"/>
      <c r="H660" s="97"/>
      <c r="I660" s="99" t="str">
        <f t="shared" si="5"/>
        <v/>
      </c>
      <c r="J660" s="49"/>
      <c r="K660" s="49"/>
      <c r="L660" s="49" t="str">
        <f t="shared" si="2"/>
        <v>EN PROCESO</v>
      </c>
      <c r="M660" s="49"/>
      <c r="N660" s="49"/>
    </row>
    <row r="661" ht="22.5" hidden="1" customHeight="1">
      <c r="A661" s="101"/>
      <c r="B661" s="102"/>
      <c r="C661" s="103"/>
      <c r="D661" s="101"/>
      <c r="E661" s="101"/>
      <c r="F661" s="104"/>
      <c r="G661" s="104"/>
      <c r="H661" s="103"/>
      <c r="I661" s="99" t="str">
        <f t="shared" si="5"/>
        <v/>
      </c>
      <c r="J661" s="101"/>
      <c r="K661" s="101"/>
      <c r="L661" s="101" t="str">
        <f t="shared" si="2"/>
        <v>EN PROCESO</v>
      </c>
      <c r="M661" s="101"/>
      <c r="N661" s="101"/>
    </row>
    <row r="662" ht="22.5" hidden="1" customHeight="1">
      <c r="A662" s="49"/>
      <c r="B662" s="81"/>
      <c r="C662" s="97"/>
      <c r="D662" s="49"/>
      <c r="E662" s="49"/>
      <c r="F662" s="98"/>
      <c r="G662" s="98"/>
      <c r="H662" s="97"/>
      <c r="I662" s="99" t="str">
        <f t="shared" si="5"/>
        <v/>
      </c>
      <c r="J662" s="49"/>
      <c r="K662" s="49"/>
      <c r="L662" s="49" t="str">
        <f t="shared" si="2"/>
        <v>EN PROCESO</v>
      </c>
      <c r="M662" s="49"/>
      <c r="N662" s="49"/>
    </row>
    <row r="663" ht="22.5" hidden="1" customHeight="1">
      <c r="A663" s="101"/>
      <c r="B663" s="102"/>
      <c r="C663" s="103"/>
      <c r="D663" s="101"/>
      <c r="E663" s="101"/>
      <c r="F663" s="104"/>
      <c r="G663" s="104"/>
      <c r="H663" s="103"/>
      <c r="I663" s="99" t="str">
        <f t="shared" si="5"/>
        <v/>
      </c>
      <c r="J663" s="101"/>
      <c r="K663" s="101"/>
      <c r="L663" s="101" t="str">
        <f t="shared" si="2"/>
        <v>EN PROCESO</v>
      </c>
      <c r="M663" s="101"/>
      <c r="N663" s="101"/>
    </row>
    <row r="664" ht="22.5" hidden="1" customHeight="1">
      <c r="A664" s="49"/>
      <c r="B664" s="81"/>
      <c r="C664" s="97"/>
      <c r="D664" s="49"/>
      <c r="E664" s="49"/>
      <c r="F664" s="98"/>
      <c r="G664" s="98"/>
      <c r="H664" s="97"/>
      <c r="I664" s="99" t="str">
        <f t="shared" si="5"/>
        <v/>
      </c>
      <c r="J664" s="49"/>
      <c r="K664" s="49"/>
      <c r="L664" s="49" t="str">
        <f t="shared" si="2"/>
        <v>EN PROCESO</v>
      </c>
      <c r="M664" s="49"/>
      <c r="N664" s="49"/>
    </row>
    <row r="665" ht="22.5" hidden="1" customHeight="1">
      <c r="A665" s="101"/>
      <c r="B665" s="102"/>
      <c r="C665" s="103"/>
      <c r="D665" s="101"/>
      <c r="E665" s="101"/>
      <c r="F665" s="104"/>
      <c r="G665" s="104"/>
      <c r="H665" s="103"/>
      <c r="I665" s="99" t="str">
        <f t="shared" si="5"/>
        <v/>
      </c>
      <c r="J665" s="101"/>
      <c r="K665" s="101"/>
      <c r="L665" s="101" t="str">
        <f t="shared" si="2"/>
        <v>EN PROCESO</v>
      </c>
      <c r="M665" s="101"/>
      <c r="N665" s="101"/>
    </row>
    <row r="666" ht="22.5" hidden="1" customHeight="1">
      <c r="A666" s="49"/>
      <c r="B666" s="81"/>
      <c r="C666" s="97"/>
      <c r="D666" s="49"/>
      <c r="E666" s="49"/>
      <c r="F666" s="98"/>
      <c r="G666" s="98"/>
      <c r="H666" s="97"/>
      <c r="I666" s="99" t="str">
        <f t="shared" si="5"/>
        <v/>
      </c>
      <c r="J666" s="49"/>
      <c r="K666" s="49"/>
      <c r="L666" s="49" t="str">
        <f t="shared" si="2"/>
        <v>EN PROCESO</v>
      </c>
      <c r="M666" s="49"/>
      <c r="N666" s="49"/>
    </row>
    <row r="667" ht="22.5" hidden="1" customHeight="1">
      <c r="A667" s="101"/>
      <c r="B667" s="102"/>
      <c r="C667" s="103"/>
      <c r="D667" s="101"/>
      <c r="E667" s="101"/>
      <c r="F667" s="104"/>
      <c r="G667" s="104"/>
      <c r="H667" s="103"/>
      <c r="I667" s="99" t="str">
        <f t="shared" si="5"/>
        <v/>
      </c>
      <c r="J667" s="101"/>
      <c r="K667" s="101"/>
      <c r="L667" s="101" t="str">
        <f t="shared" si="2"/>
        <v>EN PROCESO</v>
      </c>
      <c r="M667" s="101"/>
      <c r="N667" s="101"/>
    </row>
    <row r="668" ht="22.5" hidden="1" customHeight="1">
      <c r="A668" s="49"/>
      <c r="B668" s="81"/>
      <c r="C668" s="97"/>
      <c r="D668" s="49"/>
      <c r="E668" s="49"/>
      <c r="F668" s="98"/>
      <c r="G668" s="98"/>
      <c r="H668" s="97"/>
      <c r="I668" s="99" t="str">
        <f t="shared" si="5"/>
        <v/>
      </c>
      <c r="J668" s="49"/>
      <c r="K668" s="49"/>
      <c r="L668" s="49" t="str">
        <f t="shared" si="2"/>
        <v>EN PROCESO</v>
      </c>
      <c r="M668" s="49"/>
      <c r="N668" s="49"/>
    </row>
    <row r="669" ht="22.5" hidden="1" customHeight="1">
      <c r="A669" s="101"/>
      <c r="B669" s="102"/>
      <c r="C669" s="103"/>
      <c r="D669" s="101"/>
      <c r="E669" s="101"/>
      <c r="F669" s="104"/>
      <c r="G669" s="104"/>
      <c r="H669" s="103"/>
      <c r="I669" s="99" t="str">
        <f t="shared" si="5"/>
        <v/>
      </c>
      <c r="J669" s="101"/>
      <c r="K669" s="101"/>
      <c r="L669" s="101" t="str">
        <f t="shared" si="2"/>
        <v>EN PROCESO</v>
      </c>
      <c r="M669" s="101"/>
      <c r="N669" s="101"/>
    </row>
    <row r="670" ht="22.5" hidden="1" customHeight="1">
      <c r="A670" s="49"/>
      <c r="B670" s="81"/>
      <c r="C670" s="97"/>
      <c r="D670" s="49"/>
      <c r="E670" s="49"/>
      <c r="F670" s="98"/>
      <c r="G670" s="98"/>
      <c r="H670" s="97"/>
      <c r="I670" s="99" t="str">
        <f t="shared" si="5"/>
        <v/>
      </c>
      <c r="J670" s="49"/>
      <c r="K670" s="49"/>
      <c r="L670" s="49" t="str">
        <f t="shared" si="2"/>
        <v>EN PROCESO</v>
      </c>
      <c r="M670" s="49"/>
      <c r="N670" s="49"/>
    </row>
    <row r="671" ht="22.5" hidden="1" customHeight="1">
      <c r="A671" s="101"/>
      <c r="B671" s="102"/>
      <c r="C671" s="103"/>
      <c r="D671" s="101"/>
      <c r="E671" s="101"/>
      <c r="F671" s="104"/>
      <c r="G671" s="104"/>
      <c r="H671" s="103"/>
      <c r="I671" s="99" t="str">
        <f t="shared" si="5"/>
        <v/>
      </c>
      <c r="J671" s="101"/>
      <c r="K671" s="101"/>
      <c r="L671" s="101" t="str">
        <f t="shared" si="2"/>
        <v>EN PROCESO</v>
      </c>
      <c r="M671" s="101"/>
      <c r="N671" s="101"/>
    </row>
    <row r="672" ht="22.5" hidden="1" customHeight="1">
      <c r="A672" s="49"/>
      <c r="B672" s="81"/>
      <c r="C672" s="97"/>
      <c r="D672" s="49"/>
      <c r="E672" s="49"/>
      <c r="F672" s="98"/>
      <c r="G672" s="98"/>
      <c r="H672" s="97"/>
      <c r="I672" s="99" t="str">
        <f t="shared" si="5"/>
        <v/>
      </c>
      <c r="J672" s="49"/>
      <c r="K672" s="49"/>
      <c r="L672" s="49" t="str">
        <f t="shared" si="2"/>
        <v>EN PROCESO</v>
      </c>
      <c r="M672" s="49"/>
      <c r="N672" s="49"/>
    </row>
    <row r="673" ht="22.5" hidden="1" customHeight="1">
      <c r="A673" s="101"/>
      <c r="B673" s="102"/>
      <c r="C673" s="103"/>
      <c r="D673" s="101"/>
      <c r="E673" s="101"/>
      <c r="F673" s="104"/>
      <c r="G673" s="104"/>
      <c r="H673" s="103"/>
      <c r="I673" s="99" t="str">
        <f t="shared" si="5"/>
        <v/>
      </c>
      <c r="J673" s="101"/>
      <c r="K673" s="101"/>
      <c r="L673" s="101" t="str">
        <f t="shared" si="2"/>
        <v>EN PROCESO</v>
      </c>
      <c r="M673" s="101"/>
      <c r="N673" s="101"/>
    </row>
    <row r="674" ht="22.5" hidden="1" customHeight="1">
      <c r="A674" s="49"/>
      <c r="B674" s="81"/>
      <c r="C674" s="97"/>
      <c r="D674" s="49"/>
      <c r="E674" s="49"/>
      <c r="F674" s="98"/>
      <c r="G674" s="98"/>
      <c r="H674" s="97"/>
      <c r="I674" s="99" t="str">
        <f t="shared" si="5"/>
        <v/>
      </c>
      <c r="J674" s="49"/>
      <c r="K674" s="49"/>
      <c r="L674" s="49" t="str">
        <f t="shared" si="2"/>
        <v>EN PROCESO</v>
      </c>
      <c r="M674" s="49"/>
      <c r="N674" s="49"/>
    </row>
    <row r="675" ht="22.5" hidden="1" customHeight="1">
      <c r="A675" s="101"/>
      <c r="B675" s="102"/>
      <c r="C675" s="103"/>
      <c r="D675" s="101"/>
      <c r="E675" s="101"/>
      <c r="F675" s="104"/>
      <c r="G675" s="104"/>
      <c r="H675" s="103"/>
      <c r="I675" s="99" t="str">
        <f t="shared" si="5"/>
        <v/>
      </c>
      <c r="J675" s="101"/>
      <c r="K675" s="101"/>
      <c r="L675" s="101" t="str">
        <f t="shared" si="2"/>
        <v>EN PROCESO</v>
      </c>
      <c r="M675" s="101"/>
      <c r="N675" s="101"/>
    </row>
    <row r="676" ht="22.5" hidden="1" customHeight="1">
      <c r="A676" s="49"/>
      <c r="B676" s="81"/>
      <c r="C676" s="97"/>
      <c r="D676" s="49"/>
      <c r="E676" s="49"/>
      <c r="F676" s="98"/>
      <c r="G676" s="98"/>
      <c r="H676" s="97"/>
      <c r="I676" s="99" t="str">
        <f t="shared" si="5"/>
        <v/>
      </c>
      <c r="J676" s="49"/>
      <c r="K676" s="49"/>
      <c r="L676" s="49" t="str">
        <f t="shared" si="2"/>
        <v>EN PROCESO</v>
      </c>
      <c r="M676" s="49"/>
      <c r="N676" s="49"/>
    </row>
    <row r="677" ht="22.5" hidden="1" customHeight="1">
      <c r="A677" s="101"/>
      <c r="B677" s="102"/>
      <c r="C677" s="103"/>
      <c r="D677" s="101"/>
      <c r="E677" s="101"/>
      <c r="F677" s="104"/>
      <c r="G677" s="104"/>
      <c r="H677" s="103"/>
      <c r="I677" s="99" t="str">
        <f t="shared" si="5"/>
        <v/>
      </c>
      <c r="J677" s="101"/>
      <c r="K677" s="101"/>
      <c r="L677" s="101" t="str">
        <f t="shared" si="2"/>
        <v>EN PROCESO</v>
      </c>
      <c r="M677" s="101"/>
      <c r="N677" s="101"/>
    </row>
    <row r="678" ht="22.5" hidden="1" customHeight="1">
      <c r="A678" s="49"/>
      <c r="B678" s="81"/>
      <c r="C678" s="97"/>
      <c r="D678" s="49"/>
      <c r="E678" s="49"/>
      <c r="F678" s="98"/>
      <c r="G678" s="98"/>
      <c r="H678" s="97"/>
      <c r="I678" s="99" t="str">
        <f t="shared" si="5"/>
        <v/>
      </c>
      <c r="J678" s="49"/>
      <c r="K678" s="49"/>
      <c r="L678" s="49" t="str">
        <f t="shared" si="2"/>
        <v>EN PROCESO</v>
      </c>
      <c r="M678" s="49"/>
      <c r="N678" s="49"/>
    </row>
    <row r="679" ht="22.5" hidden="1" customHeight="1">
      <c r="A679" s="101"/>
      <c r="B679" s="102"/>
      <c r="C679" s="103"/>
      <c r="D679" s="101"/>
      <c r="E679" s="101"/>
      <c r="F679" s="104"/>
      <c r="G679" s="104"/>
      <c r="H679" s="103"/>
      <c r="I679" s="99" t="str">
        <f t="shared" si="5"/>
        <v/>
      </c>
      <c r="J679" s="101"/>
      <c r="K679" s="101"/>
      <c r="L679" s="101" t="str">
        <f t="shared" si="2"/>
        <v>EN PROCESO</v>
      </c>
      <c r="M679" s="101"/>
      <c r="N679" s="101"/>
    </row>
    <row r="680" ht="22.5" hidden="1" customHeight="1">
      <c r="A680" s="49"/>
      <c r="B680" s="81"/>
      <c r="C680" s="97"/>
      <c r="D680" s="49"/>
      <c r="E680" s="49"/>
      <c r="F680" s="98"/>
      <c r="G680" s="98"/>
      <c r="H680" s="97"/>
      <c r="I680" s="99" t="str">
        <f t="shared" si="5"/>
        <v/>
      </c>
      <c r="J680" s="49"/>
      <c r="K680" s="49"/>
      <c r="L680" s="49" t="str">
        <f t="shared" si="2"/>
        <v>EN PROCESO</v>
      </c>
      <c r="M680" s="49"/>
      <c r="N680" s="49"/>
    </row>
    <row r="681" ht="22.5" hidden="1" customHeight="1">
      <c r="A681" s="101"/>
      <c r="B681" s="102"/>
      <c r="C681" s="103"/>
      <c r="D681" s="101"/>
      <c r="E681" s="101"/>
      <c r="F681" s="104"/>
      <c r="G681" s="104"/>
      <c r="H681" s="103"/>
      <c r="I681" s="99" t="str">
        <f t="shared" si="5"/>
        <v/>
      </c>
      <c r="J681" s="101"/>
      <c r="K681" s="101"/>
      <c r="L681" s="101" t="str">
        <f t="shared" si="2"/>
        <v>EN PROCESO</v>
      </c>
      <c r="M681" s="101"/>
      <c r="N681" s="101"/>
    </row>
    <row r="682" ht="22.5" hidden="1" customHeight="1">
      <c r="A682" s="49"/>
      <c r="B682" s="81"/>
      <c r="C682" s="97"/>
      <c r="D682" s="49"/>
      <c r="E682" s="49"/>
      <c r="F682" s="98"/>
      <c r="G682" s="98"/>
      <c r="H682" s="97"/>
      <c r="I682" s="99" t="str">
        <f t="shared" si="5"/>
        <v/>
      </c>
      <c r="J682" s="49"/>
      <c r="K682" s="49"/>
      <c r="L682" s="49" t="str">
        <f t="shared" ref="L682:L1977" si="8">IF(K682&lt;&gt;"", "LISTO PARA ENTREGAR","EN PROCESO")</f>
        <v>EN PROCESO</v>
      </c>
      <c r="M682" s="49"/>
      <c r="N682" s="49"/>
    </row>
    <row r="683" ht="22.5" hidden="1" customHeight="1">
      <c r="A683" s="101"/>
      <c r="B683" s="102"/>
      <c r="C683" s="103"/>
      <c r="D683" s="101"/>
      <c r="E683" s="101"/>
      <c r="F683" s="104"/>
      <c r="G683" s="104"/>
      <c r="H683" s="103"/>
      <c r="I683" s="99" t="str">
        <f t="shared" si="5"/>
        <v/>
      </c>
      <c r="J683" s="101"/>
      <c r="K683" s="101"/>
      <c r="L683" s="101" t="str">
        <f t="shared" si="8"/>
        <v>EN PROCESO</v>
      </c>
      <c r="M683" s="101"/>
      <c r="N683" s="101"/>
    </row>
    <row r="684" ht="22.5" hidden="1" customHeight="1">
      <c r="A684" s="49"/>
      <c r="B684" s="81"/>
      <c r="C684" s="97"/>
      <c r="D684" s="49"/>
      <c r="E684" s="49"/>
      <c r="F684" s="98"/>
      <c r="G684" s="98"/>
      <c r="H684" s="97"/>
      <c r="I684" s="99" t="str">
        <f t="shared" si="5"/>
        <v/>
      </c>
      <c r="J684" s="49"/>
      <c r="K684" s="49"/>
      <c r="L684" s="49" t="str">
        <f t="shared" si="8"/>
        <v>EN PROCESO</v>
      </c>
      <c r="M684" s="49"/>
      <c r="N684" s="49"/>
    </row>
    <row r="685" ht="22.5" hidden="1" customHeight="1">
      <c r="A685" s="101"/>
      <c r="B685" s="102"/>
      <c r="C685" s="103"/>
      <c r="D685" s="101"/>
      <c r="E685" s="101"/>
      <c r="F685" s="104"/>
      <c r="G685" s="104"/>
      <c r="H685" s="103"/>
      <c r="I685" s="99" t="str">
        <f t="shared" si="5"/>
        <v/>
      </c>
      <c r="J685" s="101"/>
      <c r="K685" s="101"/>
      <c r="L685" s="101" t="str">
        <f t="shared" si="8"/>
        <v>EN PROCESO</v>
      </c>
      <c r="M685" s="101"/>
      <c r="N685" s="101"/>
    </row>
    <row r="686" ht="22.5" hidden="1" customHeight="1">
      <c r="A686" s="49"/>
      <c r="B686" s="81"/>
      <c r="C686" s="97"/>
      <c r="D686" s="49"/>
      <c r="E686" s="49"/>
      <c r="F686" s="98"/>
      <c r="G686" s="98"/>
      <c r="H686" s="97"/>
      <c r="I686" s="99" t="str">
        <f t="shared" si="5"/>
        <v/>
      </c>
      <c r="J686" s="49"/>
      <c r="K686" s="49"/>
      <c r="L686" s="49" t="str">
        <f t="shared" si="8"/>
        <v>EN PROCESO</v>
      </c>
      <c r="M686" s="49"/>
      <c r="N686" s="49"/>
    </row>
    <row r="687" ht="22.5" hidden="1" customHeight="1">
      <c r="A687" s="101"/>
      <c r="B687" s="102"/>
      <c r="C687" s="103"/>
      <c r="D687" s="101"/>
      <c r="E687" s="101"/>
      <c r="F687" s="104"/>
      <c r="G687" s="104"/>
      <c r="H687" s="103"/>
      <c r="I687" s="99" t="str">
        <f t="shared" si="5"/>
        <v/>
      </c>
      <c r="J687" s="101"/>
      <c r="K687" s="101"/>
      <c r="L687" s="101" t="str">
        <f t="shared" si="8"/>
        <v>EN PROCESO</v>
      </c>
      <c r="M687" s="101"/>
      <c r="N687" s="101"/>
    </row>
    <row r="688" ht="22.5" hidden="1" customHeight="1">
      <c r="A688" s="49"/>
      <c r="B688" s="81"/>
      <c r="C688" s="97"/>
      <c r="D688" s="49"/>
      <c r="E688" s="49"/>
      <c r="F688" s="98"/>
      <c r="G688" s="98"/>
      <c r="H688" s="97"/>
      <c r="I688" s="99" t="str">
        <f t="shared" si="5"/>
        <v/>
      </c>
      <c r="J688" s="49"/>
      <c r="K688" s="49"/>
      <c r="L688" s="49" t="str">
        <f t="shared" si="8"/>
        <v>EN PROCESO</v>
      </c>
      <c r="M688" s="49"/>
      <c r="N688" s="49"/>
    </row>
    <row r="689" ht="22.5" hidden="1" customHeight="1">
      <c r="A689" s="101"/>
      <c r="B689" s="102"/>
      <c r="C689" s="103"/>
      <c r="D689" s="101"/>
      <c r="E689" s="101"/>
      <c r="F689" s="104"/>
      <c r="G689" s="104"/>
      <c r="H689" s="103"/>
      <c r="I689" s="99" t="str">
        <f t="shared" si="5"/>
        <v/>
      </c>
      <c r="J689" s="101"/>
      <c r="K689" s="101"/>
      <c r="L689" s="101" t="str">
        <f t="shared" si="8"/>
        <v>EN PROCESO</v>
      </c>
      <c r="M689" s="101"/>
      <c r="N689" s="101"/>
    </row>
    <row r="690" ht="22.5" hidden="1" customHeight="1">
      <c r="A690" s="49"/>
      <c r="B690" s="81"/>
      <c r="C690" s="97"/>
      <c r="D690" s="49"/>
      <c r="E690" s="49"/>
      <c r="F690" s="98"/>
      <c r="G690" s="98"/>
      <c r="H690" s="97"/>
      <c r="I690" s="99" t="str">
        <f t="shared" si="5"/>
        <v/>
      </c>
      <c r="J690" s="49"/>
      <c r="K690" s="49"/>
      <c r="L690" s="49" t="str">
        <f t="shared" si="8"/>
        <v>EN PROCESO</v>
      </c>
      <c r="M690" s="49"/>
      <c r="N690" s="49"/>
    </row>
    <row r="691" ht="22.5" hidden="1" customHeight="1">
      <c r="A691" s="101"/>
      <c r="B691" s="102"/>
      <c r="C691" s="103"/>
      <c r="D691" s="101"/>
      <c r="E691" s="101"/>
      <c r="F691" s="104"/>
      <c r="G691" s="104"/>
      <c r="H691" s="103"/>
      <c r="I691" s="99" t="str">
        <f t="shared" si="5"/>
        <v/>
      </c>
      <c r="J691" s="101"/>
      <c r="K691" s="101"/>
      <c r="L691" s="101" t="str">
        <f t="shared" si="8"/>
        <v>EN PROCESO</v>
      </c>
      <c r="M691" s="101"/>
      <c r="N691" s="101"/>
    </row>
    <row r="692" ht="22.5" hidden="1" customHeight="1">
      <c r="A692" s="49"/>
      <c r="B692" s="81"/>
      <c r="C692" s="97"/>
      <c r="D692" s="49"/>
      <c r="E692" s="49"/>
      <c r="F692" s="98"/>
      <c r="G692" s="98"/>
      <c r="H692" s="97"/>
      <c r="I692" s="99" t="str">
        <f t="shared" si="5"/>
        <v/>
      </c>
      <c r="J692" s="49"/>
      <c r="K692" s="49"/>
      <c r="L692" s="49" t="str">
        <f t="shared" si="8"/>
        <v>EN PROCESO</v>
      </c>
      <c r="M692" s="49"/>
      <c r="N692" s="49"/>
    </row>
    <row r="693" ht="22.5" hidden="1" customHeight="1">
      <c r="A693" s="101"/>
      <c r="B693" s="102"/>
      <c r="C693" s="103"/>
      <c r="D693" s="101"/>
      <c r="E693" s="101"/>
      <c r="F693" s="104"/>
      <c r="G693" s="104"/>
      <c r="H693" s="103"/>
      <c r="I693" s="99" t="str">
        <f t="shared" si="5"/>
        <v/>
      </c>
      <c r="J693" s="101"/>
      <c r="K693" s="101"/>
      <c r="L693" s="101" t="str">
        <f t="shared" si="8"/>
        <v>EN PROCESO</v>
      </c>
      <c r="M693" s="101"/>
      <c r="N693" s="101"/>
    </row>
    <row r="694" ht="22.5" hidden="1" customHeight="1">
      <c r="A694" s="49"/>
      <c r="B694" s="81"/>
      <c r="C694" s="97"/>
      <c r="D694" s="49"/>
      <c r="E694" s="49"/>
      <c r="F694" s="98"/>
      <c r="G694" s="98"/>
      <c r="H694" s="97"/>
      <c r="I694" s="99" t="str">
        <f t="shared" si="5"/>
        <v/>
      </c>
      <c r="J694" s="49"/>
      <c r="K694" s="49"/>
      <c r="L694" s="49" t="str">
        <f t="shared" si="8"/>
        <v>EN PROCESO</v>
      </c>
      <c r="M694" s="49"/>
      <c r="N694" s="49"/>
    </row>
    <row r="695" ht="22.5" hidden="1" customHeight="1">
      <c r="A695" s="101"/>
      <c r="B695" s="102"/>
      <c r="C695" s="103"/>
      <c r="D695" s="101"/>
      <c r="E695" s="101"/>
      <c r="F695" s="104"/>
      <c r="G695" s="104"/>
      <c r="H695" s="103"/>
      <c r="I695" s="99" t="str">
        <f t="shared" si="5"/>
        <v/>
      </c>
      <c r="J695" s="101"/>
      <c r="K695" s="101"/>
      <c r="L695" s="101" t="str">
        <f t="shared" si="8"/>
        <v>EN PROCESO</v>
      </c>
      <c r="M695" s="101"/>
      <c r="N695" s="101"/>
    </row>
    <row r="696" ht="22.5" hidden="1" customHeight="1">
      <c r="A696" s="49"/>
      <c r="B696" s="81"/>
      <c r="C696" s="97"/>
      <c r="D696" s="49"/>
      <c r="E696" s="49"/>
      <c r="F696" s="98"/>
      <c r="G696" s="98"/>
      <c r="H696" s="97"/>
      <c r="I696" s="99" t="str">
        <f t="shared" si="5"/>
        <v/>
      </c>
      <c r="J696" s="49"/>
      <c r="K696" s="49"/>
      <c r="L696" s="49" t="str">
        <f t="shared" si="8"/>
        <v>EN PROCESO</v>
      </c>
      <c r="M696" s="49"/>
      <c r="N696" s="49"/>
    </row>
    <row r="697" ht="22.5" hidden="1" customHeight="1">
      <c r="A697" s="101"/>
      <c r="B697" s="102"/>
      <c r="C697" s="103"/>
      <c r="D697" s="101"/>
      <c r="E697" s="101"/>
      <c r="F697" s="104"/>
      <c r="G697" s="104"/>
      <c r="H697" s="103"/>
      <c r="I697" s="99" t="str">
        <f t="shared" si="5"/>
        <v/>
      </c>
      <c r="J697" s="101"/>
      <c r="K697" s="101"/>
      <c r="L697" s="101" t="str">
        <f t="shared" si="8"/>
        <v>EN PROCESO</v>
      </c>
      <c r="M697" s="101"/>
      <c r="N697" s="101"/>
    </row>
    <row r="698" ht="22.5" hidden="1" customHeight="1">
      <c r="A698" s="49"/>
      <c r="B698" s="81"/>
      <c r="C698" s="97"/>
      <c r="D698" s="49"/>
      <c r="E698" s="49"/>
      <c r="F698" s="98"/>
      <c r="G698" s="98"/>
      <c r="H698" s="97"/>
      <c r="I698" s="99" t="str">
        <f t="shared" si="5"/>
        <v/>
      </c>
      <c r="J698" s="49"/>
      <c r="K698" s="49"/>
      <c r="L698" s="49" t="str">
        <f t="shared" si="8"/>
        <v>EN PROCESO</v>
      </c>
      <c r="M698" s="49"/>
      <c r="N698" s="49"/>
    </row>
    <row r="699" ht="22.5" hidden="1" customHeight="1">
      <c r="A699" s="101"/>
      <c r="B699" s="102"/>
      <c r="C699" s="103"/>
      <c r="D699" s="101"/>
      <c r="E699" s="101"/>
      <c r="F699" s="104"/>
      <c r="G699" s="104"/>
      <c r="H699" s="103"/>
      <c r="I699" s="99" t="str">
        <f t="shared" si="5"/>
        <v/>
      </c>
      <c r="J699" s="101"/>
      <c r="K699" s="101"/>
      <c r="L699" s="101" t="str">
        <f t="shared" si="8"/>
        <v>EN PROCESO</v>
      </c>
      <c r="M699" s="101"/>
      <c r="N699" s="101"/>
    </row>
    <row r="700" ht="22.5" hidden="1" customHeight="1">
      <c r="A700" s="49"/>
      <c r="B700" s="81"/>
      <c r="C700" s="97"/>
      <c r="D700" s="49"/>
      <c r="E700" s="49"/>
      <c r="F700" s="98"/>
      <c r="G700" s="98"/>
      <c r="H700" s="97"/>
      <c r="I700" s="99" t="str">
        <f t="shared" si="5"/>
        <v/>
      </c>
      <c r="J700" s="49"/>
      <c r="K700" s="49"/>
      <c r="L700" s="49" t="str">
        <f t="shared" si="8"/>
        <v>EN PROCESO</v>
      </c>
      <c r="M700" s="49"/>
      <c r="N700" s="49"/>
    </row>
    <row r="701" ht="22.5" hidden="1" customHeight="1">
      <c r="A701" s="101"/>
      <c r="B701" s="102"/>
      <c r="C701" s="103"/>
      <c r="D701" s="101"/>
      <c r="E701" s="101"/>
      <c r="F701" s="104"/>
      <c r="G701" s="104"/>
      <c r="H701" s="103"/>
      <c r="I701" s="99" t="str">
        <f t="shared" si="5"/>
        <v/>
      </c>
      <c r="J701" s="101"/>
      <c r="K701" s="101"/>
      <c r="L701" s="101" t="str">
        <f t="shared" si="8"/>
        <v>EN PROCESO</v>
      </c>
      <c r="M701" s="101"/>
      <c r="N701" s="101"/>
    </row>
    <row r="702" ht="22.5" hidden="1" customHeight="1">
      <c r="A702" s="49"/>
      <c r="B702" s="81"/>
      <c r="C702" s="97"/>
      <c r="D702" s="49"/>
      <c r="E702" s="49"/>
      <c r="F702" s="98"/>
      <c r="G702" s="98"/>
      <c r="H702" s="97"/>
      <c r="I702" s="99" t="str">
        <f t="shared" si="5"/>
        <v/>
      </c>
      <c r="J702" s="49"/>
      <c r="K702" s="49"/>
      <c r="L702" s="49" t="str">
        <f t="shared" si="8"/>
        <v>EN PROCESO</v>
      </c>
      <c r="M702" s="49"/>
      <c r="N702" s="49"/>
    </row>
    <row r="703" ht="22.5" hidden="1" customHeight="1">
      <c r="A703" s="101"/>
      <c r="B703" s="102"/>
      <c r="C703" s="103"/>
      <c r="D703" s="101"/>
      <c r="E703" s="101"/>
      <c r="F703" s="104"/>
      <c r="G703" s="104"/>
      <c r="H703" s="103"/>
      <c r="I703" s="99" t="str">
        <f t="shared" si="5"/>
        <v/>
      </c>
      <c r="J703" s="101"/>
      <c r="K703" s="101"/>
      <c r="L703" s="101" t="str">
        <f t="shared" si="8"/>
        <v>EN PROCESO</v>
      </c>
      <c r="M703" s="101"/>
      <c r="N703" s="101"/>
    </row>
    <row r="704" ht="22.5" hidden="1" customHeight="1">
      <c r="A704" s="49"/>
      <c r="B704" s="81"/>
      <c r="C704" s="97"/>
      <c r="D704" s="49"/>
      <c r="E704" s="49"/>
      <c r="F704" s="98"/>
      <c r="G704" s="98"/>
      <c r="H704" s="97"/>
      <c r="I704" s="99" t="str">
        <f t="shared" si="5"/>
        <v/>
      </c>
      <c r="J704" s="49"/>
      <c r="K704" s="49"/>
      <c r="L704" s="49" t="str">
        <f t="shared" si="8"/>
        <v>EN PROCESO</v>
      </c>
      <c r="M704" s="49"/>
      <c r="N704" s="49"/>
    </row>
    <row r="705" ht="22.5" hidden="1" customHeight="1">
      <c r="A705" s="101"/>
      <c r="B705" s="102"/>
      <c r="C705" s="103"/>
      <c r="D705" s="101"/>
      <c r="E705" s="101"/>
      <c r="F705" s="104"/>
      <c r="G705" s="104"/>
      <c r="H705" s="103"/>
      <c r="I705" s="99" t="str">
        <f t="shared" si="5"/>
        <v/>
      </c>
      <c r="J705" s="101"/>
      <c r="K705" s="101"/>
      <c r="L705" s="101" t="str">
        <f t="shared" si="8"/>
        <v>EN PROCESO</v>
      </c>
      <c r="M705" s="101"/>
      <c r="N705" s="101"/>
    </row>
    <row r="706" ht="22.5" hidden="1" customHeight="1">
      <c r="A706" s="49"/>
      <c r="B706" s="81"/>
      <c r="C706" s="97"/>
      <c r="D706" s="49"/>
      <c r="E706" s="49"/>
      <c r="F706" s="98"/>
      <c r="G706" s="98"/>
      <c r="H706" s="97"/>
      <c r="I706" s="99" t="str">
        <f t="shared" si="5"/>
        <v/>
      </c>
      <c r="J706" s="49"/>
      <c r="K706" s="49"/>
      <c r="L706" s="49" t="str">
        <f t="shared" si="8"/>
        <v>EN PROCESO</v>
      </c>
      <c r="M706" s="49"/>
      <c r="N706" s="49"/>
    </row>
    <row r="707" ht="22.5" hidden="1" customHeight="1">
      <c r="A707" s="101"/>
      <c r="B707" s="102"/>
      <c r="C707" s="103"/>
      <c r="D707" s="101"/>
      <c r="E707" s="101"/>
      <c r="F707" s="104"/>
      <c r="G707" s="104"/>
      <c r="H707" s="103"/>
      <c r="I707" s="99" t="str">
        <f t="shared" si="5"/>
        <v/>
      </c>
      <c r="J707" s="101"/>
      <c r="K707" s="101"/>
      <c r="L707" s="101" t="str">
        <f t="shared" si="8"/>
        <v>EN PROCESO</v>
      </c>
      <c r="M707" s="101"/>
      <c r="N707" s="101"/>
    </row>
    <row r="708" ht="22.5" hidden="1" customHeight="1">
      <c r="A708" s="49"/>
      <c r="B708" s="81"/>
      <c r="C708" s="97"/>
      <c r="D708" s="49"/>
      <c r="E708" s="49"/>
      <c r="F708" s="98"/>
      <c r="G708" s="98"/>
      <c r="H708" s="97"/>
      <c r="I708" s="99" t="str">
        <f t="shared" si="5"/>
        <v/>
      </c>
      <c r="J708" s="49"/>
      <c r="K708" s="49"/>
      <c r="L708" s="49" t="str">
        <f t="shared" si="8"/>
        <v>EN PROCESO</v>
      </c>
      <c r="M708" s="49"/>
      <c r="N708" s="49"/>
    </row>
    <row r="709" ht="22.5" hidden="1" customHeight="1">
      <c r="A709" s="101"/>
      <c r="B709" s="102"/>
      <c r="C709" s="103"/>
      <c r="D709" s="101"/>
      <c r="E709" s="101"/>
      <c r="F709" s="104"/>
      <c r="G709" s="104"/>
      <c r="H709" s="103"/>
      <c r="I709" s="99" t="str">
        <f t="shared" si="5"/>
        <v/>
      </c>
      <c r="J709" s="101"/>
      <c r="K709" s="101"/>
      <c r="L709" s="101" t="str">
        <f t="shared" si="8"/>
        <v>EN PROCESO</v>
      </c>
      <c r="M709" s="101"/>
      <c r="N709" s="101"/>
    </row>
    <row r="710" ht="22.5" hidden="1" customHeight="1">
      <c r="A710" s="49"/>
      <c r="B710" s="81"/>
      <c r="C710" s="97"/>
      <c r="D710" s="49"/>
      <c r="E710" s="49"/>
      <c r="F710" s="98"/>
      <c r="G710" s="98"/>
      <c r="H710" s="97"/>
      <c r="I710" s="99" t="str">
        <f t="shared" si="5"/>
        <v/>
      </c>
      <c r="J710" s="49"/>
      <c r="K710" s="49"/>
      <c r="L710" s="49" t="str">
        <f t="shared" si="8"/>
        <v>EN PROCESO</v>
      </c>
      <c r="M710" s="49"/>
      <c r="N710" s="49"/>
    </row>
    <row r="711" ht="22.5" hidden="1" customHeight="1">
      <c r="A711" s="101"/>
      <c r="B711" s="102"/>
      <c r="C711" s="103"/>
      <c r="D711" s="101"/>
      <c r="E711" s="101"/>
      <c r="F711" s="104"/>
      <c r="G711" s="104"/>
      <c r="H711" s="103"/>
      <c r="I711" s="99" t="str">
        <f t="shared" si="5"/>
        <v/>
      </c>
      <c r="J711" s="101"/>
      <c r="K711" s="101"/>
      <c r="L711" s="101" t="str">
        <f t="shared" si="8"/>
        <v>EN PROCESO</v>
      </c>
      <c r="M711" s="101"/>
      <c r="N711" s="101"/>
    </row>
    <row r="712" ht="22.5" hidden="1" customHeight="1">
      <c r="A712" s="49"/>
      <c r="B712" s="81"/>
      <c r="C712" s="97"/>
      <c r="D712" s="49"/>
      <c r="E712" s="49"/>
      <c r="F712" s="98"/>
      <c r="G712" s="98"/>
      <c r="H712" s="97"/>
      <c r="I712" s="99" t="str">
        <f t="shared" si="5"/>
        <v/>
      </c>
      <c r="J712" s="49"/>
      <c r="K712" s="49"/>
      <c r="L712" s="49" t="str">
        <f t="shared" si="8"/>
        <v>EN PROCESO</v>
      </c>
      <c r="M712" s="49"/>
      <c r="N712" s="49"/>
    </row>
    <row r="713" ht="22.5" hidden="1" customHeight="1">
      <c r="A713" s="101"/>
      <c r="B713" s="102"/>
      <c r="C713" s="103"/>
      <c r="D713" s="101"/>
      <c r="E713" s="101"/>
      <c r="F713" s="104"/>
      <c r="G713" s="104"/>
      <c r="H713" s="103"/>
      <c r="I713" s="99" t="str">
        <f t="shared" si="5"/>
        <v/>
      </c>
      <c r="J713" s="101"/>
      <c r="K713" s="101"/>
      <c r="L713" s="101" t="str">
        <f t="shared" si="8"/>
        <v>EN PROCESO</v>
      </c>
      <c r="M713" s="101"/>
      <c r="N713" s="101"/>
    </row>
    <row r="714" ht="22.5" hidden="1" customHeight="1">
      <c r="A714" s="49"/>
      <c r="B714" s="81"/>
      <c r="C714" s="97"/>
      <c r="D714" s="49"/>
      <c r="E714" s="49"/>
      <c r="F714" s="98"/>
      <c r="G714" s="98"/>
      <c r="H714" s="97"/>
      <c r="I714" s="99" t="str">
        <f t="shared" si="5"/>
        <v/>
      </c>
      <c r="J714" s="49"/>
      <c r="K714" s="49"/>
      <c r="L714" s="49" t="str">
        <f t="shared" si="8"/>
        <v>EN PROCESO</v>
      </c>
      <c r="M714" s="49"/>
      <c r="N714" s="49"/>
    </row>
    <row r="715" ht="22.5" hidden="1" customHeight="1">
      <c r="A715" s="101"/>
      <c r="B715" s="102"/>
      <c r="C715" s="103"/>
      <c r="D715" s="101"/>
      <c r="E715" s="101"/>
      <c r="F715" s="104"/>
      <c r="G715" s="104"/>
      <c r="H715" s="103"/>
      <c r="I715" s="99" t="str">
        <f t="shared" si="5"/>
        <v/>
      </c>
      <c r="J715" s="101"/>
      <c r="K715" s="101"/>
      <c r="L715" s="101" t="str">
        <f t="shared" si="8"/>
        <v>EN PROCESO</v>
      </c>
      <c r="M715" s="101"/>
      <c r="N715" s="101"/>
    </row>
    <row r="716" ht="22.5" hidden="1" customHeight="1">
      <c r="A716" s="49"/>
      <c r="B716" s="81"/>
      <c r="C716" s="97"/>
      <c r="D716" s="49"/>
      <c r="E716" s="49"/>
      <c r="F716" s="98"/>
      <c r="G716" s="98"/>
      <c r="H716" s="97"/>
      <c r="I716" s="99" t="str">
        <f t="shared" si="5"/>
        <v/>
      </c>
      <c r="J716" s="49"/>
      <c r="K716" s="49"/>
      <c r="L716" s="49" t="str">
        <f t="shared" si="8"/>
        <v>EN PROCESO</v>
      </c>
      <c r="M716" s="49"/>
      <c r="N716" s="49"/>
    </row>
    <row r="717" ht="22.5" hidden="1" customHeight="1">
      <c r="A717" s="101"/>
      <c r="B717" s="102"/>
      <c r="C717" s="103"/>
      <c r="D717" s="101"/>
      <c r="E717" s="101"/>
      <c r="F717" s="104"/>
      <c r="G717" s="104"/>
      <c r="H717" s="103"/>
      <c r="I717" s="99" t="str">
        <f t="shared" si="5"/>
        <v/>
      </c>
      <c r="J717" s="101"/>
      <c r="K717" s="101"/>
      <c r="L717" s="101" t="str">
        <f t="shared" si="8"/>
        <v>EN PROCESO</v>
      </c>
      <c r="M717" s="101"/>
      <c r="N717" s="101"/>
    </row>
    <row r="718" ht="22.5" hidden="1" customHeight="1">
      <c r="A718" s="49"/>
      <c r="B718" s="81"/>
      <c r="C718" s="97"/>
      <c r="D718" s="49"/>
      <c r="E718" s="49"/>
      <c r="F718" s="98"/>
      <c r="G718" s="98"/>
      <c r="H718" s="97"/>
      <c r="I718" s="99" t="str">
        <f t="shared" si="5"/>
        <v/>
      </c>
      <c r="J718" s="49"/>
      <c r="K718" s="49"/>
      <c r="L718" s="49" t="str">
        <f t="shared" si="8"/>
        <v>EN PROCESO</v>
      </c>
      <c r="M718" s="49"/>
      <c r="N718" s="49"/>
    </row>
    <row r="719" ht="22.5" hidden="1" customHeight="1">
      <c r="A719" s="101"/>
      <c r="B719" s="102"/>
      <c r="C719" s="103"/>
      <c r="D719" s="101"/>
      <c r="E719" s="101"/>
      <c r="F719" s="104"/>
      <c r="G719" s="104"/>
      <c r="H719" s="103"/>
      <c r="I719" s="99" t="str">
        <f t="shared" si="5"/>
        <v/>
      </c>
      <c r="J719" s="101"/>
      <c r="K719" s="101"/>
      <c r="L719" s="101" t="str">
        <f t="shared" si="8"/>
        <v>EN PROCESO</v>
      </c>
      <c r="M719" s="101"/>
      <c r="N719" s="101"/>
    </row>
    <row r="720" ht="22.5" hidden="1" customHeight="1">
      <c r="A720" s="49"/>
      <c r="B720" s="81"/>
      <c r="C720" s="97"/>
      <c r="D720" s="49"/>
      <c r="E720" s="49"/>
      <c r="F720" s="98"/>
      <c r="G720" s="98"/>
      <c r="H720" s="97"/>
      <c r="I720" s="99" t="str">
        <f t="shared" si="5"/>
        <v/>
      </c>
      <c r="J720" s="49"/>
      <c r="K720" s="49"/>
      <c r="L720" s="49" t="str">
        <f t="shared" si="8"/>
        <v>EN PROCESO</v>
      </c>
      <c r="M720" s="49"/>
      <c r="N720" s="49"/>
    </row>
    <row r="721" ht="22.5" hidden="1" customHeight="1">
      <c r="A721" s="101"/>
      <c r="B721" s="102"/>
      <c r="C721" s="103"/>
      <c r="D721" s="101"/>
      <c r="E721" s="101"/>
      <c r="F721" s="104"/>
      <c r="G721" s="104"/>
      <c r="H721" s="103"/>
      <c r="I721" s="99" t="str">
        <f t="shared" si="5"/>
        <v/>
      </c>
      <c r="J721" s="101"/>
      <c r="K721" s="101"/>
      <c r="L721" s="101" t="str">
        <f t="shared" si="8"/>
        <v>EN PROCESO</v>
      </c>
      <c r="M721" s="101"/>
      <c r="N721" s="101"/>
    </row>
    <row r="722" ht="22.5" hidden="1" customHeight="1">
      <c r="A722" s="49"/>
      <c r="B722" s="81"/>
      <c r="C722" s="97"/>
      <c r="D722" s="49"/>
      <c r="E722" s="49"/>
      <c r="F722" s="98"/>
      <c r="G722" s="98"/>
      <c r="H722" s="97"/>
      <c r="I722" s="99" t="str">
        <f t="shared" si="5"/>
        <v/>
      </c>
      <c r="J722" s="49"/>
      <c r="K722" s="49"/>
      <c r="L722" s="49" t="str">
        <f t="shared" si="8"/>
        <v>EN PROCESO</v>
      </c>
      <c r="M722" s="49"/>
      <c r="N722" s="49"/>
    </row>
    <row r="723" ht="22.5" hidden="1" customHeight="1">
      <c r="A723" s="101"/>
      <c r="B723" s="102"/>
      <c r="C723" s="103"/>
      <c r="D723" s="101"/>
      <c r="E723" s="101"/>
      <c r="F723" s="104"/>
      <c r="G723" s="104"/>
      <c r="H723" s="103"/>
      <c r="I723" s="99" t="str">
        <f t="shared" si="5"/>
        <v/>
      </c>
      <c r="J723" s="101"/>
      <c r="K723" s="101"/>
      <c r="L723" s="101" t="str">
        <f t="shared" si="8"/>
        <v>EN PROCESO</v>
      </c>
      <c r="M723" s="101"/>
      <c r="N723" s="101"/>
    </row>
    <row r="724" ht="22.5" hidden="1" customHeight="1">
      <c r="A724" s="49"/>
      <c r="B724" s="81"/>
      <c r="C724" s="97"/>
      <c r="D724" s="49"/>
      <c r="E724" s="49"/>
      <c r="F724" s="98"/>
      <c r="G724" s="98"/>
      <c r="H724" s="97"/>
      <c r="I724" s="99" t="str">
        <f t="shared" si="5"/>
        <v/>
      </c>
      <c r="J724" s="49"/>
      <c r="K724" s="49"/>
      <c r="L724" s="49" t="str">
        <f t="shared" si="8"/>
        <v>EN PROCESO</v>
      </c>
      <c r="M724" s="49"/>
      <c r="N724" s="49"/>
    </row>
    <row r="725" ht="22.5" hidden="1" customHeight="1">
      <c r="A725" s="101"/>
      <c r="B725" s="102"/>
      <c r="C725" s="103"/>
      <c r="D725" s="101"/>
      <c r="E725" s="101"/>
      <c r="F725" s="104"/>
      <c r="G725" s="104"/>
      <c r="H725" s="103"/>
      <c r="I725" s="99" t="str">
        <f t="shared" si="5"/>
        <v/>
      </c>
      <c r="J725" s="101"/>
      <c r="K725" s="101"/>
      <c r="L725" s="101" t="str">
        <f t="shared" si="8"/>
        <v>EN PROCESO</v>
      </c>
      <c r="M725" s="101"/>
      <c r="N725" s="101"/>
    </row>
    <row r="726" ht="22.5" hidden="1" customHeight="1">
      <c r="A726" s="49"/>
      <c r="B726" s="81"/>
      <c r="C726" s="97"/>
      <c r="D726" s="49"/>
      <c r="E726" s="49"/>
      <c r="F726" s="98"/>
      <c r="G726" s="98"/>
      <c r="H726" s="97"/>
      <c r="I726" s="99" t="str">
        <f t="shared" si="5"/>
        <v/>
      </c>
      <c r="J726" s="49"/>
      <c r="K726" s="49"/>
      <c r="L726" s="49" t="str">
        <f t="shared" si="8"/>
        <v>EN PROCESO</v>
      </c>
      <c r="M726" s="49"/>
      <c r="N726" s="49"/>
    </row>
    <row r="727" ht="22.5" hidden="1" customHeight="1">
      <c r="A727" s="101"/>
      <c r="B727" s="102"/>
      <c r="C727" s="103"/>
      <c r="D727" s="101"/>
      <c r="E727" s="101"/>
      <c r="F727" s="104"/>
      <c r="G727" s="104"/>
      <c r="H727" s="103"/>
      <c r="I727" s="99" t="str">
        <f t="shared" si="5"/>
        <v/>
      </c>
      <c r="J727" s="101"/>
      <c r="K727" s="101"/>
      <c r="L727" s="101" t="str">
        <f t="shared" si="8"/>
        <v>EN PROCESO</v>
      </c>
      <c r="M727" s="101"/>
      <c r="N727" s="101"/>
    </row>
    <row r="728" ht="22.5" hidden="1" customHeight="1">
      <c r="A728" s="49"/>
      <c r="B728" s="81"/>
      <c r="C728" s="97"/>
      <c r="D728" s="49"/>
      <c r="E728" s="49"/>
      <c r="F728" s="98"/>
      <c r="G728" s="98"/>
      <c r="H728" s="97"/>
      <c r="I728" s="99" t="str">
        <f t="shared" si="5"/>
        <v/>
      </c>
      <c r="J728" s="49"/>
      <c r="K728" s="49"/>
      <c r="L728" s="49" t="str">
        <f t="shared" si="8"/>
        <v>EN PROCESO</v>
      </c>
      <c r="M728" s="49"/>
      <c r="N728" s="49"/>
    </row>
    <row r="729" ht="22.5" hidden="1" customHeight="1">
      <c r="A729" s="101"/>
      <c r="B729" s="102"/>
      <c r="C729" s="103"/>
      <c r="D729" s="101"/>
      <c r="E729" s="101"/>
      <c r="F729" s="104"/>
      <c r="G729" s="104"/>
      <c r="H729" s="103"/>
      <c r="I729" s="99" t="str">
        <f t="shared" si="5"/>
        <v/>
      </c>
      <c r="J729" s="101"/>
      <c r="K729" s="101"/>
      <c r="L729" s="101" t="str">
        <f t="shared" si="8"/>
        <v>EN PROCESO</v>
      </c>
      <c r="M729" s="101"/>
      <c r="N729" s="101"/>
    </row>
    <row r="730" ht="22.5" hidden="1" customHeight="1">
      <c r="A730" s="49"/>
      <c r="B730" s="81"/>
      <c r="C730" s="97"/>
      <c r="D730" s="49"/>
      <c r="E730" s="49"/>
      <c r="F730" s="98"/>
      <c r="G730" s="98"/>
      <c r="H730" s="97"/>
      <c r="I730" s="99" t="str">
        <f t="shared" si="5"/>
        <v/>
      </c>
      <c r="J730" s="49"/>
      <c r="K730" s="49"/>
      <c r="L730" s="49" t="str">
        <f t="shared" si="8"/>
        <v>EN PROCESO</v>
      </c>
      <c r="M730" s="49"/>
      <c r="N730" s="49"/>
    </row>
    <row r="731" ht="22.5" hidden="1" customHeight="1">
      <c r="A731" s="101"/>
      <c r="B731" s="102"/>
      <c r="C731" s="103"/>
      <c r="D731" s="101"/>
      <c r="E731" s="101"/>
      <c r="F731" s="104"/>
      <c r="G731" s="104"/>
      <c r="H731" s="103"/>
      <c r="I731" s="99" t="str">
        <f t="shared" si="5"/>
        <v/>
      </c>
      <c r="J731" s="101"/>
      <c r="K731" s="101"/>
      <c r="L731" s="101" t="str">
        <f t="shared" si="8"/>
        <v>EN PROCESO</v>
      </c>
      <c r="M731" s="101"/>
      <c r="N731" s="101"/>
    </row>
    <row r="732" ht="22.5" hidden="1" customHeight="1">
      <c r="A732" s="49"/>
      <c r="B732" s="81"/>
      <c r="C732" s="97"/>
      <c r="D732" s="49"/>
      <c r="E732" s="49"/>
      <c r="F732" s="98"/>
      <c r="G732" s="98"/>
      <c r="H732" s="97"/>
      <c r="I732" s="99" t="str">
        <f t="shared" si="5"/>
        <v/>
      </c>
      <c r="J732" s="49"/>
      <c r="K732" s="49"/>
      <c r="L732" s="49" t="str">
        <f t="shared" si="8"/>
        <v>EN PROCESO</v>
      </c>
      <c r="M732" s="49"/>
      <c r="N732" s="49"/>
    </row>
    <row r="733" ht="22.5" hidden="1" customHeight="1">
      <c r="A733" s="101"/>
      <c r="B733" s="102"/>
      <c r="C733" s="103"/>
      <c r="D733" s="101"/>
      <c r="E733" s="101"/>
      <c r="F733" s="104"/>
      <c r="G733" s="104"/>
      <c r="H733" s="103"/>
      <c r="I733" s="99" t="str">
        <f t="shared" si="5"/>
        <v/>
      </c>
      <c r="J733" s="101"/>
      <c r="K733" s="101"/>
      <c r="L733" s="101" t="str">
        <f t="shared" si="8"/>
        <v>EN PROCESO</v>
      </c>
      <c r="M733" s="101"/>
      <c r="N733" s="101"/>
    </row>
    <row r="734" ht="22.5" hidden="1" customHeight="1">
      <c r="A734" s="49"/>
      <c r="B734" s="81"/>
      <c r="C734" s="97"/>
      <c r="D734" s="49"/>
      <c r="E734" s="49"/>
      <c r="F734" s="98"/>
      <c r="G734" s="98"/>
      <c r="H734" s="97"/>
      <c r="I734" s="99" t="str">
        <f t="shared" si="5"/>
        <v/>
      </c>
      <c r="J734" s="49"/>
      <c r="K734" s="49"/>
      <c r="L734" s="49" t="str">
        <f t="shared" si="8"/>
        <v>EN PROCESO</v>
      </c>
      <c r="M734" s="49"/>
      <c r="N734" s="49"/>
    </row>
    <row r="735" ht="22.5" hidden="1" customHeight="1">
      <c r="A735" s="101"/>
      <c r="B735" s="102"/>
      <c r="C735" s="103"/>
      <c r="D735" s="101"/>
      <c r="E735" s="101"/>
      <c r="F735" s="104"/>
      <c r="G735" s="104"/>
      <c r="H735" s="103"/>
      <c r="I735" s="99" t="str">
        <f t="shared" si="5"/>
        <v/>
      </c>
      <c r="J735" s="101"/>
      <c r="K735" s="101"/>
      <c r="L735" s="101" t="str">
        <f t="shared" si="8"/>
        <v>EN PROCESO</v>
      </c>
      <c r="M735" s="101"/>
      <c r="N735" s="101"/>
    </row>
    <row r="736" ht="22.5" hidden="1" customHeight="1">
      <c r="A736" s="49"/>
      <c r="B736" s="81"/>
      <c r="C736" s="97"/>
      <c r="D736" s="49"/>
      <c r="E736" s="49"/>
      <c r="F736" s="98"/>
      <c r="G736" s="98"/>
      <c r="H736" s="97"/>
      <c r="I736" s="99" t="str">
        <f t="shared" si="5"/>
        <v/>
      </c>
      <c r="J736" s="49"/>
      <c r="K736" s="49"/>
      <c r="L736" s="49" t="str">
        <f t="shared" si="8"/>
        <v>EN PROCESO</v>
      </c>
      <c r="M736" s="49"/>
      <c r="N736" s="49"/>
    </row>
    <row r="737" ht="22.5" hidden="1" customHeight="1">
      <c r="A737" s="101"/>
      <c r="B737" s="102"/>
      <c r="C737" s="103"/>
      <c r="D737" s="101"/>
      <c r="E737" s="101"/>
      <c r="F737" s="104"/>
      <c r="G737" s="104"/>
      <c r="H737" s="103"/>
      <c r="I737" s="99" t="str">
        <f t="shared" si="5"/>
        <v/>
      </c>
      <c r="J737" s="101"/>
      <c r="K737" s="101"/>
      <c r="L737" s="101" t="str">
        <f t="shared" si="8"/>
        <v>EN PROCESO</v>
      </c>
      <c r="M737" s="101"/>
      <c r="N737" s="101"/>
    </row>
    <row r="738" ht="22.5" hidden="1" customHeight="1">
      <c r="A738" s="49"/>
      <c r="B738" s="81"/>
      <c r="C738" s="97"/>
      <c r="D738" s="49"/>
      <c r="E738" s="49"/>
      <c r="F738" s="98"/>
      <c r="G738" s="98"/>
      <c r="H738" s="97"/>
      <c r="I738" s="99" t="str">
        <f t="shared" si="5"/>
        <v/>
      </c>
      <c r="J738" s="49"/>
      <c r="K738" s="49"/>
      <c r="L738" s="49" t="str">
        <f t="shared" si="8"/>
        <v>EN PROCESO</v>
      </c>
      <c r="M738" s="49"/>
      <c r="N738" s="49"/>
    </row>
    <row r="739" ht="22.5" hidden="1" customHeight="1">
      <c r="A739" s="101"/>
      <c r="B739" s="102"/>
      <c r="C739" s="103"/>
      <c r="D739" s="101"/>
      <c r="E739" s="101"/>
      <c r="F739" s="104"/>
      <c r="G739" s="104"/>
      <c r="H739" s="103"/>
      <c r="I739" s="99" t="str">
        <f t="shared" si="5"/>
        <v/>
      </c>
      <c r="J739" s="101"/>
      <c r="K739" s="101"/>
      <c r="L739" s="101" t="str">
        <f t="shared" si="8"/>
        <v>EN PROCESO</v>
      </c>
      <c r="M739" s="101"/>
      <c r="N739" s="101"/>
    </row>
    <row r="740" ht="22.5" hidden="1" customHeight="1">
      <c r="A740" s="49"/>
      <c r="B740" s="81"/>
      <c r="C740" s="97"/>
      <c r="D740" s="49"/>
      <c r="E740" s="49"/>
      <c r="F740" s="98"/>
      <c r="G740" s="98"/>
      <c r="H740" s="97"/>
      <c r="I740" s="99" t="str">
        <f t="shared" si="5"/>
        <v/>
      </c>
      <c r="J740" s="49"/>
      <c r="K740" s="49"/>
      <c r="L740" s="49" t="str">
        <f t="shared" si="8"/>
        <v>EN PROCESO</v>
      </c>
      <c r="M740" s="49"/>
      <c r="N740" s="49"/>
    </row>
    <row r="741" ht="22.5" hidden="1" customHeight="1">
      <c r="A741" s="101"/>
      <c r="B741" s="102"/>
      <c r="C741" s="103"/>
      <c r="D741" s="101"/>
      <c r="E741" s="101"/>
      <c r="F741" s="104"/>
      <c r="G741" s="104"/>
      <c r="H741" s="103"/>
      <c r="I741" s="99" t="str">
        <f t="shared" si="5"/>
        <v/>
      </c>
      <c r="J741" s="101"/>
      <c r="K741" s="101"/>
      <c r="L741" s="101" t="str">
        <f t="shared" si="8"/>
        <v>EN PROCESO</v>
      </c>
      <c r="M741" s="101"/>
      <c r="N741" s="101"/>
    </row>
    <row r="742" ht="22.5" hidden="1" customHeight="1">
      <c r="A742" s="49"/>
      <c r="B742" s="81"/>
      <c r="C742" s="97"/>
      <c r="D742" s="49"/>
      <c r="E742" s="49"/>
      <c r="F742" s="98"/>
      <c r="G742" s="98"/>
      <c r="H742" s="97"/>
      <c r="I742" s="99" t="str">
        <f t="shared" si="5"/>
        <v/>
      </c>
      <c r="J742" s="49"/>
      <c r="K742" s="49"/>
      <c r="L742" s="49" t="str">
        <f t="shared" si="8"/>
        <v>EN PROCESO</v>
      </c>
      <c r="M742" s="49"/>
      <c r="N742" s="49"/>
    </row>
    <row r="743" ht="22.5" hidden="1" customHeight="1">
      <c r="A743" s="101"/>
      <c r="B743" s="102"/>
      <c r="C743" s="103"/>
      <c r="D743" s="101"/>
      <c r="E743" s="101"/>
      <c r="F743" s="104"/>
      <c r="G743" s="104"/>
      <c r="H743" s="103"/>
      <c r="I743" s="99" t="str">
        <f t="shared" si="5"/>
        <v/>
      </c>
      <c r="J743" s="101"/>
      <c r="K743" s="101"/>
      <c r="L743" s="101" t="str">
        <f t="shared" si="8"/>
        <v>EN PROCESO</v>
      </c>
      <c r="M743" s="101"/>
      <c r="N743" s="101"/>
    </row>
    <row r="744" ht="22.5" hidden="1" customHeight="1">
      <c r="A744" s="49"/>
      <c r="B744" s="81"/>
      <c r="C744" s="97"/>
      <c r="D744" s="49"/>
      <c r="E744" s="49"/>
      <c r="F744" s="98"/>
      <c r="G744" s="98"/>
      <c r="H744" s="97"/>
      <c r="I744" s="99" t="str">
        <f t="shared" si="5"/>
        <v/>
      </c>
      <c r="J744" s="49"/>
      <c r="K744" s="49"/>
      <c r="L744" s="49" t="str">
        <f t="shared" si="8"/>
        <v>EN PROCESO</v>
      </c>
      <c r="M744" s="49"/>
      <c r="N744" s="49"/>
    </row>
    <row r="745" ht="22.5" hidden="1" customHeight="1">
      <c r="A745" s="101"/>
      <c r="B745" s="102"/>
      <c r="C745" s="103"/>
      <c r="D745" s="101"/>
      <c r="E745" s="101"/>
      <c r="F745" s="104"/>
      <c r="G745" s="104"/>
      <c r="H745" s="103"/>
      <c r="I745" s="99" t="str">
        <f t="shared" si="5"/>
        <v/>
      </c>
      <c r="J745" s="101"/>
      <c r="K745" s="101"/>
      <c r="L745" s="101" t="str">
        <f t="shared" si="8"/>
        <v>EN PROCESO</v>
      </c>
      <c r="M745" s="101"/>
      <c r="N745" s="101"/>
    </row>
    <row r="746" ht="22.5" hidden="1" customHeight="1">
      <c r="A746" s="49"/>
      <c r="B746" s="81"/>
      <c r="C746" s="97"/>
      <c r="D746" s="49"/>
      <c r="E746" s="49"/>
      <c r="F746" s="98"/>
      <c r="G746" s="98"/>
      <c r="H746" s="97"/>
      <c r="I746" s="99" t="str">
        <f t="shared" si="5"/>
        <v/>
      </c>
      <c r="J746" s="49"/>
      <c r="K746" s="49"/>
      <c r="L746" s="49" t="str">
        <f t="shared" si="8"/>
        <v>EN PROCESO</v>
      </c>
      <c r="M746" s="49"/>
      <c r="N746" s="49"/>
    </row>
    <row r="747" ht="22.5" hidden="1" customHeight="1">
      <c r="A747" s="101"/>
      <c r="B747" s="102"/>
      <c r="C747" s="103"/>
      <c r="D747" s="101"/>
      <c r="E747" s="101"/>
      <c r="F747" s="104"/>
      <c r="G747" s="104"/>
      <c r="H747" s="103"/>
      <c r="I747" s="99" t="str">
        <f t="shared" si="5"/>
        <v/>
      </c>
      <c r="J747" s="101"/>
      <c r="K747" s="101"/>
      <c r="L747" s="101" t="str">
        <f t="shared" si="8"/>
        <v>EN PROCESO</v>
      </c>
      <c r="M747" s="101"/>
      <c r="N747" s="101"/>
    </row>
    <row r="748" ht="22.5" hidden="1" customHeight="1">
      <c r="A748" s="49"/>
      <c r="B748" s="81"/>
      <c r="C748" s="97"/>
      <c r="D748" s="49"/>
      <c r="E748" s="49"/>
      <c r="F748" s="98"/>
      <c r="G748" s="98"/>
      <c r="H748" s="97"/>
      <c r="I748" s="99" t="str">
        <f t="shared" si="5"/>
        <v/>
      </c>
      <c r="J748" s="49"/>
      <c r="K748" s="49"/>
      <c r="L748" s="49" t="str">
        <f t="shared" si="8"/>
        <v>EN PROCESO</v>
      </c>
      <c r="M748" s="49"/>
      <c r="N748" s="49"/>
    </row>
    <row r="749" ht="22.5" hidden="1" customHeight="1">
      <c r="A749" s="101"/>
      <c r="B749" s="102"/>
      <c r="C749" s="103"/>
      <c r="D749" s="101"/>
      <c r="E749" s="101"/>
      <c r="F749" s="104"/>
      <c r="G749" s="104"/>
      <c r="H749" s="103"/>
      <c r="I749" s="99" t="str">
        <f t="shared" si="5"/>
        <v/>
      </c>
      <c r="J749" s="101"/>
      <c r="K749" s="101"/>
      <c r="L749" s="101" t="str">
        <f t="shared" si="8"/>
        <v>EN PROCESO</v>
      </c>
      <c r="M749" s="101"/>
      <c r="N749" s="101"/>
    </row>
    <row r="750" ht="22.5" hidden="1" customHeight="1">
      <c r="A750" s="49"/>
      <c r="B750" s="81"/>
      <c r="C750" s="97"/>
      <c r="D750" s="49"/>
      <c r="E750" s="49"/>
      <c r="F750" s="98"/>
      <c r="G750" s="98"/>
      <c r="H750" s="97"/>
      <c r="I750" s="99" t="str">
        <f t="shared" si="5"/>
        <v/>
      </c>
      <c r="J750" s="49"/>
      <c r="K750" s="49"/>
      <c r="L750" s="49" t="str">
        <f t="shared" si="8"/>
        <v>EN PROCESO</v>
      </c>
      <c r="M750" s="49"/>
      <c r="N750" s="49"/>
    </row>
    <row r="751" ht="22.5" hidden="1" customHeight="1">
      <c r="A751" s="101"/>
      <c r="B751" s="102"/>
      <c r="C751" s="103"/>
      <c r="D751" s="101"/>
      <c r="E751" s="101"/>
      <c r="F751" s="104"/>
      <c r="G751" s="104"/>
      <c r="H751" s="103"/>
      <c r="I751" s="99" t="str">
        <f t="shared" si="5"/>
        <v/>
      </c>
      <c r="J751" s="101"/>
      <c r="K751" s="101"/>
      <c r="L751" s="101" t="str">
        <f t="shared" si="8"/>
        <v>EN PROCESO</v>
      </c>
      <c r="M751" s="101"/>
      <c r="N751" s="101"/>
    </row>
    <row r="752" ht="22.5" hidden="1" customHeight="1">
      <c r="A752" s="49"/>
      <c r="B752" s="81"/>
      <c r="C752" s="97"/>
      <c r="D752" s="49"/>
      <c r="E752" s="49"/>
      <c r="F752" s="98"/>
      <c r="G752" s="98"/>
      <c r="H752" s="97"/>
      <c r="I752" s="99" t="str">
        <f t="shared" si="5"/>
        <v/>
      </c>
      <c r="J752" s="49"/>
      <c r="K752" s="49"/>
      <c r="L752" s="49" t="str">
        <f t="shared" si="8"/>
        <v>EN PROCESO</v>
      </c>
      <c r="M752" s="49"/>
      <c r="N752" s="49"/>
    </row>
    <row r="753" ht="22.5" hidden="1" customHeight="1">
      <c r="A753" s="101"/>
      <c r="B753" s="102"/>
      <c r="C753" s="103"/>
      <c r="D753" s="101"/>
      <c r="E753" s="101"/>
      <c r="F753" s="104"/>
      <c r="G753" s="104"/>
      <c r="H753" s="103"/>
      <c r="I753" s="99" t="str">
        <f t="shared" si="5"/>
        <v/>
      </c>
      <c r="J753" s="101"/>
      <c r="K753" s="101"/>
      <c r="L753" s="101" t="str">
        <f t="shared" si="8"/>
        <v>EN PROCESO</v>
      </c>
      <c r="M753" s="101"/>
      <c r="N753" s="101"/>
    </row>
    <row r="754" ht="22.5" hidden="1" customHeight="1">
      <c r="A754" s="49"/>
      <c r="B754" s="81"/>
      <c r="C754" s="97"/>
      <c r="D754" s="49"/>
      <c r="E754" s="49"/>
      <c r="F754" s="98"/>
      <c r="G754" s="98"/>
      <c r="H754" s="97"/>
      <c r="I754" s="99" t="str">
        <f t="shared" si="5"/>
        <v/>
      </c>
      <c r="J754" s="49"/>
      <c r="K754" s="49"/>
      <c r="L754" s="49" t="str">
        <f t="shared" si="8"/>
        <v>EN PROCESO</v>
      </c>
      <c r="M754" s="49"/>
      <c r="N754" s="49"/>
    </row>
    <row r="755" ht="22.5" hidden="1" customHeight="1">
      <c r="A755" s="101"/>
      <c r="B755" s="102"/>
      <c r="C755" s="103"/>
      <c r="D755" s="101"/>
      <c r="E755" s="101"/>
      <c r="F755" s="104"/>
      <c r="G755" s="104"/>
      <c r="H755" s="103"/>
      <c r="I755" s="99" t="str">
        <f t="shared" si="5"/>
        <v/>
      </c>
      <c r="J755" s="101"/>
      <c r="K755" s="101"/>
      <c r="L755" s="101" t="str">
        <f t="shared" si="8"/>
        <v>EN PROCESO</v>
      </c>
      <c r="M755" s="101"/>
      <c r="N755" s="101"/>
    </row>
    <row r="756" ht="22.5" hidden="1" customHeight="1">
      <c r="A756" s="49"/>
      <c r="B756" s="81"/>
      <c r="C756" s="97"/>
      <c r="D756" s="49"/>
      <c r="E756" s="49"/>
      <c r="F756" s="98"/>
      <c r="G756" s="98"/>
      <c r="H756" s="97"/>
      <c r="I756" s="99" t="str">
        <f t="shared" si="5"/>
        <v/>
      </c>
      <c r="J756" s="49"/>
      <c r="K756" s="49"/>
      <c r="L756" s="49" t="str">
        <f t="shared" si="8"/>
        <v>EN PROCESO</v>
      </c>
      <c r="M756" s="49"/>
      <c r="N756" s="49"/>
    </row>
    <row r="757" ht="22.5" hidden="1" customHeight="1">
      <c r="A757" s="101"/>
      <c r="B757" s="102"/>
      <c r="C757" s="103"/>
      <c r="D757" s="101"/>
      <c r="E757" s="101"/>
      <c r="F757" s="104"/>
      <c r="G757" s="104"/>
      <c r="H757" s="103"/>
      <c r="I757" s="99" t="str">
        <f t="shared" si="5"/>
        <v/>
      </c>
      <c r="J757" s="101"/>
      <c r="K757" s="101"/>
      <c r="L757" s="101" t="str">
        <f t="shared" si="8"/>
        <v>EN PROCESO</v>
      </c>
      <c r="M757" s="101"/>
      <c r="N757" s="101"/>
    </row>
    <row r="758" ht="22.5" hidden="1" customHeight="1">
      <c r="A758" s="49"/>
      <c r="B758" s="81"/>
      <c r="C758" s="97"/>
      <c r="D758" s="49"/>
      <c r="E758" s="49"/>
      <c r="F758" s="98"/>
      <c r="G758" s="98"/>
      <c r="H758" s="97"/>
      <c r="I758" s="99" t="str">
        <f t="shared" si="5"/>
        <v/>
      </c>
      <c r="J758" s="49"/>
      <c r="K758" s="49"/>
      <c r="L758" s="49" t="str">
        <f t="shared" si="8"/>
        <v>EN PROCESO</v>
      </c>
      <c r="M758" s="49"/>
      <c r="N758" s="49"/>
    </row>
    <row r="759" ht="22.5" hidden="1" customHeight="1">
      <c r="A759" s="101"/>
      <c r="B759" s="102"/>
      <c r="C759" s="103"/>
      <c r="D759" s="101"/>
      <c r="E759" s="101"/>
      <c r="F759" s="104"/>
      <c r="G759" s="104"/>
      <c r="H759" s="103"/>
      <c r="I759" s="99" t="str">
        <f t="shared" si="5"/>
        <v/>
      </c>
      <c r="J759" s="101"/>
      <c r="K759" s="101"/>
      <c r="L759" s="101" t="str">
        <f t="shared" si="8"/>
        <v>EN PROCESO</v>
      </c>
      <c r="M759" s="101"/>
      <c r="N759" s="101"/>
    </row>
    <row r="760" ht="22.5" hidden="1" customHeight="1">
      <c r="A760" s="49"/>
      <c r="B760" s="81"/>
      <c r="C760" s="97"/>
      <c r="D760" s="49"/>
      <c r="E760" s="49"/>
      <c r="F760" s="98"/>
      <c r="G760" s="98"/>
      <c r="H760" s="97"/>
      <c r="I760" s="99" t="str">
        <f t="shared" si="5"/>
        <v/>
      </c>
      <c r="J760" s="49"/>
      <c r="K760" s="49"/>
      <c r="L760" s="49" t="str">
        <f t="shared" si="8"/>
        <v>EN PROCESO</v>
      </c>
      <c r="M760" s="49"/>
      <c r="N760" s="49"/>
    </row>
    <row r="761" ht="22.5" hidden="1" customHeight="1">
      <c r="A761" s="101"/>
      <c r="B761" s="102"/>
      <c r="C761" s="103"/>
      <c r="D761" s="101"/>
      <c r="E761" s="101"/>
      <c r="F761" s="104"/>
      <c r="G761" s="104"/>
      <c r="H761" s="103"/>
      <c r="I761" s="99" t="str">
        <f t="shared" si="5"/>
        <v/>
      </c>
      <c r="J761" s="101"/>
      <c r="K761" s="101"/>
      <c r="L761" s="101" t="str">
        <f t="shared" si="8"/>
        <v>EN PROCESO</v>
      </c>
      <c r="M761" s="101"/>
      <c r="N761" s="101"/>
    </row>
    <row r="762" ht="22.5" hidden="1" customHeight="1">
      <c r="A762" s="49"/>
      <c r="B762" s="81"/>
      <c r="C762" s="97"/>
      <c r="D762" s="49"/>
      <c r="E762" s="49"/>
      <c r="F762" s="98"/>
      <c r="G762" s="98"/>
      <c r="H762" s="97"/>
      <c r="I762" s="99" t="str">
        <f t="shared" si="5"/>
        <v/>
      </c>
      <c r="J762" s="49"/>
      <c r="K762" s="49"/>
      <c r="L762" s="49" t="str">
        <f t="shared" si="8"/>
        <v>EN PROCESO</v>
      </c>
      <c r="M762" s="49"/>
      <c r="N762" s="49"/>
    </row>
    <row r="763" ht="22.5" hidden="1" customHeight="1">
      <c r="A763" s="101"/>
      <c r="B763" s="102"/>
      <c r="C763" s="103"/>
      <c r="D763" s="101"/>
      <c r="E763" s="101"/>
      <c r="F763" s="104"/>
      <c r="G763" s="104"/>
      <c r="H763" s="103"/>
      <c r="I763" s="99" t="str">
        <f t="shared" si="5"/>
        <v/>
      </c>
      <c r="J763" s="101"/>
      <c r="K763" s="101"/>
      <c r="L763" s="101" t="str">
        <f t="shared" si="8"/>
        <v>EN PROCESO</v>
      </c>
      <c r="M763" s="101"/>
      <c r="N763" s="101"/>
    </row>
    <row r="764" ht="22.5" hidden="1" customHeight="1">
      <c r="A764" s="49"/>
      <c r="B764" s="81"/>
      <c r="C764" s="97"/>
      <c r="D764" s="49"/>
      <c r="E764" s="49"/>
      <c r="F764" s="98"/>
      <c r="G764" s="98"/>
      <c r="H764" s="97"/>
      <c r="I764" s="99" t="str">
        <f t="shared" si="5"/>
        <v/>
      </c>
      <c r="J764" s="49"/>
      <c r="K764" s="49"/>
      <c r="L764" s="49" t="str">
        <f t="shared" si="8"/>
        <v>EN PROCESO</v>
      </c>
      <c r="M764" s="49"/>
      <c r="N764" s="49"/>
    </row>
    <row r="765" ht="22.5" hidden="1" customHeight="1">
      <c r="A765" s="101"/>
      <c r="B765" s="102"/>
      <c r="C765" s="103"/>
      <c r="D765" s="101"/>
      <c r="E765" s="101"/>
      <c r="F765" s="104"/>
      <c r="G765" s="104"/>
      <c r="H765" s="103"/>
      <c r="I765" s="99" t="str">
        <f t="shared" si="5"/>
        <v/>
      </c>
      <c r="J765" s="101"/>
      <c r="K765" s="101"/>
      <c r="L765" s="101" t="str">
        <f t="shared" si="8"/>
        <v>EN PROCESO</v>
      </c>
      <c r="M765" s="101"/>
      <c r="N765" s="101"/>
    </row>
    <row r="766" ht="22.5" hidden="1" customHeight="1">
      <c r="A766" s="49"/>
      <c r="B766" s="81"/>
      <c r="C766" s="97"/>
      <c r="D766" s="49"/>
      <c r="E766" s="49"/>
      <c r="F766" s="98"/>
      <c r="G766" s="98"/>
      <c r="H766" s="97"/>
      <c r="I766" s="99" t="str">
        <f t="shared" si="5"/>
        <v/>
      </c>
      <c r="J766" s="49"/>
      <c r="K766" s="49"/>
      <c r="L766" s="49" t="str">
        <f t="shared" si="8"/>
        <v>EN PROCESO</v>
      </c>
      <c r="M766" s="49"/>
      <c r="N766" s="49"/>
    </row>
    <row r="767" ht="22.5" hidden="1" customHeight="1">
      <c r="A767" s="101"/>
      <c r="B767" s="102"/>
      <c r="C767" s="103"/>
      <c r="D767" s="101"/>
      <c r="E767" s="101"/>
      <c r="F767" s="104"/>
      <c r="G767" s="104"/>
      <c r="H767" s="103"/>
      <c r="I767" s="99" t="str">
        <f t="shared" si="5"/>
        <v/>
      </c>
      <c r="J767" s="101"/>
      <c r="K767" s="101"/>
      <c r="L767" s="101" t="str">
        <f t="shared" si="8"/>
        <v>EN PROCESO</v>
      </c>
      <c r="M767" s="101"/>
      <c r="N767" s="101"/>
    </row>
    <row r="768" ht="22.5" hidden="1" customHeight="1">
      <c r="A768" s="49"/>
      <c r="B768" s="81"/>
      <c r="C768" s="97"/>
      <c r="D768" s="49"/>
      <c r="E768" s="49"/>
      <c r="F768" s="98"/>
      <c r="G768" s="98"/>
      <c r="H768" s="97"/>
      <c r="I768" s="99" t="str">
        <f t="shared" si="5"/>
        <v/>
      </c>
      <c r="J768" s="49"/>
      <c r="K768" s="49"/>
      <c r="L768" s="49" t="str">
        <f t="shared" si="8"/>
        <v>EN PROCESO</v>
      </c>
      <c r="M768" s="49"/>
      <c r="N768" s="49"/>
    </row>
    <row r="769" ht="22.5" hidden="1" customHeight="1">
      <c r="A769" s="101"/>
      <c r="B769" s="102"/>
      <c r="C769" s="103"/>
      <c r="D769" s="101"/>
      <c r="E769" s="101"/>
      <c r="F769" s="104"/>
      <c r="G769" s="104"/>
      <c r="H769" s="103"/>
      <c r="I769" s="99" t="str">
        <f t="shared" si="5"/>
        <v/>
      </c>
      <c r="J769" s="101"/>
      <c r="K769" s="101"/>
      <c r="L769" s="101" t="str">
        <f t="shared" si="8"/>
        <v>EN PROCESO</v>
      </c>
      <c r="M769" s="101"/>
      <c r="N769" s="101"/>
    </row>
    <row r="770" ht="22.5" hidden="1" customHeight="1">
      <c r="A770" s="49"/>
      <c r="B770" s="81"/>
      <c r="C770" s="97"/>
      <c r="D770" s="49"/>
      <c r="E770" s="49"/>
      <c r="F770" s="98"/>
      <c r="G770" s="98"/>
      <c r="H770" s="97"/>
      <c r="I770" s="99" t="str">
        <f t="shared" si="5"/>
        <v/>
      </c>
      <c r="J770" s="49"/>
      <c r="K770" s="49"/>
      <c r="L770" s="49" t="str">
        <f t="shared" si="8"/>
        <v>EN PROCESO</v>
      </c>
      <c r="M770" s="49"/>
      <c r="N770" s="49"/>
    </row>
    <row r="771" ht="22.5" hidden="1" customHeight="1">
      <c r="A771" s="101"/>
      <c r="B771" s="102"/>
      <c r="C771" s="103"/>
      <c r="D771" s="101"/>
      <c r="E771" s="101"/>
      <c r="F771" s="104"/>
      <c r="G771" s="104"/>
      <c r="H771" s="103"/>
      <c r="I771" s="99" t="str">
        <f t="shared" si="5"/>
        <v/>
      </c>
      <c r="J771" s="101"/>
      <c r="K771" s="101"/>
      <c r="L771" s="101" t="str">
        <f t="shared" si="8"/>
        <v>EN PROCESO</v>
      </c>
      <c r="M771" s="101"/>
      <c r="N771" s="101"/>
    </row>
    <row r="772" ht="22.5" hidden="1" customHeight="1">
      <c r="A772" s="49"/>
      <c r="B772" s="81"/>
      <c r="C772" s="97"/>
      <c r="D772" s="49"/>
      <c r="E772" s="49"/>
      <c r="F772" s="98"/>
      <c r="G772" s="98"/>
      <c r="H772" s="97"/>
      <c r="I772" s="99" t="str">
        <f t="shared" si="5"/>
        <v/>
      </c>
      <c r="J772" s="49"/>
      <c r="K772" s="49"/>
      <c r="L772" s="49" t="str">
        <f t="shared" si="8"/>
        <v>EN PROCESO</v>
      </c>
      <c r="M772" s="49"/>
      <c r="N772" s="49"/>
    </row>
    <row r="773" ht="22.5" hidden="1" customHeight="1">
      <c r="A773" s="101"/>
      <c r="B773" s="102"/>
      <c r="C773" s="103"/>
      <c r="D773" s="101"/>
      <c r="E773" s="101"/>
      <c r="F773" s="104"/>
      <c r="G773" s="104"/>
      <c r="H773" s="103"/>
      <c r="I773" s="99" t="str">
        <f t="shared" si="5"/>
        <v/>
      </c>
      <c r="J773" s="101"/>
      <c r="K773" s="101"/>
      <c r="L773" s="101" t="str">
        <f t="shared" si="8"/>
        <v>EN PROCESO</v>
      </c>
      <c r="M773" s="101"/>
      <c r="N773" s="101"/>
    </row>
    <row r="774" ht="22.5" hidden="1" customHeight="1">
      <c r="A774" s="49"/>
      <c r="B774" s="81"/>
      <c r="C774" s="97"/>
      <c r="D774" s="49"/>
      <c r="E774" s="49"/>
      <c r="F774" s="98"/>
      <c r="G774" s="98"/>
      <c r="H774" s="97"/>
      <c r="I774" s="99" t="str">
        <f t="shared" si="5"/>
        <v/>
      </c>
      <c r="J774" s="49"/>
      <c r="K774" s="49"/>
      <c r="L774" s="49" t="str">
        <f t="shared" si="8"/>
        <v>EN PROCESO</v>
      </c>
      <c r="M774" s="49"/>
      <c r="N774" s="49"/>
    </row>
    <row r="775" ht="22.5" hidden="1" customHeight="1">
      <c r="A775" s="101"/>
      <c r="B775" s="102"/>
      <c r="C775" s="103"/>
      <c r="D775" s="101"/>
      <c r="E775" s="101"/>
      <c r="F775" s="104"/>
      <c r="G775" s="104"/>
      <c r="H775" s="103"/>
      <c r="I775" s="99" t="str">
        <f t="shared" si="5"/>
        <v/>
      </c>
      <c r="J775" s="101"/>
      <c r="K775" s="101"/>
      <c r="L775" s="101" t="str">
        <f t="shared" si="8"/>
        <v>EN PROCESO</v>
      </c>
      <c r="M775" s="101"/>
      <c r="N775" s="101"/>
    </row>
    <row r="776" ht="22.5" hidden="1" customHeight="1">
      <c r="A776" s="49"/>
      <c r="B776" s="81"/>
      <c r="C776" s="97"/>
      <c r="D776" s="49"/>
      <c r="E776" s="49"/>
      <c r="F776" s="98"/>
      <c r="G776" s="98"/>
      <c r="H776" s="97"/>
      <c r="I776" s="99" t="str">
        <f t="shared" si="5"/>
        <v/>
      </c>
      <c r="J776" s="49"/>
      <c r="K776" s="49"/>
      <c r="L776" s="49" t="str">
        <f t="shared" si="8"/>
        <v>EN PROCESO</v>
      </c>
      <c r="M776" s="49"/>
      <c r="N776" s="49"/>
    </row>
    <row r="777" ht="22.5" hidden="1" customHeight="1">
      <c r="A777" s="101"/>
      <c r="B777" s="102"/>
      <c r="C777" s="103"/>
      <c r="D777" s="101"/>
      <c r="E777" s="101"/>
      <c r="F777" s="104"/>
      <c r="G777" s="104"/>
      <c r="H777" s="103"/>
      <c r="I777" s="99" t="str">
        <f t="shared" si="5"/>
        <v/>
      </c>
      <c r="J777" s="101"/>
      <c r="K777" s="101"/>
      <c r="L777" s="101" t="str">
        <f t="shared" si="8"/>
        <v>EN PROCESO</v>
      </c>
      <c r="M777" s="101"/>
      <c r="N777" s="101"/>
    </row>
    <row r="778" ht="22.5" hidden="1" customHeight="1">
      <c r="A778" s="49"/>
      <c r="B778" s="81"/>
      <c r="C778" s="97"/>
      <c r="D778" s="49"/>
      <c r="E778" s="49"/>
      <c r="F778" s="98"/>
      <c r="G778" s="98"/>
      <c r="H778" s="97"/>
      <c r="I778" s="99" t="str">
        <f t="shared" si="5"/>
        <v/>
      </c>
      <c r="J778" s="49"/>
      <c r="K778" s="49"/>
      <c r="L778" s="49" t="str">
        <f t="shared" si="8"/>
        <v>EN PROCESO</v>
      </c>
      <c r="M778" s="49"/>
      <c r="N778" s="49"/>
    </row>
    <row r="779" ht="22.5" hidden="1" customHeight="1">
      <c r="A779" s="101"/>
      <c r="B779" s="102"/>
      <c r="C779" s="103"/>
      <c r="D779" s="101"/>
      <c r="E779" s="101"/>
      <c r="F779" s="104"/>
      <c r="G779" s="104"/>
      <c r="H779" s="103"/>
      <c r="I779" s="99" t="str">
        <f t="shared" si="5"/>
        <v/>
      </c>
      <c r="J779" s="101"/>
      <c r="K779" s="101"/>
      <c r="L779" s="101" t="str">
        <f t="shared" si="8"/>
        <v>EN PROCESO</v>
      </c>
      <c r="M779" s="101"/>
      <c r="N779" s="101"/>
    </row>
    <row r="780" ht="22.5" hidden="1" customHeight="1">
      <c r="A780" s="49"/>
      <c r="B780" s="81"/>
      <c r="C780" s="97"/>
      <c r="D780" s="49"/>
      <c r="E780" s="49"/>
      <c r="F780" s="98"/>
      <c r="G780" s="98"/>
      <c r="H780" s="97"/>
      <c r="I780" s="99" t="str">
        <f t="shared" si="5"/>
        <v/>
      </c>
      <c r="J780" s="49"/>
      <c r="K780" s="49"/>
      <c r="L780" s="49" t="str">
        <f t="shared" si="8"/>
        <v>EN PROCESO</v>
      </c>
      <c r="M780" s="49"/>
      <c r="N780" s="49"/>
    </row>
    <row r="781" ht="22.5" hidden="1" customHeight="1">
      <c r="A781" s="101"/>
      <c r="B781" s="102"/>
      <c r="C781" s="103"/>
      <c r="D781" s="101"/>
      <c r="E781" s="101"/>
      <c r="F781" s="104"/>
      <c r="G781" s="104"/>
      <c r="H781" s="103"/>
      <c r="I781" s="99" t="str">
        <f t="shared" si="5"/>
        <v/>
      </c>
      <c r="J781" s="101"/>
      <c r="K781" s="101"/>
      <c r="L781" s="101" t="str">
        <f t="shared" si="8"/>
        <v>EN PROCESO</v>
      </c>
      <c r="M781" s="101"/>
      <c r="N781" s="101"/>
    </row>
    <row r="782" ht="22.5" hidden="1" customHeight="1">
      <c r="A782" s="49"/>
      <c r="B782" s="81"/>
      <c r="C782" s="97"/>
      <c r="D782" s="49"/>
      <c r="E782" s="49"/>
      <c r="F782" s="98"/>
      <c r="G782" s="98"/>
      <c r="H782" s="97"/>
      <c r="I782" s="99" t="str">
        <f t="shared" si="5"/>
        <v/>
      </c>
      <c r="J782" s="49"/>
      <c r="K782" s="49"/>
      <c r="L782" s="49" t="str">
        <f t="shared" si="8"/>
        <v>EN PROCESO</v>
      </c>
      <c r="M782" s="49"/>
      <c r="N782" s="49"/>
    </row>
    <row r="783" ht="22.5" hidden="1" customHeight="1">
      <c r="A783" s="101"/>
      <c r="B783" s="102"/>
      <c r="C783" s="103"/>
      <c r="D783" s="101"/>
      <c r="E783" s="101"/>
      <c r="F783" s="104"/>
      <c r="G783" s="104"/>
      <c r="H783" s="103"/>
      <c r="I783" s="99" t="str">
        <f t="shared" si="5"/>
        <v/>
      </c>
      <c r="J783" s="101"/>
      <c r="K783" s="101"/>
      <c r="L783" s="101" t="str">
        <f t="shared" si="8"/>
        <v>EN PROCESO</v>
      </c>
      <c r="M783" s="101"/>
      <c r="N783" s="101"/>
    </row>
    <row r="784" ht="22.5" hidden="1" customHeight="1">
      <c r="A784" s="49"/>
      <c r="B784" s="81"/>
      <c r="C784" s="97"/>
      <c r="D784" s="49"/>
      <c r="E784" s="49"/>
      <c r="F784" s="98"/>
      <c r="G784" s="98"/>
      <c r="H784" s="97"/>
      <c r="I784" s="99" t="str">
        <f t="shared" si="5"/>
        <v/>
      </c>
      <c r="J784" s="49"/>
      <c r="K784" s="49"/>
      <c r="L784" s="49" t="str">
        <f t="shared" si="8"/>
        <v>EN PROCESO</v>
      </c>
      <c r="M784" s="49"/>
      <c r="N784" s="49"/>
    </row>
    <row r="785" ht="22.5" hidden="1" customHeight="1">
      <c r="A785" s="101"/>
      <c r="B785" s="102"/>
      <c r="C785" s="103"/>
      <c r="D785" s="101"/>
      <c r="E785" s="101"/>
      <c r="F785" s="104"/>
      <c r="G785" s="104"/>
      <c r="H785" s="103"/>
      <c r="I785" s="99" t="str">
        <f t="shared" si="5"/>
        <v/>
      </c>
      <c r="J785" s="101"/>
      <c r="K785" s="101"/>
      <c r="L785" s="101" t="str">
        <f t="shared" si="8"/>
        <v>EN PROCESO</v>
      </c>
      <c r="M785" s="101"/>
      <c r="N785" s="101"/>
    </row>
    <row r="786" ht="22.5" hidden="1" customHeight="1">
      <c r="A786" s="49"/>
      <c r="B786" s="81"/>
      <c r="C786" s="97"/>
      <c r="D786" s="49"/>
      <c r="E786" s="49"/>
      <c r="F786" s="98"/>
      <c r="G786" s="98"/>
      <c r="H786" s="97"/>
      <c r="I786" s="99" t="str">
        <f t="shared" si="5"/>
        <v/>
      </c>
      <c r="J786" s="49"/>
      <c r="K786" s="49"/>
      <c r="L786" s="49" t="str">
        <f t="shared" si="8"/>
        <v>EN PROCESO</v>
      </c>
      <c r="M786" s="49"/>
      <c r="N786" s="49"/>
    </row>
    <row r="787" ht="22.5" hidden="1" customHeight="1">
      <c r="A787" s="101"/>
      <c r="B787" s="102"/>
      <c r="C787" s="103"/>
      <c r="D787" s="101"/>
      <c r="E787" s="101"/>
      <c r="F787" s="104"/>
      <c r="G787" s="104"/>
      <c r="H787" s="103"/>
      <c r="I787" s="99" t="str">
        <f t="shared" si="5"/>
        <v/>
      </c>
      <c r="J787" s="101"/>
      <c r="K787" s="101"/>
      <c r="L787" s="101" t="str">
        <f t="shared" si="8"/>
        <v>EN PROCESO</v>
      </c>
      <c r="M787" s="101"/>
      <c r="N787" s="101"/>
    </row>
    <row r="788" ht="22.5" hidden="1" customHeight="1">
      <c r="A788" s="49"/>
      <c r="B788" s="81"/>
      <c r="C788" s="97"/>
      <c r="D788" s="49"/>
      <c r="E788" s="49"/>
      <c r="F788" s="98"/>
      <c r="G788" s="98"/>
      <c r="H788" s="97"/>
      <c r="I788" s="99" t="str">
        <f t="shared" si="5"/>
        <v/>
      </c>
      <c r="J788" s="49"/>
      <c r="K788" s="49"/>
      <c r="L788" s="49" t="str">
        <f t="shared" si="8"/>
        <v>EN PROCESO</v>
      </c>
      <c r="M788" s="49"/>
      <c r="N788" s="49"/>
    </row>
    <row r="789" ht="22.5" hidden="1" customHeight="1">
      <c r="A789" s="101"/>
      <c r="B789" s="102"/>
      <c r="C789" s="103"/>
      <c r="D789" s="101"/>
      <c r="E789" s="101"/>
      <c r="F789" s="104"/>
      <c r="G789" s="104"/>
      <c r="H789" s="103"/>
      <c r="I789" s="99" t="str">
        <f t="shared" si="5"/>
        <v/>
      </c>
      <c r="J789" s="101"/>
      <c r="K789" s="101"/>
      <c r="L789" s="101" t="str">
        <f t="shared" si="8"/>
        <v>EN PROCESO</v>
      </c>
      <c r="M789" s="101"/>
      <c r="N789" s="101"/>
    </row>
    <row r="790" ht="22.5" hidden="1" customHeight="1">
      <c r="A790" s="49"/>
      <c r="B790" s="81"/>
      <c r="C790" s="97"/>
      <c r="D790" s="49"/>
      <c r="E790" s="49"/>
      <c r="F790" s="98"/>
      <c r="G790" s="98"/>
      <c r="H790" s="97"/>
      <c r="I790" s="99" t="str">
        <f t="shared" si="5"/>
        <v/>
      </c>
      <c r="J790" s="49"/>
      <c r="K790" s="49"/>
      <c r="L790" s="49" t="str">
        <f t="shared" si="8"/>
        <v>EN PROCESO</v>
      </c>
      <c r="M790" s="49"/>
      <c r="N790" s="49"/>
    </row>
    <row r="791" ht="22.5" hidden="1" customHeight="1">
      <c r="A791" s="101"/>
      <c r="B791" s="102"/>
      <c r="C791" s="103"/>
      <c r="D791" s="101"/>
      <c r="E791" s="101"/>
      <c r="F791" s="104"/>
      <c r="G791" s="104"/>
      <c r="H791" s="103"/>
      <c r="I791" s="99" t="str">
        <f t="shared" si="5"/>
        <v/>
      </c>
      <c r="J791" s="101"/>
      <c r="K791" s="101"/>
      <c r="L791" s="101" t="str">
        <f t="shared" si="8"/>
        <v>EN PROCESO</v>
      </c>
      <c r="M791" s="101"/>
      <c r="N791" s="101"/>
    </row>
    <row r="792" ht="22.5" hidden="1" customHeight="1">
      <c r="A792" s="49"/>
      <c r="B792" s="81"/>
      <c r="C792" s="97"/>
      <c r="D792" s="49"/>
      <c r="E792" s="49"/>
      <c r="F792" s="98"/>
      <c r="G792" s="98"/>
      <c r="H792" s="97"/>
      <c r="I792" s="99" t="str">
        <f t="shared" si="5"/>
        <v/>
      </c>
      <c r="J792" s="49"/>
      <c r="K792" s="49"/>
      <c r="L792" s="49" t="str">
        <f t="shared" si="8"/>
        <v>EN PROCESO</v>
      </c>
      <c r="M792" s="49"/>
      <c r="N792" s="49"/>
    </row>
    <row r="793" ht="22.5" hidden="1" customHeight="1">
      <c r="A793" s="101"/>
      <c r="B793" s="102"/>
      <c r="C793" s="103"/>
      <c r="D793" s="101"/>
      <c r="E793" s="101"/>
      <c r="F793" s="104"/>
      <c r="G793" s="104"/>
      <c r="H793" s="103"/>
      <c r="I793" s="99" t="str">
        <f t="shared" si="5"/>
        <v/>
      </c>
      <c r="J793" s="101"/>
      <c r="K793" s="101"/>
      <c r="L793" s="101" t="str">
        <f t="shared" si="8"/>
        <v>EN PROCESO</v>
      </c>
      <c r="M793" s="101"/>
      <c r="N793" s="101"/>
    </row>
    <row r="794" ht="22.5" hidden="1" customHeight="1">
      <c r="A794" s="49"/>
      <c r="B794" s="81"/>
      <c r="C794" s="97"/>
      <c r="D794" s="49"/>
      <c r="E794" s="49"/>
      <c r="F794" s="98"/>
      <c r="G794" s="98"/>
      <c r="H794" s="97"/>
      <c r="I794" s="99" t="str">
        <f t="shared" si="5"/>
        <v/>
      </c>
      <c r="J794" s="49"/>
      <c r="K794" s="49"/>
      <c r="L794" s="49" t="str">
        <f t="shared" si="8"/>
        <v>EN PROCESO</v>
      </c>
      <c r="M794" s="49"/>
      <c r="N794" s="49"/>
    </row>
    <row r="795" ht="22.5" hidden="1" customHeight="1">
      <c r="A795" s="101"/>
      <c r="B795" s="102"/>
      <c r="C795" s="103"/>
      <c r="D795" s="101"/>
      <c r="E795" s="101"/>
      <c r="F795" s="104"/>
      <c r="G795" s="104"/>
      <c r="H795" s="103"/>
      <c r="I795" s="99" t="str">
        <f t="shared" si="5"/>
        <v/>
      </c>
      <c r="J795" s="101"/>
      <c r="K795" s="101"/>
      <c r="L795" s="101" t="str">
        <f t="shared" si="8"/>
        <v>EN PROCESO</v>
      </c>
      <c r="M795" s="101"/>
      <c r="N795" s="101"/>
    </row>
    <row r="796" ht="22.5" hidden="1" customHeight="1">
      <c r="A796" s="49"/>
      <c r="B796" s="81"/>
      <c r="C796" s="97"/>
      <c r="D796" s="49"/>
      <c r="E796" s="49"/>
      <c r="F796" s="98"/>
      <c r="G796" s="98"/>
      <c r="H796" s="97"/>
      <c r="I796" s="99" t="str">
        <f t="shared" si="5"/>
        <v/>
      </c>
      <c r="J796" s="49"/>
      <c r="K796" s="49"/>
      <c r="L796" s="49" t="str">
        <f t="shared" si="8"/>
        <v>EN PROCESO</v>
      </c>
      <c r="M796" s="49"/>
      <c r="N796" s="49"/>
    </row>
    <row r="797" ht="22.5" hidden="1" customHeight="1">
      <c r="A797" s="101"/>
      <c r="B797" s="102"/>
      <c r="C797" s="103"/>
      <c r="D797" s="101"/>
      <c r="E797" s="101"/>
      <c r="F797" s="104"/>
      <c r="G797" s="104"/>
      <c r="H797" s="103"/>
      <c r="I797" s="99" t="str">
        <f t="shared" si="5"/>
        <v/>
      </c>
      <c r="J797" s="101"/>
      <c r="K797" s="101"/>
      <c r="L797" s="101" t="str">
        <f t="shared" si="8"/>
        <v>EN PROCESO</v>
      </c>
      <c r="M797" s="101"/>
      <c r="N797" s="101"/>
    </row>
    <row r="798" ht="22.5" hidden="1" customHeight="1">
      <c r="A798" s="49"/>
      <c r="B798" s="81"/>
      <c r="C798" s="97"/>
      <c r="D798" s="49"/>
      <c r="E798" s="49"/>
      <c r="F798" s="98"/>
      <c r="G798" s="98"/>
      <c r="H798" s="97"/>
      <c r="I798" s="99" t="str">
        <f t="shared" si="5"/>
        <v/>
      </c>
      <c r="J798" s="49"/>
      <c r="K798" s="49"/>
      <c r="L798" s="49" t="str">
        <f t="shared" si="8"/>
        <v>EN PROCESO</v>
      </c>
      <c r="M798" s="49"/>
      <c r="N798" s="49"/>
    </row>
    <row r="799" ht="22.5" hidden="1" customHeight="1">
      <c r="A799" s="101"/>
      <c r="B799" s="102"/>
      <c r="C799" s="103"/>
      <c r="D799" s="101"/>
      <c r="E799" s="101"/>
      <c r="F799" s="104"/>
      <c r="G799" s="104"/>
      <c r="H799" s="103"/>
      <c r="I799" s="99" t="str">
        <f t="shared" si="5"/>
        <v/>
      </c>
      <c r="J799" s="101"/>
      <c r="K799" s="101"/>
      <c r="L799" s="101" t="str">
        <f t="shared" si="8"/>
        <v>EN PROCESO</v>
      </c>
      <c r="M799" s="101"/>
      <c r="N799" s="101"/>
    </row>
    <row r="800" ht="22.5" hidden="1" customHeight="1">
      <c r="A800" s="49"/>
      <c r="B800" s="81"/>
      <c r="C800" s="97"/>
      <c r="D800" s="49"/>
      <c r="E800" s="49"/>
      <c r="F800" s="98"/>
      <c r="G800" s="98"/>
      <c r="H800" s="97"/>
      <c r="I800" s="99" t="str">
        <f t="shared" si="5"/>
        <v/>
      </c>
      <c r="J800" s="49"/>
      <c r="K800" s="49"/>
      <c r="L800" s="49" t="str">
        <f t="shared" si="8"/>
        <v>EN PROCESO</v>
      </c>
      <c r="M800" s="49"/>
      <c r="N800" s="49"/>
    </row>
    <row r="801" ht="22.5" hidden="1" customHeight="1">
      <c r="A801" s="101"/>
      <c r="B801" s="102"/>
      <c r="C801" s="103"/>
      <c r="D801" s="101"/>
      <c r="E801" s="101"/>
      <c r="F801" s="104"/>
      <c r="G801" s="104"/>
      <c r="H801" s="103"/>
      <c r="I801" s="99" t="str">
        <f t="shared" si="5"/>
        <v/>
      </c>
      <c r="J801" s="101"/>
      <c r="K801" s="101"/>
      <c r="L801" s="101" t="str">
        <f t="shared" si="8"/>
        <v>EN PROCESO</v>
      </c>
      <c r="M801" s="101"/>
      <c r="N801" s="101"/>
    </row>
    <row r="802" ht="22.5" hidden="1" customHeight="1">
      <c r="A802" s="49"/>
      <c r="B802" s="81"/>
      <c r="C802" s="97"/>
      <c r="D802" s="49"/>
      <c r="E802" s="49"/>
      <c r="F802" s="98"/>
      <c r="G802" s="98"/>
      <c r="H802" s="97"/>
      <c r="I802" s="99" t="str">
        <f t="shared" si="5"/>
        <v/>
      </c>
      <c r="J802" s="49"/>
      <c r="K802" s="49"/>
      <c r="L802" s="49" t="str">
        <f t="shared" si="8"/>
        <v>EN PROCESO</v>
      </c>
      <c r="M802" s="49"/>
      <c r="N802" s="49"/>
    </row>
    <row r="803" ht="22.5" hidden="1" customHeight="1">
      <c r="A803" s="101"/>
      <c r="B803" s="102"/>
      <c r="C803" s="103"/>
      <c r="D803" s="101"/>
      <c r="E803" s="101"/>
      <c r="F803" s="104"/>
      <c r="G803" s="104"/>
      <c r="H803" s="103"/>
      <c r="I803" s="99" t="str">
        <f t="shared" si="5"/>
        <v/>
      </c>
      <c r="J803" s="101"/>
      <c r="K803" s="101"/>
      <c r="L803" s="101" t="str">
        <f t="shared" si="8"/>
        <v>EN PROCESO</v>
      </c>
      <c r="M803" s="101"/>
      <c r="N803" s="101"/>
    </row>
    <row r="804" ht="22.5" hidden="1" customHeight="1">
      <c r="A804" s="49"/>
      <c r="B804" s="81"/>
      <c r="C804" s="97"/>
      <c r="D804" s="49"/>
      <c r="E804" s="49"/>
      <c r="F804" s="98"/>
      <c r="G804" s="98"/>
      <c r="H804" s="97"/>
      <c r="I804" s="99" t="str">
        <f t="shared" si="5"/>
        <v/>
      </c>
      <c r="J804" s="49"/>
      <c r="K804" s="49"/>
      <c r="L804" s="49" t="str">
        <f t="shared" si="8"/>
        <v>EN PROCESO</v>
      </c>
      <c r="M804" s="49"/>
      <c r="N804" s="49"/>
    </row>
    <row r="805" ht="22.5" hidden="1" customHeight="1">
      <c r="A805" s="101"/>
      <c r="B805" s="102"/>
      <c r="C805" s="103"/>
      <c r="D805" s="101"/>
      <c r="E805" s="101"/>
      <c r="F805" s="104"/>
      <c r="G805" s="104"/>
      <c r="H805" s="103"/>
      <c r="I805" s="99" t="str">
        <f t="shared" si="5"/>
        <v/>
      </c>
      <c r="J805" s="101"/>
      <c r="K805" s="101"/>
      <c r="L805" s="101" t="str">
        <f t="shared" si="8"/>
        <v>EN PROCESO</v>
      </c>
      <c r="M805" s="101"/>
      <c r="N805" s="101"/>
    </row>
    <row r="806" ht="22.5" hidden="1" customHeight="1">
      <c r="A806" s="49"/>
      <c r="B806" s="81"/>
      <c r="C806" s="97"/>
      <c r="D806" s="49"/>
      <c r="E806" s="49"/>
      <c r="F806" s="98"/>
      <c r="G806" s="98"/>
      <c r="H806" s="97"/>
      <c r="I806" s="99" t="str">
        <f t="shared" si="5"/>
        <v/>
      </c>
      <c r="J806" s="49"/>
      <c r="K806" s="49"/>
      <c r="L806" s="49" t="str">
        <f t="shared" si="8"/>
        <v>EN PROCESO</v>
      </c>
      <c r="M806" s="49"/>
      <c r="N806" s="49"/>
    </row>
    <row r="807" ht="22.5" hidden="1" customHeight="1">
      <c r="A807" s="101"/>
      <c r="B807" s="102"/>
      <c r="C807" s="103"/>
      <c r="D807" s="101"/>
      <c r="E807" s="101"/>
      <c r="F807" s="104"/>
      <c r="G807" s="104"/>
      <c r="H807" s="103"/>
      <c r="I807" s="99" t="str">
        <f t="shared" si="5"/>
        <v/>
      </c>
      <c r="J807" s="101"/>
      <c r="K807" s="101"/>
      <c r="L807" s="101" t="str">
        <f t="shared" si="8"/>
        <v>EN PROCESO</v>
      </c>
      <c r="M807" s="101"/>
      <c r="N807" s="101"/>
    </row>
    <row r="808" ht="22.5" hidden="1" customHeight="1">
      <c r="A808" s="49"/>
      <c r="B808" s="81"/>
      <c r="C808" s="97"/>
      <c r="D808" s="49"/>
      <c r="E808" s="49"/>
      <c r="F808" s="98"/>
      <c r="G808" s="98"/>
      <c r="H808" s="97"/>
      <c r="I808" s="99" t="str">
        <f t="shared" si="5"/>
        <v/>
      </c>
      <c r="J808" s="49"/>
      <c r="K808" s="49"/>
      <c r="L808" s="49" t="str">
        <f t="shared" si="8"/>
        <v>EN PROCESO</v>
      </c>
      <c r="M808" s="49"/>
      <c r="N808" s="49"/>
    </row>
    <row r="809" ht="22.5" hidden="1" customHeight="1">
      <c r="A809" s="101"/>
      <c r="B809" s="102"/>
      <c r="C809" s="103"/>
      <c r="D809" s="101"/>
      <c r="E809" s="101"/>
      <c r="F809" s="104"/>
      <c r="G809" s="104"/>
      <c r="H809" s="103"/>
      <c r="I809" s="99" t="str">
        <f t="shared" si="5"/>
        <v/>
      </c>
      <c r="J809" s="101"/>
      <c r="K809" s="101"/>
      <c r="L809" s="101" t="str">
        <f t="shared" si="8"/>
        <v>EN PROCESO</v>
      </c>
      <c r="M809" s="101"/>
      <c r="N809" s="101"/>
    </row>
    <row r="810" ht="22.5" hidden="1" customHeight="1">
      <c r="A810" s="49"/>
      <c r="B810" s="81"/>
      <c r="C810" s="97"/>
      <c r="D810" s="49"/>
      <c r="E810" s="49"/>
      <c r="F810" s="98"/>
      <c r="G810" s="98"/>
      <c r="H810" s="97"/>
      <c r="I810" s="99" t="str">
        <f t="shared" si="5"/>
        <v/>
      </c>
      <c r="J810" s="49"/>
      <c r="K810" s="49"/>
      <c r="L810" s="49" t="str">
        <f t="shared" si="8"/>
        <v>EN PROCESO</v>
      </c>
      <c r="M810" s="49"/>
      <c r="N810" s="49"/>
    </row>
    <row r="811" ht="22.5" hidden="1" customHeight="1">
      <c r="A811" s="101"/>
      <c r="B811" s="102"/>
      <c r="C811" s="103"/>
      <c r="D811" s="101"/>
      <c r="E811" s="101"/>
      <c r="F811" s="104"/>
      <c r="G811" s="104"/>
      <c r="H811" s="103"/>
      <c r="I811" s="99" t="str">
        <f t="shared" si="5"/>
        <v/>
      </c>
      <c r="J811" s="101"/>
      <c r="K811" s="101"/>
      <c r="L811" s="101" t="str">
        <f t="shared" si="8"/>
        <v>EN PROCESO</v>
      </c>
      <c r="M811" s="101"/>
      <c r="N811" s="101"/>
    </row>
    <row r="812" ht="22.5" hidden="1" customHeight="1">
      <c r="A812" s="49"/>
      <c r="B812" s="81"/>
      <c r="C812" s="97"/>
      <c r="D812" s="49"/>
      <c r="E812" s="49"/>
      <c r="F812" s="98"/>
      <c r="G812" s="98"/>
      <c r="H812" s="97"/>
      <c r="I812" s="99" t="str">
        <f t="shared" si="5"/>
        <v/>
      </c>
      <c r="J812" s="49"/>
      <c r="K812" s="49"/>
      <c r="L812" s="49" t="str">
        <f t="shared" si="8"/>
        <v>EN PROCESO</v>
      </c>
      <c r="M812" s="49"/>
      <c r="N812" s="49"/>
    </row>
    <row r="813" ht="22.5" hidden="1" customHeight="1">
      <c r="A813" s="101"/>
      <c r="B813" s="102"/>
      <c r="C813" s="103"/>
      <c r="D813" s="101"/>
      <c r="E813" s="101"/>
      <c r="F813" s="104"/>
      <c r="G813" s="104"/>
      <c r="H813" s="103"/>
      <c r="I813" s="99" t="str">
        <f t="shared" si="5"/>
        <v/>
      </c>
      <c r="J813" s="101"/>
      <c r="K813" s="101"/>
      <c r="L813" s="101" t="str">
        <f t="shared" si="8"/>
        <v>EN PROCESO</v>
      </c>
      <c r="M813" s="101"/>
      <c r="N813" s="101"/>
    </row>
    <row r="814" ht="22.5" hidden="1" customHeight="1">
      <c r="A814" s="49"/>
      <c r="B814" s="81"/>
      <c r="C814" s="97"/>
      <c r="D814" s="49"/>
      <c r="E814" s="49"/>
      <c r="F814" s="98"/>
      <c r="G814" s="98"/>
      <c r="H814" s="97"/>
      <c r="I814" s="99" t="str">
        <f t="shared" si="5"/>
        <v/>
      </c>
      <c r="J814" s="49"/>
      <c r="K814" s="49"/>
      <c r="L814" s="49" t="str">
        <f t="shared" si="8"/>
        <v>EN PROCESO</v>
      </c>
      <c r="M814" s="49"/>
      <c r="N814" s="49"/>
    </row>
    <row r="815" ht="22.5" hidden="1" customHeight="1">
      <c r="A815" s="101"/>
      <c r="B815" s="102"/>
      <c r="C815" s="103"/>
      <c r="D815" s="101"/>
      <c r="E815" s="101"/>
      <c r="F815" s="104"/>
      <c r="G815" s="104"/>
      <c r="H815" s="103"/>
      <c r="I815" s="99" t="str">
        <f t="shared" si="5"/>
        <v/>
      </c>
      <c r="J815" s="101"/>
      <c r="K815" s="101"/>
      <c r="L815" s="101" t="str">
        <f t="shared" si="8"/>
        <v>EN PROCESO</v>
      </c>
      <c r="M815" s="101"/>
      <c r="N815" s="101"/>
    </row>
    <row r="816" ht="22.5" hidden="1" customHeight="1">
      <c r="A816" s="49"/>
      <c r="B816" s="81"/>
      <c r="C816" s="97"/>
      <c r="D816" s="49"/>
      <c r="E816" s="49"/>
      <c r="F816" s="98"/>
      <c r="G816" s="98"/>
      <c r="H816" s="97"/>
      <c r="I816" s="99" t="str">
        <f t="shared" si="5"/>
        <v/>
      </c>
      <c r="J816" s="49"/>
      <c r="K816" s="49"/>
      <c r="L816" s="49" t="str">
        <f t="shared" si="8"/>
        <v>EN PROCESO</v>
      </c>
      <c r="M816" s="49"/>
      <c r="N816" s="49"/>
    </row>
    <row r="817" ht="22.5" hidden="1" customHeight="1">
      <c r="A817" s="101"/>
      <c r="B817" s="102"/>
      <c r="C817" s="103"/>
      <c r="D817" s="101"/>
      <c r="E817" s="101"/>
      <c r="F817" s="104"/>
      <c r="G817" s="104"/>
      <c r="H817" s="103"/>
      <c r="I817" s="99" t="str">
        <f t="shared" si="5"/>
        <v/>
      </c>
      <c r="J817" s="101"/>
      <c r="K817" s="101"/>
      <c r="L817" s="101" t="str">
        <f t="shared" si="8"/>
        <v>EN PROCESO</v>
      </c>
      <c r="M817" s="101"/>
      <c r="N817" s="101"/>
    </row>
    <row r="818" ht="22.5" hidden="1" customHeight="1">
      <c r="A818" s="49"/>
      <c r="B818" s="81"/>
      <c r="C818" s="97"/>
      <c r="D818" s="49"/>
      <c r="E818" s="49"/>
      <c r="F818" s="98"/>
      <c r="G818" s="98"/>
      <c r="H818" s="97"/>
      <c r="I818" s="99" t="str">
        <f t="shared" si="5"/>
        <v/>
      </c>
      <c r="J818" s="49"/>
      <c r="K818" s="49"/>
      <c r="L818" s="49" t="str">
        <f t="shared" si="8"/>
        <v>EN PROCESO</v>
      </c>
      <c r="M818" s="49"/>
      <c r="N818" s="49"/>
    </row>
    <row r="819" ht="22.5" hidden="1" customHeight="1">
      <c r="A819" s="101"/>
      <c r="B819" s="102"/>
      <c r="C819" s="103"/>
      <c r="D819" s="101"/>
      <c r="E819" s="101"/>
      <c r="F819" s="104"/>
      <c r="G819" s="104"/>
      <c r="H819" s="103"/>
      <c r="I819" s="99" t="str">
        <f t="shared" si="5"/>
        <v/>
      </c>
      <c r="J819" s="101"/>
      <c r="K819" s="101"/>
      <c r="L819" s="101" t="str">
        <f t="shared" si="8"/>
        <v>EN PROCESO</v>
      </c>
      <c r="M819" s="101"/>
      <c r="N819" s="101"/>
    </row>
    <row r="820" ht="22.5" hidden="1" customHeight="1">
      <c r="A820" s="49"/>
      <c r="B820" s="81"/>
      <c r="C820" s="97"/>
      <c r="D820" s="49"/>
      <c r="E820" s="49"/>
      <c r="F820" s="98"/>
      <c r="G820" s="98"/>
      <c r="H820" s="97"/>
      <c r="I820" s="99" t="str">
        <f t="shared" si="5"/>
        <v/>
      </c>
      <c r="J820" s="49"/>
      <c r="K820" s="49"/>
      <c r="L820" s="49" t="str">
        <f t="shared" si="8"/>
        <v>EN PROCESO</v>
      </c>
      <c r="M820" s="49"/>
      <c r="N820" s="49"/>
    </row>
    <row r="821" ht="22.5" hidden="1" customHeight="1">
      <c r="A821" s="101"/>
      <c r="B821" s="102"/>
      <c r="C821" s="103"/>
      <c r="D821" s="101"/>
      <c r="E821" s="101"/>
      <c r="F821" s="104"/>
      <c r="G821" s="104"/>
      <c r="H821" s="103"/>
      <c r="I821" s="99" t="str">
        <f t="shared" si="5"/>
        <v/>
      </c>
      <c r="J821" s="101"/>
      <c r="K821" s="101"/>
      <c r="L821" s="101" t="str">
        <f t="shared" si="8"/>
        <v>EN PROCESO</v>
      </c>
      <c r="M821" s="101"/>
      <c r="N821" s="101"/>
    </row>
    <row r="822" ht="22.5" hidden="1" customHeight="1">
      <c r="A822" s="49"/>
      <c r="B822" s="81"/>
      <c r="C822" s="97"/>
      <c r="D822" s="49"/>
      <c r="E822" s="49"/>
      <c r="F822" s="98"/>
      <c r="G822" s="98"/>
      <c r="H822" s="97"/>
      <c r="I822" s="99" t="str">
        <f t="shared" si="5"/>
        <v/>
      </c>
      <c r="J822" s="49"/>
      <c r="K822" s="49"/>
      <c r="L822" s="49" t="str">
        <f t="shared" si="8"/>
        <v>EN PROCESO</v>
      </c>
      <c r="M822" s="49"/>
      <c r="N822" s="49"/>
    </row>
    <row r="823" ht="22.5" hidden="1" customHeight="1">
      <c r="A823" s="101"/>
      <c r="B823" s="102"/>
      <c r="C823" s="103"/>
      <c r="D823" s="101"/>
      <c r="E823" s="101"/>
      <c r="F823" s="104"/>
      <c r="G823" s="104"/>
      <c r="H823" s="103"/>
      <c r="I823" s="99" t="str">
        <f t="shared" si="5"/>
        <v/>
      </c>
      <c r="J823" s="101"/>
      <c r="K823" s="101"/>
      <c r="L823" s="101" t="str">
        <f t="shared" si="8"/>
        <v>EN PROCESO</v>
      </c>
      <c r="M823" s="101"/>
      <c r="N823" s="101"/>
    </row>
    <row r="824" ht="22.5" hidden="1" customHeight="1">
      <c r="A824" s="49"/>
      <c r="B824" s="81"/>
      <c r="C824" s="97"/>
      <c r="D824" s="49"/>
      <c r="E824" s="49"/>
      <c r="F824" s="98"/>
      <c r="G824" s="98"/>
      <c r="H824" s="97"/>
      <c r="I824" s="99" t="str">
        <f t="shared" si="5"/>
        <v/>
      </c>
      <c r="J824" s="49"/>
      <c r="K824" s="49"/>
      <c r="L824" s="49" t="str">
        <f t="shared" si="8"/>
        <v>EN PROCESO</v>
      </c>
      <c r="M824" s="49"/>
      <c r="N824" s="49"/>
    </row>
    <row r="825" ht="22.5" hidden="1" customHeight="1">
      <c r="A825" s="101"/>
      <c r="B825" s="102"/>
      <c r="C825" s="103"/>
      <c r="D825" s="101"/>
      <c r="E825" s="101"/>
      <c r="F825" s="104"/>
      <c r="G825" s="104"/>
      <c r="H825" s="103"/>
      <c r="I825" s="99" t="str">
        <f t="shared" si="5"/>
        <v/>
      </c>
      <c r="J825" s="101"/>
      <c r="K825" s="101"/>
      <c r="L825" s="101" t="str">
        <f t="shared" si="8"/>
        <v>EN PROCESO</v>
      </c>
      <c r="M825" s="101"/>
      <c r="N825" s="101"/>
    </row>
    <row r="826" ht="22.5" hidden="1" customHeight="1">
      <c r="A826" s="49"/>
      <c r="B826" s="81"/>
      <c r="C826" s="97"/>
      <c r="D826" s="49"/>
      <c r="E826" s="49"/>
      <c r="F826" s="98"/>
      <c r="G826" s="98"/>
      <c r="H826" s="97"/>
      <c r="I826" s="99" t="str">
        <f t="shared" si="5"/>
        <v/>
      </c>
      <c r="J826" s="49"/>
      <c r="K826" s="49"/>
      <c r="L826" s="49" t="str">
        <f t="shared" si="8"/>
        <v>EN PROCESO</v>
      </c>
      <c r="M826" s="49"/>
      <c r="N826" s="49"/>
    </row>
    <row r="827" ht="22.5" hidden="1" customHeight="1">
      <c r="A827" s="101"/>
      <c r="B827" s="102"/>
      <c r="C827" s="103"/>
      <c r="D827" s="101"/>
      <c r="E827" s="101"/>
      <c r="F827" s="104"/>
      <c r="G827" s="104"/>
      <c r="H827" s="103"/>
      <c r="I827" s="99" t="str">
        <f t="shared" si="5"/>
        <v/>
      </c>
      <c r="J827" s="101"/>
      <c r="K827" s="101"/>
      <c r="L827" s="101" t="str">
        <f t="shared" si="8"/>
        <v>EN PROCESO</v>
      </c>
      <c r="M827" s="101"/>
      <c r="N827" s="101"/>
    </row>
    <row r="828" ht="22.5" hidden="1" customHeight="1">
      <c r="A828" s="49"/>
      <c r="B828" s="81"/>
      <c r="C828" s="97"/>
      <c r="D828" s="49"/>
      <c r="E828" s="49"/>
      <c r="F828" s="98"/>
      <c r="G828" s="98"/>
      <c r="H828" s="97"/>
      <c r="I828" s="99" t="str">
        <f t="shared" si="5"/>
        <v/>
      </c>
      <c r="J828" s="49"/>
      <c r="K828" s="49"/>
      <c r="L828" s="49" t="str">
        <f t="shared" si="8"/>
        <v>EN PROCESO</v>
      </c>
      <c r="M828" s="49"/>
      <c r="N828" s="49"/>
    </row>
    <row r="829" ht="22.5" hidden="1" customHeight="1">
      <c r="A829" s="101"/>
      <c r="B829" s="102"/>
      <c r="C829" s="103"/>
      <c r="D829" s="101"/>
      <c r="E829" s="101"/>
      <c r="F829" s="104"/>
      <c r="G829" s="104"/>
      <c r="H829" s="103"/>
      <c r="I829" s="99" t="str">
        <f t="shared" si="5"/>
        <v/>
      </c>
      <c r="J829" s="101"/>
      <c r="K829" s="101"/>
      <c r="L829" s="101" t="str">
        <f t="shared" si="8"/>
        <v>EN PROCESO</v>
      </c>
      <c r="M829" s="101"/>
      <c r="N829" s="101"/>
    </row>
    <row r="830" ht="22.5" hidden="1" customHeight="1">
      <c r="A830" s="49"/>
      <c r="B830" s="81"/>
      <c r="C830" s="97"/>
      <c r="D830" s="49"/>
      <c r="E830" s="49"/>
      <c r="F830" s="98"/>
      <c r="G830" s="98"/>
      <c r="H830" s="97"/>
      <c r="I830" s="99" t="str">
        <f t="shared" si="5"/>
        <v/>
      </c>
      <c r="J830" s="49"/>
      <c r="K830" s="49"/>
      <c r="L830" s="49" t="str">
        <f t="shared" si="8"/>
        <v>EN PROCESO</v>
      </c>
      <c r="M830" s="49"/>
      <c r="N830" s="49"/>
    </row>
    <row r="831" ht="22.5" hidden="1" customHeight="1">
      <c r="A831" s="101"/>
      <c r="B831" s="102"/>
      <c r="C831" s="103"/>
      <c r="D831" s="101"/>
      <c r="E831" s="101"/>
      <c r="F831" s="104"/>
      <c r="G831" s="104"/>
      <c r="H831" s="103"/>
      <c r="I831" s="99" t="str">
        <f t="shared" si="5"/>
        <v/>
      </c>
      <c r="J831" s="101"/>
      <c r="K831" s="101"/>
      <c r="L831" s="101" t="str">
        <f t="shared" si="8"/>
        <v>EN PROCESO</v>
      </c>
      <c r="M831" s="101"/>
      <c r="N831" s="101"/>
    </row>
    <row r="832" ht="22.5" hidden="1" customHeight="1">
      <c r="A832" s="49"/>
      <c r="B832" s="81"/>
      <c r="C832" s="97"/>
      <c r="D832" s="49"/>
      <c r="E832" s="49"/>
      <c r="F832" s="98"/>
      <c r="G832" s="98"/>
      <c r="H832" s="97"/>
      <c r="I832" s="99" t="str">
        <f t="shared" si="5"/>
        <v/>
      </c>
      <c r="J832" s="49"/>
      <c r="K832" s="49"/>
      <c r="L832" s="49" t="str">
        <f t="shared" si="8"/>
        <v>EN PROCESO</v>
      </c>
      <c r="M832" s="49"/>
      <c r="N832" s="49"/>
    </row>
    <row r="833" ht="22.5" hidden="1" customHeight="1">
      <c r="A833" s="101"/>
      <c r="B833" s="102"/>
      <c r="C833" s="103"/>
      <c r="D833" s="101"/>
      <c r="E833" s="101"/>
      <c r="F833" s="104"/>
      <c r="G833" s="104"/>
      <c r="H833" s="103"/>
      <c r="I833" s="99" t="str">
        <f t="shared" si="5"/>
        <v/>
      </c>
      <c r="J833" s="101"/>
      <c r="K833" s="101"/>
      <c r="L833" s="101" t="str">
        <f t="shared" si="8"/>
        <v>EN PROCESO</v>
      </c>
      <c r="M833" s="101"/>
      <c r="N833" s="101"/>
    </row>
    <row r="834" ht="22.5" hidden="1" customHeight="1">
      <c r="A834" s="49"/>
      <c r="B834" s="81"/>
      <c r="C834" s="97"/>
      <c r="D834" s="49"/>
      <c r="E834" s="49"/>
      <c r="F834" s="98"/>
      <c r="G834" s="98"/>
      <c r="H834" s="97"/>
      <c r="I834" s="99" t="str">
        <f t="shared" si="5"/>
        <v/>
      </c>
      <c r="J834" s="49"/>
      <c r="K834" s="49"/>
      <c r="L834" s="49" t="str">
        <f t="shared" si="8"/>
        <v>EN PROCESO</v>
      </c>
      <c r="M834" s="49"/>
      <c r="N834" s="49"/>
    </row>
    <row r="835" ht="22.5" hidden="1" customHeight="1">
      <c r="A835" s="101"/>
      <c r="B835" s="102"/>
      <c r="C835" s="103"/>
      <c r="D835" s="101"/>
      <c r="E835" s="101"/>
      <c r="F835" s="104"/>
      <c r="G835" s="104"/>
      <c r="H835" s="103"/>
      <c r="I835" s="99" t="str">
        <f t="shared" si="5"/>
        <v/>
      </c>
      <c r="J835" s="101"/>
      <c r="K835" s="101"/>
      <c r="L835" s="101" t="str">
        <f t="shared" si="8"/>
        <v>EN PROCESO</v>
      </c>
      <c r="M835" s="101"/>
      <c r="N835" s="101"/>
    </row>
    <row r="836" ht="22.5" hidden="1" customHeight="1">
      <c r="A836" s="49"/>
      <c r="B836" s="81"/>
      <c r="C836" s="97"/>
      <c r="D836" s="49"/>
      <c r="E836" s="49"/>
      <c r="F836" s="98"/>
      <c r="G836" s="98"/>
      <c r="H836" s="97"/>
      <c r="I836" s="99" t="str">
        <f t="shared" si="5"/>
        <v/>
      </c>
      <c r="J836" s="49"/>
      <c r="K836" s="49"/>
      <c r="L836" s="49" t="str">
        <f t="shared" si="8"/>
        <v>EN PROCESO</v>
      </c>
      <c r="M836" s="49"/>
      <c r="N836" s="49"/>
    </row>
    <row r="837" ht="22.5" hidden="1" customHeight="1">
      <c r="A837" s="101"/>
      <c r="B837" s="102"/>
      <c r="C837" s="103"/>
      <c r="D837" s="101"/>
      <c r="E837" s="101"/>
      <c r="F837" s="104"/>
      <c r="G837" s="104"/>
      <c r="H837" s="103"/>
      <c r="I837" s="99" t="str">
        <f t="shared" si="5"/>
        <v/>
      </c>
      <c r="J837" s="101"/>
      <c r="K837" s="101"/>
      <c r="L837" s="101" t="str">
        <f t="shared" si="8"/>
        <v>EN PROCESO</v>
      </c>
      <c r="M837" s="101"/>
      <c r="N837" s="101"/>
    </row>
    <row r="838" ht="22.5" hidden="1" customHeight="1">
      <c r="A838" s="49"/>
      <c r="B838" s="81"/>
      <c r="C838" s="97"/>
      <c r="D838" s="49"/>
      <c r="E838" s="49"/>
      <c r="F838" s="98"/>
      <c r="G838" s="98"/>
      <c r="H838" s="97"/>
      <c r="I838" s="99" t="str">
        <f t="shared" si="5"/>
        <v/>
      </c>
      <c r="J838" s="49"/>
      <c r="K838" s="49"/>
      <c r="L838" s="49" t="str">
        <f t="shared" si="8"/>
        <v>EN PROCESO</v>
      </c>
      <c r="M838" s="49"/>
      <c r="N838" s="49"/>
    </row>
    <row r="839" ht="22.5" hidden="1" customHeight="1">
      <c r="A839" s="101"/>
      <c r="B839" s="102"/>
      <c r="C839" s="103"/>
      <c r="D839" s="101"/>
      <c r="E839" s="101"/>
      <c r="F839" s="104"/>
      <c r="G839" s="104"/>
      <c r="H839" s="103"/>
      <c r="I839" s="99" t="str">
        <f t="shared" si="5"/>
        <v/>
      </c>
      <c r="J839" s="101"/>
      <c r="K839" s="101"/>
      <c r="L839" s="101" t="str">
        <f t="shared" si="8"/>
        <v>EN PROCESO</v>
      </c>
      <c r="M839" s="101"/>
      <c r="N839" s="101"/>
    </row>
    <row r="840" ht="22.5" hidden="1" customHeight="1">
      <c r="A840" s="49"/>
      <c r="B840" s="81"/>
      <c r="C840" s="97"/>
      <c r="D840" s="49"/>
      <c r="E840" s="49"/>
      <c r="F840" s="98"/>
      <c r="G840" s="98"/>
      <c r="H840" s="97"/>
      <c r="I840" s="99" t="str">
        <f t="shared" si="5"/>
        <v/>
      </c>
      <c r="J840" s="49"/>
      <c r="K840" s="49"/>
      <c r="L840" s="49" t="str">
        <f t="shared" si="8"/>
        <v>EN PROCESO</v>
      </c>
      <c r="M840" s="49"/>
      <c r="N840" s="49"/>
    </row>
    <row r="841" ht="22.5" hidden="1" customHeight="1">
      <c r="A841" s="101"/>
      <c r="B841" s="102"/>
      <c r="C841" s="103"/>
      <c r="D841" s="101"/>
      <c r="E841" s="101"/>
      <c r="F841" s="104"/>
      <c r="G841" s="104"/>
      <c r="H841" s="103"/>
      <c r="I841" s="99" t="str">
        <f t="shared" si="5"/>
        <v/>
      </c>
      <c r="J841" s="101"/>
      <c r="K841" s="101"/>
      <c r="L841" s="101" t="str">
        <f t="shared" si="8"/>
        <v>EN PROCESO</v>
      </c>
      <c r="M841" s="101"/>
      <c r="N841" s="101"/>
    </row>
    <row r="842" ht="22.5" hidden="1" customHeight="1">
      <c r="A842" s="49"/>
      <c r="B842" s="81"/>
      <c r="C842" s="97"/>
      <c r="D842" s="49"/>
      <c r="E842" s="49"/>
      <c r="F842" s="98"/>
      <c r="G842" s="98"/>
      <c r="H842" s="97"/>
      <c r="I842" s="99" t="str">
        <f t="shared" si="5"/>
        <v/>
      </c>
      <c r="J842" s="49"/>
      <c r="K842" s="49"/>
      <c r="L842" s="49" t="str">
        <f t="shared" si="8"/>
        <v>EN PROCESO</v>
      </c>
      <c r="M842" s="49"/>
      <c r="N842" s="49"/>
    </row>
    <row r="843" ht="22.5" hidden="1" customHeight="1">
      <c r="A843" s="101"/>
      <c r="B843" s="102"/>
      <c r="C843" s="103"/>
      <c r="D843" s="101"/>
      <c r="E843" s="101"/>
      <c r="F843" s="104"/>
      <c r="G843" s="104"/>
      <c r="H843" s="103"/>
      <c r="I843" s="99" t="str">
        <f t="shared" si="5"/>
        <v/>
      </c>
      <c r="J843" s="101"/>
      <c r="K843" s="101"/>
      <c r="L843" s="101" t="str">
        <f t="shared" si="8"/>
        <v>EN PROCESO</v>
      </c>
      <c r="M843" s="101"/>
      <c r="N843" s="101"/>
    </row>
    <row r="844" ht="22.5" hidden="1" customHeight="1">
      <c r="A844" s="49"/>
      <c r="B844" s="81"/>
      <c r="C844" s="97"/>
      <c r="D844" s="49"/>
      <c r="E844" s="49"/>
      <c r="F844" s="98"/>
      <c r="G844" s="98"/>
      <c r="H844" s="97"/>
      <c r="I844" s="99" t="str">
        <f t="shared" si="5"/>
        <v/>
      </c>
      <c r="J844" s="49"/>
      <c r="K844" s="49"/>
      <c r="L844" s="49" t="str">
        <f t="shared" si="8"/>
        <v>EN PROCESO</v>
      </c>
      <c r="M844" s="49"/>
      <c r="N844" s="49"/>
    </row>
    <row r="845" ht="22.5" hidden="1" customHeight="1">
      <c r="A845" s="101"/>
      <c r="B845" s="102"/>
      <c r="C845" s="103"/>
      <c r="D845" s="101"/>
      <c r="E845" s="101"/>
      <c r="F845" s="104"/>
      <c r="G845" s="104"/>
      <c r="H845" s="103"/>
      <c r="I845" s="99" t="str">
        <f t="shared" si="5"/>
        <v/>
      </c>
      <c r="J845" s="101"/>
      <c r="K845" s="101"/>
      <c r="L845" s="101" t="str">
        <f t="shared" si="8"/>
        <v>EN PROCESO</v>
      </c>
      <c r="M845" s="101"/>
      <c r="N845" s="101"/>
    </row>
    <row r="846" ht="22.5" hidden="1" customHeight="1">
      <c r="A846" s="49"/>
      <c r="B846" s="81"/>
      <c r="C846" s="97"/>
      <c r="D846" s="49"/>
      <c r="E846" s="49"/>
      <c r="F846" s="98"/>
      <c r="G846" s="98"/>
      <c r="H846" s="97"/>
      <c r="I846" s="99" t="str">
        <f t="shared" si="5"/>
        <v/>
      </c>
      <c r="J846" s="49"/>
      <c r="K846" s="49"/>
      <c r="L846" s="49" t="str">
        <f t="shared" si="8"/>
        <v>EN PROCESO</v>
      </c>
      <c r="M846" s="49"/>
      <c r="N846" s="49"/>
    </row>
    <row r="847" ht="22.5" hidden="1" customHeight="1">
      <c r="A847" s="101"/>
      <c r="B847" s="102"/>
      <c r="C847" s="103"/>
      <c r="D847" s="101"/>
      <c r="E847" s="101"/>
      <c r="F847" s="104"/>
      <c r="G847" s="104"/>
      <c r="H847" s="103"/>
      <c r="I847" s="99" t="str">
        <f t="shared" si="5"/>
        <v/>
      </c>
      <c r="J847" s="101"/>
      <c r="K847" s="101"/>
      <c r="L847" s="101" t="str">
        <f t="shared" si="8"/>
        <v>EN PROCESO</v>
      </c>
      <c r="M847" s="101"/>
      <c r="N847" s="101"/>
    </row>
    <row r="848" ht="22.5" hidden="1" customHeight="1">
      <c r="A848" s="49"/>
      <c r="B848" s="81"/>
      <c r="C848" s="97"/>
      <c r="D848" s="49"/>
      <c r="E848" s="49"/>
      <c r="F848" s="98"/>
      <c r="G848" s="98"/>
      <c r="H848" s="97"/>
      <c r="I848" s="99" t="str">
        <f t="shared" si="5"/>
        <v/>
      </c>
      <c r="J848" s="49"/>
      <c r="K848" s="49"/>
      <c r="L848" s="49" t="str">
        <f t="shared" si="8"/>
        <v>EN PROCESO</v>
      </c>
      <c r="M848" s="49"/>
      <c r="N848" s="49"/>
    </row>
    <row r="849" ht="22.5" hidden="1" customHeight="1">
      <c r="A849" s="101"/>
      <c r="B849" s="102"/>
      <c r="C849" s="103"/>
      <c r="D849" s="101"/>
      <c r="E849" s="101"/>
      <c r="F849" s="104"/>
      <c r="G849" s="104"/>
      <c r="H849" s="103"/>
      <c r="I849" s="99" t="str">
        <f t="shared" si="5"/>
        <v/>
      </c>
      <c r="J849" s="101"/>
      <c r="K849" s="101"/>
      <c r="L849" s="101" t="str">
        <f t="shared" si="8"/>
        <v>EN PROCESO</v>
      </c>
      <c r="M849" s="101"/>
      <c r="N849" s="101"/>
    </row>
    <row r="850" ht="22.5" hidden="1" customHeight="1">
      <c r="A850" s="49"/>
      <c r="B850" s="81"/>
      <c r="C850" s="97"/>
      <c r="D850" s="49"/>
      <c r="E850" s="49"/>
      <c r="F850" s="98"/>
      <c r="G850" s="98"/>
      <c r="H850" s="97"/>
      <c r="I850" s="99" t="str">
        <f t="shared" si="5"/>
        <v/>
      </c>
      <c r="J850" s="49"/>
      <c r="K850" s="49"/>
      <c r="L850" s="49" t="str">
        <f t="shared" si="8"/>
        <v>EN PROCESO</v>
      </c>
      <c r="M850" s="49"/>
      <c r="N850" s="49"/>
    </row>
    <row r="851" ht="22.5" hidden="1" customHeight="1">
      <c r="A851" s="101"/>
      <c r="B851" s="102"/>
      <c r="C851" s="103"/>
      <c r="D851" s="101"/>
      <c r="E851" s="101"/>
      <c r="F851" s="104"/>
      <c r="G851" s="104"/>
      <c r="H851" s="103"/>
      <c r="I851" s="99" t="str">
        <f t="shared" si="5"/>
        <v/>
      </c>
      <c r="J851" s="101"/>
      <c r="K851" s="101"/>
      <c r="L851" s="101" t="str">
        <f t="shared" si="8"/>
        <v>EN PROCESO</v>
      </c>
      <c r="M851" s="101"/>
      <c r="N851" s="101"/>
    </row>
    <row r="852" ht="22.5" hidden="1" customHeight="1">
      <c r="A852" s="49"/>
      <c r="B852" s="81"/>
      <c r="C852" s="97"/>
      <c r="D852" s="49"/>
      <c r="E852" s="49"/>
      <c r="F852" s="98"/>
      <c r="G852" s="98"/>
      <c r="H852" s="97"/>
      <c r="I852" s="99" t="str">
        <f t="shared" si="5"/>
        <v/>
      </c>
      <c r="J852" s="49"/>
      <c r="K852" s="49"/>
      <c r="L852" s="49" t="str">
        <f t="shared" si="8"/>
        <v>EN PROCESO</v>
      </c>
      <c r="M852" s="49"/>
      <c r="N852" s="49"/>
    </row>
    <row r="853" ht="22.5" hidden="1" customHeight="1">
      <c r="A853" s="101"/>
      <c r="B853" s="102"/>
      <c r="C853" s="103"/>
      <c r="D853" s="101"/>
      <c r="E853" s="101"/>
      <c r="F853" s="104"/>
      <c r="G853" s="104"/>
      <c r="H853" s="103"/>
      <c r="I853" s="99" t="str">
        <f t="shared" si="5"/>
        <v/>
      </c>
      <c r="J853" s="101"/>
      <c r="K853" s="101"/>
      <c r="L853" s="101" t="str">
        <f t="shared" si="8"/>
        <v>EN PROCESO</v>
      </c>
      <c r="M853" s="101"/>
      <c r="N853" s="101"/>
    </row>
    <row r="854" ht="22.5" hidden="1" customHeight="1">
      <c r="A854" s="49"/>
      <c r="B854" s="81"/>
      <c r="C854" s="97"/>
      <c r="D854" s="49"/>
      <c r="E854" s="49"/>
      <c r="F854" s="98"/>
      <c r="G854" s="98"/>
      <c r="H854" s="97"/>
      <c r="I854" s="99" t="str">
        <f t="shared" si="5"/>
        <v/>
      </c>
      <c r="J854" s="49"/>
      <c r="K854" s="49"/>
      <c r="L854" s="49" t="str">
        <f t="shared" si="8"/>
        <v>EN PROCESO</v>
      </c>
      <c r="M854" s="49"/>
      <c r="N854" s="49"/>
    </row>
    <row r="855" ht="22.5" hidden="1" customHeight="1">
      <c r="A855" s="101"/>
      <c r="B855" s="102"/>
      <c r="C855" s="103"/>
      <c r="D855" s="101"/>
      <c r="E855" s="101"/>
      <c r="F855" s="104"/>
      <c r="G855" s="104"/>
      <c r="H855" s="103"/>
      <c r="I855" s="99" t="str">
        <f t="shared" si="5"/>
        <v/>
      </c>
      <c r="J855" s="101"/>
      <c r="K855" s="101"/>
      <c r="L855" s="101" t="str">
        <f t="shared" si="8"/>
        <v>EN PROCESO</v>
      </c>
      <c r="M855" s="101"/>
      <c r="N855" s="101"/>
    </row>
    <row r="856" ht="22.5" hidden="1" customHeight="1">
      <c r="A856" s="49"/>
      <c r="B856" s="81"/>
      <c r="C856" s="97"/>
      <c r="D856" s="49"/>
      <c r="E856" s="49"/>
      <c r="F856" s="98"/>
      <c r="G856" s="98"/>
      <c r="H856" s="97"/>
      <c r="I856" s="99" t="str">
        <f t="shared" si="5"/>
        <v/>
      </c>
      <c r="J856" s="49"/>
      <c r="K856" s="49"/>
      <c r="L856" s="49" t="str">
        <f t="shared" si="8"/>
        <v>EN PROCESO</v>
      </c>
      <c r="M856" s="49"/>
      <c r="N856" s="49"/>
    </row>
    <row r="857" ht="22.5" hidden="1" customHeight="1">
      <c r="A857" s="101"/>
      <c r="B857" s="102"/>
      <c r="C857" s="103"/>
      <c r="D857" s="101"/>
      <c r="E857" s="101"/>
      <c r="F857" s="104"/>
      <c r="G857" s="104"/>
      <c r="H857" s="103"/>
      <c r="I857" s="99" t="str">
        <f t="shared" si="5"/>
        <v/>
      </c>
      <c r="J857" s="101"/>
      <c r="K857" s="101"/>
      <c r="L857" s="101" t="str">
        <f t="shared" si="8"/>
        <v>EN PROCESO</v>
      </c>
      <c r="M857" s="101"/>
      <c r="N857" s="101"/>
    </row>
    <row r="858" ht="22.5" hidden="1" customHeight="1">
      <c r="A858" s="49"/>
      <c r="B858" s="81"/>
      <c r="C858" s="97"/>
      <c r="D858" s="49"/>
      <c r="E858" s="49"/>
      <c r="F858" s="98"/>
      <c r="G858" s="98"/>
      <c r="H858" s="97"/>
      <c r="I858" s="99" t="str">
        <f t="shared" si="5"/>
        <v/>
      </c>
      <c r="J858" s="49"/>
      <c r="K858" s="49"/>
      <c r="L858" s="49" t="str">
        <f t="shared" si="8"/>
        <v>EN PROCESO</v>
      </c>
      <c r="M858" s="49"/>
      <c r="N858" s="49"/>
    </row>
    <row r="859" ht="22.5" hidden="1" customHeight="1">
      <c r="A859" s="101"/>
      <c r="B859" s="102"/>
      <c r="C859" s="103"/>
      <c r="D859" s="101"/>
      <c r="E859" s="101"/>
      <c r="F859" s="104"/>
      <c r="G859" s="104"/>
      <c r="H859" s="103"/>
      <c r="I859" s="99" t="str">
        <f t="shared" si="5"/>
        <v/>
      </c>
      <c r="J859" s="101"/>
      <c r="K859" s="101"/>
      <c r="L859" s="101" t="str">
        <f t="shared" si="8"/>
        <v>EN PROCESO</v>
      </c>
      <c r="M859" s="101"/>
      <c r="N859" s="101"/>
    </row>
    <row r="860" ht="22.5" hidden="1" customHeight="1">
      <c r="A860" s="49"/>
      <c r="B860" s="81"/>
      <c r="C860" s="97"/>
      <c r="D860" s="49"/>
      <c r="E860" s="49"/>
      <c r="F860" s="98"/>
      <c r="G860" s="98"/>
      <c r="H860" s="97"/>
      <c r="I860" s="99" t="str">
        <f t="shared" si="5"/>
        <v/>
      </c>
      <c r="J860" s="49"/>
      <c r="K860" s="49"/>
      <c r="L860" s="49" t="str">
        <f t="shared" si="8"/>
        <v>EN PROCESO</v>
      </c>
      <c r="M860" s="49"/>
      <c r="N860" s="49"/>
    </row>
    <row r="861" ht="22.5" hidden="1" customHeight="1">
      <c r="A861" s="101"/>
      <c r="B861" s="102"/>
      <c r="C861" s="103"/>
      <c r="D861" s="101"/>
      <c r="E861" s="101"/>
      <c r="F861" s="104"/>
      <c r="G861" s="104"/>
      <c r="H861" s="103"/>
      <c r="I861" s="99" t="str">
        <f t="shared" si="5"/>
        <v/>
      </c>
      <c r="J861" s="101"/>
      <c r="K861" s="101"/>
      <c r="L861" s="101" t="str">
        <f t="shared" si="8"/>
        <v>EN PROCESO</v>
      </c>
      <c r="M861" s="101"/>
      <c r="N861" s="101"/>
    </row>
    <row r="862" ht="22.5" hidden="1" customHeight="1">
      <c r="A862" s="49"/>
      <c r="B862" s="81"/>
      <c r="C862" s="97"/>
      <c r="D862" s="49"/>
      <c r="E862" s="49"/>
      <c r="F862" s="98"/>
      <c r="G862" s="98"/>
      <c r="H862" s="97"/>
      <c r="I862" s="99" t="str">
        <f t="shared" si="5"/>
        <v/>
      </c>
      <c r="J862" s="49"/>
      <c r="K862" s="49"/>
      <c r="L862" s="49" t="str">
        <f t="shared" si="8"/>
        <v>EN PROCESO</v>
      </c>
      <c r="M862" s="49"/>
      <c r="N862" s="49"/>
    </row>
    <row r="863" ht="22.5" hidden="1" customHeight="1">
      <c r="A863" s="101"/>
      <c r="B863" s="102"/>
      <c r="C863" s="103"/>
      <c r="D863" s="101"/>
      <c r="E863" s="101"/>
      <c r="F863" s="104"/>
      <c r="G863" s="104"/>
      <c r="H863" s="103"/>
      <c r="I863" s="99" t="str">
        <f t="shared" si="5"/>
        <v/>
      </c>
      <c r="J863" s="101"/>
      <c r="K863" s="101"/>
      <c r="L863" s="101" t="str">
        <f t="shared" si="8"/>
        <v>EN PROCESO</v>
      </c>
      <c r="M863" s="101"/>
      <c r="N863" s="101"/>
    </row>
    <row r="864" ht="22.5" hidden="1" customHeight="1">
      <c r="A864" s="49"/>
      <c r="B864" s="81"/>
      <c r="C864" s="97"/>
      <c r="D864" s="49"/>
      <c r="E864" s="49"/>
      <c r="F864" s="98"/>
      <c r="G864" s="98"/>
      <c r="H864" s="97"/>
      <c r="I864" s="99" t="str">
        <f t="shared" si="5"/>
        <v/>
      </c>
      <c r="J864" s="49"/>
      <c r="K864" s="49"/>
      <c r="L864" s="49" t="str">
        <f t="shared" si="8"/>
        <v>EN PROCESO</v>
      </c>
      <c r="M864" s="49"/>
      <c r="N864" s="49"/>
    </row>
    <row r="865" ht="22.5" hidden="1" customHeight="1">
      <c r="A865" s="101"/>
      <c r="B865" s="102"/>
      <c r="C865" s="103"/>
      <c r="D865" s="101"/>
      <c r="E865" s="101"/>
      <c r="F865" s="104"/>
      <c r="G865" s="104"/>
      <c r="H865" s="103"/>
      <c r="I865" s="99" t="str">
        <f t="shared" si="5"/>
        <v/>
      </c>
      <c r="J865" s="101"/>
      <c r="K865" s="101"/>
      <c r="L865" s="101" t="str">
        <f t="shared" si="8"/>
        <v>EN PROCESO</v>
      </c>
      <c r="M865" s="101"/>
      <c r="N865" s="101"/>
    </row>
    <row r="866" ht="22.5" hidden="1" customHeight="1">
      <c r="A866" s="49"/>
      <c r="B866" s="81"/>
      <c r="C866" s="97"/>
      <c r="D866" s="49"/>
      <c r="E866" s="49"/>
      <c r="F866" s="98"/>
      <c r="G866" s="98"/>
      <c r="H866" s="97"/>
      <c r="I866" s="99" t="str">
        <f t="shared" si="5"/>
        <v/>
      </c>
      <c r="J866" s="49"/>
      <c r="K866" s="49"/>
      <c r="L866" s="49" t="str">
        <f t="shared" si="8"/>
        <v>EN PROCESO</v>
      </c>
      <c r="M866" s="49"/>
      <c r="N866" s="49"/>
    </row>
    <row r="867" ht="22.5" hidden="1" customHeight="1">
      <c r="A867" s="101"/>
      <c r="B867" s="102"/>
      <c r="C867" s="103"/>
      <c r="D867" s="101"/>
      <c r="E867" s="101"/>
      <c r="F867" s="104"/>
      <c r="G867" s="104"/>
      <c r="H867" s="103"/>
      <c r="I867" s="99" t="str">
        <f t="shared" si="5"/>
        <v/>
      </c>
      <c r="J867" s="101"/>
      <c r="K867" s="101"/>
      <c r="L867" s="101" t="str">
        <f t="shared" si="8"/>
        <v>EN PROCESO</v>
      </c>
      <c r="M867" s="101"/>
      <c r="N867" s="101"/>
    </row>
    <row r="868" ht="22.5" hidden="1" customHeight="1">
      <c r="A868" s="49"/>
      <c r="B868" s="81"/>
      <c r="C868" s="97"/>
      <c r="D868" s="49"/>
      <c r="E868" s="49"/>
      <c r="F868" s="98"/>
      <c r="G868" s="98"/>
      <c r="H868" s="97"/>
      <c r="I868" s="99" t="str">
        <f t="shared" si="5"/>
        <v/>
      </c>
      <c r="J868" s="49"/>
      <c r="K868" s="49"/>
      <c r="L868" s="49" t="str">
        <f t="shared" si="8"/>
        <v>EN PROCESO</v>
      </c>
      <c r="M868" s="49"/>
      <c r="N868" s="49"/>
    </row>
    <row r="869" ht="22.5" hidden="1" customHeight="1">
      <c r="A869" s="101"/>
      <c r="B869" s="102"/>
      <c r="C869" s="103"/>
      <c r="D869" s="101"/>
      <c r="E869" s="101"/>
      <c r="F869" s="104"/>
      <c r="G869" s="104"/>
      <c r="H869" s="103"/>
      <c r="I869" s="99" t="str">
        <f t="shared" si="5"/>
        <v/>
      </c>
      <c r="J869" s="101"/>
      <c r="K869" s="101"/>
      <c r="L869" s="101" t="str">
        <f t="shared" si="8"/>
        <v>EN PROCESO</v>
      </c>
      <c r="M869" s="101"/>
      <c r="N869" s="101"/>
    </row>
    <row r="870" ht="22.5" hidden="1" customHeight="1">
      <c r="A870" s="49"/>
      <c r="B870" s="81"/>
      <c r="C870" s="97"/>
      <c r="D870" s="49"/>
      <c r="E870" s="49"/>
      <c r="F870" s="98"/>
      <c r="G870" s="98"/>
      <c r="H870" s="97"/>
      <c r="I870" s="99" t="str">
        <f t="shared" si="5"/>
        <v/>
      </c>
      <c r="J870" s="49"/>
      <c r="K870" s="49"/>
      <c r="L870" s="49" t="str">
        <f t="shared" si="8"/>
        <v>EN PROCESO</v>
      </c>
      <c r="M870" s="49"/>
      <c r="N870" s="49"/>
    </row>
    <row r="871" ht="22.5" hidden="1" customHeight="1">
      <c r="A871" s="101"/>
      <c r="B871" s="102"/>
      <c r="C871" s="103"/>
      <c r="D871" s="101"/>
      <c r="E871" s="101"/>
      <c r="F871" s="104"/>
      <c r="G871" s="104"/>
      <c r="H871" s="103"/>
      <c r="I871" s="99" t="str">
        <f t="shared" si="5"/>
        <v/>
      </c>
      <c r="J871" s="101"/>
      <c r="K871" s="101"/>
      <c r="L871" s="101" t="str">
        <f t="shared" si="8"/>
        <v>EN PROCESO</v>
      </c>
      <c r="M871" s="101"/>
      <c r="N871" s="101"/>
    </row>
    <row r="872" ht="22.5" hidden="1" customHeight="1">
      <c r="A872" s="49"/>
      <c r="B872" s="81"/>
      <c r="C872" s="97"/>
      <c r="D872" s="49"/>
      <c r="E872" s="49"/>
      <c r="F872" s="98"/>
      <c r="G872" s="98"/>
      <c r="H872" s="97"/>
      <c r="I872" s="99" t="str">
        <f t="shared" si="5"/>
        <v/>
      </c>
      <c r="J872" s="49"/>
      <c r="K872" s="49"/>
      <c r="L872" s="49" t="str">
        <f t="shared" si="8"/>
        <v>EN PROCESO</v>
      </c>
      <c r="M872" s="49"/>
      <c r="N872" s="49"/>
    </row>
    <row r="873" ht="22.5" hidden="1" customHeight="1">
      <c r="A873" s="101"/>
      <c r="B873" s="102"/>
      <c r="C873" s="103"/>
      <c r="D873" s="101"/>
      <c r="E873" s="101"/>
      <c r="F873" s="104"/>
      <c r="G873" s="104"/>
      <c r="H873" s="103"/>
      <c r="I873" s="99" t="str">
        <f t="shared" si="5"/>
        <v/>
      </c>
      <c r="J873" s="101"/>
      <c r="K873" s="101"/>
      <c r="L873" s="101" t="str">
        <f t="shared" si="8"/>
        <v>EN PROCESO</v>
      </c>
      <c r="M873" s="101"/>
      <c r="N873" s="101"/>
    </row>
    <row r="874" ht="22.5" hidden="1" customHeight="1">
      <c r="A874" s="49"/>
      <c r="B874" s="81"/>
      <c r="C874" s="97"/>
      <c r="D874" s="49"/>
      <c r="E874" s="49"/>
      <c r="F874" s="98"/>
      <c r="G874" s="98"/>
      <c r="H874" s="97"/>
      <c r="I874" s="99" t="str">
        <f t="shared" si="5"/>
        <v/>
      </c>
      <c r="J874" s="49"/>
      <c r="K874" s="49"/>
      <c r="L874" s="49" t="str">
        <f t="shared" si="8"/>
        <v>EN PROCESO</v>
      </c>
      <c r="M874" s="49"/>
      <c r="N874" s="49"/>
    </row>
    <row r="875" ht="22.5" hidden="1" customHeight="1">
      <c r="A875" s="101"/>
      <c r="B875" s="102"/>
      <c r="C875" s="103"/>
      <c r="D875" s="101"/>
      <c r="E875" s="101"/>
      <c r="F875" s="104"/>
      <c r="G875" s="104"/>
      <c r="H875" s="103"/>
      <c r="I875" s="99" t="str">
        <f t="shared" si="5"/>
        <v/>
      </c>
      <c r="J875" s="101"/>
      <c r="K875" s="101"/>
      <c r="L875" s="101" t="str">
        <f t="shared" si="8"/>
        <v>EN PROCESO</v>
      </c>
      <c r="M875" s="101"/>
      <c r="N875" s="101"/>
    </row>
    <row r="876" ht="22.5" hidden="1" customHeight="1">
      <c r="A876" s="49"/>
      <c r="B876" s="81"/>
      <c r="C876" s="97"/>
      <c r="D876" s="49"/>
      <c r="E876" s="49"/>
      <c r="F876" s="98"/>
      <c r="G876" s="98"/>
      <c r="H876" s="97"/>
      <c r="I876" s="99" t="str">
        <f t="shared" si="5"/>
        <v/>
      </c>
      <c r="J876" s="49"/>
      <c r="K876" s="49"/>
      <c r="L876" s="49" t="str">
        <f t="shared" si="8"/>
        <v>EN PROCESO</v>
      </c>
      <c r="M876" s="49"/>
      <c r="N876" s="49"/>
    </row>
    <row r="877" ht="22.5" hidden="1" customHeight="1">
      <c r="A877" s="101"/>
      <c r="B877" s="102"/>
      <c r="C877" s="103"/>
      <c r="D877" s="101"/>
      <c r="E877" s="101"/>
      <c r="F877" s="104"/>
      <c r="G877" s="104"/>
      <c r="H877" s="103"/>
      <c r="I877" s="99" t="str">
        <f t="shared" si="5"/>
        <v/>
      </c>
      <c r="J877" s="101"/>
      <c r="K877" s="101"/>
      <c r="L877" s="101" t="str">
        <f t="shared" si="8"/>
        <v>EN PROCESO</v>
      </c>
      <c r="M877" s="101"/>
      <c r="N877" s="101"/>
    </row>
    <row r="878" ht="22.5" hidden="1" customHeight="1">
      <c r="A878" s="49"/>
      <c r="B878" s="81"/>
      <c r="C878" s="97"/>
      <c r="D878" s="49"/>
      <c r="E878" s="49"/>
      <c r="F878" s="98"/>
      <c r="G878" s="98"/>
      <c r="H878" s="97"/>
      <c r="I878" s="99" t="str">
        <f t="shared" si="5"/>
        <v/>
      </c>
      <c r="J878" s="49"/>
      <c r="K878" s="49"/>
      <c r="L878" s="49" t="str">
        <f t="shared" si="8"/>
        <v>EN PROCESO</v>
      </c>
      <c r="M878" s="49"/>
      <c r="N878" s="49"/>
    </row>
    <row r="879" ht="22.5" hidden="1" customHeight="1">
      <c r="A879" s="101"/>
      <c r="B879" s="102"/>
      <c r="C879" s="103"/>
      <c r="D879" s="101"/>
      <c r="E879" s="101"/>
      <c r="F879" s="104"/>
      <c r="G879" s="104"/>
      <c r="H879" s="103"/>
      <c r="I879" s="99" t="str">
        <f t="shared" si="5"/>
        <v/>
      </c>
      <c r="J879" s="101"/>
      <c r="K879" s="101"/>
      <c r="L879" s="101" t="str">
        <f t="shared" si="8"/>
        <v>EN PROCESO</v>
      </c>
      <c r="M879" s="101"/>
      <c r="N879" s="101"/>
    </row>
    <row r="880" ht="22.5" hidden="1" customHeight="1">
      <c r="A880" s="49"/>
      <c r="B880" s="81"/>
      <c r="C880" s="97"/>
      <c r="D880" s="49"/>
      <c r="E880" s="49"/>
      <c r="F880" s="98"/>
      <c r="G880" s="98"/>
      <c r="H880" s="97"/>
      <c r="I880" s="99" t="str">
        <f t="shared" si="5"/>
        <v/>
      </c>
      <c r="J880" s="49"/>
      <c r="K880" s="49"/>
      <c r="L880" s="49" t="str">
        <f t="shared" si="8"/>
        <v>EN PROCESO</v>
      </c>
      <c r="M880" s="49"/>
      <c r="N880" s="49"/>
    </row>
    <row r="881" ht="22.5" hidden="1" customHeight="1">
      <c r="A881" s="101"/>
      <c r="B881" s="102"/>
      <c r="C881" s="103"/>
      <c r="D881" s="101"/>
      <c r="E881" s="101"/>
      <c r="F881" s="104"/>
      <c r="G881" s="104"/>
      <c r="H881" s="103"/>
      <c r="I881" s="99" t="str">
        <f t="shared" si="5"/>
        <v/>
      </c>
      <c r="J881" s="101"/>
      <c r="K881" s="101"/>
      <c r="L881" s="101" t="str">
        <f t="shared" si="8"/>
        <v>EN PROCESO</v>
      </c>
      <c r="M881" s="101"/>
      <c r="N881" s="101"/>
    </row>
    <row r="882" ht="22.5" hidden="1" customHeight="1">
      <c r="A882" s="49"/>
      <c r="B882" s="81"/>
      <c r="C882" s="97"/>
      <c r="D882" s="49"/>
      <c r="E882" s="49"/>
      <c r="F882" s="98"/>
      <c r="G882" s="98"/>
      <c r="H882" s="97"/>
      <c r="I882" s="99" t="str">
        <f t="shared" si="5"/>
        <v/>
      </c>
      <c r="J882" s="49"/>
      <c r="K882" s="49"/>
      <c r="L882" s="49" t="str">
        <f t="shared" si="8"/>
        <v>EN PROCESO</v>
      </c>
      <c r="M882" s="49"/>
      <c r="N882" s="49"/>
    </row>
    <row r="883" ht="22.5" hidden="1" customHeight="1">
      <c r="A883" s="101"/>
      <c r="B883" s="102"/>
      <c r="C883" s="103"/>
      <c r="D883" s="101"/>
      <c r="E883" s="101"/>
      <c r="F883" s="104"/>
      <c r="G883" s="104"/>
      <c r="H883" s="103"/>
      <c r="I883" s="99" t="str">
        <f t="shared" si="5"/>
        <v/>
      </c>
      <c r="J883" s="101"/>
      <c r="K883" s="101"/>
      <c r="L883" s="101" t="str">
        <f t="shared" si="8"/>
        <v>EN PROCESO</v>
      </c>
      <c r="M883" s="101"/>
      <c r="N883" s="101"/>
    </row>
    <row r="884" ht="22.5" hidden="1" customHeight="1">
      <c r="A884" s="49"/>
      <c r="B884" s="81"/>
      <c r="C884" s="97"/>
      <c r="D884" s="49"/>
      <c r="E884" s="49"/>
      <c r="F884" s="98"/>
      <c r="G884" s="98"/>
      <c r="H884" s="97"/>
      <c r="I884" s="99" t="str">
        <f t="shared" si="5"/>
        <v/>
      </c>
      <c r="J884" s="49"/>
      <c r="K884" s="49"/>
      <c r="L884" s="49" t="str">
        <f t="shared" si="8"/>
        <v>EN PROCESO</v>
      </c>
      <c r="M884" s="49"/>
      <c r="N884" s="49"/>
    </row>
    <row r="885" ht="22.5" hidden="1" customHeight="1">
      <c r="A885" s="101"/>
      <c r="B885" s="102"/>
      <c r="C885" s="103"/>
      <c r="D885" s="101"/>
      <c r="E885" s="101"/>
      <c r="F885" s="104"/>
      <c r="G885" s="104"/>
      <c r="H885" s="103"/>
      <c r="I885" s="99" t="str">
        <f t="shared" si="5"/>
        <v/>
      </c>
      <c r="J885" s="101"/>
      <c r="K885" s="101"/>
      <c r="L885" s="101" t="str">
        <f t="shared" si="8"/>
        <v>EN PROCESO</v>
      </c>
      <c r="M885" s="101"/>
      <c r="N885" s="101"/>
    </row>
    <row r="886" ht="22.5" hidden="1" customHeight="1">
      <c r="A886" s="49"/>
      <c r="B886" s="81"/>
      <c r="C886" s="97"/>
      <c r="D886" s="49"/>
      <c r="E886" s="49"/>
      <c r="F886" s="98"/>
      <c r="G886" s="98"/>
      <c r="H886" s="97"/>
      <c r="I886" s="99" t="str">
        <f t="shared" si="5"/>
        <v/>
      </c>
      <c r="J886" s="49"/>
      <c r="K886" s="49"/>
      <c r="L886" s="49" t="str">
        <f t="shared" si="8"/>
        <v>EN PROCESO</v>
      </c>
      <c r="M886" s="49"/>
      <c r="N886" s="49"/>
    </row>
    <row r="887" ht="22.5" hidden="1" customHeight="1">
      <c r="A887" s="101"/>
      <c r="B887" s="102"/>
      <c r="C887" s="103"/>
      <c r="D887" s="101"/>
      <c r="E887" s="101"/>
      <c r="F887" s="104"/>
      <c r="G887" s="104"/>
      <c r="H887" s="103"/>
      <c r="I887" s="99" t="str">
        <f t="shared" si="5"/>
        <v/>
      </c>
      <c r="J887" s="101"/>
      <c r="K887" s="101"/>
      <c r="L887" s="101" t="str">
        <f t="shared" si="8"/>
        <v>EN PROCESO</v>
      </c>
      <c r="M887" s="101"/>
      <c r="N887" s="101"/>
    </row>
    <row r="888" ht="22.5" hidden="1" customHeight="1">
      <c r="A888" s="49"/>
      <c r="B888" s="81"/>
      <c r="C888" s="97"/>
      <c r="D888" s="49"/>
      <c r="E888" s="49"/>
      <c r="F888" s="98"/>
      <c r="G888" s="98"/>
      <c r="H888" s="97"/>
      <c r="I888" s="99" t="str">
        <f t="shared" si="5"/>
        <v/>
      </c>
      <c r="J888" s="49"/>
      <c r="K888" s="49"/>
      <c r="L888" s="49" t="str">
        <f t="shared" si="8"/>
        <v>EN PROCESO</v>
      </c>
      <c r="M888" s="49"/>
      <c r="N888" s="49"/>
    </row>
    <row r="889" ht="22.5" hidden="1" customHeight="1">
      <c r="A889" s="101"/>
      <c r="B889" s="102"/>
      <c r="C889" s="103"/>
      <c r="D889" s="101"/>
      <c r="E889" s="101"/>
      <c r="F889" s="104"/>
      <c r="G889" s="104"/>
      <c r="H889" s="103"/>
      <c r="I889" s="99" t="str">
        <f t="shared" si="5"/>
        <v/>
      </c>
      <c r="J889" s="101"/>
      <c r="K889" s="101"/>
      <c r="L889" s="101" t="str">
        <f t="shared" si="8"/>
        <v>EN PROCESO</v>
      </c>
      <c r="M889" s="101"/>
      <c r="N889" s="101"/>
    </row>
    <row r="890" ht="22.5" hidden="1" customHeight="1">
      <c r="A890" s="49"/>
      <c r="B890" s="81"/>
      <c r="C890" s="97"/>
      <c r="D890" s="49"/>
      <c r="E890" s="49"/>
      <c r="F890" s="98"/>
      <c r="G890" s="98"/>
      <c r="H890" s="97"/>
      <c r="I890" s="99" t="str">
        <f t="shared" si="5"/>
        <v/>
      </c>
      <c r="J890" s="49"/>
      <c r="K890" s="49"/>
      <c r="L890" s="49" t="str">
        <f t="shared" si="8"/>
        <v>EN PROCESO</v>
      </c>
      <c r="M890" s="49"/>
      <c r="N890" s="49"/>
    </row>
    <row r="891" ht="22.5" hidden="1" customHeight="1">
      <c r="A891" s="101"/>
      <c r="B891" s="102"/>
      <c r="C891" s="103"/>
      <c r="D891" s="101"/>
      <c r="E891" s="101"/>
      <c r="F891" s="104"/>
      <c r="G891" s="104"/>
      <c r="H891" s="103"/>
      <c r="I891" s="99" t="str">
        <f t="shared" si="5"/>
        <v/>
      </c>
      <c r="J891" s="101"/>
      <c r="K891" s="101"/>
      <c r="L891" s="101" t="str">
        <f t="shared" si="8"/>
        <v>EN PROCESO</v>
      </c>
      <c r="M891" s="101"/>
      <c r="N891" s="101"/>
    </row>
    <row r="892" ht="22.5" hidden="1" customHeight="1">
      <c r="A892" s="49"/>
      <c r="B892" s="81"/>
      <c r="C892" s="97"/>
      <c r="D892" s="49"/>
      <c r="E892" s="49"/>
      <c r="F892" s="98"/>
      <c r="G892" s="98"/>
      <c r="H892" s="97"/>
      <c r="I892" s="99" t="str">
        <f t="shared" si="5"/>
        <v/>
      </c>
      <c r="J892" s="49"/>
      <c r="K892" s="49"/>
      <c r="L892" s="49" t="str">
        <f t="shared" si="8"/>
        <v>EN PROCESO</v>
      </c>
      <c r="M892" s="49"/>
      <c r="N892" s="49"/>
    </row>
    <row r="893" ht="22.5" hidden="1" customHeight="1">
      <c r="A893" s="101"/>
      <c r="B893" s="102"/>
      <c r="C893" s="103"/>
      <c r="D893" s="101"/>
      <c r="E893" s="101"/>
      <c r="F893" s="104"/>
      <c r="G893" s="104"/>
      <c r="H893" s="103"/>
      <c r="I893" s="99" t="str">
        <f t="shared" si="5"/>
        <v/>
      </c>
      <c r="J893" s="101"/>
      <c r="K893" s="101"/>
      <c r="L893" s="101" t="str">
        <f t="shared" si="8"/>
        <v>EN PROCESO</v>
      </c>
      <c r="M893" s="101"/>
      <c r="N893" s="101"/>
    </row>
    <row r="894" ht="22.5" hidden="1" customHeight="1">
      <c r="A894" s="49"/>
      <c r="B894" s="81"/>
      <c r="C894" s="97"/>
      <c r="D894" s="49"/>
      <c r="E894" s="49"/>
      <c r="F894" s="98"/>
      <c r="G894" s="98"/>
      <c r="H894" s="97"/>
      <c r="I894" s="99" t="str">
        <f t="shared" si="5"/>
        <v/>
      </c>
      <c r="J894" s="49"/>
      <c r="K894" s="49"/>
      <c r="L894" s="49" t="str">
        <f t="shared" si="8"/>
        <v>EN PROCESO</v>
      </c>
      <c r="M894" s="49"/>
      <c r="N894" s="49"/>
    </row>
    <row r="895" ht="22.5" hidden="1" customHeight="1">
      <c r="A895" s="101"/>
      <c r="B895" s="102"/>
      <c r="C895" s="103"/>
      <c r="D895" s="101"/>
      <c r="E895" s="101"/>
      <c r="F895" s="104"/>
      <c r="G895" s="104"/>
      <c r="H895" s="103"/>
      <c r="I895" s="99" t="str">
        <f t="shared" si="5"/>
        <v/>
      </c>
      <c r="J895" s="101"/>
      <c r="K895" s="101"/>
      <c r="L895" s="101" t="str">
        <f t="shared" si="8"/>
        <v>EN PROCESO</v>
      </c>
      <c r="M895" s="101"/>
      <c r="N895" s="101"/>
    </row>
    <row r="896" ht="22.5" hidden="1" customHeight="1">
      <c r="A896" s="49"/>
      <c r="B896" s="81"/>
      <c r="C896" s="97"/>
      <c r="D896" s="49"/>
      <c r="E896" s="49"/>
      <c r="F896" s="98"/>
      <c r="G896" s="98"/>
      <c r="H896" s="97"/>
      <c r="I896" s="99" t="str">
        <f t="shared" si="5"/>
        <v/>
      </c>
      <c r="J896" s="49"/>
      <c r="K896" s="49"/>
      <c r="L896" s="49" t="str">
        <f t="shared" si="8"/>
        <v>EN PROCESO</v>
      </c>
      <c r="M896" s="49"/>
      <c r="N896" s="49"/>
    </row>
    <row r="897" ht="22.5" hidden="1" customHeight="1">
      <c r="A897" s="101"/>
      <c r="B897" s="102"/>
      <c r="C897" s="103"/>
      <c r="D897" s="101"/>
      <c r="E897" s="101"/>
      <c r="F897" s="104"/>
      <c r="G897" s="104"/>
      <c r="H897" s="103"/>
      <c r="I897" s="99" t="str">
        <f t="shared" si="5"/>
        <v/>
      </c>
      <c r="J897" s="101"/>
      <c r="K897" s="101"/>
      <c r="L897" s="101" t="str">
        <f t="shared" si="8"/>
        <v>EN PROCESO</v>
      </c>
      <c r="M897" s="101"/>
      <c r="N897" s="101"/>
    </row>
    <row r="898" ht="22.5" hidden="1" customHeight="1">
      <c r="A898" s="49"/>
      <c r="B898" s="81"/>
      <c r="C898" s="97"/>
      <c r="D898" s="49"/>
      <c r="E898" s="49"/>
      <c r="F898" s="98"/>
      <c r="G898" s="98"/>
      <c r="H898" s="97"/>
      <c r="I898" s="99" t="str">
        <f t="shared" si="5"/>
        <v/>
      </c>
      <c r="J898" s="49"/>
      <c r="K898" s="49"/>
      <c r="L898" s="49" t="str">
        <f t="shared" si="8"/>
        <v>EN PROCESO</v>
      </c>
      <c r="M898" s="49"/>
      <c r="N898" s="49"/>
    </row>
    <row r="899" ht="22.5" hidden="1" customHeight="1">
      <c r="A899" s="101"/>
      <c r="B899" s="102"/>
      <c r="C899" s="103"/>
      <c r="D899" s="101"/>
      <c r="E899" s="101"/>
      <c r="F899" s="104"/>
      <c r="G899" s="104"/>
      <c r="H899" s="103"/>
      <c r="I899" s="99" t="str">
        <f t="shared" si="5"/>
        <v/>
      </c>
      <c r="J899" s="101"/>
      <c r="K899" s="101"/>
      <c r="L899" s="101" t="str">
        <f t="shared" si="8"/>
        <v>EN PROCESO</v>
      </c>
      <c r="M899" s="101"/>
      <c r="N899" s="101"/>
    </row>
    <row r="900" ht="22.5" hidden="1" customHeight="1">
      <c r="A900" s="49"/>
      <c r="B900" s="81"/>
      <c r="C900" s="97"/>
      <c r="D900" s="49"/>
      <c r="E900" s="49"/>
      <c r="F900" s="98"/>
      <c r="G900" s="98"/>
      <c r="H900" s="97"/>
      <c r="I900" s="99" t="str">
        <f t="shared" si="5"/>
        <v/>
      </c>
      <c r="J900" s="49"/>
      <c r="K900" s="49"/>
      <c r="L900" s="49" t="str">
        <f t="shared" si="8"/>
        <v>EN PROCESO</v>
      </c>
      <c r="M900" s="49"/>
      <c r="N900" s="49"/>
    </row>
    <row r="901" ht="22.5" hidden="1" customHeight="1">
      <c r="A901" s="101"/>
      <c r="B901" s="102"/>
      <c r="C901" s="103"/>
      <c r="D901" s="101"/>
      <c r="E901" s="101"/>
      <c r="F901" s="104"/>
      <c r="G901" s="104"/>
      <c r="H901" s="103"/>
      <c r="I901" s="99" t="str">
        <f t="shared" si="5"/>
        <v/>
      </c>
      <c r="J901" s="101"/>
      <c r="K901" s="101"/>
      <c r="L901" s="101" t="str">
        <f t="shared" si="8"/>
        <v>EN PROCESO</v>
      </c>
      <c r="M901" s="101"/>
      <c r="N901" s="101"/>
    </row>
    <row r="902" ht="22.5" hidden="1" customHeight="1">
      <c r="A902" s="49"/>
      <c r="B902" s="81"/>
      <c r="C902" s="97"/>
      <c r="D902" s="49"/>
      <c r="E902" s="49"/>
      <c r="F902" s="98"/>
      <c r="G902" s="98"/>
      <c r="H902" s="97"/>
      <c r="I902" s="99" t="str">
        <f t="shared" si="5"/>
        <v/>
      </c>
      <c r="J902" s="49"/>
      <c r="K902" s="49"/>
      <c r="L902" s="49" t="str">
        <f t="shared" si="8"/>
        <v>EN PROCESO</v>
      </c>
      <c r="M902" s="49"/>
      <c r="N902" s="49"/>
    </row>
    <row r="903" ht="22.5" hidden="1" customHeight="1">
      <c r="A903" s="101"/>
      <c r="B903" s="102"/>
      <c r="C903" s="103"/>
      <c r="D903" s="101"/>
      <c r="E903" s="101"/>
      <c r="F903" s="104"/>
      <c r="G903" s="104"/>
      <c r="H903" s="103"/>
      <c r="I903" s="99" t="str">
        <f t="shared" si="5"/>
        <v/>
      </c>
      <c r="J903" s="101"/>
      <c r="K903" s="101"/>
      <c r="L903" s="101" t="str">
        <f t="shared" si="8"/>
        <v>EN PROCESO</v>
      </c>
      <c r="M903" s="101"/>
      <c r="N903" s="101"/>
    </row>
    <row r="904" ht="22.5" hidden="1" customHeight="1">
      <c r="A904" s="49"/>
      <c r="B904" s="81"/>
      <c r="C904" s="97"/>
      <c r="D904" s="49"/>
      <c r="E904" s="49"/>
      <c r="F904" s="98"/>
      <c r="G904" s="98"/>
      <c r="H904" s="97"/>
      <c r="I904" s="99" t="str">
        <f t="shared" si="5"/>
        <v/>
      </c>
      <c r="J904" s="49"/>
      <c r="K904" s="49"/>
      <c r="L904" s="49" t="str">
        <f t="shared" si="8"/>
        <v>EN PROCESO</v>
      </c>
      <c r="M904" s="49"/>
      <c r="N904" s="49"/>
    </row>
    <row r="905" ht="22.5" hidden="1" customHeight="1">
      <c r="A905" s="101"/>
      <c r="B905" s="102"/>
      <c r="C905" s="103"/>
      <c r="D905" s="101"/>
      <c r="E905" s="101"/>
      <c r="F905" s="104"/>
      <c r="G905" s="104"/>
      <c r="H905" s="103"/>
      <c r="I905" s="99" t="str">
        <f t="shared" si="5"/>
        <v/>
      </c>
      <c r="J905" s="101"/>
      <c r="K905" s="101"/>
      <c r="L905" s="101" t="str">
        <f t="shared" si="8"/>
        <v>EN PROCESO</v>
      </c>
      <c r="M905" s="101"/>
      <c r="N905" s="101"/>
    </row>
    <row r="906" ht="22.5" hidden="1" customHeight="1">
      <c r="A906" s="49"/>
      <c r="B906" s="81"/>
      <c r="C906" s="97"/>
      <c r="D906" s="49"/>
      <c r="E906" s="49"/>
      <c r="F906" s="98"/>
      <c r="G906" s="98"/>
      <c r="H906" s="97"/>
      <c r="I906" s="99" t="str">
        <f t="shared" si="5"/>
        <v/>
      </c>
      <c r="J906" s="49"/>
      <c r="K906" s="49"/>
      <c r="L906" s="49" t="str">
        <f t="shared" si="8"/>
        <v>EN PROCESO</v>
      </c>
      <c r="M906" s="49"/>
      <c r="N906" s="49"/>
    </row>
    <row r="907" ht="22.5" hidden="1" customHeight="1">
      <c r="A907" s="101"/>
      <c r="B907" s="102"/>
      <c r="C907" s="103"/>
      <c r="D907" s="101"/>
      <c r="E907" s="101"/>
      <c r="F907" s="104"/>
      <c r="G907" s="104"/>
      <c r="H907" s="103"/>
      <c r="I907" s="99" t="str">
        <f t="shared" si="5"/>
        <v/>
      </c>
      <c r="J907" s="101"/>
      <c r="K907" s="101"/>
      <c r="L907" s="101" t="str">
        <f t="shared" si="8"/>
        <v>EN PROCESO</v>
      </c>
      <c r="M907" s="101"/>
      <c r="N907" s="101"/>
    </row>
    <row r="908" ht="22.5" hidden="1" customHeight="1">
      <c r="A908" s="49"/>
      <c r="B908" s="81"/>
      <c r="C908" s="97"/>
      <c r="D908" s="49"/>
      <c r="E908" s="49"/>
      <c r="F908" s="98"/>
      <c r="G908" s="98"/>
      <c r="H908" s="97"/>
      <c r="I908" s="99" t="str">
        <f t="shared" si="5"/>
        <v/>
      </c>
      <c r="J908" s="49"/>
      <c r="K908" s="49"/>
      <c r="L908" s="49" t="str">
        <f t="shared" si="8"/>
        <v>EN PROCESO</v>
      </c>
      <c r="M908" s="49"/>
      <c r="N908" s="49"/>
    </row>
    <row r="909" ht="22.5" hidden="1" customHeight="1">
      <c r="A909" s="101"/>
      <c r="B909" s="102"/>
      <c r="C909" s="103"/>
      <c r="D909" s="101"/>
      <c r="E909" s="101"/>
      <c r="F909" s="104"/>
      <c r="G909" s="104"/>
      <c r="H909" s="103"/>
      <c r="I909" s="99" t="str">
        <f t="shared" si="5"/>
        <v/>
      </c>
      <c r="J909" s="101"/>
      <c r="K909" s="101"/>
      <c r="L909" s="101" t="str">
        <f t="shared" si="8"/>
        <v>EN PROCESO</v>
      </c>
      <c r="M909" s="101"/>
      <c r="N909" s="101"/>
    </row>
    <row r="910" ht="22.5" hidden="1" customHeight="1">
      <c r="A910" s="49"/>
      <c r="B910" s="81"/>
      <c r="C910" s="97"/>
      <c r="D910" s="49"/>
      <c r="E910" s="49"/>
      <c r="F910" s="98"/>
      <c r="G910" s="98"/>
      <c r="H910" s="97"/>
      <c r="I910" s="99" t="str">
        <f t="shared" si="5"/>
        <v/>
      </c>
      <c r="J910" s="49"/>
      <c r="K910" s="49"/>
      <c r="L910" s="49" t="str">
        <f t="shared" si="8"/>
        <v>EN PROCESO</v>
      </c>
      <c r="M910" s="49"/>
      <c r="N910" s="49"/>
    </row>
    <row r="911" ht="22.5" hidden="1" customHeight="1">
      <c r="A911" s="101"/>
      <c r="B911" s="102"/>
      <c r="C911" s="103"/>
      <c r="D911" s="101"/>
      <c r="E911" s="101"/>
      <c r="F911" s="104"/>
      <c r="G911" s="104"/>
      <c r="H911" s="103"/>
      <c r="I911" s="99" t="str">
        <f t="shared" si="5"/>
        <v/>
      </c>
      <c r="J911" s="101"/>
      <c r="K911" s="101"/>
      <c r="L911" s="101" t="str">
        <f t="shared" si="8"/>
        <v>EN PROCESO</v>
      </c>
      <c r="M911" s="101"/>
      <c r="N911" s="101"/>
    </row>
    <row r="912" ht="22.5" hidden="1" customHeight="1">
      <c r="A912" s="49"/>
      <c r="B912" s="81"/>
      <c r="C912" s="97"/>
      <c r="D912" s="49"/>
      <c r="E912" s="49"/>
      <c r="F912" s="98"/>
      <c r="G912" s="98"/>
      <c r="H912" s="97"/>
      <c r="I912" s="99" t="str">
        <f t="shared" si="5"/>
        <v/>
      </c>
      <c r="J912" s="49"/>
      <c r="K912" s="49"/>
      <c r="L912" s="49" t="str">
        <f t="shared" si="8"/>
        <v>EN PROCESO</v>
      </c>
      <c r="M912" s="49"/>
      <c r="N912" s="49"/>
    </row>
    <row r="913" ht="22.5" hidden="1" customHeight="1">
      <c r="A913" s="101"/>
      <c r="B913" s="102"/>
      <c r="C913" s="103"/>
      <c r="D913" s="101"/>
      <c r="E913" s="101"/>
      <c r="F913" s="104"/>
      <c r="G913" s="104"/>
      <c r="H913" s="103"/>
      <c r="I913" s="99" t="str">
        <f t="shared" si="5"/>
        <v/>
      </c>
      <c r="J913" s="101"/>
      <c r="K913" s="101"/>
      <c r="L913" s="101" t="str">
        <f t="shared" si="8"/>
        <v>EN PROCESO</v>
      </c>
      <c r="M913" s="101"/>
      <c r="N913" s="101"/>
    </row>
    <row r="914" ht="22.5" hidden="1" customHeight="1">
      <c r="A914" s="49"/>
      <c r="B914" s="81"/>
      <c r="C914" s="97"/>
      <c r="D914" s="49"/>
      <c r="E914" s="49"/>
      <c r="F914" s="98"/>
      <c r="G914" s="98"/>
      <c r="H914" s="97"/>
      <c r="I914" s="99" t="str">
        <f t="shared" si="5"/>
        <v/>
      </c>
      <c r="J914" s="49"/>
      <c r="K914" s="49"/>
      <c r="L914" s="49" t="str">
        <f t="shared" si="8"/>
        <v>EN PROCESO</v>
      </c>
      <c r="M914" s="49"/>
      <c r="N914" s="49"/>
    </row>
    <row r="915" ht="22.5" hidden="1" customHeight="1">
      <c r="A915" s="101"/>
      <c r="B915" s="102"/>
      <c r="C915" s="103"/>
      <c r="D915" s="101"/>
      <c r="E915" s="101"/>
      <c r="F915" s="104"/>
      <c r="G915" s="104"/>
      <c r="H915" s="103"/>
      <c r="I915" s="99" t="str">
        <f t="shared" si="5"/>
        <v/>
      </c>
      <c r="J915" s="101"/>
      <c r="K915" s="101"/>
      <c r="L915" s="101" t="str">
        <f t="shared" si="8"/>
        <v>EN PROCESO</v>
      </c>
      <c r="M915" s="101"/>
      <c r="N915" s="101"/>
    </row>
    <row r="916" ht="22.5" hidden="1" customHeight="1">
      <c r="A916" s="49"/>
      <c r="B916" s="81"/>
      <c r="C916" s="97"/>
      <c r="D916" s="49"/>
      <c r="E916" s="49"/>
      <c r="F916" s="98"/>
      <c r="G916" s="98"/>
      <c r="H916" s="97"/>
      <c r="I916" s="99" t="str">
        <f t="shared" si="5"/>
        <v/>
      </c>
      <c r="J916" s="49"/>
      <c r="K916" s="49"/>
      <c r="L916" s="49" t="str">
        <f t="shared" si="8"/>
        <v>EN PROCESO</v>
      </c>
      <c r="M916" s="49"/>
      <c r="N916" s="49"/>
    </row>
    <row r="917" ht="22.5" hidden="1" customHeight="1">
      <c r="A917" s="101"/>
      <c r="B917" s="102"/>
      <c r="C917" s="103"/>
      <c r="D917" s="101"/>
      <c r="E917" s="101"/>
      <c r="F917" s="104"/>
      <c r="G917" s="104"/>
      <c r="H917" s="103"/>
      <c r="I917" s="99" t="str">
        <f t="shared" si="5"/>
        <v/>
      </c>
      <c r="J917" s="101"/>
      <c r="K917" s="101"/>
      <c r="L917" s="101" t="str">
        <f t="shared" si="8"/>
        <v>EN PROCESO</v>
      </c>
      <c r="M917" s="101"/>
      <c r="N917" s="101"/>
    </row>
    <row r="918" ht="22.5" hidden="1" customHeight="1">
      <c r="A918" s="49"/>
      <c r="B918" s="81"/>
      <c r="C918" s="97"/>
      <c r="D918" s="49"/>
      <c r="E918" s="49"/>
      <c r="F918" s="98"/>
      <c r="G918" s="98"/>
      <c r="H918" s="97"/>
      <c r="I918" s="99" t="str">
        <f t="shared" si="5"/>
        <v/>
      </c>
      <c r="J918" s="49"/>
      <c r="K918" s="49"/>
      <c r="L918" s="49" t="str">
        <f t="shared" si="8"/>
        <v>EN PROCESO</v>
      </c>
      <c r="M918" s="49"/>
      <c r="N918" s="49"/>
    </row>
    <row r="919" ht="22.5" hidden="1" customHeight="1">
      <c r="A919" s="101"/>
      <c r="B919" s="102"/>
      <c r="C919" s="103"/>
      <c r="D919" s="101"/>
      <c r="E919" s="101"/>
      <c r="F919" s="104"/>
      <c r="G919" s="104"/>
      <c r="H919" s="103"/>
      <c r="I919" s="99" t="str">
        <f t="shared" si="5"/>
        <v/>
      </c>
      <c r="J919" s="101"/>
      <c r="K919" s="101"/>
      <c r="L919" s="101" t="str">
        <f t="shared" si="8"/>
        <v>EN PROCESO</v>
      </c>
      <c r="M919" s="101"/>
      <c r="N919" s="101"/>
    </row>
    <row r="920" ht="22.5" hidden="1" customHeight="1">
      <c r="A920" s="49"/>
      <c r="B920" s="81"/>
      <c r="C920" s="97"/>
      <c r="D920" s="49"/>
      <c r="E920" s="49"/>
      <c r="F920" s="98"/>
      <c r="G920" s="98"/>
      <c r="H920" s="97"/>
      <c r="I920" s="99" t="str">
        <f t="shared" si="5"/>
        <v/>
      </c>
      <c r="J920" s="49"/>
      <c r="K920" s="49"/>
      <c r="L920" s="49" t="str">
        <f t="shared" si="8"/>
        <v>EN PROCESO</v>
      </c>
      <c r="M920" s="49"/>
      <c r="N920" s="49"/>
    </row>
    <row r="921" ht="22.5" hidden="1" customHeight="1">
      <c r="A921" s="101"/>
      <c r="B921" s="102"/>
      <c r="C921" s="103"/>
      <c r="D921" s="101"/>
      <c r="E921" s="101"/>
      <c r="F921" s="104"/>
      <c r="G921" s="104"/>
      <c r="H921" s="103"/>
      <c r="I921" s="99" t="str">
        <f t="shared" si="5"/>
        <v/>
      </c>
      <c r="J921" s="101"/>
      <c r="K921" s="101"/>
      <c r="L921" s="101" t="str">
        <f t="shared" si="8"/>
        <v>EN PROCESO</v>
      </c>
      <c r="M921" s="101"/>
      <c r="N921" s="101"/>
    </row>
    <row r="922" ht="22.5" hidden="1" customHeight="1">
      <c r="A922" s="49"/>
      <c r="B922" s="81"/>
      <c r="C922" s="97"/>
      <c r="D922" s="49"/>
      <c r="E922" s="49"/>
      <c r="F922" s="98"/>
      <c r="G922" s="98"/>
      <c r="H922" s="97"/>
      <c r="I922" s="99" t="str">
        <f t="shared" si="5"/>
        <v/>
      </c>
      <c r="J922" s="49"/>
      <c r="K922" s="49"/>
      <c r="L922" s="49" t="str">
        <f t="shared" si="8"/>
        <v>EN PROCESO</v>
      </c>
      <c r="M922" s="49"/>
      <c r="N922" s="49"/>
    </row>
    <row r="923" ht="22.5" hidden="1" customHeight="1">
      <c r="A923" s="101"/>
      <c r="B923" s="102"/>
      <c r="C923" s="103"/>
      <c r="D923" s="101"/>
      <c r="E923" s="101"/>
      <c r="F923" s="104"/>
      <c r="G923" s="104"/>
      <c r="H923" s="103"/>
      <c r="I923" s="99" t="str">
        <f t="shared" si="5"/>
        <v/>
      </c>
      <c r="J923" s="101"/>
      <c r="K923" s="101"/>
      <c r="L923" s="101" t="str">
        <f t="shared" si="8"/>
        <v>EN PROCESO</v>
      </c>
      <c r="M923" s="101"/>
      <c r="N923" s="101"/>
    </row>
    <row r="924" ht="22.5" hidden="1" customHeight="1">
      <c r="A924" s="49"/>
      <c r="B924" s="81"/>
      <c r="C924" s="97"/>
      <c r="D924" s="49"/>
      <c r="E924" s="49"/>
      <c r="F924" s="98"/>
      <c r="G924" s="98"/>
      <c r="H924" s="97"/>
      <c r="I924" s="99" t="str">
        <f t="shared" si="5"/>
        <v/>
      </c>
      <c r="J924" s="49"/>
      <c r="K924" s="49"/>
      <c r="L924" s="49" t="str">
        <f t="shared" si="8"/>
        <v>EN PROCESO</v>
      </c>
      <c r="M924" s="49"/>
      <c r="N924" s="49"/>
    </row>
    <row r="925" ht="22.5" hidden="1" customHeight="1">
      <c r="A925" s="101"/>
      <c r="B925" s="102"/>
      <c r="C925" s="103"/>
      <c r="D925" s="101"/>
      <c r="E925" s="101"/>
      <c r="F925" s="104"/>
      <c r="G925" s="104"/>
      <c r="H925" s="103"/>
      <c r="I925" s="99" t="str">
        <f t="shared" si="5"/>
        <v/>
      </c>
      <c r="J925" s="101"/>
      <c r="K925" s="101"/>
      <c r="L925" s="101" t="str">
        <f t="shared" si="8"/>
        <v>EN PROCESO</v>
      </c>
      <c r="M925" s="101"/>
      <c r="N925" s="101"/>
    </row>
    <row r="926" ht="22.5" hidden="1" customHeight="1">
      <c r="A926" s="49"/>
      <c r="B926" s="81"/>
      <c r="C926" s="97"/>
      <c r="D926" s="49"/>
      <c r="E926" s="49"/>
      <c r="F926" s="98"/>
      <c r="G926" s="98"/>
      <c r="H926" s="97"/>
      <c r="I926" s="99" t="str">
        <f t="shared" si="5"/>
        <v/>
      </c>
      <c r="J926" s="49"/>
      <c r="K926" s="49"/>
      <c r="L926" s="49" t="str">
        <f t="shared" si="8"/>
        <v>EN PROCESO</v>
      </c>
      <c r="M926" s="49"/>
      <c r="N926" s="49"/>
    </row>
    <row r="927" ht="22.5" hidden="1" customHeight="1">
      <c r="A927" s="101"/>
      <c r="B927" s="102"/>
      <c r="C927" s="103"/>
      <c r="D927" s="101"/>
      <c r="E927" s="101"/>
      <c r="F927" s="104"/>
      <c r="G927" s="104"/>
      <c r="H927" s="103"/>
      <c r="I927" s="99" t="str">
        <f t="shared" si="5"/>
        <v/>
      </c>
      <c r="J927" s="101"/>
      <c r="K927" s="101"/>
      <c r="L927" s="101" t="str">
        <f t="shared" si="8"/>
        <v>EN PROCESO</v>
      </c>
      <c r="M927" s="101"/>
      <c r="N927" s="101"/>
    </row>
    <row r="928" ht="22.5" hidden="1" customHeight="1">
      <c r="A928" s="49"/>
      <c r="B928" s="81"/>
      <c r="C928" s="97"/>
      <c r="D928" s="49"/>
      <c r="E928" s="49"/>
      <c r="F928" s="98"/>
      <c r="G928" s="98"/>
      <c r="H928" s="97"/>
      <c r="I928" s="99" t="str">
        <f t="shared" si="5"/>
        <v/>
      </c>
      <c r="J928" s="49"/>
      <c r="K928" s="49"/>
      <c r="L928" s="49" t="str">
        <f t="shared" si="8"/>
        <v>EN PROCESO</v>
      </c>
      <c r="M928" s="49"/>
      <c r="N928" s="49"/>
    </row>
    <row r="929" ht="22.5" hidden="1" customHeight="1">
      <c r="A929" s="101"/>
      <c r="B929" s="102"/>
      <c r="C929" s="103"/>
      <c r="D929" s="101"/>
      <c r="E929" s="101"/>
      <c r="F929" s="104"/>
      <c r="G929" s="104"/>
      <c r="H929" s="103"/>
      <c r="I929" s="99" t="str">
        <f t="shared" si="5"/>
        <v/>
      </c>
      <c r="J929" s="101"/>
      <c r="K929" s="101"/>
      <c r="L929" s="101" t="str">
        <f t="shared" si="8"/>
        <v>EN PROCESO</v>
      </c>
      <c r="M929" s="101"/>
      <c r="N929" s="101"/>
    </row>
    <row r="930" ht="22.5" hidden="1" customHeight="1">
      <c r="A930" s="49"/>
      <c r="B930" s="81"/>
      <c r="C930" s="97"/>
      <c r="D930" s="49"/>
      <c r="E930" s="49"/>
      <c r="F930" s="98"/>
      <c r="G930" s="98"/>
      <c r="H930" s="97"/>
      <c r="I930" s="99" t="str">
        <f t="shared" si="5"/>
        <v/>
      </c>
      <c r="J930" s="49"/>
      <c r="K930" s="49"/>
      <c r="L930" s="49" t="str">
        <f t="shared" si="8"/>
        <v>EN PROCESO</v>
      </c>
      <c r="M930" s="49"/>
      <c r="N930" s="49"/>
    </row>
    <row r="931" ht="22.5" hidden="1" customHeight="1">
      <c r="A931" s="101"/>
      <c r="B931" s="102"/>
      <c r="C931" s="103"/>
      <c r="D931" s="101"/>
      <c r="E931" s="101"/>
      <c r="F931" s="104"/>
      <c r="G931" s="104"/>
      <c r="H931" s="103"/>
      <c r="I931" s="99" t="str">
        <f t="shared" si="5"/>
        <v/>
      </c>
      <c r="J931" s="101"/>
      <c r="K931" s="101"/>
      <c r="L931" s="101" t="str">
        <f t="shared" si="8"/>
        <v>EN PROCESO</v>
      </c>
      <c r="M931" s="101"/>
      <c r="N931" s="101"/>
    </row>
    <row r="932" ht="22.5" hidden="1" customHeight="1">
      <c r="A932" s="49"/>
      <c r="B932" s="81"/>
      <c r="C932" s="97"/>
      <c r="D932" s="49"/>
      <c r="E932" s="49"/>
      <c r="F932" s="98"/>
      <c r="G932" s="98"/>
      <c r="H932" s="97"/>
      <c r="I932" s="99" t="str">
        <f t="shared" si="5"/>
        <v/>
      </c>
      <c r="J932" s="49"/>
      <c r="K932" s="49"/>
      <c r="L932" s="49" t="str">
        <f t="shared" si="8"/>
        <v>EN PROCESO</v>
      </c>
      <c r="M932" s="49"/>
      <c r="N932" s="49"/>
    </row>
    <row r="933" ht="22.5" hidden="1" customHeight="1">
      <c r="A933" s="101"/>
      <c r="B933" s="102"/>
      <c r="C933" s="103"/>
      <c r="D933" s="101"/>
      <c r="E933" s="101"/>
      <c r="F933" s="104"/>
      <c r="G933" s="104"/>
      <c r="H933" s="103"/>
      <c r="I933" s="99" t="str">
        <f t="shared" si="5"/>
        <v/>
      </c>
      <c r="J933" s="101"/>
      <c r="K933" s="101"/>
      <c r="L933" s="101" t="str">
        <f t="shared" si="8"/>
        <v>EN PROCESO</v>
      </c>
      <c r="M933" s="101"/>
      <c r="N933" s="101"/>
    </row>
    <row r="934" ht="22.5" hidden="1" customHeight="1">
      <c r="A934" s="49"/>
      <c r="B934" s="81"/>
      <c r="C934" s="97"/>
      <c r="D934" s="49"/>
      <c r="E934" s="49"/>
      <c r="F934" s="98"/>
      <c r="G934" s="98"/>
      <c r="H934" s="97"/>
      <c r="I934" s="99" t="str">
        <f t="shared" si="5"/>
        <v/>
      </c>
      <c r="J934" s="49"/>
      <c r="K934" s="49"/>
      <c r="L934" s="49" t="str">
        <f t="shared" si="8"/>
        <v>EN PROCESO</v>
      </c>
      <c r="M934" s="49"/>
      <c r="N934" s="49"/>
    </row>
    <row r="935" ht="22.5" hidden="1" customHeight="1">
      <c r="A935" s="101"/>
      <c r="B935" s="102"/>
      <c r="C935" s="103"/>
      <c r="D935" s="101"/>
      <c r="E935" s="101"/>
      <c r="F935" s="104"/>
      <c r="G935" s="104"/>
      <c r="H935" s="103"/>
      <c r="I935" s="99" t="str">
        <f t="shared" si="5"/>
        <v/>
      </c>
      <c r="J935" s="101"/>
      <c r="K935" s="101"/>
      <c r="L935" s="101" t="str">
        <f t="shared" si="8"/>
        <v>EN PROCESO</v>
      </c>
      <c r="M935" s="101"/>
      <c r="N935" s="101"/>
    </row>
    <row r="936" ht="22.5" hidden="1" customHeight="1">
      <c r="A936" s="49"/>
      <c r="B936" s="81"/>
      <c r="C936" s="97"/>
      <c r="D936" s="49"/>
      <c r="E936" s="49"/>
      <c r="F936" s="98"/>
      <c r="G936" s="98"/>
      <c r="H936" s="97"/>
      <c r="I936" s="99" t="str">
        <f t="shared" si="5"/>
        <v/>
      </c>
      <c r="J936" s="49"/>
      <c r="K936" s="49"/>
      <c r="L936" s="49" t="str">
        <f t="shared" si="8"/>
        <v>EN PROCESO</v>
      </c>
      <c r="M936" s="49"/>
      <c r="N936" s="49"/>
    </row>
    <row r="937" ht="22.5" hidden="1" customHeight="1">
      <c r="A937" s="101"/>
      <c r="B937" s="102"/>
      <c r="C937" s="103"/>
      <c r="D937" s="101"/>
      <c r="E937" s="101"/>
      <c r="F937" s="104"/>
      <c r="G937" s="104"/>
      <c r="H937" s="103"/>
      <c r="I937" s="99" t="str">
        <f t="shared" si="5"/>
        <v/>
      </c>
      <c r="J937" s="101"/>
      <c r="K937" s="101"/>
      <c r="L937" s="101" t="str">
        <f t="shared" si="8"/>
        <v>EN PROCESO</v>
      </c>
      <c r="M937" s="101"/>
      <c r="N937" s="101"/>
    </row>
    <row r="938" ht="22.5" hidden="1" customHeight="1">
      <c r="A938" s="49"/>
      <c r="B938" s="81"/>
      <c r="C938" s="97"/>
      <c r="D938" s="49"/>
      <c r="E938" s="49"/>
      <c r="F938" s="98"/>
      <c r="G938" s="98"/>
      <c r="H938" s="97"/>
      <c r="I938" s="99" t="str">
        <f t="shared" si="5"/>
        <v/>
      </c>
      <c r="J938" s="49"/>
      <c r="K938" s="49"/>
      <c r="L938" s="49" t="str">
        <f t="shared" si="8"/>
        <v>EN PROCESO</v>
      </c>
      <c r="M938" s="49"/>
      <c r="N938" s="49"/>
    </row>
    <row r="939" ht="22.5" hidden="1" customHeight="1">
      <c r="A939" s="101"/>
      <c r="B939" s="102"/>
      <c r="C939" s="103"/>
      <c r="D939" s="101"/>
      <c r="E939" s="101"/>
      <c r="F939" s="104"/>
      <c r="G939" s="104"/>
      <c r="H939" s="103"/>
      <c r="I939" s="99" t="str">
        <f t="shared" si="5"/>
        <v/>
      </c>
      <c r="J939" s="101"/>
      <c r="K939" s="101"/>
      <c r="L939" s="101" t="str">
        <f t="shared" si="8"/>
        <v>EN PROCESO</v>
      </c>
      <c r="M939" s="101"/>
      <c r="N939" s="101"/>
    </row>
    <row r="940" ht="22.5" hidden="1" customHeight="1">
      <c r="A940" s="49"/>
      <c r="B940" s="81"/>
      <c r="C940" s="97"/>
      <c r="D940" s="49"/>
      <c r="E940" s="49"/>
      <c r="F940" s="98"/>
      <c r="G940" s="98"/>
      <c r="H940" s="97"/>
      <c r="I940" s="99" t="str">
        <f t="shared" si="5"/>
        <v/>
      </c>
      <c r="J940" s="49"/>
      <c r="K940" s="49"/>
      <c r="L940" s="49" t="str">
        <f t="shared" si="8"/>
        <v>EN PROCESO</v>
      </c>
      <c r="M940" s="49"/>
      <c r="N940" s="49"/>
    </row>
    <row r="941" ht="22.5" hidden="1" customHeight="1">
      <c r="A941" s="101"/>
      <c r="B941" s="102"/>
      <c r="C941" s="103"/>
      <c r="D941" s="101"/>
      <c r="E941" s="101"/>
      <c r="F941" s="104"/>
      <c r="G941" s="104"/>
      <c r="H941" s="103"/>
      <c r="I941" s="99" t="str">
        <f t="shared" si="5"/>
        <v/>
      </c>
      <c r="J941" s="101"/>
      <c r="K941" s="101"/>
      <c r="L941" s="101" t="str">
        <f t="shared" si="8"/>
        <v>EN PROCESO</v>
      </c>
      <c r="M941" s="101"/>
      <c r="N941" s="101"/>
    </row>
    <row r="942" ht="22.5" hidden="1" customHeight="1">
      <c r="A942" s="49"/>
      <c r="B942" s="81"/>
      <c r="C942" s="97"/>
      <c r="D942" s="49"/>
      <c r="E942" s="49"/>
      <c r="F942" s="98"/>
      <c r="G942" s="98"/>
      <c r="H942" s="97"/>
      <c r="I942" s="99" t="str">
        <f t="shared" si="5"/>
        <v/>
      </c>
      <c r="J942" s="49"/>
      <c r="K942" s="49"/>
      <c r="L942" s="49" t="str">
        <f t="shared" si="8"/>
        <v>EN PROCESO</v>
      </c>
      <c r="M942" s="49"/>
      <c r="N942" s="49"/>
    </row>
    <row r="943" ht="22.5" hidden="1" customHeight="1">
      <c r="A943" s="101"/>
      <c r="B943" s="102"/>
      <c r="C943" s="103"/>
      <c r="D943" s="101"/>
      <c r="E943" s="101"/>
      <c r="F943" s="104"/>
      <c r="G943" s="104"/>
      <c r="H943" s="103"/>
      <c r="I943" s="99" t="str">
        <f t="shared" si="5"/>
        <v/>
      </c>
      <c r="J943" s="101"/>
      <c r="K943" s="101"/>
      <c r="L943" s="101" t="str">
        <f t="shared" si="8"/>
        <v>EN PROCESO</v>
      </c>
      <c r="M943" s="101"/>
      <c r="N943" s="101"/>
    </row>
    <row r="944" ht="22.5" hidden="1" customHeight="1">
      <c r="A944" s="49"/>
      <c r="B944" s="81"/>
      <c r="C944" s="97"/>
      <c r="D944" s="49"/>
      <c r="E944" s="49"/>
      <c r="F944" s="98"/>
      <c r="G944" s="98"/>
      <c r="H944" s="97"/>
      <c r="I944" s="99" t="str">
        <f t="shared" si="5"/>
        <v/>
      </c>
      <c r="J944" s="49"/>
      <c r="K944" s="49"/>
      <c r="L944" s="49" t="str">
        <f t="shared" si="8"/>
        <v>EN PROCESO</v>
      </c>
      <c r="M944" s="49"/>
      <c r="N944" s="49"/>
    </row>
    <row r="945" ht="22.5" hidden="1" customHeight="1">
      <c r="A945" s="101"/>
      <c r="B945" s="102"/>
      <c r="C945" s="103"/>
      <c r="D945" s="101"/>
      <c r="E945" s="101"/>
      <c r="F945" s="104"/>
      <c r="G945" s="104"/>
      <c r="H945" s="103"/>
      <c r="I945" s="99" t="str">
        <f t="shared" si="5"/>
        <v/>
      </c>
      <c r="J945" s="101"/>
      <c r="K945" s="101"/>
      <c r="L945" s="101" t="str">
        <f t="shared" si="8"/>
        <v>EN PROCESO</v>
      </c>
      <c r="M945" s="101"/>
      <c r="N945" s="101"/>
    </row>
    <row r="946" ht="22.5" hidden="1" customHeight="1">
      <c r="A946" s="49"/>
      <c r="B946" s="81"/>
      <c r="C946" s="97"/>
      <c r="D946" s="49"/>
      <c r="E946" s="49"/>
      <c r="F946" s="98"/>
      <c r="G946" s="98"/>
      <c r="H946" s="97"/>
      <c r="I946" s="99" t="str">
        <f t="shared" si="5"/>
        <v/>
      </c>
      <c r="J946" s="49"/>
      <c r="K946" s="49"/>
      <c r="L946" s="49" t="str">
        <f t="shared" si="8"/>
        <v>EN PROCESO</v>
      </c>
      <c r="M946" s="49"/>
      <c r="N946" s="49"/>
    </row>
    <row r="947" ht="22.5" hidden="1" customHeight="1">
      <c r="A947" s="101"/>
      <c r="B947" s="102"/>
      <c r="C947" s="103"/>
      <c r="D947" s="101"/>
      <c r="E947" s="101"/>
      <c r="F947" s="104"/>
      <c r="G947" s="104"/>
      <c r="H947" s="103"/>
      <c r="I947" s="99" t="str">
        <f t="shared" si="5"/>
        <v/>
      </c>
      <c r="J947" s="101"/>
      <c r="K947" s="101"/>
      <c r="L947" s="101" t="str">
        <f t="shared" si="8"/>
        <v>EN PROCESO</v>
      </c>
      <c r="M947" s="101"/>
      <c r="N947" s="101"/>
    </row>
    <row r="948" ht="22.5" hidden="1" customHeight="1">
      <c r="A948" s="49"/>
      <c r="B948" s="81"/>
      <c r="C948" s="97"/>
      <c r="D948" s="49"/>
      <c r="E948" s="49"/>
      <c r="F948" s="98"/>
      <c r="G948" s="98"/>
      <c r="H948" s="97"/>
      <c r="I948" s="99" t="str">
        <f t="shared" si="5"/>
        <v/>
      </c>
      <c r="J948" s="49"/>
      <c r="K948" s="49"/>
      <c r="L948" s="49" t="str">
        <f t="shared" si="8"/>
        <v>EN PROCESO</v>
      </c>
      <c r="M948" s="49"/>
      <c r="N948" s="49"/>
    </row>
    <row r="949" ht="22.5" hidden="1" customHeight="1">
      <c r="A949" s="101"/>
      <c r="B949" s="102"/>
      <c r="C949" s="103"/>
      <c r="D949" s="101"/>
      <c r="E949" s="101"/>
      <c r="F949" s="104"/>
      <c r="G949" s="104"/>
      <c r="H949" s="103"/>
      <c r="I949" s="99" t="str">
        <f t="shared" si="5"/>
        <v/>
      </c>
      <c r="J949" s="101"/>
      <c r="K949" s="101"/>
      <c r="L949" s="101" t="str">
        <f t="shared" si="8"/>
        <v>EN PROCESO</v>
      </c>
      <c r="M949" s="101"/>
      <c r="N949" s="101"/>
    </row>
    <row r="950" ht="22.5" hidden="1" customHeight="1">
      <c r="A950" s="49"/>
      <c r="B950" s="81"/>
      <c r="C950" s="97"/>
      <c r="D950" s="49"/>
      <c r="E950" s="49"/>
      <c r="F950" s="98"/>
      <c r="G950" s="98"/>
      <c r="H950" s="97"/>
      <c r="I950" s="99" t="str">
        <f t="shared" si="5"/>
        <v/>
      </c>
      <c r="J950" s="49"/>
      <c r="K950" s="49"/>
      <c r="L950" s="49" t="str">
        <f t="shared" si="8"/>
        <v>EN PROCESO</v>
      </c>
      <c r="M950" s="49"/>
      <c r="N950" s="49"/>
    </row>
    <row r="951" ht="22.5" hidden="1" customHeight="1">
      <c r="A951" s="101"/>
      <c r="B951" s="102"/>
      <c r="C951" s="103"/>
      <c r="D951" s="101"/>
      <c r="E951" s="101"/>
      <c r="F951" s="104"/>
      <c r="G951" s="104"/>
      <c r="H951" s="103"/>
      <c r="I951" s="99" t="str">
        <f t="shared" si="5"/>
        <v/>
      </c>
      <c r="J951" s="101"/>
      <c r="K951" s="101"/>
      <c r="L951" s="101" t="str">
        <f t="shared" si="8"/>
        <v>EN PROCESO</v>
      </c>
      <c r="M951" s="101"/>
      <c r="N951" s="101"/>
    </row>
    <row r="952" ht="22.5" hidden="1" customHeight="1">
      <c r="A952" s="49"/>
      <c r="B952" s="81"/>
      <c r="C952" s="97"/>
      <c r="D952" s="49"/>
      <c r="E952" s="49"/>
      <c r="F952" s="98"/>
      <c r="G952" s="98"/>
      <c r="H952" s="97"/>
      <c r="I952" s="99" t="str">
        <f t="shared" si="5"/>
        <v/>
      </c>
      <c r="J952" s="49"/>
      <c r="K952" s="49"/>
      <c r="L952" s="49" t="str">
        <f t="shared" si="8"/>
        <v>EN PROCESO</v>
      </c>
      <c r="M952" s="49"/>
      <c r="N952" s="49"/>
    </row>
    <row r="953" ht="22.5" hidden="1" customHeight="1">
      <c r="A953" s="101"/>
      <c r="B953" s="102"/>
      <c r="C953" s="103"/>
      <c r="D953" s="101"/>
      <c r="E953" s="101"/>
      <c r="F953" s="104"/>
      <c r="G953" s="104"/>
      <c r="H953" s="103"/>
      <c r="I953" s="99" t="str">
        <f t="shared" si="5"/>
        <v/>
      </c>
      <c r="J953" s="101"/>
      <c r="K953" s="101"/>
      <c r="L953" s="101" t="str">
        <f t="shared" si="8"/>
        <v>EN PROCESO</v>
      </c>
      <c r="M953" s="101"/>
      <c r="N953" s="101"/>
    </row>
    <row r="954" ht="22.5" hidden="1" customHeight="1">
      <c r="A954" s="49"/>
      <c r="B954" s="81"/>
      <c r="C954" s="97"/>
      <c r="D954" s="49"/>
      <c r="E954" s="49"/>
      <c r="F954" s="98"/>
      <c r="G954" s="98"/>
      <c r="H954" s="97"/>
      <c r="I954" s="99" t="str">
        <f t="shared" si="5"/>
        <v/>
      </c>
      <c r="J954" s="49"/>
      <c r="K954" s="49"/>
      <c r="L954" s="49" t="str">
        <f t="shared" si="8"/>
        <v>EN PROCESO</v>
      </c>
      <c r="M954" s="49"/>
      <c r="N954" s="49"/>
    </row>
    <row r="955" ht="22.5" hidden="1" customHeight="1">
      <c r="A955" s="101"/>
      <c r="B955" s="102"/>
      <c r="C955" s="103"/>
      <c r="D955" s="101"/>
      <c r="E955" s="101"/>
      <c r="F955" s="104"/>
      <c r="G955" s="104"/>
      <c r="H955" s="103"/>
      <c r="I955" s="99" t="str">
        <f t="shared" si="5"/>
        <v/>
      </c>
      <c r="J955" s="101"/>
      <c r="K955" s="101"/>
      <c r="L955" s="101" t="str">
        <f t="shared" si="8"/>
        <v>EN PROCESO</v>
      </c>
      <c r="M955" s="101"/>
      <c r="N955" s="101"/>
    </row>
    <row r="956" ht="22.5" hidden="1" customHeight="1">
      <c r="A956" s="49"/>
      <c r="B956" s="81"/>
      <c r="C956" s="97"/>
      <c r="D956" s="49"/>
      <c r="E956" s="49"/>
      <c r="F956" s="98"/>
      <c r="G956" s="98"/>
      <c r="H956" s="97"/>
      <c r="I956" s="99" t="str">
        <f t="shared" si="5"/>
        <v/>
      </c>
      <c r="J956" s="49"/>
      <c r="K956" s="49"/>
      <c r="L956" s="49" t="str">
        <f t="shared" si="8"/>
        <v>EN PROCESO</v>
      </c>
      <c r="M956" s="49"/>
      <c r="N956" s="49"/>
    </row>
    <row r="957" ht="22.5" hidden="1" customHeight="1">
      <c r="A957" s="101"/>
      <c r="B957" s="102"/>
      <c r="C957" s="103"/>
      <c r="D957" s="101"/>
      <c r="E957" s="101"/>
      <c r="F957" s="104"/>
      <c r="G957" s="104"/>
      <c r="H957" s="103"/>
      <c r="I957" s="99" t="str">
        <f t="shared" si="5"/>
        <v/>
      </c>
      <c r="J957" s="101"/>
      <c r="K957" s="101"/>
      <c r="L957" s="101" t="str">
        <f t="shared" si="8"/>
        <v>EN PROCESO</v>
      </c>
      <c r="M957" s="101"/>
      <c r="N957" s="101"/>
    </row>
    <row r="958" ht="22.5" hidden="1" customHeight="1">
      <c r="A958" s="49"/>
      <c r="B958" s="81"/>
      <c r="C958" s="97"/>
      <c r="D958" s="49"/>
      <c r="E958" s="49"/>
      <c r="F958" s="98"/>
      <c r="G958" s="98"/>
      <c r="H958" s="97"/>
      <c r="I958" s="99" t="str">
        <f t="shared" si="5"/>
        <v/>
      </c>
      <c r="J958" s="49"/>
      <c r="K958" s="49"/>
      <c r="L958" s="49" t="str">
        <f t="shared" si="8"/>
        <v>EN PROCESO</v>
      </c>
      <c r="M958" s="49"/>
      <c r="N958" s="49"/>
    </row>
    <row r="959" ht="22.5" hidden="1" customHeight="1">
      <c r="A959" s="101"/>
      <c r="B959" s="102"/>
      <c r="C959" s="103"/>
      <c r="D959" s="101"/>
      <c r="E959" s="101"/>
      <c r="F959" s="104"/>
      <c r="G959" s="104"/>
      <c r="H959" s="103"/>
      <c r="I959" s="99" t="str">
        <f t="shared" si="5"/>
        <v/>
      </c>
      <c r="J959" s="101"/>
      <c r="K959" s="101"/>
      <c r="L959" s="101" t="str">
        <f t="shared" si="8"/>
        <v>EN PROCESO</v>
      </c>
      <c r="M959" s="101"/>
      <c r="N959" s="101"/>
    </row>
    <row r="960" ht="22.5" hidden="1" customHeight="1">
      <c r="A960" s="49"/>
      <c r="B960" s="81"/>
      <c r="C960" s="97"/>
      <c r="D960" s="49"/>
      <c r="E960" s="49"/>
      <c r="F960" s="98"/>
      <c r="G960" s="98"/>
      <c r="H960" s="97"/>
      <c r="I960" s="99" t="str">
        <f t="shared" si="5"/>
        <v/>
      </c>
      <c r="J960" s="49"/>
      <c r="K960" s="49"/>
      <c r="L960" s="49" t="str">
        <f t="shared" si="8"/>
        <v>EN PROCESO</v>
      </c>
      <c r="M960" s="49"/>
      <c r="N960" s="49"/>
    </row>
    <row r="961" ht="22.5" hidden="1" customHeight="1">
      <c r="A961" s="101"/>
      <c r="B961" s="102"/>
      <c r="C961" s="103"/>
      <c r="D961" s="101"/>
      <c r="E961" s="101"/>
      <c r="F961" s="104"/>
      <c r="G961" s="104"/>
      <c r="H961" s="103"/>
      <c r="I961" s="99" t="str">
        <f t="shared" si="5"/>
        <v/>
      </c>
      <c r="J961" s="101"/>
      <c r="K961" s="101"/>
      <c r="L961" s="101" t="str">
        <f t="shared" si="8"/>
        <v>EN PROCESO</v>
      </c>
      <c r="M961" s="101"/>
      <c r="N961" s="101"/>
    </row>
    <row r="962" ht="22.5" hidden="1" customHeight="1">
      <c r="A962" s="49"/>
      <c r="B962" s="81"/>
      <c r="C962" s="97"/>
      <c r="D962" s="49"/>
      <c r="E962" s="49"/>
      <c r="F962" s="98"/>
      <c r="G962" s="98"/>
      <c r="H962" s="97"/>
      <c r="I962" s="99" t="str">
        <f t="shared" si="5"/>
        <v/>
      </c>
      <c r="J962" s="49"/>
      <c r="K962" s="49"/>
      <c r="L962" s="49" t="str">
        <f t="shared" si="8"/>
        <v>EN PROCESO</v>
      </c>
      <c r="M962" s="49"/>
      <c r="N962" s="49"/>
    </row>
    <row r="963" ht="22.5" hidden="1" customHeight="1">
      <c r="A963" s="101"/>
      <c r="B963" s="102"/>
      <c r="C963" s="103"/>
      <c r="D963" s="101"/>
      <c r="E963" s="101"/>
      <c r="F963" s="104"/>
      <c r="G963" s="104"/>
      <c r="H963" s="103"/>
      <c r="I963" s="99" t="str">
        <f t="shared" si="5"/>
        <v/>
      </c>
      <c r="J963" s="101"/>
      <c r="K963" s="101"/>
      <c r="L963" s="101" t="str">
        <f t="shared" si="8"/>
        <v>EN PROCESO</v>
      </c>
      <c r="M963" s="101"/>
      <c r="N963" s="101"/>
    </row>
    <row r="964" ht="22.5" hidden="1" customHeight="1">
      <c r="A964" s="49"/>
      <c r="B964" s="81"/>
      <c r="C964" s="97"/>
      <c r="D964" s="49"/>
      <c r="E964" s="49"/>
      <c r="F964" s="98"/>
      <c r="G964" s="98"/>
      <c r="H964" s="97"/>
      <c r="I964" s="99" t="str">
        <f t="shared" si="5"/>
        <v/>
      </c>
      <c r="J964" s="49"/>
      <c r="K964" s="49"/>
      <c r="L964" s="49" t="str">
        <f t="shared" si="8"/>
        <v>EN PROCESO</v>
      </c>
      <c r="M964" s="49"/>
      <c r="N964" s="49"/>
    </row>
    <row r="965" ht="22.5" hidden="1" customHeight="1">
      <c r="A965" s="101"/>
      <c r="B965" s="102"/>
      <c r="C965" s="103"/>
      <c r="D965" s="101"/>
      <c r="E965" s="101"/>
      <c r="F965" s="104"/>
      <c r="G965" s="104"/>
      <c r="H965" s="103"/>
      <c r="I965" s="99" t="str">
        <f t="shared" si="5"/>
        <v/>
      </c>
      <c r="J965" s="101"/>
      <c r="K965" s="101"/>
      <c r="L965" s="101" t="str">
        <f t="shared" si="8"/>
        <v>EN PROCESO</v>
      </c>
      <c r="M965" s="101"/>
      <c r="N965" s="101"/>
    </row>
    <row r="966" ht="22.5" hidden="1" customHeight="1">
      <c r="A966" s="49"/>
      <c r="B966" s="81"/>
      <c r="C966" s="97"/>
      <c r="D966" s="49"/>
      <c r="E966" s="49"/>
      <c r="F966" s="98"/>
      <c r="G966" s="98"/>
      <c r="H966" s="97"/>
      <c r="I966" s="99" t="str">
        <f t="shared" si="5"/>
        <v/>
      </c>
      <c r="J966" s="49"/>
      <c r="K966" s="49"/>
      <c r="L966" s="49" t="str">
        <f t="shared" si="8"/>
        <v>EN PROCESO</v>
      </c>
      <c r="M966" s="49"/>
      <c r="N966" s="49"/>
    </row>
    <row r="967" ht="22.5" hidden="1" customHeight="1">
      <c r="A967" s="101"/>
      <c r="B967" s="102"/>
      <c r="C967" s="103"/>
      <c r="D967" s="101"/>
      <c r="E967" s="101"/>
      <c r="F967" s="104"/>
      <c r="G967" s="104"/>
      <c r="H967" s="103"/>
      <c r="I967" s="99" t="str">
        <f t="shared" si="5"/>
        <v/>
      </c>
      <c r="J967" s="101"/>
      <c r="K967" s="101"/>
      <c r="L967" s="101" t="str">
        <f t="shared" si="8"/>
        <v>EN PROCESO</v>
      </c>
      <c r="M967" s="101"/>
      <c r="N967" s="101"/>
    </row>
    <row r="968" ht="22.5" hidden="1" customHeight="1">
      <c r="A968" s="49"/>
      <c r="B968" s="81"/>
      <c r="C968" s="97"/>
      <c r="D968" s="49"/>
      <c r="E968" s="49"/>
      <c r="F968" s="98"/>
      <c r="G968" s="98"/>
      <c r="H968" s="97"/>
      <c r="I968" s="99" t="str">
        <f t="shared" si="5"/>
        <v/>
      </c>
      <c r="J968" s="49"/>
      <c r="K968" s="49"/>
      <c r="L968" s="49" t="str">
        <f t="shared" si="8"/>
        <v>EN PROCESO</v>
      </c>
      <c r="M968" s="49"/>
      <c r="N968" s="49"/>
    </row>
    <row r="969" ht="22.5" hidden="1" customHeight="1">
      <c r="A969" s="101"/>
      <c r="B969" s="102"/>
      <c r="C969" s="103"/>
      <c r="D969" s="101"/>
      <c r="E969" s="101"/>
      <c r="F969" s="104"/>
      <c r="G969" s="104"/>
      <c r="H969" s="103"/>
      <c r="I969" s="99" t="str">
        <f t="shared" si="5"/>
        <v/>
      </c>
      <c r="J969" s="101"/>
      <c r="K969" s="101"/>
      <c r="L969" s="101" t="str">
        <f t="shared" si="8"/>
        <v>EN PROCESO</v>
      </c>
      <c r="M969" s="101"/>
      <c r="N969" s="101"/>
    </row>
    <row r="970" ht="22.5" hidden="1" customHeight="1">
      <c r="A970" s="49"/>
      <c r="B970" s="81"/>
      <c r="C970" s="97"/>
      <c r="D970" s="49"/>
      <c r="E970" s="49"/>
      <c r="F970" s="98"/>
      <c r="G970" s="98"/>
      <c r="H970" s="97"/>
      <c r="I970" s="99" t="str">
        <f t="shared" si="5"/>
        <v/>
      </c>
      <c r="J970" s="49"/>
      <c r="K970" s="49"/>
      <c r="L970" s="49" t="str">
        <f t="shared" si="8"/>
        <v>EN PROCESO</v>
      </c>
      <c r="M970" s="49"/>
      <c r="N970" s="49"/>
    </row>
    <row r="971" ht="22.5" hidden="1" customHeight="1">
      <c r="A971" s="101"/>
      <c r="B971" s="102"/>
      <c r="C971" s="103"/>
      <c r="D971" s="101"/>
      <c r="E971" s="101"/>
      <c r="F971" s="104"/>
      <c r="G971" s="104"/>
      <c r="H971" s="103"/>
      <c r="I971" s="99" t="str">
        <f t="shared" si="5"/>
        <v/>
      </c>
      <c r="J971" s="101"/>
      <c r="K971" s="101"/>
      <c r="L971" s="101" t="str">
        <f t="shared" si="8"/>
        <v>EN PROCESO</v>
      </c>
      <c r="M971" s="101"/>
      <c r="N971" s="101"/>
    </row>
    <row r="972" ht="22.5" hidden="1" customHeight="1">
      <c r="A972" s="49"/>
      <c r="B972" s="81"/>
      <c r="C972" s="97"/>
      <c r="D972" s="49"/>
      <c r="E972" s="49"/>
      <c r="F972" s="98"/>
      <c r="G972" s="98"/>
      <c r="H972" s="97"/>
      <c r="I972" s="99" t="str">
        <f t="shared" si="5"/>
        <v/>
      </c>
      <c r="J972" s="49"/>
      <c r="K972" s="49"/>
      <c r="L972" s="49" t="str">
        <f t="shared" si="8"/>
        <v>EN PROCESO</v>
      </c>
      <c r="M972" s="49"/>
      <c r="N972" s="49"/>
    </row>
    <row r="973" ht="22.5" hidden="1" customHeight="1">
      <c r="A973" s="101"/>
      <c r="B973" s="102"/>
      <c r="C973" s="103"/>
      <c r="D973" s="101"/>
      <c r="E973" s="101"/>
      <c r="F973" s="104"/>
      <c r="G973" s="104"/>
      <c r="H973" s="103"/>
      <c r="I973" s="99" t="str">
        <f t="shared" si="5"/>
        <v/>
      </c>
      <c r="J973" s="101"/>
      <c r="K973" s="101"/>
      <c r="L973" s="101" t="str">
        <f t="shared" si="8"/>
        <v>EN PROCESO</v>
      </c>
      <c r="M973" s="101"/>
      <c r="N973" s="101"/>
    </row>
    <row r="974" ht="22.5" hidden="1" customHeight="1">
      <c r="A974" s="49"/>
      <c r="B974" s="81"/>
      <c r="C974" s="97"/>
      <c r="D974" s="49"/>
      <c r="E974" s="49"/>
      <c r="F974" s="98"/>
      <c r="G974" s="98"/>
      <c r="H974" s="97"/>
      <c r="I974" s="99" t="str">
        <f t="shared" si="5"/>
        <v/>
      </c>
      <c r="J974" s="49"/>
      <c r="K974" s="49"/>
      <c r="L974" s="49" t="str">
        <f t="shared" si="8"/>
        <v>EN PROCESO</v>
      </c>
      <c r="M974" s="49"/>
      <c r="N974" s="49"/>
    </row>
    <row r="975" ht="22.5" hidden="1" customHeight="1">
      <c r="A975" s="101"/>
      <c r="B975" s="102"/>
      <c r="C975" s="103"/>
      <c r="D975" s="101"/>
      <c r="E975" s="101"/>
      <c r="F975" s="104"/>
      <c r="G975" s="104"/>
      <c r="H975" s="103"/>
      <c r="I975" s="99" t="str">
        <f t="shared" si="5"/>
        <v/>
      </c>
      <c r="J975" s="101"/>
      <c r="K975" s="101"/>
      <c r="L975" s="101" t="str">
        <f t="shared" si="8"/>
        <v>EN PROCESO</v>
      </c>
      <c r="M975" s="101"/>
      <c r="N975" s="101"/>
    </row>
    <row r="976" ht="22.5" hidden="1" customHeight="1">
      <c r="A976" s="49"/>
      <c r="B976" s="81"/>
      <c r="C976" s="97"/>
      <c r="D976" s="49"/>
      <c r="E976" s="49"/>
      <c r="F976" s="98"/>
      <c r="G976" s="98"/>
      <c r="H976" s="97"/>
      <c r="I976" s="99" t="str">
        <f t="shared" si="5"/>
        <v/>
      </c>
      <c r="J976" s="49"/>
      <c r="K976" s="49"/>
      <c r="L976" s="49" t="str">
        <f t="shared" si="8"/>
        <v>EN PROCESO</v>
      </c>
      <c r="M976" s="49"/>
      <c r="N976" s="49"/>
    </row>
    <row r="977" ht="22.5" hidden="1" customHeight="1">
      <c r="A977" s="101"/>
      <c r="B977" s="102"/>
      <c r="C977" s="103"/>
      <c r="D977" s="101"/>
      <c r="E977" s="101"/>
      <c r="F977" s="104"/>
      <c r="G977" s="104"/>
      <c r="H977" s="103"/>
      <c r="I977" s="99" t="str">
        <f t="shared" si="5"/>
        <v/>
      </c>
      <c r="J977" s="101"/>
      <c r="K977" s="101"/>
      <c r="L977" s="101" t="str">
        <f t="shared" si="8"/>
        <v>EN PROCESO</v>
      </c>
      <c r="M977" s="101"/>
      <c r="N977" s="101"/>
    </row>
    <row r="978" ht="22.5" hidden="1" customHeight="1">
      <c r="A978" s="49"/>
      <c r="B978" s="81"/>
      <c r="C978" s="97"/>
      <c r="D978" s="49"/>
      <c r="E978" s="49"/>
      <c r="F978" s="98"/>
      <c r="G978" s="98"/>
      <c r="H978" s="97"/>
      <c r="I978" s="99" t="str">
        <f t="shared" si="5"/>
        <v/>
      </c>
      <c r="J978" s="49"/>
      <c r="K978" s="49"/>
      <c r="L978" s="49" t="str">
        <f t="shared" si="8"/>
        <v>EN PROCESO</v>
      </c>
      <c r="M978" s="49"/>
      <c r="N978" s="49"/>
    </row>
    <row r="979" ht="22.5" hidden="1" customHeight="1">
      <c r="A979" s="101"/>
      <c r="B979" s="102"/>
      <c r="C979" s="103"/>
      <c r="D979" s="101"/>
      <c r="E979" s="101"/>
      <c r="F979" s="104"/>
      <c r="G979" s="104"/>
      <c r="H979" s="103"/>
      <c r="I979" s="99" t="str">
        <f t="shared" si="5"/>
        <v/>
      </c>
      <c r="J979" s="101"/>
      <c r="K979" s="101"/>
      <c r="L979" s="101" t="str">
        <f t="shared" si="8"/>
        <v>EN PROCESO</v>
      </c>
      <c r="M979" s="101"/>
      <c r="N979" s="101"/>
    </row>
    <row r="980" ht="22.5" hidden="1" customHeight="1">
      <c r="A980" s="49"/>
      <c r="B980" s="81"/>
      <c r="C980" s="97"/>
      <c r="D980" s="49"/>
      <c r="E980" s="49"/>
      <c r="F980" s="98"/>
      <c r="G980" s="98"/>
      <c r="H980" s="97"/>
      <c r="I980" s="99" t="str">
        <f t="shared" si="5"/>
        <v/>
      </c>
      <c r="J980" s="49"/>
      <c r="K980" s="49"/>
      <c r="L980" s="49" t="str">
        <f t="shared" si="8"/>
        <v>EN PROCESO</v>
      </c>
      <c r="M980" s="49"/>
      <c r="N980" s="49"/>
    </row>
    <row r="981" ht="22.5" hidden="1" customHeight="1">
      <c r="A981" s="101"/>
      <c r="B981" s="102"/>
      <c r="C981" s="103"/>
      <c r="D981" s="101"/>
      <c r="E981" s="101"/>
      <c r="F981" s="104"/>
      <c r="G981" s="104"/>
      <c r="H981" s="103"/>
      <c r="I981" s="99" t="str">
        <f t="shared" si="5"/>
        <v/>
      </c>
      <c r="J981" s="101"/>
      <c r="K981" s="101"/>
      <c r="L981" s="101" t="str">
        <f t="shared" si="8"/>
        <v>EN PROCESO</v>
      </c>
      <c r="M981" s="101"/>
      <c r="N981" s="101"/>
    </row>
    <row r="982" ht="22.5" hidden="1" customHeight="1">
      <c r="A982" s="49"/>
      <c r="B982" s="81"/>
      <c r="C982" s="97"/>
      <c r="D982" s="49"/>
      <c r="E982" s="49"/>
      <c r="F982" s="98"/>
      <c r="G982" s="98"/>
      <c r="H982" s="97"/>
      <c r="I982" s="99" t="str">
        <f t="shared" si="5"/>
        <v/>
      </c>
      <c r="J982" s="49"/>
      <c r="K982" s="49"/>
      <c r="L982" s="49" t="str">
        <f t="shared" si="8"/>
        <v>EN PROCESO</v>
      </c>
      <c r="M982" s="49"/>
      <c r="N982" s="49"/>
    </row>
    <row r="983" ht="22.5" hidden="1" customHeight="1">
      <c r="A983" s="101"/>
      <c r="B983" s="102"/>
      <c r="C983" s="103"/>
      <c r="D983" s="101"/>
      <c r="E983" s="101"/>
      <c r="F983" s="104"/>
      <c r="G983" s="104"/>
      <c r="H983" s="103"/>
      <c r="I983" s="99" t="str">
        <f t="shared" si="5"/>
        <v/>
      </c>
      <c r="J983" s="101"/>
      <c r="K983" s="101"/>
      <c r="L983" s="101" t="str">
        <f t="shared" si="8"/>
        <v>EN PROCESO</v>
      </c>
      <c r="M983" s="101"/>
      <c r="N983" s="101"/>
    </row>
    <row r="984" ht="22.5" hidden="1" customHeight="1">
      <c r="A984" s="49"/>
      <c r="B984" s="81"/>
      <c r="C984" s="97"/>
      <c r="D984" s="49"/>
      <c r="E984" s="49"/>
      <c r="F984" s="98"/>
      <c r="G984" s="98"/>
      <c r="H984" s="97"/>
      <c r="I984" s="99" t="str">
        <f t="shared" si="5"/>
        <v/>
      </c>
      <c r="J984" s="49"/>
      <c r="K984" s="49"/>
      <c r="L984" s="49" t="str">
        <f t="shared" si="8"/>
        <v>EN PROCESO</v>
      </c>
      <c r="M984" s="49"/>
      <c r="N984" s="49"/>
    </row>
    <row r="985" ht="22.5" hidden="1" customHeight="1">
      <c r="A985" s="101"/>
      <c r="B985" s="102"/>
      <c r="C985" s="103"/>
      <c r="D985" s="101"/>
      <c r="E985" s="101"/>
      <c r="F985" s="104"/>
      <c r="G985" s="104"/>
      <c r="H985" s="103"/>
      <c r="I985" s="99" t="str">
        <f t="shared" si="5"/>
        <v/>
      </c>
      <c r="J985" s="101"/>
      <c r="K985" s="101"/>
      <c r="L985" s="101" t="str">
        <f t="shared" si="8"/>
        <v>EN PROCESO</v>
      </c>
      <c r="M985" s="101"/>
      <c r="N985" s="101"/>
    </row>
    <row r="986" ht="22.5" hidden="1" customHeight="1">
      <c r="A986" s="49"/>
      <c r="B986" s="81"/>
      <c r="C986" s="97"/>
      <c r="D986" s="49"/>
      <c r="E986" s="49"/>
      <c r="F986" s="98"/>
      <c r="G986" s="98"/>
      <c r="H986" s="97"/>
      <c r="I986" s="99" t="str">
        <f t="shared" si="5"/>
        <v/>
      </c>
      <c r="J986" s="49"/>
      <c r="K986" s="49"/>
      <c r="L986" s="49" t="str">
        <f t="shared" si="8"/>
        <v>EN PROCESO</v>
      </c>
      <c r="M986" s="49"/>
      <c r="N986" s="49"/>
    </row>
    <row r="987" ht="22.5" hidden="1" customHeight="1">
      <c r="A987" s="101"/>
      <c r="B987" s="102"/>
      <c r="C987" s="103"/>
      <c r="D987" s="101"/>
      <c r="E987" s="101"/>
      <c r="F987" s="104"/>
      <c r="G987" s="104"/>
      <c r="H987" s="103"/>
      <c r="I987" s="99" t="str">
        <f t="shared" si="5"/>
        <v/>
      </c>
      <c r="J987" s="101"/>
      <c r="K987" s="101"/>
      <c r="L987" s="101" t="str">
        <f t="shared" si="8"/>
        <v>EN PROCESO</v>
      </c>
      <c r="M987" s="101"/>
      <c r="N987" s="101"/>
    </row>
    <row r="988" ht="22.5" hidden="1" customHeight="1">
      <c r="A988" s="49"/>
      <c r="B988" s="81"/>
      <c r="C988" s="97"/>
      <c r="D988" s="49"/>
      <c r="E988" s="49"/>
      <c r="F988" s="98"/>
      <c r="G988" s="98"/>
      <c r="H988" s="97"/>
      <c r="I988" s="99" t="str">
        <f t="shared" si="5"/>
        <v/>
      </c>
      <c r="J988" s="49"/>
      <c r="K988" s="49"/>
      <c r="L988" s="49" t="str">
        <f t="shared" si="8"/>
        <v>EN PROCESO</v>
      </c>
      <c r="M988" s="49"/>
      <c r="N988" s="49"/>
    </row>
    <row r="989" ht="22.5" hidden="1" customHeight="1">
      <c r="A989" s="101"/>
      <c r="B989" s="102"/>
      <c r="C989" s="103"/>
      <c r="D989" s="101"/>
      <c r="E989" s="101"/>
      <c r="F989" s="104"/>
      <c r="G989" s="104"/>
      <c r="H989" s="103"/>
      <c r="I989" s="99" t="str">
        <f t="shared" si="5"/>
        <v/>
      </c>
      <c r="J989" s="101"/>
      <c r="K989" s="101"/>
      <c r="L989" s="101" t="str">
        <f t="shared" si="8"/>
        <v>EN PROCESO</v>
      </c>
      <c r="M989" s="101"/>
      <c r="N989" s="101"/>
    </row>
    <row r="990" ht="22.5" hidden="1" customHeight="1">
      <c r="A990" s="49"/>
      <c r="B990" s="81"/>
      <c r="C990" s="97"/>
      <c r="D990" s="49"/>
      <c r="E990" s="49"/>
      <c r="F990" s="98"/>
      <c r="G990" s="98"/>
      <c r="H990" s="97"/>
      <c r="I990" s="99" t="str">
        <f t="shared" si="5"/>
        <v/>
      </c>
      <c r="J990" s="49"/>
      <c r="K990" s="49"/>
      <c r="L990" s="49" t="str">
        <f t="shared" si="8"/>
        <v>EN PROCESO</v>
      </c>
      <c r="M990" s="49"/>
      <c r="N990" s="49"/>
    </row>
    <row r="991" ht="22.5" hidden="1" customHeight="1">
      <c r="A991" s="101"/>
      <c r="B991" s="102"/>
      <c r="C991" s="103"/>
      <c r="D991" s="101"/>
      <c r="E991" s="101"/>
      <c r="F991" s="104"/>
      <c r="G991" s="104"/>
      <c r="H991" s="103"/>
      <c r="I991" s="99" t="str">
        <f t="shared" si="5"/>
        <v/>
      </c>
      <c r="J991" s="101"/>
      <c r="K991" s="101"/>
      <c r="L991" s="101" t="str">
        <f t="shared" si="8"/>
        <v>EN PROCESO</v>
      </c>
      <c r="M991" s="101"/>
      <c r="N991" s="101"/>
    </row>
    <row r="992" ht="22.5" hidden="1" customHeight="1">
      <c r="A992" s="49"/>
      <c r="B992" s="81"/>
      <c r="C992" s="97"/>
      <c r="D992" s="49"/>
      <c r="E992" s="49"/>
      <c r="F992" s="98"/>
      <c r="G992" s="98"/>
      <c r="H992" s="97"/>
      <c r="I992" s="99" t="str">
        <f t="shared" si="5"/>
        <v/>
      </c>
      <c r="J992" s="49"/>
      <c r="K992" s="49"/>
      <c r="L992" s="49" t="str">
        <f t="shared" si="8"/>
        <v>EN PROCESO</v>
      </c>
      <c r="M992" s="49"/>
      <c r="N992" s="49"/>
    </row>
    <row r="993" ht="22.5" hidden="1" customHeight="1">
      <c r="A993" s="101"/>
      <c r="B993" s="102"/>
      <c r="C993" s="103"/>
      <c r="D993" s="101"/>
      <c r="E993" s="101"/>
      <c r="F993" s="104"/>
      <c r="G993" s="104"/>
      <c r="H993" s="103"/>
      <c r="I993" s="99" t="str">
        <f t="shared" si="5"/>
        <v/>
      </c>
      <c r="J993" s="101"/>
      <c r="K993" s="101"/>
      <c r="L993" s="101" t="str">
        <f t="shared" si="8"/>
        <v>EN PROCESO</v>
      </c>
      <c r="M993" s="101"/>
      <c r="N993" s="101"/>
    </row>
    <row r="994" ht="22.5" hidden="1" customHeight="1">
      <c r="A994" s="49"/>
      <c r="B994" s="81"/>
      <c r="C994" s="97"/>
      <c r="D994" s="49"/>
      <c r="E994" s="49"/>
      <c r="F994" s="98"/>
      <c r="G994" s="98"/>
      <c r="H994" s="97"/>
      <c r="I994" s="99" t="str">
        <f t="shared" si="5"/>
        <v/>
      </c>
      <c r="J994" s="49"/>
      <c r="K994" s="49"/>
      <c r="L994" s="49" t="str">
        <f t="shared" si="8"/>
        <v>EN PROCESO</v>
      </c>
      <c r="M994" s="49"/>
      <c r="N994" s="49"/>
    </row>
    <row r="995" ht="22.5" hidden="1" customHeight="1">
      <c r="A995" s="101"/>
      <c r="B995" s="102"/>
      <c r="C995" s="103"/>
      <c r="D995" s="101"/>
      <c r="E995" s="101"/>
      <c r="F995" s="104"/>
      <c r="G995" s="104"/>
      <c r="H995" s="103"/>
      <c r="I995" s="99" t="str">
        <f t="shared" si="5"/>
        <v/>
      </c>
      <c r="J995" s="101"/>
      <c r="K995" s="101"/>
      <c r="L995" s="101" t="str">
        <f t="shared" si="8"/>
        <v>EN PROCESO</v>
      </c>
      <c r="M995" s="101"/>
      <c r="N995" s="101"/>
    </row>
    <row r="996" ht="22.5" hidden="1" customHeight="1">
      <c r="A996" s="49"/>
      <c r="B996" s="81"/>
      <c r="C996" s="97"/>
      <c r="D996" s="49"/>
      <c r="E996" s="49"/>
      <c r="F996" s="98"/>
      <c r="G996" s="98"/>
      <c r="H996" s="97"/>
      <c r="I996" s="99" t="str">
        <f t="shared" si="5"/>
        <v/>
      </c>
      <c r="J996" s="49"/>
      <c r="K996" s="49"/>
      <c r="L996" s="49" t="str">
        <f t="shared" si="8"/>
        <v>EN PROCESO</v>
      </c>
      <c r="M996" s="49"/>
      <c r="N996" s="49"/>
    </row>
    <row r="997" ht="22.5" hidden="1" customHeight="1">
      <c r="A997" s="101"/>
      <c r="B997" s="102"/>
      <c r="C997" s="103"/>
      <c r="D997" s="101"/>
      <c r="E997" s="101"/>
      <c r="F997" s="104"/>
      <c r="G997" s="104"/>
      <c r="H997" s="103"/>
      <c r="I997" s="99" t="str">
        <f t="shared" si="5"/>
        <v/>
      </c>
      <c r="J997" s="101"/>
      <c r="K997" s="101"/>
      <c r="L997" s="101" t="str">
        <f t="shared" si="8"/>
        <v>EN PROCESO</v>
      </c>
      <c r="M997" s="101"/>
      <c r="N997" s="101"/>
    </row>
    <row r="998" ht="22.5" hidden="1" customHeight="1">
      <c r="A998" s="49"/>
      <c r="B998" s="81"/>
      <c r="C998" s="97"/>
      <c r="D998" s="49"/>
      <c r="E998" s="49"/>
      <c r="F998" s="98"/>
      <c r="G998" s="98"/>
      <c r="H998" s="97"/>
      <c r="I998" s="99" t="str">
        <f t="shared" si="5"/>
        <v/>
      </c>
      <c r="J998" s="49"/>
      <c r="K998" s="49"/>
      <c r="L998" s="49" t="str">
        <f t="shared" si="8"/>
        <v>EN PROCESO</v>
      </c>
      <c r="M998" s="49"/>
      <c r="N998" s="49"/>
    </row>
    <row r="999" ht="22.5" hidden="1" customHeight="1">
      <c r="A999" s="101"/>
      <c r="B999" s="102"/>
      <c r="C999" s="103"/>
      <c r="D999" s="101"/>
      <c r="E999" s="101"/>
      <c r="F999" s="104"/>
      <c r="G999" s="104"/>
      <c r="H999" s="103"/>
      <c r="I999" s="99" t="str">
        <f t="shared" si="5"/>
        <v/>
      </c>
      <c r="J999" s="101"/>
      <c r="K999" s="101"/>
      <c r="L999" s="101" t="str">
        <f t="shared" si="8"/>
        <v>EN PROCESO</v>
      </c>
      <c r="M999" s="101"/>
      <c r="N999" s="101"/>
    </row>
    <row r="1000" ht="22.5" hidden="1" customHeight="1">
      <c r="A1000" s="49"/>
      <c r="B1000" s="81"/>
      <c r="C1000" s="97"/>
      <c r="D1000" s="49"/>
      <c r="E1000" s="49"/>
      <c r="F1000" s="98"/>
      <c r="G1000" s="98"/>
      <c r="H1000" s="97"/>
      <c r="I1000" s="99" t="str">
        <f t="shared" si="5"/>
        <v/>
      </c>
      <c r="J1000" s="49"/>
      <c r="K1000" s="49"/>
      <c r="L1000" s="49" t="str">
        <f t="shared" si="8"/>
        <v>EN PROCESO</v>
      </c>
      <c r="M1000" s="49"/>
      <c r="N1000" s="49"/>
    </row>
    <row r="1001" ht="22.5" hidden="1" customHeight="1">
      <c r="A1001" s="101"/>
      <c r="B1001" s="102"/>
      <c r="C1001" s="103"/>
      <c r="D1001" s="101"/>
      <c r="E1001" s="101"/>
      <c r="F1001" s="104"/>
      <c r="G1001" s="104"/>
      <c r="H1001" s="103"/>
      <c r="I1001" s="99" t="str">
        <f t="shared" si="5"/>
        <v/>
      </c>
      <c r="J1001" s="101"/>
      <c r="K1001" s="101"/>
      <c r="L1001" s="101" t="str">
        <f t="shared" si="8"/>
        <v>EN PROCESO</v>
      </c>
      <c r="M1001" s="101"/>
      <c r="N1001" s="101"/>
    </row>
    <row r="1002" ht="22.5" hidden="1" customHeight="1">
      <c r="A1002" s="49"/>
      <c r="B1002" s="81"/>
      <c r="C1002" s="97"/>
      <c r="D1002" s="49"/>
      <c r="E1002" s="49"/>
      <c r="F1002" s="98"/>
      <c r="G1002" s="98"/>
      <c r="H1002" s="97"/>
      <c r="I1002" s="99" t="str">
        <f t="shared" si="5"/>
        <v/>
      </c>
      <c r="J1002" s="49"/>
      <c r="K1002" s="49"/>
      <c r="L1002" s="49" t="str">
        <f t="shared" si="8"/>
        <v>EN PROCESO</v>
      </c>
      <c r="M1002" s="49"/>
      <c r="N1002" s="49"/>
    </row>
    <row r="1003" ht="22.5" hidden="1" customHeight="1">
      <c r="A1003" s="101"/>
      <c r="B1003" s="102"/>
      <c r="C1003" s="103"/>
      <c r="D1003" s="101"/>
      <c r="E1003" s="101"/>
      <c r="F1003" s="104"/>
      <c r="G1003" s="104"/>
      <c r="H1003" s="103"/>
      <c r="I1003" s="99" t="str">
        <f t="shared" si="5"/>
        <v/>
      </c>
      <c r="J1003" s="101"/>
      <c r="K1003" s="101"/>
      <c r="L1003" s="101" t="str">
        <f t="shared" si="8"/>
        <v>EN PROCESO</v>
      </c>
      <c r="M1003" s="101"/>
      <c r="N1003" s="101"/>
    </row>
    <row r="1004" ht="22.5" hidden="1" customHeight="1">
      <c r="A1004" s="49"/>
      <c r="B1004" s="81"/>
      <c r="C1004" s="97"/>
      <c r="D1004" s="49"/>
      <c r="E1004" s="49"/>
      <c r="F1004" s="98"/>
      <c r="G1004" s="98"/>
      <c r="H1004" s="97"/>
      <c r="I1004" s="99" t="str">
        <f t="shared" si="5"/>
        <v/>
      </c>
      <c r="J1004" s="49"/>
      <c r="K1004" s="49"/>
      <c r="L1004" s="49" t="str">
        <f t="shared" si="8"/>
        <v>EN PROCESO</v>
      </c>
      <c r="M1004" s="49"/>
      <c r="N1004" s="49"/>
    </row>
    <row r="1005" ht="22.5" hidden="1" customHeight="1">
      <c r="A1005" s="101"/>
      <c r="B1005" s="102"/>
      <c r="C1005" s="103"/>
      <c r="D1005" s="101"/>
      <c r="E1005" s="101"/>
      <c r="F1005" s="104"/>
      <c r="G1005" s="104"/>
      <c r="H1005" s="103"/>
      <c r="I1005" s="99" t="str">
        <f t="shared" si="5"/>
        <v/>
      </c>
      <c r="J1005" s="101"/>
      <c r="K1005" s="101"/>
      <c r="L1005" s="101" t="str">
        <f t="shared" si="8"/>
        <v>EN PROCESO</v>
      </c>
      <c r="M1005" s="101"/>
      <c r="N1005" s="101"/>
    </row>
    <row r="1006" ht="22.5" hidden="1" customHeight="1">
      <c r="A1006" s="49"/>
      <c r="B1006" s="81"/>
      <c r="C1006" s="97"/>
      <c r="D1006" s="49"/>
      <c r="E1006" s="49"/>
      <c r="F1006" s="98"/>
      <c r="G1006" s="98"/>
      <c r="H1006" s="97"/>
      <c r="I1006" s="99" t="str">
        <f t="shared" si="5"/>
        <v/>
      </c>
      <c r="J1006" s="49"/>
      <c r="K1006" s="49"/>
      <c r="L1006" s="49" t="str">
        <f t="shared" si="8"/>
        <v>EN PROCESO</v>
      </c>
      <c r="M1006" s="49"/>
      <c r="N1006" s="49"/>
    </row>
    <row r="1007" ht="22.5" hidden="1" customHeight="1">
      <c r="A1007" s="101"/>
      <c r="B1007" s="102"/>
      <c r="C1007" s="103"/>
      <c r="D1007" s="101"/>
      <c r="E1007" s="101"/>
      <c r="F1007" s="104"/>
      <c r="G1007" s="104"/>
      <c r="H1007" s="103"/>
      <c r="I1007" s="99" t="str">
        <f t="shared" si="5"/>
        <v/>
      </c>
      <c r="J1007" s="101"/>
      <c r="K1007" s="101"/>
      <c r="L1007" s="101" t="str">
        <f t="shared" si="8"/>
        <v>EN PROCESO</v>
      </c>
      <c r="M1007" s="101"/>
      <c r="N1007" s="101"/>
    </row>
    <row r="1008" ht="22.5" hidden="1" customHeight="1">
      <c r="A1008" s="49"/>
      <c r="B1008" s="81"/>
      <c r="C1008" s="97"/>
      <c r="D1008" s="49"/>
      <c r="E1008" s="49"/>
      <c r="F1008" s="98"/>
      <c r="G1008" s="98"/>
      <c r="H1008" s="97"/>
      <c r="I1008" s="99" t="str">
        <f t="shared" si="5"/>
        <v/>
      </c>
      <c r="J1008" s="49"/>
      <c r="K1008" s="49"/>
      <c r="L1008" s="49" t="str">
        <f t="shared" si="8"/>
        <v>EN PROCESO</v>
      </c>
      <c r="M1008" s="49"/>
      <c r="N1008" s="49"/>
    </row>
    <row r="1009" ht="22.5" hidden="1" customHeight="1">
      <c r="A1009" s="101"/>
      <c r="B1009" s="102"/>
      <c r="C1009" s="103"/>
      <c r="D1009" s="101"/>
      <c r="E1009" s="101"/>
      <c r="F1009" s="104"/>
      <c r="G1009" s="104"/>
      <c r="H1009" s="103"/>
      <c r="I1009" s="99" t="str">
        <f t="shared" si="5"/>
        <v/>
      </c>
      <c r="J1009" s="101"/>
      <c r="K1009" s="101"/>
      <c r="L1009" s="101" t="str">
        <f t="shared" si="8"/>
        <v>EN PROCESO</v>
      </c>
      <c r="M1009" s="101"/>
      <c r="N1009" s="101"/>
    </row>
    <row r="1010" ht="22.5" hidden="1" customHeight="1">
      <c r="A1010" s="49"/>
      <c r="B1010" s="81"/>
      <c r="C1010" s="97"/>
      <c r="D1010" s="49"/>
      <c r="E1010" s="49"/>
      <c r="F1010" s="98"/>
      <c r="G1010" s="98"/>
      <c r="H1010" s="97"/>
      <c r="I1010" s="99" t="str">
        <f t="shared" si="5"/>
        <v/>
      </c>
      <c r="J1010" s="49"/>
      <c r="K1010" s="49"/>
      <c r="L1010" s="49" t="str">
        <f t="shared" si="8"/>
        <v>EN PROCESO</v>
      </c>
      <c r="M1010" s="49"/>
      <c r="N1010" s="49"/>
    </row>
    <row r="1011" ht="22.5" hidden="1" customHeight="1">
      <c r="A1011" s="101"/>
      <c r="B1011" s="102"/>
      <c r="C1011" s="103"/>
      <c r="D1011" s="101"/>
      <c r="E1011" s="101"/>
      <c r="F1011" s="104"/>
      <c r="G1011" s="104"/>
      <c r="H1011" s="103"/>
      <c r="I1011" s="99" t="str">
        <f t="shared" si="5"/>
        <v/>
      </c>
      <c r="J1011" s="101"/>
      <c r="K1011" s="101"/>
      <c r="L1011" s="101" t="str">
        <f t="shared" si="8"/>
        <v>EN PROCESO</v>
      </c>
      <c r="M1011" s="101"/>
      <c r="N1011" s="101"/>
    </row>
    <row r="1012" ht="22.5" hidden="1" customHeight="1">
      <c r="A1012" s="49"/>
      <c r="B1012" s="81"/>
      <c r="C1012" s="97"/>
      <c r="D1012" s="49"/>
      <c r="E1012" s="49"/>
      <c r="F1012" s="98"/>
      <c r="G1012" s="98"/>
      <c r="H1012" s="97"/>
      <c r="I1012" s="99" t="str">
        <f t="shared" si="5"/>
        <v/>
      </c>
      <c r="J1012" s="49"/>
      <c r="K1012" s="49"/>
      <c r="L1012" s="49" t="str">
        <f t="shared" si="8"/>
        <v>EN PROCESO</v>
      </c>
      <c r="M1012" s="49"/>
      <c r="N1012" s="49"/>
    </row>
    <row r="1013" ht="22.5" hidden="1" customHeight="1">
      <c r="A1013" s="101"/>
      <c r="B1013" s="102"/>
      <c r="C1013" s="103"/>
      <c r="D1013" s="101"/>
      <c r="E1013" s="101"/>
      <c r="F1013" s="104"/>
      <c r="G1013" s="104"/>
      <c r="H1013" s="103"/>
      <c r="I1013" s="99" t="str">
        <f t="shared" si="5"/>
        <v/>
      </c>
      <c r="J1013" s="101"/>
      <c r="K1013" s="101"/>
      <c r="L1013" s="101" t="str">
        <f t="shared" si="8"/>
        <v>EN PROCESO</v>
      </c>
      <c r="M1013" s="101"/>
      <c r="N1013" s="101"/>
    </row>
    <row r="1014" ht="22.5" hidden="1" customHeight="1">
      <c r="A1014" s="49"/>
      <c r="B1014" s="81"/>
      <c r="C1014" s="97"/>
      <c r="D1014" s="49"/>
      <c r="E1014" s="49"/>
      <c r="F1014" s="98"/>
      <c r="G1014" s="98"/>
      <c r="H1014" s="97"/>
      <c r="I1014" s="99" t="str">
        <f t="shared" si="5"/>
        <v/>
      </c>
      <c r="J1014" s="49"/>
      <c r="K1014" s="49"/>
      <c r="L1014" s="49" t="str">
        <f t="shared" si="8"/>
        <v>EN PROCESO</v>
      </c>
      <c r="M1014" s="49"/>
      <c r="N1014" s="49"/>
    </row>
    <row r="1015" ht="22.5" hidden="1" customHeight="1">
      <c r="A1015" s="101"/>
      <c r="B1015" s="102"/>
      <c r="C1015" s="103"/>
      <c r="D1015" s="101"/>
      <c r="E1015" s="101"/>
      <c r="F1015" s="104"/>
      <c r="G1015" s="104"/>
      <c r="H1015" s="103"/>
      <c r="I1015" s="99" t="str">
        <f t="shared" si="5"/>
        <v/>
      </c>
      <c r="J1015" s="101"/>
      <c r="K1015" s="101"/>
      <c r="L1015" s="101" t="str">
        <f t="shared" si="8"/>
        <v>EN PROCESO</v>
      </c>
      <c r="M1015" s="101"/>
      <c r="N1015" s="101"/>
    </row>
    <row r="1016" ht="22.5" hidden="1" customHeight="1">
      <c r="A1016" s="49"/>
      <c r="B1016" s="81"/>
      <c r="C1016" s="97"/>
      <c r="D1016" s="49"/>
      <c r="E1016" s="49"/>
      <c r="F1016" s="98"/>
      <c r="G1016" s="98"/>
      <c r="H1016" s="97"/>
      <c r="I1016" s="99" t="str">
        <f t="shared" si="5"/>
        <v/>
      </c>
      <c r="J1016" s="49"/>
      <c r="K1016" s="49"/>
      <c r="L1016" s="49" t="str">
        <f t="shared" si="8"/>
        <v>EN PROCESO</v>
      </c>
      <c r="M1016" s="49"/>
      <c r="N1016" s="49"/>
    </row>
    <row r="1017" ht="22.5" hidden="1" customHeight="1">
      <c r="A1017" s="101"/>
      <c r="B1017" s="102"/>
      <c r="C1017" s="103"/>
      <c r="D1017" s="101"/>
      <c r="E1017" s="101"/>
      <c r="F1017" s="104"/>
      <c r="G1017" s="104"/>
      <c r="H1017" s="103"/>
      <c r="I1017" s="99" t="str">
        <f t="shared" si="5"/>
        <v/>
      </c>
      <c r="J1017" s="101"/>
      <c r="K1017" s="101"/>
      <c r="L1017" s="101" t="str">
        <f t="shared" si="8"/>
        <v>EN PROCESO</v>
      </c>
      <c r="M1017" s="101"/>
      <c r="N1017" s="101"/>
    </row>
    <row r="1018" ht="22.5" hidden="1" customHeight="1">
      <c r="A1018" s="49"/>
      <c r="B1018" s="81"/>
      <c r="C1018" s="97"/>
      <c r="D1018" s="49"/>
      <c r="E1018" s="49"/>
      <c r="F1018" s="98"/>
      <c r="G1018" s="98"/>
      <c r="H1018" s="97"/>
      <c r="I1018" s="99" t="str">
        <f t="shared" si="5"/>
        <v/>
      </c>
      <c r="J1018" s="49"/>
      <c r="K1018" s="49"/>
      <c r="L1018" s="49" t="str">
        <f t="shared" si="8"/>
        <v>EN PROCESO</v>
      </c>
      <c r="M1018" s="49"/>
      <c r="N1018" s="49"/>
    </row>
    <row r="1019" ht="22.5" hidden="1" customHeight="1">
      <c r="A1019" s="101"/>
      <c r="B1019" s="102"/>
      <c r="C1019" s="103"/>
      <c r="D1019" s="101"/>
      <c r="E1019" s="101"/>
      <c r="F1019" s="104"/>
      <c r="G1019" s="104"/>
      <c r="H1019" s="103"/>
      <c r="I1019" s="99" t="str">
        <f t="shared" si="5"/>
        <v/>
      </c>
      <c r="J1019" s="101"/>
      <c r="K1019" s="101"/>
      <c r="L1019" s="101" t="str">
        <f t="shared" si="8"/>
        <v>EN PROCESO</v>
      </c>
      <c r="M1019" s="101"/>
      <c r="N1019" s="101"/>
    </row>
    <row r="1020" ht="22.5" hidden="1" customHeight="1">
      <c r="A1020" s="49"/>
      <c r="B1020" s="81"/>
      <c r="C1020" s="97"/>
      <c r="D1020" s="49"/>
      <c r="E1020" s="49"/>
      <c r="F1020" s="98"/>
      <c r="G1020" s="98"/>
      <c r="H1020" s="97"/>
      <c r="I1020" s="99" t="str">
        <f t="shared" si="5"/>
        <v/>
      </c>
      <c r="J1020" s="49"/>
      <c r="K1020" s="49"/>
      <c r="L1020" s="49" t="str">
        <f t="shared" si="8"/>
        <v>EN PROCESO</v>
      </c>
      <c r="M1020" s="49"/>
      <c r="N1020" s="49"/>
    </row>
    <row r="1021" ht="22.5" hidden="1" customHeight="1">
      <c r="A1021" s="101"/>
      <c r="B1021" s="102"/>
      <c r="C1021" s="103"/>
      <c r="D1021" s="101"/>
      <c r="E1021" s="101"/>
      <c r="F1021" s="104"/>
      <c r="G1021" s="104"/>
      <c r="H1021" s="103"/>
      <c r="I1021" s="99" t="str">
        <f t="shared" si="5"/>
        <v/>
      </c>
      <c r="J1021" s="101"/>
      <c r="K1021" s="101"/>
      <c r="L1021" s="101" t="str">
        <f t="shared" si="8"/>
        <v>EN PROCESO</v>
      </c>
      <c r="M1021" s="101"/>
      <c r="N1021" s="101"/>
    </row>
    <row r="1022" ht="22.5" hidden="1" customHeight="1">
      <c r="A1022" s="49"/>
      <c r="B1022" s="81"/>
      <c r="C1022" s="97"/>
      <c r="D1022" s="49"/>
      <c r="E1022" s="49"/>
      <c r="F1022" s="98"/>
      <c r="G1022" s="98"/>
      <c r="H1022" s="97"/>
      <c r="I1022" s="99" t="str">
        <f t="shared" si="5"/>
        <v/>
      </c>
      <c r="J1022" s="49"/>
      <c r="K1022" s="49"/>
      <c r="L1022" s="49" t="str">
        <f t="shared" si="8"/>
        <v>EN PROCESO</v>
      </c>
      <c r="M1022" s="49"/>
      <c r="N1022" s="49"/>
    </row>
    <row r="1023" ht="22.5" hidden="1" customHeight="1">
      <c r="A1023" s="101"/>
      <c r="B1023" s="102"/>
      <c r="C1023" s="103"/>
      <c r="D1023" s="101"/>
      <c r="E1023" s="101"/>
      <c r="F1023" s="104"/>
      <c r="G1023" s="104"/>
      <c r="H1023" s="103"/>
      <c r="I1023" s="99" t="str">
        <f t="shared" si="5"/>
        <v/>
      </c>
      <c r="J1023" s="101"/>
      <c r="K1023" s="101"/>
      <c r="L1023" s="101" t="str">
        <f t="shared" si="8"/>
        <v>EN PROCESO</v>
      </c>
      <c r="M1023" s="101"/>
      <c r="N1023" s="101"/>
    </row>
    <row r="1024" ht="22.5" hidden="1" customHeight="1">
      <c r="A1024" s="49"/>
      <c r="B1024" s="81"/>
      <c r="C1024" s="97"/>
      <c r="D1024" s="49"/>
      <c r="E1024" s="49"/>
      <c r="F1024" s="98"/>
      <c r="G1024" s="98"/>
      <c r="H1024" s="97"/>
      <c r="I1024" s="99" t="str">
        <f t="shared" si="5"/>
        <v/>
      </c>
      <c r="J1024" s="49"/>
      <c r="K1024" s="49"/>
      <c r="L1024" s="49" t="str">
        <f t="shared" si="8"/>
        <v>EN PROCESO</v>
      </c>
      <c r="M1024" s="49"/>
      <c r="N1024" s="49"/>
    </row>
    <row r="1025" ht="22.5" hidden="1" customHeight="1">
      <c r="A1025" s="101"/>
      <c r="B1025" s="102"/>
      <c r="C1025" s="103"/>
      <c r="D1025" s="101"/>
      <c r="E1025" s="101"/>
      <c r="F1025" s="104"/>
      <c r="G1025" s="104"/>
      <c r="H1025" s="103"/>
      <c r="I1025" s="99" t="str">
        <f t="shared" si="5"/>
        <v/>
      </c>
      <c r="J1025" s="101"/>
      <c r="K1025" s="101"/>
      <c r="L1025" s="101" t="str">
        <f t="shared" si="8"/>
        <v>EN PROCESO</v>
      </c>
      <c r="M1025" s="101"/>
      <c r="N1025" s="101"/>
    </row>
    <row r="1026" ht="22.5" hidden="1" customHeight="1">
      <c r="A1026" s="49"/>
      <c r="B1026" s="81"/>
      <c r="C1026" s="97"/>
      <c r="D1026" s="49"/>
      <c r="E1026" s="49"/>
      <c r="F1026" s="98"/>
      <c r="G1026" s="98"/>
      <c r="H1026" s="97"/>
      <c r="I1026" s="99" t="str">
        <f t="shared" si="5"/>
        <v/>
      </c>
      <c r="J1026" s="49"/>
      <c r="K1026" s="49"/>
      <c r="L1026" s="49" t="str">
        <f t="shared" si="8"/>
        <v>EN PROCESO</v>
      </c>
      <c r="M1026" s="49"/>
      <c r="N1026" s="49"/>
    </row>
    <row r="1027" ht="22.5" hidden="1" customHeight="1">
      <c r="A1027" s="101"/>
      <c r="B1027" s="102"/>
      <c r="C1027" s="103"/>
      <c r="D1027" s="101"/>
      <c r="E1027" s="101"/>
      <c r="F1027" s="104"/>
      <c r="G1027" s="104"/>
      <c r="H1027" s="103"/>
      <c r="I1027" s="99" t="str">
        <f t="shared" si="5"/>
        <v/>
      </c>
      <c r="J1027" s="101"/>
      <c r="K1027" s="101"/>
      <c r="L1027" s="101" t="str">
        <f t="shared" si="8"/>
        <v>EN PROCESO</v>
      </c>
      <c r="M1027" s="101"/>
      <c r="N1027" s="101"/>
    </row>
    <row r="1028" ht="22.5" hidden="1" customHeight="1">
      <c r="A1028" s="49"/>
      <c r="B1028" s="81"/>
      <c r="C1028" s="97"/>
      <c r="D1028" s="49"/>
      <c r="E1028" s="49"/>
      <c r="F1028" s="98"/>
      <c r="G1028" s="98"/>
      <c r="H1028" s="97"/>
      <c r="I1028" s="99" t="str">
        <f t="shared" si="5"/>
        <v/>
      </c>
      <c r="J1028" s="49"/>
      <c r="K1028" s="49"/>
      <c r="L1028" s="49" t="str">
        <f t="shared" si="8"/>
        <v>EN PROCESO</v>
      </c>
      <c r="M1028" s="49"/>
      <c r="N1028" s="49"/>
    </row>
    <row r="1029" ht="22.5" hidden="1" customHeight="1">
      <c r="A1029" s="101"/>
      <c r="B1029" s="102"/>
      <c r="C1029" s="103"/>
      <c r="D1029" s="101"/>
      <c r="E1029" s="101"/>
      <c r="F1029" s="104"/>
      <c r="G1029" s="104"/>
      <c r="H1029" s="103"/>
      <c r="I1029" s="99" t="str">
        <f t="shared" si="5"/>
        <v/>
      </c>
      <c r="J1029" s="101"/>
      <c r="K1029" s="101"/>
      <c r="L1029" s="101" t="str">
        <f t="shared" si="8"/>
        <v>EN PROCESO</v>
      </c>
      <c r="M1029" s="101"/>
      <c r="N1029" s="101"/>
    </row>
    <row r="1030" ht="22.5" hidden="1" customHeight="1">
      <c r="A1030" s="49"/>
      <c r="B1030" s="81"/>
      <c r="C1030" s="97"/>
      <c r="D1030" s="49"/>
      <c r="E1030" s="49"/>
      <c r="F1030" s="98"/>
      <c r="G1030" s="98"/>
      <c r="H1030" s="97"/>
      <c r="I1030" s="99" t="str">
        <f t="shared" si="5"/>
        <v/>
      </c>
      <c r="J1030" s="49"/>
      <c r="K1030" s="49"/>
      <c r="L1030" s="49" t="str">
        <f t="shared" si="8"/>
        <v>EN PROCESO</v>
      </c>
      <c r="M1030" s="49"/>
      <c r="N1030" s="49"/>
    </row>
    <row r="1031" ht="22.5" hidden="1" customHeight="1">
      <c r="A1031" s="101"/>
      <c r="B1031" s="102"/>
      <c r="C1031" s="103"/>
      <c r="D1031" s="101"/>
      <c r="E1031" s="101"/>
      <c r="F1031" s="104"/>
      <c r="G1031" s="104"/>
      <c r="H1031" s="103"/>
      <c r="I1031" s="99" t="str">
        <f t="shared" si="5"/>
        <v/>
      </c>
      <c r="J1031" s="101"/>
      <c r="K1031" s="101"/>
      <c r="L1031" s="101" t="str">
        <f t="shared" si="8"/>
        <v>EN PROCESO</v>
      </c>
      <c r="M1031" s="101"/>
      <c r="N1031" s="101"/>
    </row>
    <row r="1032" ht="22.5" hidden="1" customHeight="1">
      <c r="A1032" s="49"/>
      <c r="B1032" s="81"/>
      <c r="C1032" s="97"/>
      <c r="D1032" s="49"/>
      <c r="E1032" s="49"/>
      <c r="F1032" s="98"/>
      <c r="G1032" s="98"/>
      <c r="H1032" s="97"/>
      <c r="I1032" s="99" t="str">
        <f t="shared" si="5"/>
        <v/>
      </c>
      <c r="J1032" s="49"/>
      <c r="K1032" s="49"/>
      <c r="L1032" s="49" t="str">
        <f t="shared" si="8"/>
        <v>EN PROCESO</v>
      </c>
      <c r="M1032" s="49"/>
      <c r="N1032" s="49"/>
    </row>
    <row r="1033" ht="22.5" hidden="1" customHeight="1">
      <c r="A1033" s="101"/>
      <c r="B1033" s="102"/>
      <c r="C1033" s="103"/>
      <c r="D1033" s="101"/>
      <c r="E1033" s="101"/>
      <c r="F1033" s="104"/>
      <c r="G1033" s="104"/>
      <c r="H1033" s="103"/>
      <c r="I1033" s="99" t="str">
        <f t="shared" si="5"/>
        <v/>
      </c>
      <c r="J1033" s="101"/>
      <c r="K1033" s="101"/>
      <c r="L1033" s="101" t="str">
        <f t="shared" si="8"/>
        <v>EN PROCESO</v>
      </c>
      <c r="M1033" s="101"/>
      <c r="N1033" s="101"/>
    </row>
    <row r="1034" ht="22.5" hidden="1" customHeight="1">
      <c r="A1034" s="49"/>
      <c r="B1034" s="81"/>
      <c r="C1034" s="97"/>
      <c r="D1034" s="49"/>
      <c r="E1034" s="49"/>
      <c r="F1034" s="98"/>
      <c r="G1034" s="98"/>
      <c r="H1034" s="97"/>
      <c r="I1034" s="99" t="str">
        <f t="shared" si="5"/>
        <v/>
      </c>
      <c r="J1034" s="49"/>
      <c r="K1034" s="49"/>
      <c r="L1034" s="49" t="str">
        <f t="shared" si="8"/>
        <v>EN PROCESO</v>
      </c>
      <c r="M1034" s="49"/>
      <c r="N1034" s="49"/>
    </row>
    <row r="1035" ht="22.5" hidden="1" customHeight="1">
      <c r="A1035" s="101"/>
      <c r="B1035" s="102"/>
      <c r="C1035" s="103"/>
      <c r="D1035" s="101"/>
      <c r="E1035" s="101"/>
      <c r="F1035" s="104"/>
      <c r="G1035" s="104"/>
      <c r="H1035" s="103"/>
      <c r="I1035" s="99" t="str">
        <f t="shared" si="5"/>
        <v/>
      </c>
      <c r="J1035" s="101"/>
      <c r="K1035" s="101"/>
      <c r="L1035" s="101" t="str">
        <f t="shared" si="8"/>
        <v>EN PROCESO</v>
      </c>
      <c r="M1035" s="101"/>
      <c r="N1035" s="101"/>
    </row>
    <row r="1036" ht="22.5" hidden="1" customHeight="1">
      <c r="A1036" s="49"/>
      <c r="B1036" s="81"/>
      <c r="C1036" s="97"/>
      <c r="D1036" s="49"/>
      <c r="E1036" s="49"/>
      <c r="F1036" s="98"/>
      <c r="G1036" s="98"/>
      <c r="H1036" s="97"/>
      <c r="I1036" s="99" t="str">
        <f t="shared" si="5"/>
        <v/>
      </c>
      <c r="J1036" s="49"/>
      <c r="K1036" s="49"/>
      <c r="L1036" s="49" t="str">
        <f t="shared" si="8"/>
        <v>EN PROCESO</v>
      </c>
      <c r="M1036" s="49"/>
      <c r="N1036" s="49"/>
    </row>
    <row r="1037" ht="22.5" hidden="1" customHeight="1">
      <c r="A1037" s="101"/>
      <c r="B1037" s="102"/>
      <c r="C1037" s="103"/>
      <c r="D1037" s="101"/>
      <c r="E1037" s="101"/>
      <c r="F1037" s="104"/>
      <c r="G1037" s="104"/>
      <c r="H1037" s="103"/>
      <c r="I1037" s="99" t="str">
        <f t="shared" si="5"/>
        <v/>
      </c>
      <c r="J1037" s="101"/>
      <c r="K1037" s="101"/>
      <c r="L1037" s="101" t="str">
        <f t="shared" si="8"/>
        <v>EN PROCESO</v>
      </c>
      <c r="M1037" s="101"/>
      <c r="N1037" s="101"/>
    </row>
    <row r="1038" ht="22.5" hidden="1" customHeight="1">
      <c r="A1038" s="49"/>
      <c r="B1038" s="81"/>
      <c r="C1038" s="97"/>
      <c r="D1038" s="49"/>
      <c r="E1038" s="49"/>
      <c r="F1038" s="98"/>
      <c r="G1038" s="98"/>
      <c r="H1038" s="97"/>
      <c r="I1038" s="99" t="str">
        <f t="shared" si="5"/>
        <v/>
      </c>
      <c r="J1038" s="49"/>
      <c r="K1038" s="49"/>
      <c r="L1038" s="49" t="str">
        <f t="shared" si="8"/>
        <v>EN PROCESO</v>
      </c>
      <c r="M1038" s="49"/>
      <c r="N1038" s="49"/>
    </row>
    <row r="1039" ht="22.5" hidden="1" customHeight="1">
      <c r="A1039" s="101"/>
      <c r="B1039" s="102"/>
      <c r="C1039" s="103"/>
      <c r="D1039" s="101"/>
      <c r="E1039" s="101"/>
      <c r="F1039" s="104"/>
      <c r="G1039" s="104"/>
      <c r="H1039" s="103"/>
      <c r="I1039" s="99" t="str">
        <f t="shared" si="5"/>
        <v/>
      </c>
      <c r="J1039" s="101"/>
      <c r="K1039" s="101"/>
      <c r="L1039" s="101" t="str">
        <f t="shared" si="8"/>
        <v>EN PROCESO</v>
      </c>
      <c r="M1039" s="101"/>
      <c r="N1039" s="101"/>
    </row>
    <row r="1040" ht="22.5" hidden="1" customHeight="1">
      <c r="A1040" s="49"/>
      <c r="B1040" s="81"/>
      <c r="C1040" s="97"/>
      <c r="D1040" s="49"/>
      <c r="E1040" s="49"/>
      <c r="F1040" s="98"/>
      <c r="G1040" s="98"/>
      <c r="H1040" s="97"/>
      <c r="I1040" s="99" t="str">
        <f t="shared" si="5"/>
        <v/>
      </c>
      <c r="J1040" s="49"/>
      <c r="K1040" s="49"/>
      <c r="L1040" s="49" t="str">
        <f t="shared" si="8"/>
        <v>EN PROCESO</v>
      </c>
      <c r="M1040" s="49"/>
      <c r="N1040" s="49"/>
    </row>
    <row r="1041" ht="22.5" hidden="1" customHeight="1">
      <c r="A1041" s="101"/>
      <c r="B1041" s="102"/>
      <c r="C1041" s="103"/>
      <c r="D1041" s="101"/>
      <c r="E1041" s="101"/>
      <c r="F1041" s="104"/>
      <c r="G1041" s="104"/>
      <c r="H1041" s="103"/>
      <c r="I1041" s="99" t="str">
        <f t="shared" si="5"/>
        <v/>
      </c>
      <c r="J1041" s="101"/>
      <c r="K1041" s="101"/>
      <c r="L1041" s="101" t="str">
        <f t="shared" si="8"/>
        <v>EN PROCESO</v>
      </c>
      <c r="M1041" s="101"/>
      <c r="N1041" s="101"/>
    </row>
    <row r="1042" ht="22.5" hidden="1" customHeight="1">
      <c r="A1042" s="49"/>
      <c r="B1042" s="81"/>
      <c r="C1042" s="97"/>
      <c r="D1042" s="49"/>
      <c r="E1042" s="49"/>
      <c r="F1042" s="98"/>
      <c r="G1042" s="98"/>
      <c r="H1042" s="97"/>
      <c r="I1042" s="99" t="str">
        <f t="shared" si="5"/>
        <v/>
      </c>
      <c r="J1042" s="49"/>
      <c r="K1042" s="49"/>
      <c r="L1042" s="49" t="str">
        <f t="shared" si="8"/>
        <v>EN PROCESO</v>
      </c>
      <c r="M1042" s="49"/>
      <c r="N1042" s="49"/>
    </row>
    <row r="1043" ht="22.5" hidden="1" customHeight="1">
      <c r="A1043" s="101"/>
      <c r="B1043" s="102"/>
      <c r="C1043" s="103"/>
      <c r="D1043" s="101"/>
      <c r="E1043" s="101"/>
      <c r="F1043" s="104"/>
      <c r="G1043" s="104"/>
      <c r="H1043" s="103"/>
      <c r="I1043" s="99" t="str">
        <f t="shared" si="5"/>
        <v/>
      </c>
      <c r="J1043" s="101"/>
      <c r="K1043" s="101"/>
      <c r="L1043" s="101" t="str">
        <f t="shared" si="8"/>
        <v>EN PROCESO</v>
      </c>
      <c r="M1043" s="101"/>
      <c r="N1043" s="101"/>
    </row>
    <row r="1044" ht="22.5" hidden="1" customHeight="1">
      <c r="A1044" s="49"/>
      <c r="B1044" s="81"/>
      <c r="C1044" s="97"/>
      <c r="D1044" s="49"/>
      <c r="E1044" s="49"/>
      <c r="F1044" s="98"/>
      <c r="G1044" s="98"/>
      <c r="H1044" s="97"/>
      <c r="I1044" s="99" t="str">
        <f t="shared" si="5"/>
        <v/>
      </c>
      <c r="J1044" s="49"/>
      <c r="K1044" s="49"/>
      <c r="L1044" s="49" t="str">
        <f t="shared" si="8"/>
        <v>EN PROCESO</v>
      </c>
      <c r="M1044" s="49"/>
      <c r="N1044" s="49"/>
    </row>
    <row r="1045" ht="22.5" hidden="1" customHeight="1">
      <c r="A1045" s="101"/>
      <c r="B1045" s="102"/>
      <c r="C1045" s="103"/>
      <c r="D1045" s="101"/>
      <c r="E1045" s="101"/>
      <c r="F1045" s="104"/>
      <c r="G1045" s="104"/>
      <c r="H1045" s="103"/>
      <c r="I1045" s="99" t="str">
        <f t="shared" si="5"/>
        <v/>
      </c>
      <c r="J1045" s="101"/>
      <c r="K1045" s="101"/>
      <c r="L1045" s="101" t="str">
        <f t="shared" si="8"/>
        <v>EN PROCESO</v>
      </c>
      <c r="M1045" s="101"/>
      <c r="N1045" s="101"/>
    </row>
    <row r="1046" ht="22.5" hidden="1" customHeight="1">
      <c r="A1046" s="49"/>
      <c r="B1046" s="81"/>
      <c r="C1046" s="97"/>
      <c r="D1046" s="49"/>
      <c r="E1046" s="49"/>
      <c r="F1046" s="98"/>
      <c r="G1046" s="98"/>
      <c r="H1046" s="97"/>
      <c r="I1046" s="99" t="str">
        <f t="shared" si="5"/>
        <v/>
      </c>
      <c r="J1046" s="49"/>
      <c r="K1046" s="49"/>
      <c r="L1046" s="49" t="str">
        <f t="shared" si="8"/>
        <v>EN PROCESO</v>
      </c>
      <c r="M1046" s="49"/>
      <c r="N1046" s="49"/>
    </row>
    <row r="1047" ht="22.5" hidden="1" customHeight="1">
      <c r="A1047" s="101"/>
      <c r="B1047" s="102"/>
      <c r="C1047" s="103"/>
      <c r="D1047" s="101"/>
      <c r="E1047" s="101"/>
      <c r="F1047" s="104"/>
      <c r="G1047" s="104"/>
      <c r="H1047" s="103"/>
      <c r="I1047" s="99" t="str">
        <f t="shared" si="5"/>
        <v/>
      </c>
      <c r="J1047" s="101"/>
      <c r="K1047" s="101"/>
      <c r="L1047" s="101" t="str">
        <f t="shared" si="8"/>
        <v>EN PROCESO</v>
      </c>
      <c r="M1047" s="101"/>
      <c r="N1047" s="101"/>
    </row>
    <row r="1048" ht="22.5" hidden="1" customHeight="1">
      <c r="A1048" s="49"/>
      <c r="B1048" s="81"/>
      <c r="C1048" s="97"/>
      <c r="D1048" s="49"/>
      <c r="E1048" s="49"/>
      <c r="F1048" s="98"/>
      <c r="G1048" s="98"/>
      <c r="H1048" s="97"/>
      <c r="I1048" s="99" t="str">
        <f t="shared" si="5"/>
        <v/>
      </c>
      <c r="J1048" s="49"/>
      <c r="K1048" s="49"/>
      <c r="L1048" s="49" t="str">
        <f t="shared" si="8"/>
        <v>EN PROCESO</v>
      </c>
      <c r="M1048" s="49"/>
      <c r="N1048" s="49"/>
    </row>
    <row r="1049" ht="22.5" hidden="1" customHeight="1">
      <c r="A1049" s="101"/>
      <c r="B1049" s="102"/>
      <c r="C1049" s="103"/>
      <c r="D1049" s="101"/>
      <c r="E1049" s="101"/>
      <c r="F1049" s="104"/>
      <c r="G1049" s="104"/>
      <c r="H1049" s="103"/>
      <c r="I1049" s="99" t="str">
        <f t="shared" si="5"/>
        <v/>
      </c>
      <c r="J1049" s="101"/>
      <c r="K1049" s="101"/>
      <c r="L1049" s="101" t="str">
        <f t="shared" si="8"/>
        <v>EN PROCESO</v>
      </c>
      <c r="M1049" s="101"/>
      <c r="N1049" s="101"/>
    </row>
    <row r="1050" ht="22.5" hidden="1" customHeight="1">
      <c r="A1050" s="49"/>
      <c r="B1050" s="81"/>
      <c r="C1050" s="97"/>
      <c r="D1050" s="49"/>
      <c r="E1050" s="49"/>
      <c r="F1050" s="98"/>
      <c r="G1050" s="98"/>
      <c r="H1050" s="97"/>
      <c r="I1050" s="99" t="str">
        <f t="shared" si="5"/>
        <v/>
      </c>
      <c r="J1050" s="49"/>
      <c r="K1050" s="49"/>
      <c r="L1050" s="49" t="str">
        <f t="shared" si="8"/>
        <v>EN PROCESO</v>
      </c>
      <c r="M1050" s="49"/>
      <c r="N1050" s="49"/>
    </row>
    <row r="1051" ht="22.5" hidden="1" customHeight="1">
      <c r="A1051" s="101"/>
      <c r="B1051" s="102"/>
      <c r="C1051" s="103"/>
      <c r="D1051" s="101"/>
      <c r="E1051" s="101"/>
      <c r="F1051" s="104"/>
      <c r="G1051" s="104"/>
      <c r="H1051" s="103"/>
      <c r="I1051" s="99" t="str">
        <f t="shared" si="5"/>
        <v/>
      </c>
      <c r="J1051" s="101"/>
      <c r="K1051" s="101"/>
      <c r="L1051" s="101" t="str">
        <f t="shared" si="8"/>
        <v>EN PROCESO</v>
      </c>
      <c r="M1051" s="101"/>
      <c r="N1051" s="101"/>
    </row>
    <row r="1052" ht="22.5" hidden="1" customHeight="1">
      <c r="A1052" s="49"/>
      <c r="B1052" s="81"/>
      <c r="C1052" s="97"/>
      <c r="D1052" s="49"/>
      <c r="E1052" s="49"/>
      <c r="F1052" s="98"/>
      <c r="G1052" s="98"/>
      <c r="H1052" s="97"/>
      <c r="I1052" s="99" t="str">
        <f t="shared" si="5"/>
        <v/>
      </c>
      <c r="J1052" s="49"/>
      <c r="K1052" s="49"/>
      <c r="L1052" s="49" t="str">
        <f t="shared" si="8"/>
        <v>EN PROCESO</v>
      </c>
      <c r="M1052" s="49"/>
      <c r="N1052" s="49"/>
    </row>
    <row r="1053" ht="22.5" hidden="1" customHeight="1">
      <c r="A1053" s="101"/>
      <c r="B1053" s="102"/>
      <c r="C1053" s="103"/>
      <c r="D1053" s="101"/>
      <c r="E1053" s="101"/>
      <c r="F1053" s="104"/>
      <c r="G1053" s="104"/>
      <c r="H1053" s="103"/>
      <c r="I1053" s="99" t="str">
        <f t="shared" si="5"/>
        <v/>
      </c>
      <c r="J1053" s="101"/>
      <c r="K1053" s="101"/>
      <c r="L1053" s="101" t="str">
        <f t="shared" si="8"/>
        <v>EN PROCESO</v>
      </c>
      <c r="M1053" s="101"/>
      <c r="N1053" s="101"/>
    </row>
    <row r="1054" ht="22.5" hidden="1" customHeight="1">
      <c r="A1054" s="49"/>
      <c r="B1054" s="81"/>
      <c r="C1054" s="97"/>
      <c r="D1054" s="49"/>
      <c r="E1054" s="49"/>
      <c r="F1054" s="98"/>
      <c r="G1054" s="98"/>
      <c r="H1054" s="97"/>
      <c r="I1054" s="99" t="str">
        <f t="shared" si="5"/>
        <v/>
      </c>
      <c r="J1054" s="49"/>
      <c r="K1054" s="49"/>
      <c r="L1054" s="49" t="str">
        <f t="shared" si="8"/>
        <v>EN PROCESO</v>
      </c>
      <c r="M1054" s="49"/>
      <c r="N1054" s="49"/>
    </row>
    <row r="1055" ht="22.5" hidden="1" customHeight="1">
      <c r="A1055" s="101"/>
      <c r="B1055" s="102"/>
      <c r="C1055" s="103"/>
      <c r="D1055" s="101"/>
      <c r="E1055" s="101"/>
      <c r="F1055" s="104"/>
      <c r="G1055" s="104"/>
      <c r="H1055" s="103"/>
      <c r="I1055" s="99" t="str">
        <f t="shared" si="5"/>
        <v/>
      </c>
      <c r="J1055" s="101"/>
      <c r="K1055" s="101"/>
      <c r="L1055" s="101" t="str">
        <f t="shared" si="8"/>
        <v>EN PROCESO</v>
      </c>
      <c r="M1055" s="101"/>
      <c r="N1055" s="101"/>
    </row>
    <row r="1056" ht="22.5" hidden="1" customHeight="1">
      <c r="A1056" s="49"/>
      <c r="B1056" s="81"/>
      <c r="C1056" s="97"/>
      <c r="D1056" s="49"/>
      <c r="E1056" s="49"/>
      <c r="F1056" s="98"/>
      <c r="G1056" s="98"/>
      <c r="H1056" s="97"/>
      <c r="I1056" s="99" t="str">
        <f t="shared" si="5"/>
        <v/>
      </c>
      <c r="J1056" s="49"/>
      <c r="K1056" s="49"/>
      <c r="L1056" s="49" t="str">
        <f t="shared" si="8"/>
        <v>EN PROCESO</v>
      </c>
      <c r="M1056" s="49"/>
      <c r="N1056" s="49"/>
    </row>
    <row r="1057" ht="22.5" hidden="1" customHeight="1">
      <c r="A1057" s="101"/>
      <c r="B1057" s="102"/>
      <c r="C1057" s="103"/>
      <c r="D1057" s="101"/>
      <c r="E1057" s="101"/>
      <c r="F1057" s="104"/>
      <c r="G1057" s="104"/>
      <c r="H1057" s="103"/>
      <c r="I1057" s="99" t="str">
        <f t="shared" si="5"/>
        <v/>
      </c>
      <c r="J1057" s="101"/>
      <c r="K1057" s="101"/>
      <c r="L1057" s="101" t="str">
        <f t="shared" si="8"/>
        <v>EN PROCESO</v>
      </c>
      <c r="M1057" s="101"/>
      <c r="N1057" s="101"/>
    </row>
    <row r="1058" ht="22.5" hidden="1" customHeight="1">
      <c r="A1058" s="49"/>
      <c r="B1058" s="81"/>
      <c r="C1058" s="97"/>
      <c r="D1058" s="49"/>
      <c r="E1058" s="49"/>
      <c r="F1058" s="98"/>
      <c r="G1058" s="98"/>
      <c r="H1058" s="97"/>
      <c r="I1058" s="99" t="str">
        <f t="shared" si="5"/>
        <v/>
      </c>
      <c r="J1058" s="49"/>
      <c r="K1058" s="49"/>
      <c r="L1058" s="49" t="str">
        <f t="shared" si="8"/>
        <v>EN PROCESO</v>
      </c>
      <c r="M1058" s="49"/>
      <c r="N1058" s="49"/>
    </row>
    <row r="1059" ht="22.5" hidden="1" customHeight="1">
      <c r="A1059" s="101"/>
      <c r="B1059" s="102"/>
      <c r="C1059" s="103"/>
      <c r="D1059" s="101"/>
      <c r="E1059" s="101"/>
      <c r="F1059" s="104"/>
      <c r="G1059" s="104"/>
      <c r="H1059" s="103"/>
      <c r="I1059" s="99" t="str">
        <f t="shared" si="5"/>
        <v/>
      </c>
      <c r="J1059" s="101"/>
      <c r="K1059" s="101"/>
      <c r="L1059" s="101" t="str">
        <f t="shared" si="8"/>
        <v>EN PROCESO</v>
      </c>
      <c r="M1059" s="101"/>
      <c r="N1059" s="101"/>
    </row>
    <row r="1060" ht="22.5" hidden="1" customHeight="1">
      <c r="A1060" s="49"/>
      <c r="B1060" s="81"/>
      <c r="C1060" s="97"/>
      <c r="D1060" s="49"/>
      <c r="E1060" s="49"/>
      <c r="F1060" s="98"/>
      <c r="G1060" s="98"/>
      <c r="H1060" s="97"/>
      <c r="I1060" s="99" t="str">
        <f t="shared" si="5"/>
        <v/>
      </c>
      <c r="J1060" s="49"/>
      <c r="K1060" s="49"/>
      <c r="L1060" s="49" t="str">
        <f t="shared" si="8"/>
        <v>EN PROCESO</v>
      </c>
      <c r="M1060" s="49"/>
      <c r="N1060" s="49"/>
    </row>
    <row r="1061" ht="22.5" hidden="1" customHeight="1">
      <c r="A1061" s="101"/>
      <c r="B1061" s="102"/>
      <c r="C1061" s="103"/>
      <c r="D1061" s="101"/>
      <c r="E1061" s="101"/>
      <c r="F1061" s="104"/>
      <c r="G1061" s="104"/>
      <c r="H1061" s="103"/>
      <c r="I1061" s="99" t="str">
        <f t="shared" si="5"/>
        <v/>
      </c>
      <c r="J1061" s="101"/>
      <c r="K1061" s="101"/>
      <c r="L1061" s="101" t="str">
        <f t="shared" si="8"/>
        <v>EN PROCESO</v>
      </c>
      <c r="M1061" s="101"/>
      <c r="N1061" s="101"/>
    </row>
    <row r="1062" ht="22.5" hidden="1" customHeight="1">
      <c r="A1062" s="49"/>
      <c r="B1062" s="81"/>
      <c r="C1062" s="97"/>
      <c r="D1062" s="49"/>
      <c r="E1062" s="49"/>
      <c r="F1062" s="98"/>
      <c r="G1062" s="98"/>
      <c r="H1062" s="97"/>
      <c r="I1062" s="99" t="str">
        <f t="shared" si="5"/>
        <v/>
      </c>
      <c r="J1062" s="49"/>
      <c r="K1062" s="49"/>
      <c r="L1062" s="49" t="str">
        <f t="shared" si="8"/>
        <v>EN PROCESO</v>
      </c>
      <c r="M1062" s="49"/>
      <c r="N1062" s="49"/>
    </row>
    <row r="1063" ht="22.5" hidden="1" customHeight="1">
      <c r="A1063" s="101"/>
      <c r="B1063" s="102"/>
      <c r="C1063" s="103"/>
      <c r="D1063" s="101"/>
      <c r="E1063" s="101"/>
      <c r="F1063" s="104"/>
      <c r="G1063" s="104"/>
      <c r="H1063" s="103"/>
      <c r="I1063" s="99" t="str">
        <f t="shared" si="5"/>
        <v/>
      </c>
      <c r="J1063" s="101"/>
      <c r="K1063" s="101"/>
      <c r="L1063" s="101" t="str">
        <f t="shared" si="8"/>
        <v>EN PROCESO</v>
      </c>
      <c r="M1063" s="101"/>
      <c r="N1063" s="101"/>
    </row>
    <row r="1064" ht="22.5" hidden="1" customHeight="1">
      <c r="A1064" s="49"/>
      <c r="B1064" s="81"/>
      <c r="C1064" s="97"/>
      <c r="D1064" s="49"/>
      <c r="E1064" s="49"/>
      <c r="F1064" s="98"/>
      <c r="G1064" s="98"/>
      <c r="H1064" s="97"/>
      <c r="I1064" s="99" t="str">
        <f t="shared" si="5"/>
        <v/>
      </c>
      <c r="J1064" s="49"/>
      <c r="K1064" s="49"/>
      <c r="L1064" s="49" t="str">
        <f t="shared" si="8"/>
        <v>EN PROCESO</v>
      </c>
      <c r="M1064" s="49"/>
      <c r="N1064" s="49"/>
    </row>
    <row r="1065" ht="22.5" hidden="1" customHeight="1">
      <c r="A1065" s="101"/>
      <c r="B1065" s="102"/>
      <c r="C1065" s="103"/>
      <c r="D1065" s="101"/>
      <c r="E1065" s="101"/>
      <c r="F1065" s="104"/>
      <c r="G1065" s="104"/>
      <c r="H1065" s="103"/>
      <c r="I1065" s="99" t="str">
        <f t="shared" si="5"/>
        <v/>
      </c>
      <c r="J1065" s="101"/>
      <c r="K1065" s="101"/>
      <c r="L1065" s="101" t="str">
        <f t="shared" si="8"/>
        <v>EN PROCESO</v>
      </c>
      <c r="M1065" s="101"/>
      <c r="N1065" s="101"/>
    </row>
    <row r="1066" ht="22.5" hidden="1" customHeight="1">
      <c r="A1066" s="49"/>
      <c r="B1066" s="81"/>
      <c r="C1066" s="97"/>
      <c r="D1066" s="49"/>
      <c r="E1066" s="49"/>
      <c r="F1066" s="98"/>
      <c r="G1066" s="98"/>
      <c r="H1066" s="97"/>
      <c r="I1066" s="99" t="str">
        <f t="shared" si="5"/>
        <v/>
      </c>
      <c r="J1066" s="49"/>
      <c r="K1066" s="49"/>
      <c r="L1066" s="49" t="str">
        <f t="shared" si="8"/>
        <v>EN PROCESO</v>
      </c>
      <c r="M1066" s="49"/>
      <c r="N1066" s="49"/>
    </row>
    <row r="1067" ht="22.5" hidden="1" customHeight="1">
      <c r="A1067" s="101"/>
      <c r="B1067" s="102"/>
      <c r="C1067" s="103"/>
      <c r="D1067" s="101"/>
      <c r="E1067" s="101"/>
      <c r="F1067" s="104"/>
      <c r="G1067" s="104"/>
      <c r="H1067" s="103"/>
      <c r="I1067" s="99" t="str">
        <f t="shared" si="5"/>
        <v/>
      </c>
      <c r="J1067" s="101"/>
      <c r="K1067" s="101"/>
      <c r="L1067" s="101" t="str">
        <f t="shared" si="8"/>
        <v>EN PROCESO</v>
      </c>
      <c r="M1067" s="101"/>
      <c r="N1067" s="101"/>
    </row>
    <row r="1068" ht="22.5" hidden="1" customHeight="1">
      <c r="A1068" s="49"/>
      <c r="B1068" s="81"/>
      <c r="C1068" s="97"/>
      <c r="D1068" s="49"/>
      <c r="E1068" s="49"/>
      <c r="F1068" s="98"/>
      <c r="G1068" s="98"/>
      <c r="H1068" s="97"/>
      <c r="I1068" s="99" t="str">
        <f t="shared" si="5"/>
        <v/>
      </c>
      <c r="J1068" s="49"/>
      <c r="K1068" s="49"/>
      <c r="L1068" s="49" t="str">
        <f t="shared" si="8"/>
        <v>EN PROCESO</v>
      </c>
      <c r="M1068" s="49"/>
      <c r="N1068" s="49"/>
    </row>
    <row r="1069" ht="22.5" hidden="1" customHeight="1">
      <c r="A1069" s="101"/>
      <c r="B1069" s="102"/>
      <c r="C1069" s="103"/>
      <c r="D1069" s="101"/>
      <c r="E1069" s="101"/>
      <c r="F1069" s="104"/>
      <c r="G1069" s="104"/>
      <c r="H1069" s="103"/>
      <c r="I1069" s="99" t="str">
        <f t="shared" si="5"/>
        <v/>
      </c>
      <c r="J1069" s="101"/>
      <c r="K1069" s="101"/>
      <c r="L1069" s="101" t="str">
        <f t="shared" si="8"/>
        <v>EN PROCESO</v>
      </c>
      <c r="M1069" s="101"/>
      <c r="N1069" s="101"/>
    </row>
    <row r="1070" ht="22.5" hidden="1" customHeight="1">
      <c r="A1070" s="49"/>
      <c r="B1070" s="81"/>
      <c r="C1070" s="97"/>
      <c r="D1070" s="49"/>
      <c r="E1070" s="49"/>
      <c r="F1070" s="98"/>
      <c r="G1070" s="98"/>
      <c r="H1070" s="97"/>
      <c r="I1070" s="99" t="str">
        <f t="shared" si="5"/>
        <v/>
      </c>
      <c r="J1070" s="49"/>
      <c r="K1070" s="49"/>
      <c r="L1070" s="49" t="str">
        <f t="shared" si="8"/>
        <v>EN PROCESO</v>
      </c>
      <c r="M1070" s="49"/>
      <c r="N1070" s="49"/>
    </row>
    <row r="1071" ht="22.5" hidden="1" customHeight="1">
      <c r="A1071" s="101"/>
      <c r="B1071" s="102"/>
      <c r="C1071" s="103"/>
      <c r="D1071" s="101"/>
      <c r="E1071" s="101"/>
      <c r="F1071" s="104"/>
      <c r="G1071" s="104"/>
      <c r="H1071" s="103"/>
      <c r="I1071" s="99" t="str">
        <f t="shared" si="5"/>
        <v/>
      </c>
      <c r="J1071" s="101"/>
      <c r="K1071" s="101"/>
      <c r="L1071" s="101" t="str">
        <f t="shared" si="8"/>
        <v>EN PROCESO</v>
      </c>
      <c r="M1071" s="101"/>
      <c r="N1071" s="101"/>
    </row>
    <row r="1072" ht="22.5" hidden="1" customHeight="1">
      <c r="A1072" s="49"/>
      <c r="B1072" s="81"/>
      <c r="C1072" s="97"/>
      <c r="D1072" s="49"/>
      <c r="E1072" s="49"/>
      <c r="F1072" s="98"/>
      <c r="G1072" s="98"/>
      <c r="H1072" s="97"/>
      <c r="I1072" s="99" t="str">
        <f t="shared" si="5"/>
        <v/>
      </c>
      <c r="J1072" s="49"/>
      <c r="K1072" s="49"/>
      <c r="L1072" s="49" t="str">
        <f t="shared" si="8"/>
        <v>EN PROCESO</v>
      </c>
      <c r="M1072" s="49"/>
      <c r="N1072" s="49"/>
    </row>
    <row r="1073" ht="22.5" hidden="1" customHeight="1">
      <c r="A1073" s="101"/>
      <c r="B1073" s="102"/>
      <c r="C1073" s="103"/>
      <c r="D1073" s="101"/>
      <c r="E1073" s="101"/>
      <c r="F1073" s="104"/>
      <c r="G1073" s="104"/>
      <c r="H1073" s="103"/>
      <c r="I1073" s="99" t="str">
        <f t="shared" si="5"/>
        <v/>
      </c>
      <c r="J1073" s="101"/>
      <c r="K1073" s="101"/>
      <c r="L1073" s="101" t="str">
        <f t="shared" si="8"/>
        <v>EN PROCESO</v>
      </c>
      <c r="M1073" s="101"/>
      <c r="N1073" s="101"/>
    </row>
    <row r="1074" ht="22.5" hidden="1" customHeight="1">
      <c r="A1074" s="49"/>
      <c r="B1074" s="81"/>
      <c r="C1074" s="97"/>
      <c r="D1074" s="49"/>
      <c r="E1074" s="49"/>
      <c r="F1074" s="98"/>
      <c r="G1074" s="98"/>
      <c r="H1074" s="97"/>
      <c r="I1074" s="99" t="str">
        <f t="shared" si="5"/>
        <v/>
      </c>
      <c r="J1074" s="49"/>
      <c r="K1074" s="49"/>
      <c r="L1074" s="49" t="str">
        <f t="shared" si="8"/>
        <v>EN PROCESO</v>
      </c>
      <c r="M1074" s="49"/>
      <c r="N1074" s="49"/>
    </row>
    <row r="1075" ht="22.5" hidden="1" customHeight="1">
      <c r="A1075" s="101"/>
      <c r="B1075" s="102"/>
      <c r="C1075" s="103"/>
      <c r="D1075" s="101"/>
      <c r="E1075" s="101"/>
      <c r="F1075" s="104"/>
      <c r="G1075" s="104"/>
      <c r="H1075" s="103"/>
      <c r="I1075" s="99" t="str">
        <f t="shared" si="5"/>
        <v/>
      </c>
      <c r="J1075" s="101"/>
      <c r="K1075" s="101"/>
      <c r="L1075" s="101" t="str">
        <f t="shared" si="8"/>
        <v>EN PROCESO</v>
      </c>
      <c r="M1075" s="101"/>
      <c r="N1075" s="101"/>
    </row>
    <row r="1076" ht="22.5" hidden="1" customHeight="1">
      <c r="A1076" s="49"/>
      <c r="B1076" s="81"/>
      <c r="C1076" s="97"/>
      <c r="D1076" s="49"/>
      <c r="E1076" s="49"/>
      <c r="F1076" s="98"/>
      <c r="G1076" s="98"/>
      <c r="H1076" s="97"/>
      <c r="I1076" s="99" t="str">
        <f t="shared" si="5"/>
        <v/>
      </c>
      <c r="J1076" s="49"/>
      <c r="K1076" s="49"/>
      <c r="L1076" s="49" t="str">
        <f t="shared" si="8"/>
        <v>EN PROCESO</v>
      </c>
      <c r="M1076" s="49"/>
      <c r="N1076" s="49"/>
    </row>
    <row r="1077" ht="22.5" hidden="1" customHeight="1">
      <c r="A1077" s="101"/>
      <c r="B1077" s="102"/>
      <c r="C1077" s="103"/>
      <c r="D1077" s="101"/>
      <c r="E1077" s="101"/>
      <c r="F1077" s="104"/>
      <c r="G1077" s="104"/>
      <c r="H1077" s="103"/>
      <c r="I1077" s="99" t="str">
        <f t="shared" si="5"/>
        <v/>
      </c>
      <c r="J1077" s="101"/>
      <c r="K1077" s="101"/>
      <c r="L1077" s="101" t="str">
        <f t="shared" si="8"/>
        <v>EN PROCESO</v>
      </c>
      <c r="M1077" s="101"/>
      <c r="N1077" s="101"/>
    </row>
    <row r="1078" ht="22.5" hidden="1" customHeight="1">
      <c r="A1078" s="49"/>
      <c r="B1078" s="81"/>
      <c r="C1078" s="97"/>
      <c r="D1078" s="49"/>
      <c r="E1078" s="49"/>
      <c r="F1078" s="98"/>
      <c r="G1078" s="98"/>
      <c r="H1078" s="97"/>
      <c r="I1078" s="99" t="str">
        <f t="shared" si="5"/>
        <v/>
      </c>
      <c r="J1078" s="49"/>
      <c r="K1078" s="49"/>
      <c r="L1078" s="49" t="str">
        <f t="shared" si="8"/>
        <v>EN PROCESO</v>
      </c>
      <c r="M1078" s="49"/>
      <c r="N1078" s="49"/>
    </row>
    <row r="1079" ht="22.5" hidden="1" customHeight="1">
      <c r="A1079" s="101"/>
      <c r="B1079" s="102"/>
      <c r="C1079" s="103"/>
      <c r="D1079" s="101"/>
      <c r="E1079" s="101"/>
      <c r="F1079" s="104"/>
      <c r="G1079" s="104"/>
      <c r="H1079" s="103"/>
      <c r="I1079" s="99" t="str">
        <f t="shared" si="5"/>
        <v/>
      </c>
      <c r="J1079" s="101"/>
      <c r="K1079" s="101"/>
      <c r="L1079" s="101" t="str">
        <f t="shared" si="8"/>
        <v>EN PROCESO</v>
      </c>
      <c r="M1079" s="101"/>
      <c r="N1079" s="101"/>
    </row>
    <row r="1080" ht="22.5" hidden="1" customHeight="1">
      <c r="A1080" s="49"/>
      <c r="B1080" s="81"/>
      <c r="C1080" s="97"/>
      <c r="D1080" s="49"/>
      <c r="E1080" s="49"/>
      <c r="F1080" s="98"/>
      <c r="G1080" s="98"/>
      <c r="H1080" s="97"/>
      <c r="I1080" s="99" t="str">
        <f t="shared" si="5"/>
        <v/>
      </c>
      <c r="J1080" s="49"/>
      <c r="K1080" s="49"/>
      <c r="L1080" s="49" t="str">
        <f t="shared" si="8"/>
        <v>EN PROCESO</v>
      </c>
      <c r="M1080" s="49"/>
      <c r="N1080" s="49"/>
    </row>
    <row r="1081" ht="22.5" hidden="1" customHeight="1">
      <c r="A1081" s="101"/>
      <c r="B1081" s="102"/>
      <c r="C1081" s="103"/>
      <c r="D1081" s="101"/>
      <c r="E1081" s="101"/>
      <c r="F1081" s="104"/>
      <c r="G1081" s="104"/>
      <c r="H1081" s="103"/>
      <c r="I1081" s="99" t="str">
        <f t="shared" si="5"/>
        <v/>
      </c>
      <c r="J1081" s="101"/>
      <c r="K1081" s="101"/>
      <c r="L1081" s="101" t="str">
        <f t="shared" si="8"/>
        <v>EN PROCESO</v>
      </c>
      <c r="M1081" s="101"/>
      <c r="N1081" s="101"/>
    </row>
    <row r="1082" ht="22.5" hidden="1" customHeight="1">
      <c r="A1082" s="49"/>
      <c r="B1082" s="81"/>
      <c r="C1082" s="97"/>
      <c r="D1082" s="49"/>
      <c r="E1082" s="49"/>
      <c r="F1082" s="98"/>
      <c r="G1082" s="98"/>
      <c r="H1082" s="97"/>
      <c r="I1082" s="99" t="str">
        <f t="shared" si="5"/>
        <v/>
      </c>
      <c r="J1082" s="49"/>
      <c r="K1082" s="49"/>
      <c r="L1082" s="49" t="str">
        <f t="shared" si="8"/>
        <v>EN PROCESO</v>
      </c>
      <c r="M1082" s="49"/>
      <c r="N1082" s="49"/>
    </row>
    <row r="1083" ht="22.5" hidden="1" customHeight="1">
      <c r="A1083" s="101"/>
      <c r="B1083" s="102"/>
      <c r="C1083" s="103"/>
      <c r="D1083" s="101"/>
      <c r="E1083" s="101"/>
      <c r="F1083" s="104"/>
      <c r="G1083" s="104"/>
      <c r="H1083" s="103"/>
      <c r="I1083" s="99" t="str">
        <f t="shared" si="5"/>
        <v/>
      </c>
      <c r="J1083" s="101"/>
      <c r="K1083" s="101"/>
      <c r="L1083" s="101" t="str">
        <f t="shared" si="8"/>
        <v>EN PROCESO</v>
      </c>
      <c r="M1083" s="101"/>
      <c r="N1083" s="101"/>
    </row>
    <row r="1084" ht="22.5" hidden="1" customHeight="1">
      <c r="A1084" s="49"/>
      <c r="B1084" s="81"/>
      <c r="C1084" s="97"/>
      <c r="D1084" s="49"/>
      <c r="E1084" s="49"/>
      <c r="F1084" s="98"/>
      <c r="G1084" s="98"/>
      <c r="H1084" s="97"/>
      <c r="I1084" s="99" t="str">
        <f t="shared" si="5"/>
        <v/>
      </c>
      <c r="J1084" s="49"/>
      <c r="K1084" s="49"/>
      <c r="L1084" s="49" t="str">
        <f t="shared" si="8"/>
        <v>EN PROCESO</v>
      </c>
      <c r="M1084" s="49"/>
      <c r="N1084" s="49"/>
    </row>
    <row r="1085" ht="22.5" hidden="1" customHeight="1">
      <c r="A1085" s="101"/>
      <c r="B1085" s="102"/>
      <c r="C1085" s="103"/>
      <c r="D1085" s="101"/>
      <c r="E1085" s="101"/>
      <c r="F1085" s="104"/>
      <c r="G1085" s="104"/>
      <c r="H1085" s="103"/>
      <c r="I1085" s="99" t="str">
        <f t="shared" si="5"/>
        <v/>
      </c>
      <c r="J1085" s="101"/>
      <c r="K1085" s="101"/>
      <c r="L1085" s="101" t="str">
        <f t="shared" si="8"/>
        <v>EN PROCESO</v>
      </c>
      <c r="M1085" s="101"/>
      <c r="N1085" s="101"/>
    </row>
    <row r="1086" ht="22.5" hidden="1" customHeight="1">
      <c r="A1086" s="49"/>
      <c r="B1086" s="81"/>
      <c r="C1086" s="97"/>
      <c r="D1086" s="49"/>
      <c r="E1086" s="49"/>
      <c r="F1086" s="98"/>
      <c r="G1086" s="98"/>
      <c r="H1086" s="97"/>
      <c r="I1086" s="99" t="str">
        <f t="shared" si="5"/>
        <v/>
      </c>
      <c r="J1086" s="49"/>
      <c r="K1086" s="49"/>
      <c r="L1086" s="49" t="str">
        <f t="shared" si="8"/>
        <v>EN PROCESO</v>
      </c>
      <c r="M1086" s="49"/>
      <c r="N1086" s="49"/>
    </row>
    <row r="1087" ht="22.5" hidden="1" customHeight="1">
      <c r="A1087" s="101"/>
      <c r="B1087" s="102"/>
      <c r="C1087" s="103"/>
      <c r="D1087" s="101"/>
      <c r="E1087" s="101"/>
      <c r="F1087" s="104"/>
      <c r="G1087" s="104"/>
      <c r="H1087" s="103"/>
      <c r="I1087" s="99" t="str">
        <f t="shared" si="5"/>
        <v/>
      </c>
      <c r="J1087" s="101"/>
      <c r="K1087" s="101"/>
      <c r="L1087" s="101" t="str">
        <f t="shared" si="8"/>
        <v>EN PROCESO</v>
      </c>
      <c r="M1087" s="101"/>
      <c r="N1087" s="101"/>
    </row>
    <row r="1088" ht="22.5" hidden="1" customHeight="1">
      <c r="A1088" s="49"/>
      <c r="B1088" s="81"/>
      <c r="C1088" s="97"/>
      <c r="D1088" s="49"/>
      <c r="E1088" s="49"/>
      <c r="F1088" s="98"/>
      <c r="G1088" s="98"/>
      <c r="H1088" s="97"/>
      <c r="I1088" s="99" t="str">
        <f t="shared" si="5"/>
        <v/>
      </c>
      <c r="J1088" s="49"/>
      <c r="K1088" s="49"/>
      <c r="L1088" s="49" t="str">
        <f t="shared" si="8"/>
        <v>EN PROCESO</v>
      </c>
      <c r="M1088" s="49"/>
      <c r="N1088" s="49"/>
    </row>
    <row r="1089" ht="22.5" hidden="1" customHeight="1">
      <c r="A1089" s="101"/>
      <c r="B1089" s="102"/>
      <c r="C1089" s="103"/>
      <c r="D1089" s="101"/>
      <c r="E1089" s="101"/>
      <c r="F1089" s="104"/>
      <c r="G1089" s="104"/>
      <c r="H1089" s="103"/>
      <c r="I1089" s="99" t="str">
        <f t="shared" si="5"/>
        <v/>
      </c>
      <c r="J1089" s="101"/>
      <c r="K1089" s="101"/>
      <c r="L1089" s="101" t="str">
        <f t="shared" si="8"/>
        <v>EN PROCESO</v>
      </c>
      <c r="M1089" s="101"/>
      <c r="N1089" s="101"/>
    </row>
    <row r="1090" ht="22.5" hidden="1" customHeight="1">
      <c r="A1090" s="49"/>
      <c r="B1090" s="81"/>
      <c r="C1090" s="97"/>
      <c r="D1090" s="49"/>
      <c r="E1090" s="49"/>
      <c r="F1090" s="98"/>
      <c r="G1090" s="98"/>
      <c r="H1090" s="97"/>
      <c r="I1090" s="99" t="str">
        <f t="shared" si="5"/>
        <v/>
      </c>
      <c r="J1090" s="49"/>
      <c r="K1090" s="49"/>
      <c r="L1090" s="49" t="str">
        <f t="shared" si="8"/>
        <v>EN PROCESO</v>
      </c>
      <c r="M1090" s="49"/>
      <c r="N1090" s="49"/>
    </row>
    <row r="1091" ht="22.5" hidden="1" customHeight="1">
      <c r="A1091" s="101"/>
      <c r="B1091" s="102"/>
      <c r="C1091" s="103"/>
      <c r="D1091" s="101"/>
      <c r="E1091" s="101"/>
      <c r="F1091" s="104"/>
      <c r="G1091" s="104"/>
      <c r="H1091" s="103"/>
      <c r="I1091" s="99" t="str">
        <f t="shared" si="5"/>
        <v/>
      </c>
      <c r="J1091" s="101"/>
      <c r="K1091" s="101"/>
      <c r="L1091" s="101" t="str">
        <f t="shared" si="8"/>
        <v>EN PROCESO</v>
      </c>
      <c r="M1091" s="101"/>
      <c r="N1091" s="101"/>
    </row>
    <row r="1092" ht="22.5" hidden="1" customHeight="1">
      <c r="A1092" s="49"/>
      <c r="B1092" s="81"/>
      <c r="C1092" s="97"/>
      <c r="D1092" s="49"/>
      <c r="E1092" s="49"/>
      <c r="F1092" s="98"/>
      <c r="G1092" s="98"/>
      <c r="H1092" s="97"/>
      <c r="I1092" s="99" t="str">
        <f t="shared" si="5"/>
        <v/>
      </c>
      <c r="J1092" s="49"/>
      <c r="K1092" s="49"/>
      <c r="L1092" s="49" t="str">
        <f t="shared" si="8"/>
        <v>EN PROCESO</v>
      </c>
      <c r="M1092" s="49"/>
      <c r="N1092" s="49"/>
    </row>
    <row r="1093" ht="22.5" hidden="1" customHeight="1">
      <c r="A1093" s="101"/>
      <c r="B1093" s="102"/>
      <c r="C1093" s="103"/>
      <c r="D1093" s="101"/>
      <c r="E1093" s="101"/>
      <c r="F1093" s="104"/>
      <c r="G1093" s="104"/>
      <c r="H1093" s="103"/>
      <c r="I1093" s="99" t="str">
        <f t="shared" si="5"/>
        <v/>
      </c>
      <c r="J1093" s="101"/>
      <c r="K1093" s="101"/>
      <c r="L1093" s="101" t="str">
        <f t="shared" si="8"/>
        <v>EN PROCESO</v>
      </c>
      <c r="M1093" s="101"/>
      <c r="N1093" s="101"/>
    </row>
    <row r="1094" ht="22.5" hidden="1" customHeight="1">
      <c r="A1094" s="49"/>
      <c r="B1094" s="81"/>
      <c r="C1094" s="97"/>
      <c r="D1094" s="49"/>
      <c r="E1094" s="49"/>
      <c r="F1094" s="98"/>
      <c r="G1094" s="98"/>
      <c r="H1094" s="97"/>
      <c r="I1094" s="99" t="str">
        <f t="shared" si="5"/>
        <v/>
      </c>
      <c r="J1094" s="49"/>
      <c r="K1094" s="49"/>
      <c r="L1094" s="49" t="str">
        <f t="shared" si="8"/>
        <v>EN PROCESO</v>
      </c>
      <c r="M1094" s="49"/>
      <c r="N1094" s="49"/>
    </row>
    <row r="1095" ht="22.5" hidden="1" customHeight="1">
      <c r="A1095" s="101"/>
      <c r="B1095" s="102"/>
      <c r="C1095" s="103"/>
      <c r="D1095" s="101"/>
      <c r="E1095" s="101"/>
      <c r="F1095" s="104"/>
      <c r="G1095" s="104"/>
      <c r="H1095" s="103"/>
      <c r="I1095" s="99" t="str">
        <f t="shared" si="5"/>
        <v/>
      </c>
      <c r="J1095" s="101"/>
      <c r="K1095" s="101"/>
      <c r="L1095" s="101" t="str">
        <f t="shared" si="8"/>
        <v>EN PROCESO</v>
      </c>
      <c r="M1095" s="101"/>
      <c r="N1095" s="101"/>
    </row>
    <row r="1096" ht="22.5" hidden="1" customHeight="1">
      <c r="A1096" s="49"/>
      <c r="B1096" s="81"/>
      <c r="C1096" s="97"/>
      <c r="D1096" s="49"/>
      <c r="E1096" s="49"/>
      <c r="F1096" s="98"/>
      <c r="G1096" s="98"/>
      <c r="H1096" s="97"/>
      <c r="I1096" s="99" t="str">
        <f t="shared" si="5"/>
        <v/>
      </c>
      <c r="J1096" s="49"/>
      <c r="K1096" s="49"/>
      <c r="L1096" s="49" t="str">
        <f t="shared" si="8"/>
        <v>EN PROCESO</v>
      </c>
      <c r="M1096" s="49"/>
      <c r="N1096" s="49"/>
    </row>
    <row r="1097" ht="22.5" hidden="1" customHeight="1">
      <c r="A1097" s="101"/>
      <c r="B1097" s="102"/>
      <c r="C1097" s="103"/>
      <c r="D1097" s="101"/>
      <c r="E1097" s="101"/>
      <c r="F1097" s="104"/>
      <c r="G1097" s="104"/>
      <c r="H1097" s="103"/>
      <c r="I1097" s="99" t="str">
        <f t="shared" si="5"/>
        <v/>
      </c>
      <c r="J1097" s="101"/>
      <c r="K1097" s="101"/>
      <c r="L1097" s="101" t="str">
        <f t="shared" si="8"/>
        <v>EN PROCESO</v>
      </c>
      <c r="M1097" s="101"/>
      <c r="N1097" s="101"/>
    </row>
    <row r="1098" ht="22.5" hidden="1" customHeight="1">
      <c r="A1098" s="49"/>
      <c r="B1098" s="81"/>
      <c r="C1098" s="97"/>
      <c r="D1098" s="49"/>
      <c r="E1098" s="49"/>
      <c r="F1098" s="98"/>
      <c r="G1098" s="98"/>
      <c r="H1098" s="97"/>
      <c r="I1098" s="99" t="str">
        <f t="shared" si="5"/>
        <v/>
      </c>
      <c r="J1098" s="49"/>
      <c r="K1098" s="49"/>
      <c r="L1098" s="49" t="str">
        <f t="shared" si="8"/>
        <v>EN PROCESO</v>
      </c>
      <c r="M1098" s="49"/>
      <c r="N1098" s="49"/>
    </row>
    <row r="1099" ht="22.5" hidden="1" customHeight="1">
      <c r="A1099" s="101"/>
      <c r="B1099" s="102"/>
      <c r="C1099" s="103"/>
      <c r="D1099" s="101"/>
      <c r="E1099" s="101"/>
      <c r="F1099" s="104"/>
      <c r="G1099" s="104"/>
      <c r="H1099" s="103"/>
      <c r="I1099" s="99" t="str">
        <f t="shared" si="5"/>
        <v/>
      </c>
      <c r="J1099" s="101"/>
      <c r="K1099" s="101"/>
      <c r="L1099" s="101" t="str">
        <f t="shared" si="8"/>
        <v>EN PROCESO</v>
      </c>
      <c r="M1099" s="101"/>
      <c r="N1099" s="101"/>
    </row>
    <row r="1100" ht="22.5" hidden="1" customHeight="1">
      <c r="A1100" s="49"/>
      <c r="B1100" s="81"/>
      <c r="C1100" s="97"/>
      <c r="D1100" s="49"/>
      <c r="E1100" s="49"/>
      <c r="F1100" s="98"/>
      <c r="G1100" s="98"/>
      <c r="H1100" s="97"/>
      <c r="I1100" s="99" t="str">
        <f t="shared" si="5"/>
        <v/>
      </c>
      <c r="J1100" s="49"/>
      <c r="K1100" s="49"/>
      <c r="L1100" s="49" t="str">
        <f t="shared" si="8"/>
        <v>EN PROCESO</v>
      </c>
      <c r="M1100" s="49"/>
      <c r="N1100" s="49"/>
    </row>
    <row r="1101" ht="22.5" hidden="1" customHeight="1">
      <c r="A1101" s="101"/>
      <c r="B1101" s="102"/>
      <c r="C1101" s="103"/>
      <c r="D1101" s="101"/>
      <c r="E1101" s="101"/>
      <c r="F1101" s="104"/>
      <c r="G1101" s="104"/>
      <c r="H1101" s="103"/>
      <c r="I1101" s="99" t="str">
        <f t="shared" si="5"/>
        <v/>
      </c>
      <c r="J1101" s="101"/>
      <c r="K1101" s="101"/>
      <c r="L1101" s="101" t="str">
        <f t="shared" si="8"/>
        <v>EN PROCESO</v>
      </c>
      <c r="M1101" s="101"/>
      <c r="N1101" s="101"/>
    </row>
    <row r="1102" ht="22.5" hidden="1" customHeight="1">
      <c r="A1102" s="49"/>
      <c r="B1102" s="81"/>
      <c r="C1102" s="97"/>
      <c r="D1102" s="49"/>
      <c r="E1102" s="49"/>
      <c r="F1102" s="98"/>
      <c r="G1102" s="98"/>
      <c r="H1102" s="97"/>
      <c r="I1102" s="99" t="str">
        <f t="shared" si="5"/>
        <v/>
      </c>
      <c r="J1102" s="49"/>
      <c r="K1102" s="49"/>
      <c r="L1102" s="49" t="str">
        <f t="shared" si="8"/>
        <v>EN PROCESO</v>
      </c>
      <c r="M1102" s="49"/>
      <c r="N1102" s="49"/>
    </row>
    <row r="1103" ht="22.5" hidden="1" customHeight="1">
      <c r="A1103" s="101"/>
      <c r="B1103" s="102"/>
      <c r="C1103" s="103"/>
      <c r="D1103" s="101"/>
      <c r="E1103" s="101"/>
      <c r="F1103" s="104"/>
      <c r="G1103" s="104"/>
      <c r="H1103" s="103"/>
      <c r="I1103" s="99" t="str">
        <f t="shared" si="5"/>
        <v/>
      </c>
      <c r="J1103" s="101"/>
      <c r="K1103" s="101"/>
      <c r="L1103" s="101" t="str">
        <f t="shared" si="8"/>
        <v>EN PROCESO</v>
      </c>
      <c r="M1103" s="101"/>
      <c r="N1103" s="101"/>
    </row>
    <row r="1104" ht="22.5" hidden="1" customHeight="1">
      <c r="A1104" s="49"/>
      <c r="B1104" s="81"/>
      <c r="C1104" s="97"/>
      <c r="D1104" s="49"/>
      <c r="E1104" s="49"/>
      <c r="F1104" s="98"/>
      <c r="G1104" s="98"/>
      <c r="H1104" s="97"/>
      <c r="I1104" s="99" t="str">
        <f t="shared" si="5"/>
        <v/>
      </c>
      <c r="J1104" s="49"/>
      <c r="K1104" s="49"/>
      <c r="L1104" s="49" t="str">
        <f t="shared" si="8"/>
        <v>EN PROCESO</v>
      </c>
      <c r="M1104" s="49"/>
      <c r="N1104" s="49"/>
    </row>
    <row r="1105" ht="22.5" hidden="1" customHeight="1">
      <c r="A1105" s="101"/>
      <c r="B1105" s="102"/>
      <c r="C1105" s="103"/>
      <c r="D1105" s="101"/>
      <c r="E1105" s="101"/>
      <c r="F1105" s="104"/>
      <c r="G1105" s="104"/>
      <c r="H1105" s="103"/>
      <c r="I1105" s="99" t="str">
        <f t="shared" si="5"/>
        <v/>
      </c>
      <c r="J1105" s="101"/>
      <c r="K1105" s="101"/>
      <c r="L1105" s="101" t="str">
        <f t="shared" si="8"/>
        <v>EN PROCESO</v>
      </c>
      <c r="M1105" s="101"/>
      <c r="N1105" s="101"/>
    </row>
    <row r="1106" ht="22.5" hidden="1" customHeight="1">
      <c r="A1106" s="49"/>
      <c r="B1106" s="81"/>
      <c r="C1106" s="97"/>
      <c r="D1106" s="49"/>
      <c r="E1106" s="49"/>
      <c r="F1106" s="98"/>
      <c r="G1106" s="98"/>
      <c r="H1106" s="97"/>
      <c r="I1106" s="99" t="str">
        <f t="shared" si="5"/>
        <v/>
      </c>
      <c r="J1106" s="49"/>
      <c r="K1106" s="49"/>
      <c r="L1106" s="49" t="str">
        <f t="shared" si="8"/>
        <v>EN PROCESO</v>
      </c>
      <c r="M1106" s="49"/>
      <c r="N1106" s="49"/>
    </row>
    <row r="1107" ht="22.5" hidden="1" customHeight="1">
      <c r="A1107" s="101"/>
      <c r="B1107" s="102"/>
      <c r="C1107" s="103"/>
      <c r="D1107" s="101"/>
      <c r="E1107" s="101"/>
      <c r="F1107" s="104"/>
      <c r="G1107" s="104"/>
      <c r="H1107" s="103"/>
      <c r="I1107" s="99" t="str">
        <f t="shared" si="5"/>
        <v/>
      </c>
      <c r="J1107" s="101"/>
      <c r="K1107" s="101"/>
      <c r="L1107" s="101" t="str">
        <f t="shared" si="8"/>
        <v>EN PROCESO</v>
      </c>
      <c r="M1107" s="101"/>
      <c r="N1107" s="101"/>
    </row>
    <row r="1108" ht="22.5" hidden="1" customHeight="1">
      <c r="A1108" s="49"/>
      <c r="B1108" s="81"/>
      <c r="C1108" s="97"/>
      <c r="D1108" s="49"/>
      <c r="E1108" s="49"/>
      <c r="F1108" s="98"/>
      <c r="G1108" s="98"/>
      <c r="H1108" s="97"/>
      <c r="I1108" s="99" t="str">
        <f t="shared" si="5"/>
        <v/>
      </c>
      <c r="J1108" s="49"/>
      <c r="K1108" s="49"/>
      <c r="L1108" s="49" t="str">
        <f t="shared" si="8"/>
        <v>EN PROCESO</v>
      </c>
      <c r="M1108" s="49"/>
      <c r="N1108" s="49"/>
    </row>
    <row r="1109" ht="22.5" hidden="1" customHeight="1">
      <c r="A1109" s="101"/>
      <c r="B1109" s="102"/>
      <c r="C1109" s="103"/>
      <c r="D1109" s="101"/>
      <c r="E1109" s="101"/>
      <c r="F1109" s="104"/>
      <c r="G1109" s="104"/>
      <c r="H1109" s="103"/>
      <c r="I1109" s="99" t="str">
        <f t="shared" si="5"/>
        <v/>
      </c>
      <c r="J1109" s="101"/>
      <c r="K1109" s="101"/>
      <c r="L1109" s="101" t="str">
        <f t="shared" si="8"/>
        <v>EN PROCESO</v>
      </c>
      <c r="M1109" s="101"/>
      <c r="N1109" s="101"/>
    </row>
    <row r="1110" ht="22.5" hidden="1" customHeight="1">
      <c r="A1110" s="49"/>
      <c r="B1110" s="81"/>
      <c r="C1110" s="97"/>
      <c r="D1110" s="49"/>
      <c r="E1110" s="49"/>
      <c r="F1110" s="98"/>
      <c r="G1110" s="98"/>
      <c r="H1110" s="97"/>
      <c r="I1110" s="99" t="str">
        <f t="shared" si="5"/>
        <v/>
      </c>
      <c r="J1110" s="49"/>
      <c r="K1110" s="49"/>
      <c r="L1110" s="49" t="str">
        <f t="shared" si="8"/>
        <v>EN PROCESO</v>
      </c>
      <c r="M1110" s="49"/>
      <c r="N1110" s="49"/>
    </row>
    <row r="1111" ht="22.5" hidden="1" customHeight="1">
      <c r="A1111" s="101"/>
      <c r="B1111" s="102"/>
      <c r="C1111" s="103"/>
      <c r="D1111" s="101"/>
      <c r="E1111" s="101"/>
      <c r="F1111" s="104"/>
      <c r="G1111" s="104"/>
      <c r="H1111" s="103"/>
      <c r="I1111" s="99" t="str">
        <f t="shared" si="5"/>
        <v/>
      </c>
      <c r="J1111" s="101"/>
      <c r="K1111" s="101"/>
      <c r="L1111" s="101" t="str">
        <f t="shared" si="8"/>
        <v>EN PROCESO</v>
      </c>
      <c r="M1111" s="101"/>
      <c r="N1111" s="101"/>
    </row>
    <row r="1112" ht="22.5" hidden="1" customHeight="1">
      <c r="A1112" s="49"/>
      <c r="B1112" s="81"/>
      <c r="C1112" s="97"/>
      <c r="D1112" s="49"/>
      <c r="E1112" s="49"/>
      <c r="F1112" s="98"/>
      <c r="G1112" s="98"/>
      <c r="H1112" s="97"/>
      <c r="I1112" s="99" t="str">
        <f t="shared" si="5"/>
        <v/>
      </c>
      <c r="J1112" s="49"/>
      <c r="K1112" s="49"/>
      <c r="L1112" s="49" t="str">
        <f t="shared" si="8"/>
        <v>EN PROCESO</v>
      </c>
      <c r="M1112" s="49"/>
      <c r="N1112" s="49"/>
    </row>
    <row r="1113" ht="22.5" hidden="1" customHeight="1">
      <c r="A1113" s="101"/>
      <c r="B1113" s="102"/>
      <c r="C1113" s="103"/>
      <c r="D1113" s="101"/>
      <c r="E1113" s="101"/>
      <c r="F1113" s="104"/>
      <c r="G1113" s="104"/>
      <c r="H1113" s="103"/>
      <c r="I1113" s="99" t="str">
        <f t="shared" si="5"/>
        <v/>
      </c>
      <c r="J1113" s="101"/>
      <c r="K1113" s="101"/>
      <c r="L1113" s="101" t="str">
        <f t="shared" si="8"/>
        <v>EN PROCESO</v>
      </c>
      <c r="M1113" s="101"/>
      <c r="N1113" s="101"/>
    </row>
    <row r="1114" ht="22.5" hidden="1" customHeight="1">
      <c r="A1114" s="49"/>
      <c r="B1114" s="81"/>
      <c r="C1114" s="97"/>
      <c r="D1114" s="49"/>
      <c r="E1114" s="49"/>
      <c r="F1114" s="98"/>
      <c r="G1114" s="98"/>
      <c r="H1114" s="97"/>
      <c r="I1114" s="99" t="str">
        <f t="shared" si="5"/>
        <v/>
      </c>
      <c r="J1114" s="49"/>
      <c r="K1114" s="49"/>
      <c r="L1114" s="49" t="str">
        <f t="shared" si="8"/>
        <v>EN PROCESO</v>
      </c>
      <c r="M1114" s="49"/>
      <c r="N1114" s="49"/>
    </row>
    <row r="1115" ht="22.5" hidden="1" customHeight="1">
      <c r="A1115" s="101"/>
      <c r="B1115" s="102"/>
      <c r="C1115" s="103"/>
      <c r="D1115" s="101"/>
      <c r="E1115" s="101"/>
      <c r="F1115" s="104"/>
      <c r="G1115" s="104"/>
      <c r="H1115" s="103"/>
      <c r="I1115" s="99" t="str">
        <f t="shared" si="5"/>
        <v/>
      </c>
      <c r="J1115" s="101"/>
      <c r="K1115" s="101"/>
      <c r="L1115" s="101" t="str">
        <f t="shared" si="8"/>
        <v>EN PROCESO</v>
      </c>
      <c r="M1115" s="101"/>
      <c r="N1115" s="101"/>
    </row>
    <row r="1116" ht="22.5" hidden="1" customHeight="1">
      <c r="A1116" s="49"/>
      <c r="B1116" s="81"/>
      <c r="C1116" s="97"/>
      <c r="D1116" s="49"/>
      <c r="E1116" s="49"/>
      <c r="F1116" s="98"/>
      <c r="G1116" s="98"/>
      <c r="H1116" s="97"/>
      <c r="I1116" s="99" t="str">
        <f t="shared" si="5"/>
        <v/>
      </c>
      <c r="J1116" s="49"/>
      <c r="K1116" s="49"/>
      <c r="L1116" s="49" t="str">
        <f t="shared" si="8"/>
        <v>EN PROCESO</v>
      </c>
      <c r="M1116" s="49"/>
      <c r="N1116" s="49"/>
    </row>
    <row r="1117" ht="22.5" hidden="1" customHeight="1">
      <c r="A1117" s="101"/>
      <c r="B1117" s="102"/>
      <c r="C1117" s="103"/>
      <c r="D1117" s="101"/>
      <c r="E1117" s="101"/>
      <c r="F1117" s="104"/>
      <c r="G1117" s="104"/>
      <c r="H1117" s="103"/>
      <c r="I1117" s="99" t="str">
        <f t="shared" si="5"/>
        <v/>
      </c>
      <c r="J1117" s="101"/>
      <c r="K1117" s="101"/>
      <c r="L1117" s="101" t="str">
        <f t="shared" si="8"/>
        <v>EN PROCESO</v>
      </c>
      <c r="M1117" s="101"/>
      <c r="N1117" s="101"/>
    </row>
    <row r="1118" ht="22.5" hidden="1" customHeight="1">
      <c r="A1118" s="49"/>
      <c r="B1118" s="81"/>
      <c r="C1118" s="97"/>
      <c r="D1118" s="49"/>
      <c r="E1118" s="49"/>
      <c r="F1118" s="98"/>
      <c r="G1118" s="98"/>
      <c r="H1118" s="97"/>
      <c r="I1118" s="99">
        <f t="shared" ref="I1118:I1977" si="9">F1118-G1118</f>
        <v>0</v>
      </c>
      <c r="J1118" s="49"/>
      <c r="K1118" s="49"/>
      <c r="L1118" s="49" t="str">
        <f t="shared" si="8"/>
        <v>EN PROCESO</v>
      </c>
      <c r="M1118" s="49"/>
      <c r="N1118" s="49"/>
    </row>
    <row r="1119" ht="22.5" hidden="1" customHeight="1">
      <c r="A1119" s="101"/>
      <c r="B1119" s="102"/>
      <c r="C1119" s="103"/>
      <c r="D1119" s="101"/>
      <c r="E1119" s="101"/>
      <c r="F1119" s="104"/>
      <c r="G1119" s="104"/>
      <c r="H1119" s="103"/>
      <c r="I1119" s="99">
        <f t="shared" si="9"/>
        <v>0</v>
      </c>
      <c r="J1119" s="101"/>
      <c r="K1119" s="101"/>
      <c r="L1119" s="101" t="str">
        <f t="shared" si="8"/>
        <v>EN PROCESO</v>
      </c>
      <c r="M1119" s="101"/>
      <c r="N1119" s="101"/>
    </row>
    <row r="1120" ht="22.5" hidden="1" customHeight="1">
      <c r="A1120" s="49"/>
      <c r="B1120" s="81"/>
      <c r="C1120" s="97"/>
      <c r="D1120" s="49"/>
      <c r="E1120" s="49"/>
      <c r="F1120" s="98"/>
      <c r="G1120" s="98"/>
      <c r="H1120" s="97"/>
      <c r="I1120" s="99">
        <f t="shared" si="9"/>
        <v>0</v>
      </c>
      <c r="J1120" s="49"/>
      <c r="K1120" s="49"/>
      <c r="L1120" s="49" t="str">
        <f t="shared" si="8"/>
        <v>EN PROCESO</v>
      </c>
      <c r="M1120" s="49"/>
      <c r="N1120" s="49"/>
    </row>
    <row r="1121" ht="22.5" hidden="1" customHeight="1">
      <c r="A1121" s="101"/>
      <c r="B1121" s="102"/>
      <c r="C1121" s="103"/>
      <c r="D1121" s="101"/>
      <c r="E1121" s="101"/>
      <c r="F1121" s="104"/>
      <c r="G1121" s="104"/>
      <c r="H1121" s="103"/>
      <c r="I1121" s="99">
        <f t="shared" si="9"/>
        <v>0</v>
      </c>
      <c r="J1121" s="101"/>
      <c r="K1121" s="101"/>
      <c r="L1121" s="101" t="str">
        <f t="shared" si="8"/>
        <v>EN PROCESO</v>
      </c>
      <c r="M1121" s="101"/>
      <c r="N1121" s="101"/>
    </row>
    <row r="1122" ht="22.5" hidden="1" customHeight="1">
      <c r="A1122" s="49"/>
      <c r="B1122" s="81"/>
      <c r="C1122" s="97"/>
      <c r="D1122" s="49"/>
      <c r="E1122" s="49"/>
      <c r="F1122" s="98"/>
      <c r="G1122" s="98"/>
      <c r="H1122" s="97"/>
      <c r="I1122" s="99">
        <f t="shared" si="9"/>
        <v>0</v>
      </c>
      <c r="J1122" s="49"/>
      <c r="K1122" s="49"/>
      <c r="L1122" s="49" t="str">
        <f t="shared" si="8"/>
        <v>EN PROCESO</v>
      </c>
      <c r="M1122" s="49"/>
      <c r="N1122" s="49"/>
    </row>
    <row r="1123" ht="22.5" hidden="1" customHeight="1">
      <c r="A1123" s="101"/>
      <c r="B1123" s="102"/>
      <c r="C1123" s="103"/>
      <c r="D1123" s="101"/>
      <c r="E1123" s="101"/>
      <c r="F1123" s="104"/>
      <c r="G1123" s="104"/>
      <c r="H1123" s="103"/>
      <c r="I1123" s="99">
        <f t="shared" si="9"/>
        <v>0</v>
      </c>
      <c r="J1123" s="101"/>
      <c r="K1123" s="101"/>
      <c r="L1123" s="101" t="str">
        <f t="shared" si="8"/>
        <v>EN PROCESO</v>
      </c>
      <c r="M1123" s="101"/>
      <c r="N1123" s="101"/>
    </row>
    <row r="1124" ht="22.5" hidden="1" customHeight="1">
      <c r="A1124" s="49"/>
      <c r="B1124" s="81"/>
      <c r="C1124" s="97"/>
      <c r="D1124" s="49"/>
      <c r="E1124" s="49"/>
      <c r="F1124" s="98"/>
      <c r="G1124" s="98"/>
      <c r="H1124" s="97"/>
      <c r="I1124" s="99">
        <f t="shared" si="9"/>
        <v>0</v>
      </c>
      <c r="J1124" s="49"/>
      <c r="K1124" s="49"/>
      <c r="L1124" s="49" t="str">
        <f t="shared" si="8"/>
        <v>EN PROCESO</v>
      </c>
      <c r="M1124" s="49"/>
      <c r="N1124" s="49"/>
    </row>
    <row r="1125" ht="22.5" hidden="1" customHeight="1">
      <c r="A1125" s="101"/>
      <c r="B1125" s="102"/>
      <c r="C1125" s="103"/>
      <c r="D1125" s="101"/>
      <c r="E1125" s="101"/>
      <c r="F1125" s="104"/>
      <c r="G1125" s="104"/>
      <c r="H1125" s="103"/>
      <c r="I1125" s="99">
        <f t="shared" si="9"/>
        <v>0</v>
      </c>
      <c r="J1125" s="101"/>
      <c r="K1125" s="101"/>
      <c r="L1125" s="101" t="str">
        <f t="shared" si="8"/>
        <v>EN PROCESO</v>
      </c>
      <c r="M1125" s="101"/>
      <c r="N1125" s="101"/>
    </row>
    <row r="1126" ht="22.5" hidden="1" customHeight="1">
      <c r="A1126" s="49"/>
      <c r="B1126" s="81"/>
      <c r="C1126" s="97"/>
      <c r="D1126" s="49"/>
      <c r="E1126" s="49"/>
      <c r="F1126" s="98"/>
      <c r="G1126" s="98"/>
      <c r="H1126" s="97"/>
      <c r="I1126" s="99">
        <f t="shared" si="9"/>
        <v>0</v>
      </c>
      <c r="J1126" s="49"/>
      <c r="K1126" s="49"/>
      <c r="L1126" s="49" t="str">
        <f t="shared" si="8"/>
        <v>EN PROCESO</v>
      </c>
      <c r="M1126" s="49"/>
      <c r="N1126" s="49"/>
    </row>
    <row r="1127" ht="22.5" hidden="1" customHeight="1">
      <c r="A1127" s="101"/>
      <c r="B1127" s="102"/>
      <c r="C1127" s="103"/>
      <c r="D1127" s="101"/>
      <c r="E1127" s="101"/>
      <c r="F1127" s="104"/>
      <c r="G1127" s="104"/>
      <c r="H1127" s="103"/>
      <c r="I1127" s="99">
        <f t="shared" si="9"/>
        <v>0</v>
      </c>
      <c r="J1127" s="101"/>
      <c r="K1127" s="101"/>
      <c r="L1127" s="101" t="str">
        <f t="shared" si="8"/>
        <v>EN PROCESO</v>
      </c>
      <c r="M1127" s="101"/>
      <c r="N1127" s="101"/>
    </row>
    <row r="1128" ht="22.5" hidden="1" customHeight="1">
      <c r="A1128" s="49"/>
      <c r="B1128" s="81"/>
      <c r="C1128" s="97"/>
      <c r="D1128" s="49"/>
      <c r="E1128" s="49"/>
      <c r="F1128" s="98"/>
      <c r="G1128" s="98"/>
      <c r="H1128" s="97"/>
      <c r="I1128" s="99">
        <f t="shared" si="9"/>
        <v>0</v>
      </c>
      <c r="J1128" s="49"/>
      <c r="K1128" s="49"/>
      <c r="L1128" s="49" t="str">
        <f t="shared" si="8"/>
        <v>EN PROCESO</v>
      </c>
      <c r="M1128" s="49"/>
      <c r="N1128" s="49"/>
    </row>
    <row r="1129" ht="22.5" hidden="1" customHeight="1">
      <c r="A1129" s="101"/>
      <c r="B1129" s="102"/>
      <c r="C1129" s="103"/>
      <c r="D1129" s="101"/>
      <c r="E1129" s="101"/>
      <c r="F1129" s="104"/>
      <c r="G1129" s="104"/>
      <c r="H1129" s="103"/>
      <c r="I1129" s="99">
        <f t="shared" si="9"/>
        <v>0</v>
      </c>
      <c r="J1129" s="101"/>
      <c r="K1129" s="101"/>
      <c r="L1129" s="101" t="str">
        <f t="shared" si="8"/>
        <v>EN PROCESO</v>
      </c>
      <c r="M1129" s="101"/>
      <c r="N1129" s="101"/>
    </row>
    <row r="1130" ht="22.5" hidden="1" customHeight="1">
      <c r="A1130" s="49"/>
      <c r="B1130" s="81"/>
      <c r="C1130" s="97"/>
      <c r="D1130" s="49"/>
      <c r="E1130" s="49"/>
      <c r="F1130" s="98"/>
      <c r="G1130" s="98"/>
      <c r="H1130" s="97"/>
      <c r="I1130" s="99">
        <f t="shared" si="9"/>
        <v>0</v>
      </c>
      <c r="J1130" s="49"/>
      <c r="K1130" s="49"/>
      <c r="L1130" s="49" t="str">
        <f t="shared" si="8"/>
        <v>EN PROCESO</v>
      </c>
      <c r="M1130" s="49"/>
      <c r="N1130" s="49"/>
    </row>
    <row r="1131" ht="22.5" hidden="1" customHeight="1">
      <c r="A1131" s="101"/>
      <c r="B1131" s="102"/>
      <c r="C1131" s="103"/>
      <c r="D1131" s="101"/>
      <c r="E1131" s="101"/>
      <c r="F1131" s="104"/>
      <c r="G1131" s="104"/>
      <c r="H1131" s="103"/>
      <c r="I1131" s="99">
        <f t="shared" si="9"/>
        <v>0</v>
      </c>
      <c r="J1131" s="101"/>
      <c r="K1131" s="101"/>
      <c r="L1131" s="101" t="str">
        <f t="shared" si="8"/>
        <v>EN PROCESO</v>
      </c>
      <c r="M1131" s="101"/>
      <c r="N1131" s="101"/>
    </row>
    <row r="1132" ht="22.5" hidden="1" customHeight="1">
      <c r="A1132" s="49"/>
      <c r="B1132" s="81"/>
      <c r="C1132" s="97"/>
      <c r="D1132" s="49"/>
      <c r="E1132" s="49"/>
      <c r="F1132" s="98"/>
      <c r="G1132" s="98"/>
      <c r="H1132" s="97"/>
      <c r="I1132" s="99">
        <f t="shared" si="9"/>
        <v>0</v>
      </c>
      <c r="J1132" s="49"/>
      <c r="K1132" s="49"/>
      <c r="L1132" s="49" t="str">
        <f t="shared" si="8"/>
        <v>EN PROCESO</v>
      </c>
      <c r="M1132" s="49"/>
      <c r="N1132" s="49"/>
    </row>
    <row r="1133" ht="22.5" hidden="1" customHeight="1">
      <c r="A1133" s="101"/>
      <c r="B1133" s="102"/>
      <c r="C1133" s="103"/>
      <c r="D1133" s="101"/>
      <c r="E1133" s="101"/>
      <c r="F1133" s="104"/>
      <c r="G1133" s="104"/>
      <c r="H1133" s="103"/>
      <c r="I1133" s="99">
        <f t="shared" si="9"/>
        <v>0</v>
      </c>
      <c r="J1133" s="101"/>
      <c r="K1133" s="101"/>
      <c r="L1133" s="101" t="str">
        <f t="shared" si="8"/>
        <v>EN PROCESO</v>
      </c>
      <c r="M1133" s="101"/>
      <c r="N1133" s="101"/>
    </row>
    <row r="1134" ht="22.5" hidden="1" customHeight="1">
      <c r="A1134" s="49"/>
      <c r="B1134" s="81"/>
      <c r="C1134" s="97"/>
      <c r="D1134" s="49"/>
      <c r="E1134" s="49"/>
      <c r="F1134" s="98"/>
      <c r="G1134" s="98"/>
      <c r="H1134" s="97"/>
      <c r="I1134" s="99">
        <f t="shared" si="9"/>
        <v>0</v>
      </c>
      <c r="J1134" s="49"/>
      <c r="K1134" s="49"/>
      <c r="L1134" s="49" t="str">
        <f t="shared" si="8"/>
        <v>EN PROCESO</v>
      </c>
      <c r="M1134" s="49"/>
      <c r="N1134" s="49"/>
    </row>
    <row r="1135" ht="22.5" hidden="1" customHeight="1">
      <c r="A1135" s="101"/>
      <c r="B1135" s="102"/>
      <c r="C1135" s="103"/>
      <c r="D1135" s="101"/>
      <c r="E1135" s="101"/>
      <c r="F1135" s="104"/>
      <c r="G1135" s="104"/>
      <c r="H1135" s="103"/>
      <c r="I1135" s="99">
        <f t="shared" si="9"/>
        <v>0</v>
      </c>
      <c r="J1135" s="101"/>
      <c r="K1135" s="101"/>
      <c r="L1135" s="101" t="str">
        <f t="shared" si="8"/>
        <v>EN PROCESO</v>
      </c>
      <c r="M1135" s="101"/>
      <c r="N1135" s="101"/>
    </row>
    <row r="1136" ht="22.5" hidden="1" customHeight="1">
      <c r="A1136" s="49"/>
      <c r="B1136" s="81"/>
      <c r="C1136" s="97"/>
      <c r="D1136" s="49"/>
      <c r="E1136" s="49"/>
      <c r="F1136" s="98"/>
      <c r="G1136" s="98"/>
      <c r="H1136" s="97"/>
      <c r="I1136" s="99">
        <f t="shared" si="9"/>
        <v>0</v>
      </c>
      <c r="J1136" s="49"/>
      <c r="K1136" s="49"/>
      <c r="L1136" s="49" t="str">
        <f t="shared" si="8"/>
        <v>EN PROCESO</v>
      </c>
      <c r="M1136" s="49"/>
      <c r="N1136" s="49"/>
    </row>
    <row r="1137" ht="22.5" hidden="1" customHeight="1">
      <c r="A1137" s="101"/>
      <c r="B1137" s="102"/>
      <c r="C1137" s="103"/>
      <c r="D1137" s="101"/>
      <c r="E1137" s="101"/>
      <c r="F1137" s="104"/>
      <c r="G1137" s="104"/>
      <c r="H1137" s="103"/>
      <c r="I1137" s="99">
        <f t="shared" si="9"/>
        <v>0</v>
      </c>
      <c r="J1137" s="101"/>
      <c r="K1137" s="101"/>
      <c r="L1137" s="101" t="str">
        <f t="shared" si="8"/>
        <v>EN PROCESO</v>
      </c>
      <c r="M1137" s="101"/>
      <c r="N1137" s="101"/>
    </row>
    <row r="1138" ht="22.5" hidden="1" customHeight="1">
      <c r="A1138" s="49"/>
      <c r="B1138" s="81"/>
      <c r="C1138" s="97"/>
      <c r="D1138" s="49"/>
      <c r="E1138" s="49"/>
      <c r="F1138" s="98"/>
      <c r="G1138" s="98"/>
      <c r="H1138" s="97"/>
      <c r="I1138" s="99">
        <f t="shared" si="9"/>
        <v>0</v>
      </c>
      <c r="J1138" s="49"/>
      <c r="K1138" s="49"/>
      <c r="L1138" s="49" t="str">
        <f t="shared" si="8"/>
        <v>EN PROCESO</v>
      </c>
      <c r="M1138" s="49"/>
      <c r="N1138" s="49"/>
    </row>
    <row r="1139" ht="22.5" hidden="1" customHeight="1">
      <c r="A1139" s="101"/>
      <c r="B1139" s="102"/>
      <c r="C1139" s="103"/>
      <c r="D1139" s="101"/>
      <c r="E1139" s="101"/>
      <c r="F1139" s="104"/>
      <c r="G1139" s="104"/>
      <c r="H1139" s="103"/>
      <c r="I1139" s="99">
        <f t="shared" si="9"/>
        <v>0</v>
      </c>
      <c r="J1139" s="101"/>
      <c r="K1139" s="101"/>
      <c r="L1139" s="101" t="str">
        <f t="shared" si="8"/>
        <v>EN PROCESO</v>
      </c>
      <c r="M1139" s="101"/>
      <c r="N1139" s="101"/>
    </row>
    <row r="1140" ht="22.5" hidden="1" customHeight="1">
      <c r="A1140" s="49"/>
      <c r="B1140" s="81"/>
      <c r="C1140" s="97"/>
      <c r="D1140" s="49"/>
      <c r="E1140" s="49"/>
      <c r="F1140" s="98"/>
      <c r="G1140" s="98"/>
      <c r="H1140" s="97"/>
      <c r="I1140" s="99">
        <f t="shared" si="9"/>
        <v>0</v>
      </c>
      <c r="J1140" s="49"/>
      <c r="K1140" s="49"/>
      <c r="L1140" s="49" t="str">
        <f t="shared" si="8"/>
        <v>EN PROCESO</v>
      </c>
      <c r="M1140" s="49"/>
      <c r="N1140" s="49"/>
    </row>
    <row r="1141" ht="22.5" hidden="1" customHeight="1">
      <c r="A1141" s="101"/>
      <c r="B1141" s="102"/>
      <c r="C1141" s="103"/>
      <c r="D1141" s="101"/>
      <c r="E1141" s="101"/>
      <c r="F1141" s="104"/>
      <c r="G1141" s="104"/>
      <c r="H1141" s="103"/>
      <c r="I1141" s="99">
        <f t="shared" si="9"/>
        <v>0</v>
      </c>
      <c r="J1141" s="101"/>
      <c r="K1141" s="101"/>
      <c r="L1141" s="101" t="str">
        <f t="shared" si="8"/>
        <v>EN PROCESO</v>
      </c>
      <c r="M1141" s="101"/>
      <c r="N1141" s="101"/>
    </row>
    <row r="1142" ht="22.5" hidden="1" customHeight="1">
      <c r="A1142" s="49"/>
      <c r="B1142" s="81"/>
      <c r="C1142" s="97"/>
      <c r="D1142" s="49"/>
      <c r="E1142" s="49"/>
      <c r="F1142" s="98"/>
      <c r="G1142" s="98"/>
      <c r="H1142" s="97"/>
      <c r="I1142" s="99">
        <f t="shared" si="9"/>
        <v>0</v>
      </c>
      <c r="J1142" s="49"/>
      <c r="K1142" s="49"/>
      <c r="L1142" s="49" t="str">
        <f t="shared" si="8"/>
        <v>EN PROCESO</v>
      </c>
      <c r="M1142" s="49"/>
      <c r="N1142" s="49"/>
    </row>
    <row r="1143" ht="22.5" hidden="1" customHeight="1">
      <c r="A1143" s="101"/>
      <c r="B1143" s="102"/>
      <c r="C1143" s="103"/>
      <c r="D1143" s="101"/>
      <c r="E1143" s="101"/>
      <c r="F1143" s="104"/>
      <c r="G1143" s="104"/>
      <c r="H1143" s="103"/>
      <c r="I1143" s="99">
        <f t="shared" si="9"/>
        <v>0</v>
      </c>
      <c r="J1143" s="101"/>
      <c r="K1143" s="101"/>
      <c r="L1143" s="101" t="str">
        <f t="shared" si="8"/>
        <v>EN PROCESO</v>
      </c>
      <c r="M1143" s="101"/>
      <c r="N1143" s="101"/>
    </row>
    <row r="1144" ht="22.5" hidden="1" customHeight="1">
      <c r="A1144" s="49"/>
      <c r="B1144" s="81"/>
      <c r="C1144" s="97"/>
      <c r="D1144" s="49"/>
      <c r="E1144" s="49"/>
      <c r="F1144" s="98"/>
      <c r="G1144" s="98"/>
      <c r="H1144" s="97"/>
      <c r="I1144" s="99">
        <f t="shared" si="9"/>
        <v>0</v>
      </c>
      <c r="J1144" s="49"/>
      <c r="K1144" s="49"/>
      <c r="L1144" s="49" t="str">
        <f t="shared" si="8"/>
        <v>EN PROCESO</v>
      </c>
      <c r="M1144" s="49"/>
      <c r="N1144" s="49"/>
    </row>
    <row r="1145" ht="22.5" hidden="1" customHeight="1">
      <c r="A1145" s="101"/>
      <c r="B1145" s="102"/>
      <c r="C1145" s="103"/>
      <c r="D1145" s="101"/>
      <c r="E1145" s="101"/>
      <c r="F1145" s="104"/>
      <c r="G1145" s="104"/>
      <c r="H1145" s="103"/>
      <c r="I1145" s="99">
        <f t="shared" si="9"/>
        <v>0</v>
      </c>
      <c r="J1145" s="101"/>
      <c r="K1145" s="101"/>
      <c r="L1145" s="101" t="str">
        <f t="shared" si="8"/>
        <v>EN PROCESO</v>
      </c>
      <c r="M1145" s="101"/>
      <c r="N1145" s="101"/>
    </row>
    <row r="1146" ht="22.5" hidden="1" customHeight="1">
      <c r="A1146" s="49"/>
      <c r="B1146" s="81"/>
      <c r="C1146" s="97"/>
      <c r="D1146" s="49"/>
      <c r="E1146" s="49"/>
      <c r="F1146" s="98"/>
      <c r="G1146" s="98"/>
      <c r="H1146" s="97"/>
      <c r="I1146" s="99">
        <f t="shared" si="9"/>
        <v>0</v>
      </c>
      <c r="J1146" s="49"/>
      <c r="K1146" s="49"/>
      <c r="L1146" s="49" t="str">
        <f t="shared" si="8"/>
        <v>EN PROCESO</v>
      </c>
      <c r="M1146" s="49"/>
      <c r="N1146" s="49"/>
    </row>
    <row r="1147" ht="22.5" hidden="1" customHeight="1">
      <c r="A1147" s="101"/>
      <c r="B1147" s="102"/>
      <c r="C1147" s="103"/>
      <c r="D1147" s="101"/>
      <c r="E1147" s="101"/>
      <c r="F1147" s="104"/>
      <c r="G1147" s="104"/>
      <c r="H1147" s="103"/>
      <c r="I1147" s="99">
        <f t="shared" si="9"/>
        <v>0</v>
      </c>
      <c r="J1147" s="101"/>
      <c r="K1147" s="101"/>
      <c r="L1147" s="101" t="str">
        <f t="shared" si="8"/>
        <v>EN PROCESO</v>
      </c>
      <c r="M1147" s="101"/>
      <c r="N1147" s="101"/>
    </row>
    <row r="1148" ht="22.5" hidden="1" customHeight="1">
      <c r="A1148" s="49"/>
      <c r="B1148" s="81"/>
      <c r="C1148" s="97"/>
      <c r="D1148" s="49"/>
      <c r="E1148" s="49"/>
      <c r="F1148" s="98"/>
      <c r="G1148" s="98"/>
      <c r="H1148" s="97"/>
      <c r="I1148" s="99">
        <f t="shared" si="9"/>
        <v>0</v>
      </c>
      <c r="J1148" s="49"/>
      <c r="K1148" s="49"/>
      <c r="L1148" s="49" t="str">
        <f t="shared" si="8"/>
        <v>EN PROCESO</v>
      </c>
      <c r="M1148" s="49"/>
      <c r="N1148" s="49"/>
    </row>
    <row r="1149" ht="22.5" hidden="1" customHeight="1">
      <c r="A1149" s="101"/>
      <c r="B1149" s="102"/>
      <c r="C1149" s="103"/>
      <c r="D1149" s="101"/>
      <c r="E1149" s="101"/>
      <c r="F1149" s="104"/>
      <c r="G1149" s="104"/>
      <c r="H1149" s="103"/>
      <c r="I1149" s="99">
        <f t="shared" si="9"/>
        <v>0</v>
      </c>
      <c r="J1149" s="101"/>
      <c r="K1149" s="101"/>
      <c r="L1149" s="101" t="str">
        <f t="shared" si="8"/>
        <v>EN PROCESO</v>
      </c>
      <c r="M1149" s="101"/>
      <c r="N1149" s="101"/>
    </row>
    <row r="1150" ht="22.5" hidden="1" customHeight="1">
      <c r="A1150" s="49"/>
      <c r="B1150" s="81"/>
      <c r="C1150" s="97"/>
      <c r="D1150" s="49"/>
      <c r="E1150" s="49"/>
      <c r="F1150" s="98"/>
      <c r="G1150" s="98"/>
      <c r="H1150" s="97"/>
      <c r="I1150" s="99">
        <f t="shared" si="9"/>
        <v>0</v>
      </c>
      <c r="J1150" s="49"/>
      <c r="K1150" s="49"/>
      <c r="L1150" s="49" t="str">
        <f t="shared" si="8"/>
        <v>EN PROCESO</v>
      </c>
      <c r="M1150" s="49"/>
      <c r="N1150" s="49"/>
    </row>
    <row r="1151" ht="22.5" hidden="1" customHeight="1">
      <c r="A1151" s="101"/>
      <c r="B1151" s="102"/>
      <c r="C1151" s="103"/>
      <c r="D1151" s="101"/>
      <c r="E1151" s="101"/>
      <c r="F1151" s="104"/>
      <c r="G1151" s="104"/>
      <c r="H1151" s="103"/>
      <c r="I1151" s="99">
        <f t="shared" si="9"/>
        <v>0</v>
      </c>
      <c r="J1151" s="101"/>
      <c r="K1151" s="101"/>
      <c r="L1151" s="101" t="str">
        <f t="shared" si="8"/>
        <v>EN PROCESO</v>
      </c>
      <c r="M1151" s="101"/>
      <c r="N1151" s="101"/>
    </row>
    <row r="1152" ht="22.5" hidden="1" customHeight="1">
      <c r="A1152" s="49"/>
      <c r="B1152" s="81"/>
      <c r="C1152" s="97"/>
      <c r="D1152" s="49"/>
      <c r="E1152" s="49"/>
      <c r="F1152" s="98"/>
      <c r="G1152" s="98"/>
      <c r="H1152" s="97"/>
      <c r="I1152" s="99">
        <f t="shared" si="9"/>
        <v>0</v>
      </c>
      <c r="J1152" s="49"/>
      <c r="K1152" s="49"/>
      <c r="L1152" s="49" t="str">
        <f t="shared" si="8"/>
        <v>EN PROCESO</v>
      </c>
      <c r="M1152" s="49"/>
      <c r="N1152" s="49"/>
    </row>
    <row r="1153" ht="22.5" hidden="1" customHeight="1">
      <c r="A1153" s="101"/>
      <c r="B1153" s="102"/>
      <c r="C1153" s="103"/>
      <c r="D1153" s="101"/>
      <c r="E1153" s="101"/>
      <c r="F1153" s="104"/>
      <c r="G1153" s="104"/>
      <c r="H1153" s="103"/>
      <c r="I1153" s="99">
        <f t="shared" si="9"/>
        <v>0</v>
      </c>
      <c r="J1153" s="101"/>
      <c r="K1153" s="101"/>
      <c r="L1153" s="101" t="str">
        <f t="shared" si="8"/>
        <v>EN PROCESO</v>
      </c>
      <c r="M1153" s="101"/>
      <c r="N1153" s="101"/>
    </row>
    <row r="1154" ht="22.5" hidden="1" customHeight="1">
      <c r="A1154" s="49"/>
      <c r="B1154" s="81"/>
      <c r="C1154" s="97"/>
      <c r="D1154" s="49"/>
      <c r="E1154" s="49"/>
      <c r="F1154" s="98"/>
      <c r="G1154" s="98"/>
      <c r="H1154" s="97"/>
      <c r="I1154" s="99">
        <f t="shared" si="9"/>
        <v>0</v>
      </c>
      <c r="J1154" s="49"/>
      <c r="K1154" s="49"/>
      <c r="L1154" s="49" t="str">
        <f t="shared" si="8"/>
        <v>EN PROCESO</v>
      </c>
      <c r="M1154" s="49"/>
      <c r="N1154" s="49"/>
    </row>
    <row r="1155" ht="22.5" hidden="1" customHeight="1">
      <c r="A1155" s="101"/>
      <c r="B1155" s="102"/>
      <c r="C1155" s="103"/>
      <c r="D1155" s="101"/>
      <c r="E1155" s="101"/>
      <c r="F1155" s="104"/>
      <c r="G1155" s="104"/>
      <c r="H1155" s="103"/>
      <c r="I1155" s="99">
        <f t="shared" si="9"/>
        <v>0</v>
      </c>
      <c r="J1155" s="101"/>
      <c r="K1155" s="101"/>
      <c r="L1155" s="101" t="str">
        <f t="shared" si="8"/>
        <v>EN PROCESO</v>
      </c>
      <c r="M1155" s="101"/>
      <c r="N1155" s="101"/>
    </row>
    <row r="1156" ht="22.5" hidden="1" customHeight="1">
      <c r="A1156" s="49"/>
      <c r="B1156" s="81"/>
      <c r="C1156" s="97"/>
      <c r="D1156" s="49"/>
      <c r="E1156" s="49"/>
      <c r="F1156" s="98"/>
      <c r="G1156" s="98"/>
      <c r="H1156" s="97"/>
      <c r="I1156" s="99">
        <f t="shared" si="9"/>
        <v>0</v>
      </c>
      <c r="J1156" s="49"/>
      <c r="K1156" s="49"/>
      <c r="L1156" s="49" t="str">
        <f t="shared" si="8"/>
        <v>EN PROCESO</v>
      </c>
      <c r="M1156" s="49"/>
      <c r="N1156" s="49"/>
    </row>
    <row r="1157" ht="22.5" hidden="1" customHeight="1">
      <c r="A1157" s="101"/>
      <c r="B1157" s="102"/>
      <c r="C1157" s="103"/>
      <c r="D1157" s="101"/>
      <c r="E1157" s="101"/>
      <c r="F1157" s="104"/>
      <c r="G1157" s="104"/>
      <c r="H1157" s="103"/>
      <c r="I1157" s="99">
        <f t="shared" si="9"/>
        <v>0</v>
      </c>
      <c r="J1157" s="101"/>
      <c r="K1157" s="101"/>
      <c r="L1157" s="101" t="str">
        <f t="shared" si="8"/>
        <v>EN PROCESO</v>
      </c>
      <c r="M1157" s="101"/>
      <c r="N1157" s="101"/>
    </row>
    <row r="1158" ht="22.5" hidden="1" customHeight="1">
      <c r="A1158" s="49"/>
      <c r="B1158" s="81"/>
      <c r="C1158" s="97"/>
      <c r="D1158" s="49"/>
      <c r="E1158" s="49"/>
      <c r="F1158" s="98"/>
      <c r="G1158" s="98"/>
      <c r="H1158" s="97"/>
      <c r="I1158" s="99">
        <f t="shared" si="9"/>
        <v>0</v>
      </c>
      <c r="J1158" s="49"/>
      <c r="K1158" s="49"/>
      <c r="L1158" s="49" t="str">
        <f t="shared" si="8"/>
        <v>EN PROCESO</v>
      </c>
      <c r="M1158" s="49"/>
      <c r="N1158" s="49"/>
    </row>
    <row r="1159" ht="22.5" hidden="1" customHeight="1">
      <c r="A1159" s="101"/>
      <c r="B1159" s="102"/>
      <c r="C1159" s="103"/>
      <c r="D1159" s="101"/>
      <c r="E1159" s="101"/>
      <c r="F1159" s="104"/>
      <c r="G1159" s="104"/>
      <c r="H1159" s="103"/>
      <c r="I1159" s="99">
        <f t="shared" si="9"/>
        <v>0</v>
      </c>
      <c r="J1159" s="101"/>
      <c r="K1159" s="101"/>
      <c r="L1159" s="101" t="str">
        <f t="shared" si="8"/>
        <v>EN PROCESO</v>
      </c>
      <c r="M1159" s="101"/>
      <c r="N1159" s="101"/>
    </row>
    <row r="1160" ht="22.5" hidden="1" customHeight="1">
      <c r="A1160" s="49"/>
      <c r="B1160" s="81"/>
      <c r="C1160" s="97"/>
      <c r="D1160" s="49"/>
      <c r="E1160" s="49"/>
      <c r="F1160" s="98"/>
      <c r="G1160" s="98"/>
      <c r="H1160" s="97"/>
      <c r="I1160" s="99">
        <f t="shared" si="9"/>
        <v>0</v>
      </c>
      <c r="J1160" s="49"/>
      <c r="K1160" s="49"/>
      <c r="L1160" s="49" t="str">
        <f t="shared" si="8"/>
        <v>EN PROCESO</v>
      </c>
      <c r="M1160" s="49"/>
      <c r="N1160" s="49"/>
    </row>
    <row r="1161" ht="22.5" hidden="1" customHeight="1">
      <c r="A1161" s="101"/>
      <c r="B1161" s="102"/>
      <c r="C1161" s="103"/>
      <c r="D1161" s="101"/>
      <c r="E1161" s="101"/>
      <c r="F1161" s="104"/>
      <c r="G1161" s="104"/>
      <c r="H1161" s="103"/>
      <c r="I1161" s="99">
        <f t="shared" si="9"/>
        <v>0</v>
      </c>
      <c r="J1161" s="101"/>
      <c r="K1161" s="101"/>
      <c r="L1161" s="101" t="str">
        <f t="shared" si="8"/>
        <v>EN PROCESO</v>
      </c>
      <c r="M1161" s="101"/>
      <c r="N1161" s="101"/>
    </row>
    <row r="1162" ht="22.5" hidden="1" customHeight="1">
      <c r="A1162" s="49"/>
      <c r="B1162" s="81"/>
      <c r="C1162" s="97"/>
      <c r="D1162" s="49"/>
      <c r="E1162" s="49"/>
      <c r="F1162" s="98"/>
      <c r="G1162" s="98"/>
      <c r="H1162" s="97"/>
      <c r="I1162" s="99">
        <f t="shared" si="9"/>
        <v>0</v>
      </c>
      <c r="J1162" s="49"/>
      <c r="K1162" s="49"/>
      <c r="L1162" s="49" t="str">
        <f t="shared" si="8"/>
        <v>EN PROCESO</v>
      </c>
      <c r="M1162" s="49"/>
      <c r="N1162" s="49"/>
    </row>
    <row r="1163" ht="22.5" hidden="1" customHeight="1">
      <c r="A1163" s="101"/>
      <c r="B1163" s="102"/>
      <c r="C1163" s="103"/>
      <c r="D1163" s="101"/>
      <c r="E1163" s="101"/>
      <c r="F1163" s="104"/>
      <c r="G1163" s="104"/>
      <c r="H1163" s="103"/>
      <c r="I1163" s="99">
        <f t="shared" si="9"/>
        <v>0</v>
      </c>
      <c r="J1163" s="101"/>
      <c r="K1163" s="101"/>
      <c r="L1163" s="101" t="str">
        <f t="shared" si="8"/>
        <v>EN PROCESO</v>
      </c>
      <c r="M1163" s="101"/>
      <c r="N1163" s="101"/>
    </row>
    <row r="1164" ht="22.5" hidden="1" customHeight="1">
      <c r="A1164" s="49"/>
      <c r="B1164" s="81"/>
      <c r="C1164" s="97"/>
      <c r="D1164" s="49"/>
      <c r="E1164" s="49"/>
      <c r="F1164" s="98"/>
      <c r="G1164" s="98"/>
      <c r="H1164" s="97"/>
      <c r="I1164" s="99">
        <f t="shared" si="9"/>
        <v>0</v>
      </c>
      <c r="J1164" s="49"/>
      <c r="K1164" s="49"/>
      <c r="L1164" s="49" t="str">
        <f t="shared" si="8"/>
        <v>EN PROCESO</v>
      </c>
      <c r="M1164" s="49"/>
      <c r="N1164" s="49"/>
    </row>
    <row r="1165" ht="22.5" hidden="1" customHeight="1">
      <c r="A1165" s="101"/>
      <c r="B1165" s="102"/>
      <c r="C1165" s="103"/>
      <c r="D1165" s="101"/>
      <c r="E1165" s="101"/>
      <c r="F1165" s="104"/>
      <c r="G1165" s="104"/>
      <c r="H1165" s="103"/>
      <c r="I1165" s="99">
        <f t="shared" si="9"/>
        <v>0</v>
      </c>
      <c r="J1165" s="101"/>
      <c r="K1165" s="101"/>
      <c r="L1165" s="101" t="str">
        <f t="shared" si="8"/>
        <v>EN PROCESO</v>
      </c>
      <c r="M1165" s="101"/>
      <c r="N1165" s="101"/>
    </row>
    <row r="1166" ht="22.5" hidden="1" customHeight="1">
      <c r="A1166" s="49"/>
      <c r="B1166" s="81"/>
      <c r="C1166" s="97"/>
      <c r="D1166" s="49"/>
      <c r="E1166" s="49"/>
      <c r="F1166" s="98"/>
      <c r="G1166" s="98"/>
      <c r="H1166" s="97"/>
      <c r="I1166" s="99">
        <f t="shared" si="9"/>
        <v>0</v>
      </c>
      <c r="J1166" s="49"/>
      <c r="K1166" s="49"/>
      <c r="L1166" s="49" t="str">
        <f t="shared" si="8"/>
        <v>EN PROCESO</v>
      </c>
      <c r="M1166" s="49"/>
      <c r="N1166" s="49"/>
    </row>
    <row r="1167" ht="22.5" hidden="1" customHeight="1">
      <c r="A1167" s="101"/>
      <c r="B1167" s="102"/>
      <c r="C1167" s="103"/>
      <c r="D1167" s="101"/>
      <c r="E1167" s="101"/>
      <c r="F1167" s="104"/>
      <c r="G1167" s="104"/>
      <c r="H1167" s="103"/>
      <c r="I1167" s="99">
        <f t="shared" si="9"/>
        <v>0</v>
      </c>
      <c r="J1167" s="101"/>
      <c r="K1167" s="101"/>
      <c r="L1167" s="101" t="str">
        <f t="shared" si="8"/>
        <v>EN PROCESO</v>
      </c>
      <c r="M1167" s="101"/>
      <c r="N1167" s="101"/>
    </row>
    <row r="1168" ht="22.5" hidden="1" customHeight="1">
      <c r="A1168" s="49"/>
      <c r="B1168" s="81"/>
      <c r="C1168" s="97"/>
      <c r="D1168" s="49"/>
      <c r="E1168" s="49"/>
      <c r="F1168" s="98"/>
      <c r="G1168" s="98"/>
      <c r="H1168" s="97"/>
      <c r="I1168" s="99">
        <f t="shared" si="9"/>
        <v>0</v>
      </c>
      <c r="J1168" s="49"/>
      <c r="K1168" s="49"/>
      <c r="L1168" s="49" t="str">
        <f t="shared" si="8"/>
        <v>EN PROCESO</v>
      </c>
      <c r="M1168" s="49"/>
      <c r="N1168" s="49"/>
    </row>
    <row r="1169" ht="22.5" hidden="1" customHeight="1">
      <c r="A1169" s="101"/>
      <c r="B1169" s="102"/>
      <c r="C1169" s="103"/>
      <c r="D1169" s="101"/>
      <c r="E1169" s="101"/>
      <c r="F1169" s="104"/>
      <c r="G1169" s="104"/>
      <c r="H1169" s="103"/>
      <c r="I1169" s="99">
        <f t="shared" si="9"/>
        <v>0</v>
      </c>
      <c r="J1169" s="101"/>
      <c r="K1169" s="101"/>
      <c r="L1169" s="101" t="str">
        <f t="shared" si="8"/>
        <v>EN PROCESO</v>
      </c>
      <c r="M1169" s="101"/>
      <c r="N1169" s="101"/>
    </row>
    <row r="1170" ht="22.5" hidden="1" customHeight="1">
      <c r="A1170" s="49"/>
      <c r="B1170" s="81"/>
      <c r="C1170" s="97"/>
      <c r="D1170" s="49"/>
      <c r="E1170" s="49"/>
      <c r="F1170" s="98"/>
      <c r="G1170" s="98"/>
      <c r="H1170" s="97"/>
      <c r="I1170" s="99">
        <f t="shared" si="9"/>
        <v>0</v>
      </c>
      <c r="J1170" s="49"/>
      <c r="K1170" s="49"/>
      <c r="L1170" s="49" t="str">
        <f t="shared" si="8"/>
        <v>EN PROCESO</v>
      </c>
      <c r="M1170" s="49"/>
      <c r="N1170" s="49"/>
    </row>
    <row r="1171" ht="22.5" hidden="1" customHeight="1">
      <c r="A1171" s="101"/>
      <c r="B1171" s="102"/>
      <c r="C1171" s="103"/>
      <c r="D1171" s="101"/>
      <c r="E1171" s="101"/>
      <c r="F1171" s="104"/>
      <c r="G1171" s="104"/>
      <c r="H1171" s="103"/>
      <c r="I1171" s="99">
        <f t="shared" si="9"/>
        <v>0</v>
      </c>
      <c r="J1171" s="101"/>
      <c r="K1171" s="101"/>
      <c r="L1171" s="101" t="str">
        <f t="shared" si="8"/>
        <v>EN PROCESO</v>
      </c>
      <c r="M1171" s="101"/>
      <c r="N1171" s="101"/>
    </row>
    <row r="1172" ht="22.5" hidden="1" customHeight="1">
      <c r="A1172" s="49"/>
      <c r="B1172" s="81"/>
      <c r="C1172" s="97"/>
      <c r="D1172" s="49"/>
      <c r="E1172" s="49"/>
      <c r="F1172" s="98"/>
      <c r="G1172" s="98"/>
      <c r="H1172" s="97"/>
      <c r="I1172" s="99">
        <f t="shared" si="9"/>
        <v>0</v>
      </c>
      <c r="J1172" s="49"/>
      <c r="K1172" s="49"/>
      <c r="L1172" s="49" t="str">
        <f t="shared" si="8"/>
        <v>EN PROCESO</v>
      </c>
      <c r="M1172" s="49"/>
      <c r="N1172" s="49"/>
    </row>
    <row r="1173" ht="22.5" hidden="1" customHeight="1">
      <c r="A1173" s="101"/>
      <c r="B1173" s="102"/>
      <c r="C1173" s="103"/>
      <c r="D1173" s="101"/>
      <c r="E1173" s="101"/>
      <c r="F1173" s="104"/>
      <c r="G1173" s="104"/>
      <c r="H1173" s="103"/>
      <c r="I1173" s="99">
        <f t="shared" si="9"/>
        <v>0</v>
      </c>
      <c r="J1173" s="101"/>
      <c r="K1173" s="101"/>
      <c r="L1173" s="101" t="str">
        <f t="shared" si="8"/>
        <v>EN PROCESO</v>
      </c>
      <c r="M1173" s="101"/>
      <c r="N1173" s="101"/>
    </row>
    <row r="1174" ht="22.5" hidden="1" customHeight="1">
      <c r="A1174" s="49"/>
      <c r="B1174" s="81"/>
      <c r="C1174" s="97"/>
      <c r="D1174" s="49"/>
      <c r="E1174" s="49"/>
      <c r="F1174" s="98"/>
      <c r="G1174" s="98"/>
      <c r="H1174" s="97"/>
      <c r="I1174" s="99">
        <f t="shared" si="9"/>
        <v>0</v>
      </c>
      <c r="J1174" s="49"/>
      <c r="K1174" s="49"/>
      <c r="L1174" s="49" t="str">
        <f t="shared" si="8"/>
        <v>EN PROCESO</v>
      </c>
      <c r="M1174" s="49"/>
      <c r="N1174" s="49"/>
    </row>
    <row r="1175" ht="22.5" hidden="1" customHeight="1">
      <c r="A1175" s="101"/>
      <c r="B1175" s="102"/>
      <c r="C1175" s="103"/>
      <c r="D1175" s="101"/>
      <c r="E1175" s="101"/>
      <c r="F1175" s="104"/>
      <c r="G1175" s="104"/>
      <c r="H1175" s="103"/>
      <c r="I1175" s="99">
        <f t="shared" si="9"/>
        <v>0</v>
      </c>
      <c r="J1175" s="101"/>
      <c r="K1175" s="101"/>
      <c r="L1175" s="101" t="str">
        <f t="shared" si="8"/>
        <v>EN PROCESO</v>
      </c>
      <c r="M1175" s="101"/>
      <c r="N1175" s="101"/>
    </row>
    <row r="1176" ht="22.5" hidden="1" customHeight="1">
      <c r="A1176" s="49"/>
      <c r="B1176" s="81"/>
      <c r="C1176" s="97"/>
      <c r="D1176" s="49"/>
      <c r="E1176" s="49"/>
      <c r="F1176" s="98"/>
      <c r="G1176" s="98"/>
      <c r="H1176" s="97"/>
      <c r="I1176" s="99">
        <f t="shared" si="9"/>
        <v>0</v>
      </c>
      <c r="J1176" s="49"/>
      <c r="K1176" s="49"/>
      <c r="L1176" s="49" t="str">
        <f t="shared" si="8"/>
        <v>EN PROCESO</v>
      </c>
      <c r="M1176" s="49"/>
      <c r="N1176" s="49"/>
    </row>
    <row r="1177" ht="22.5" hidden="1" customHeight="1">
      <c r="A1177" s="101"/>
      <c r="B1177" s="102"/>
      <c r="C1177" s="103"/>
      <c r="D1177" s="101"/>
      <c r="E1177" s="101"/>
      <c r="F1177" s="104"/>
      <c r="G1177" s="104"/>
      <c r="H1177" s="103"/>
      <c r="I1177" s="99">
        <f t="shared" si="9"/>
        <v>0</v>
      </c>
      <c r="J1177" s="101"/>
      <c r="K1177" s="101"/>
      <c r="L1177" s="101" t="str">
        <f t="shared" si="8"/>
        <v>EN PROCESO</v>
      </c>
      <c r="M1177" s="101"/>
      <c r="N1177" s="101"/>
    </row>
    <row r="1178" ht="22.5" hidden="1" customHeight="1">
      <c r="A1178" s="49"/>
      <c r="B1178" s="81"/>
      <c r="C1178" s="97"/>
      <c r="D1178" s="49"/>
      <c r="E1178" s="49"/>
      <c r="F1178" s="98"/>
      <c r="G1178" s="98"/>
      <c r="H1178" s="97"/>
      <c r="I1178" s="99">
        <f t="shared" si="9"/>
        <v>0</v>
      </c>
      <c r="J1178" s="49"/>
      <c r="K1178" s="49"/>
      <c r="L1178" s="49" t="str">
        <f t="shared" si="8"/>
        <v>EN PROCESO</v>
      </c>
      <c r="M1178" s="49"/>
      <c r="N1178" s="49"/>
    </row>
    <row r="1179" ht="22.5" hidden="1" customHeight="1">
      <c r="A1179" s="101"/>
      <c r="B1179" s="102"/>
      <c r="C1179" s="103"/>
      <c r="D1179" s="101"/>
      <c r="E1179" s="101"/>
      <c r="F1179" s="104"/>
      <c r="G1179" s="104"/>
      <c r="H1179" s="103"/>
      <c r="I1179" s="99">
        <f t="shared" si="9"/>
        <v>0</v>
      </c>
      <c r="J1179" s="101"/>
      <c r="K1179" s="101"/>
      <c r="L1179" s="101" t="str">
        <f t="shared" si="8"/>
        <v>EN PROCESO</v>
      </c>
      <c r="M1179" s="101"/>
      <c r="N1179" s="101"/>
    </row>
    <row r="1180" ht="22.5" hidden="1" customHeight="1">
      <c r="A1180" s="49"/>
      <c r="B1180" s="81"/>
      <c r="C1180" s="97"/>
      <c r="D1180" s="49"/>
      <c r="E1180" s="49"/>
      <c r="F1180" s="98"/>
      <c r="G1180" s="98"/>
      <c r="H1180" s="97"/>
      <c r="I1180" s="99">
        <f t="shared" si="9"/>
        <v>0</v>
      </c>
      <c r="J1180" s="49"/>
      <c r="K1180" s="49"/>
      <c r="L1180" s="49" t="str">
        <f t="shared" si="8"/>
        <v>EN PROCESO</v>
      </c>
      <c r="M1180" s="49"/>
      <c r="N1180" s="49"/>
    </row>
    <row r="1181" ht="22.5" hidden="1" customHeight="1">
      <c r="A1181" s="101"/>
      <c r="B1181" s="102"/>
      <c r="C1181" s="103"/>
      <c r="D1181" s="101"/>
      <c r="E1181" s="101"/>
      <c r="F1181" s="104"/>
      <c r="G1181" s="104"/>
      <c r="H1181" s="103"/>
      <c r="I1181" s="99">
        <f t="shared" si="9"/>
        <v>0</v>
      </c>
      <c r="J1181" s="101"/>
      <c r="K1181" s="101"/>
      <c r="L1181" s="101" t="str">
        <f t="shared" si="8"/>
        <v>EN PROCESO</v>
      </c>
      <c r="M1181" s="101"/>
      <c r="N1181" s="101"/>
    </row>
    <row r="1182" ht="22.5" hidden="1" customHeight="1">
      <c r="A1182" s="49"/>
      <c r="B1182" s="81"/>
      <c r="C1182" s="97"/>
      <c r="D1182" s="49"/>
      <c r="E1182" s="49"/>
      <c r="F1182" s="98"/>
      <c r="G1182" s="98"/>
      <c r="H1182" s="97"/>
      <c r="I1182" s="99">
        <f t="shared" si="9"/>
        <v>0</v>
      </c>
      <c r="J1182" s="49"/>
      <c r="K1182" s="49"/>
      <c r="L1182" s="49" t="str">
        <f t="shared" si="8"/>
        <v>EN PROCESO</v>
      </c>
      <c r="M1182" s="49"/>
      <c r="N1182" s="49"/>
    </row>
    <row r="1183" ht="22.5" hidden="1" customHeight="1">
      <c r="A1183" s="101"/>
      <c r="B1183" s="102"/>
      <c r="C1183" s="103"/>
      <c r="D1183" s="101"/>
      <c r="E1183" s="101"/>
      <c r="F1183" s="104"/>
      <c r="G1183" s="104"/>
      <c r="H1183" s="103"/>
      <c r="I1183" s="99">
        <f t="shared" si="9"/>
        <v>0</v>
      </c>
      <c r="J1183" s="101"/>
      <c r="K1183" s="101"/>
      <c r="L1183" s="101" t="str">
        <f t="shared" si="8"/>
        <v>EN PROCESO</v>
      </c>
      <c r="M1183" s="101"/>
      <c r="N1183" s="101"/>
    </row>
    <row r="1184" ht="22.5" hidden="1" customHeight="1">
      <c r="A1184" s="49"/>
      <c r="B1184" s="81"/>
      <c r="C1184" s="97"/>
      <c r="D1184" s="49"/>
      <c r="E1184" s="49"/>
      <c r="F1184" s="98"/>
      <c r="G1184" s="98"/>
      <c r="H1184" s="97"/>
      <c r="I1184" s="99">
        <f t="shared" si="9"/>
        <v>0</v>
      </c>
      <c r="J1184" s="49"/>
      <c r="K1184" s="49"/>
      <c r="L1184" s="49" t="str">
        <f t="shared" si="8"/>
        <v>EN PROCESO</v>
      </c>
      <c r="M1184" s="49"/>
      <c r="N1184" s="49"/>
    </row>
    <row r="1185" ht="22.5" hidden="1" customHeight="1">
      <c r="A1185" s="101"/>
      <c r="B1185" s="102"/>
      <c r="C1185" s="103"/>
      <c r="D1185" s="101"/>
      <c r="E1185" s="101"/>
      <c r="F1185" s="104"/>
      <c r="G1185" s="104"/>
      <c r="H1185" s="103"/>
      <c r="I1185" s="99">
        <f t="shared" si="9"/>
        <v>0</v>
      </c>
      <c r="J1185" s="101"/>
      <c r="K1185" s="101"/>
      <c r="L1185" s="101" t="str">
        <f t="shared" si="8"/>
        <v>EN PROCESO</v>
      </c>
      <c r="M1185" s="101"/>
      <c r="N1185" s="101"/>
    </row>
    <row r="1186" ht="22.5" hidden="1" customHeight="1">
      <c r="A1186" s="49"/>
      <c r="B1186" s="81"/>
      <c r="C1186" s="97"/>
      <c r="D1186" s="49"/>
      <c r="E1186" s="49"/>
      <c r="F1186" s="98"/>
      <c r="G1186" s="98"/>
      <c r="H1186" s="97"/>
      <c r="I1186" s="99">
        <f t="shared" si="9"/>
        <v>0</v>
      </c>
      <c r="J1186" s="49"/>
      <c r="K1186" s="49"/>
      <c r="L1186" s="49" t="str">
        <f t="shared" si="8"/>
        <v>EN PROCESO</v>
      </c>
      <c r="M1186" s="49"/>
      <c r="N1186" s="49"/>
    </row>
    <row r="1187" ht="22.5" hidden="1" customHeight="1">
      <c r="A1187" s="101"/>
      <c r="B1187" s="102"/>
      <c r="C1187" s="103"/>
      <c r="D1187" s="101"/>
      <c r="E1187" s="101"/>
      <c r="F1187" s="104"/>
      <c r="G1187" s="104"/>
      <c r="H1187" s="103"/>
      <c r="I1187" s="99">
        <f t="shared" si="9"/>
        <v>0</v>
      </c>
      <c r="J1187" s="101"/>
      <c r="K1187" s="101"/>
      <c r="L1187" s="101" t="str">
        <f t="shared" si="8"/>
        <v>EN PROCESO</v>
      </c>
      <c r="M1187" s="101"/>
      <c r="N1187" s="101"/>
    </row>
    <row r="1188" ht="22.5" hidden="1" customHeight="1">
      <c r="A1188" s="49"/>
      <c r="B1188" s="81"/>
      <c r="C1188" s="97"/>
      <c r="D1188" s="49"/>
      <c r="E1188" s="49"/>
      <c r="F1188" s="98"/>
      <c r="G1188" s="98"/>
      <c r="H1188" s="97"/>
      <c r="I1188" s="99">
        <f t="shared" si="9"/>
        <v>0</v>
      </c>
      <c r="J1188" s="49"/>
      <c r="K1188" s="49"/>
      <c r="L1188" s="49" t="str">
        <f t="shared" si="8"/>
        <v>EN PROCESO</v>
      </c>
      <c r="M1188" s="49"/>
      <c r="N1188" s="49"/>
    </row>
    <row r="1189" ht="22.5" hidden="1" customHeight="1">
      <c r="A1189" s="101"/>
      <c r="B1189" s="102"/>
      <c r="C1189" s="103"/>
      <c r="D1189" s="101"/>
      <c r="E1189" s="101"/>
      <c r="F1189" s="104"/>
      <c r="G1189" s="104"/>
      <c r="H1189" s="103"/>
      <c r="I1189" s="99">
        <f t="shared" si="9"/>
        <v>0</v>
      </c>
      <c r="J1189" s="101"/>
      <c r="K1189" s="101"/>
      <c r="L1189" s="101" t="str">
        <f t="shared" si="8"/>
        <v>EN PROCESO</v>
      </c>
      <c r="M1189" s="101"/>
      <c r="N1189" s="101"/>
    </row>
    <row r="1190" ht="22.5" hidden="1" customHeight="1">
      <c r="A1190" s="49"/>
      <c r="B1190" s="81"/>
      <c r="C1190" s="97"/>
      <c r="D1190" s="49"/>
      <c r="E1190" s="49"/>
      <c r="F1190" s="98"/>
      <c r="G1190" s="98"/>
      <c r="H1190" s="97"/>
      <c r="I1190" s="99">
        <f t="shared" si="9"/>
        <v>0</v>
      </c>
      <c r="J1190" s="49"/>
      <c r="K1190" s="49"/>
      <c r="L1190" s="49" t="str">
        <f t="shared" si="8"/>
        <v>EN PROCESO</v>
      </c>
      <c r="M1190" s="49"/>
      <c r="N1190" s="49"/>
    </row>
    <row r="1191" ht="22.5" hidden="1" customHeight="1">
      <c r="A1191" s="101"/>
      <c r="B1191" s="102"/>
      <c r="C1191" s="103"/>
      <c r="D1191" s="101"/>
      <c r="E1191" s="101"/>
      <c r="F1191" s="104"/>
      <c r="G1191" s="104"/>
      <c r="H1191" s="103"/>
      <c r="I1191" s="99">
        <f t="shared" si="9"/>
        <v>0</v>
      </c>
      <c r="J1191" s="101"/>
      <c r="K1191" s="101"/>
      <c r="L1191" s="101" t="str">
        <f t="shared" si="8"/>
        <v>EN PROCESO</v>
      </c>
      <c r="M1191" s="101"/>
      <c r="N1191" s="101"/>
    </row>
    <row r="1192" ht="22.5" hidden="1" customHeight="1">
      <c r="A1192" s="49"/>
      <c r="B1192" s="81"/>
      <c r="C1192" s="97"/>
      <c r="D1192" s="49"/>
      <c r="E1192" s="49"/>
      <c r="F1192" s="98"/>
      <c r="G1192" s="98"/>
      <c r="H1192" s="97"/>
      <c r="I1192" s="99">
        <f t="shared" si="9"/>
        <v>0</v>
      </c>
      <c r="J1192" s="49"/>
      <c r="K1192" s="49"/>
      <c r="L1192" s="49" t="str">
        <f t="shared" si="8"/>
        <v>EN PROCESO</v>
      </c>
      <c r="M1192" s="49"/>
      <c r="N1192" s="49"/>
    </row>
    <row r="1193" ht="22.5" hidden="1" customHeight="1">
      <c r="A1193" s="101"/>
      <c r="B1193" s="102"/>
      <c r="C1193" s="103"/>
      <c r="D1193" s="101"/>
      <c r="E1193" s="101"/>
      <c r="F1193" s="104"/>
      <c r="G1193" s="104"/>
      <c r="H1193" s="103"/>
      <c r="I1193" s="99">
        <f t="shared" si="9"/>
        <v>0</v>
      </c>
      <c r="J1193" s="101"/>
      <c r="K1193" s="101"/>
      <c r="L1193" s="101" t="str">
        <f t="shared" si="8"/>
        <v>EN PROCESO</v>
      </c>
      <c r="M1193" s="101"/>
      <c r="N1193" s="101"/>
    </row>
    <row r="1194" ht="22.5" hidden="1" customHeight="1">
      <c r="A1194" s="49"/>
      <c r="B1194" s="81"/>
      <c r="C1194" s="97"/>
      <c r="D1194" s="49"/>
      <c r="E1194" s="49"/>
      <c r="F1194" s="98"/>
      <c r="G1194" s="98"/>
      <c r="H1194" s="97"/>
      <c r="I1194" s="99">
        <f t="shared" si="9"/>
        <v>0</v>
      </c>
      <c r="J1194" s="49"/>
      <c r="K1194" s="49"/>
      <c r="L1194" s="49" t="str">
        <f t="shared" si="8"/>
        <v>EN PROCESO</v>
      </c>
      <c r="M1194" s="49"/>
      <c r="N1194" s="49"/>
    </row>
    <row r="1195" ht="22.5" hidden="1" customHeight="1">
      <c r="A1195" s="101"/>
      <c r="B1195" s="102"/>
      <c r="C1195" s="103"/>
      <c r="D1195" s="101"/>
      <c r="E1195" s="101"/>
      <c r="F1195" s="104"/>
      <c r="G1195" s="104"/>
      <c r="H1195" s="103"/>
      <c r="I1195" s="99">
        <f t="shared" si="9"/>
        <v>0</v>
      </c>
      <c r="J1195" s="101"/>
      <c r="K1195" s="101"/>
      <c r="L1195" s="101" t="str">
        <f t="shared" si="8"/>
        <v>EN PROCESO</v>
      </c>
      <c r="M1195" s="101"/>
      <c r="N1195" s="101"/>
    </row>
    <row r="1196" ht="22.5" hidden="1" customHeight="1">
      <c r="A1196" s="49"/>
      <c r="B1196" s="81"/>
      <c r="C1196" s="97"/>
      <c r="D1196" s="49"/>
      <c r="E1196" s="49"/>
      <c r="F1196" s="98"/>
      <c r="G1196" s="98"/>
      <c r="H1196" s="97"/>
      <c r="I1196" s="99">
        <f t="shared" si="9"/>
        <v>0</v>
      </c>
      <c r="J1196" s="49"/>
      <c r="K1196" s="49"/>
      <c r="L1196" s="49" t="str">
        <f t="shared" si="8"/>
        <v>EN PROCESO</v>
      </c>
      <c r="M1196" s="49"/>
      <c r="N1196" s="49"/>
    </row>
    <row r="1197" ht="22.5" hidden="1" customHeight="1">
      <c r="A1197" s="101"/>
      <c r="B1197" s="102"/>
      <c r="C1197" s="103"/>
      <c r="D1197" s="101"/>
      <c r="E1197" s="101"/>
      <c r="F1197" s="104"/>
      <c r="G1197" s="104"/>
      <c r="H1197" s="103"/>
      <c r="I1197" s="99">
        <f t="shared" si="9"/>
        <v>0</v>
      </c>
      <c r="J1197" s="101"/>
      <c r="K1197" s="101"/>
      <c r="L1197" s="101" t="str">
        <f t="shared" si="8"/>
        <v>EN PROCESO</v>
      </c>
      <c r="M1197" s="101"/>
      <c r="N1197" s="101"/>
    </row>
    <row r="1198" ht="22.5" hidden="1" customHeight="1">
      <c r="A1198" s="49"/>
      <c r="B1198" s="81"/>
      <c r="C1198" s="97"/>
      <c r="D1198" s="49"/>
      <c r="E1198" s="49"/>
      <c r="F1198" s="98"/>
      <c r="G1198" s="98"/>
      <c r="H1198" s="97"/>
      <c r="I1198" s="99">
        <f t="shared" si="9"/>
        <v>0</v>
      </c>
      <c r="J1198" s="49"/>
      <c r="K1198" s="49"/>
      <c r="L1198" s="49" t="str">
        <f t="shared" si="8"/>
        <v>EN PROCESO</v>
      </c>
      <c r="M1198" s="49"/>
      <c r="N1198" s="49"/>
    </row>
    <row r="1199" ht="22.5" hidden="1" customHeight="1">
      <c r="A1199" s="101"/>
      <c r="B1199" s="102"/>
      <c r="C1199" s="103"/>
      <c r="D1199" s="101"/>
      <c r="E1199" s="101"/>
      <c r="F1199" s="104"/>
      <c r="G1199" s="104"/>
      <c r="H1199" s="103"/>
      <c r="I1199" s="99">
        <f t="shared" si="9"/>
        <v>0</v>
      </c>
      <c r="J1199" s="101"/>
      <c r="K1199" s="101"/>
      <c r="L1199" s="101" t="str">
        <f t="shared" si="8"/>
        <v>EN PROCESO</v>
      </c>
      <c r="M1199" s="101"/>
      <c r="N1199" s="101"/>
    </row>
    <row r="1200" ht="22.5" hidden="1" customHeight="1">
      <c r="A1200" s="49"/>
      <c r="B1200" s="81"/>
      <c r="C1200" s="97"/>
      <c r="D1200" s="49"/>
      <c r="E1200" s="49"/>
      <c r="F1200" s="98"/>
      <c r="G1200" s="98"/>
      <c r="H1200" s="97"/>
      <c r="I1200" s="99">
        <f t="shared" si="9"/>
        <v>0</v>
      </c>
      <c r="J1200" s="49"/>
      <c r="K1200" s="49"/>
      <c r="L1200" s="49" t="str">
        <f t="shared" si="8"/>
        <v>EN PROCESO</v>
      </c>
      <c r="M1200" s="49"/>
      <c r="N1200" s="49"/>
    </row>
    <row r="1201" ht="22.5" hidden="1" customHeight="1">
      <c r="A1201" s="101"/>
      <c r="B1201" s="102"/>
      <c r="C1201" s="103"/>
      <c r="D1201" s="101"/>
      <c r="E1201" s="101"/>
      <c r="F1201" s="104"/>
      <c r="G1201" s="104"/>
      <c r="H1201" s="103"/>
      <c r="I1201" s="99">
        <f t="shared" si="9"/>
        <v>0</v>
      </c>
      <c r="J1201" s="101"/>
      <c r="K1201" s="101"/>
      <c r="L1201" s="101" t="str">
        <f t="shared" si="8"/>
        <v>EN PROCESO</v>
      </c>
      <c r="M1201" s="101"/>
      <c r="N1201" s="101"/>
    </row>
    <row r="1202" ht="22.5" hidden="1" customHeight="1">
      <c r="A1202" s="49"/>
      <c r="B1202" s="81"/>
      <c r="C1202" s="97"/>
      <c r="D1202" s="49"/>
      <c r="E1202" s="49"/>
      <c r="F1202" s="98"/>
      <c r="G1202" s="98"/>
      <c r="H1202" s="97"/>
      <c r="I1202" s="99">
        <f t="shared" si="9"/>
        <v>0</v>
      </c>
      <c r="J1202" s="49"/>
      <c r="K1202" s="49"/>
      <c r="L1202" s="49" t="str">
        <f t="shared" si="8"/>
        <v>EN PROCESO</v>
      </c>
      <c r="M1202" s="49"/>
      <c r="N1202" s="49"/>
    </row>
    <row r="1203" ht="22.5" hidden="1" customHeight="1">
      <c r="A1203" s="101"/>
      <c r="B1203" s="102"/>
      <c r="C1203" s="103"/>
      <c r="D1203" s="101"/>
      <c r="E1203" s="101"/>
      <c r="F1203" s="104"/>
      <c r="G1203" s="104"/>
      <c r="H1203" s="103"/>
      <c r="I1203" s="99">
        <f t="shared" si="9"/>
        <v>0</v>
      </c>
      <c r="J1203" s="101"/>
      <c r="K1203" s="101"/>
      <c r="L1203" s="101" t="str">
        <f t="shared" si="8"/>
        <v>EN PROCESO</v>
      </c>
      <c r="M1203" s="101"/>
      <c r="N1203" s="101"/>
    </row>
    <row r="1204" ht="22.5" hidden="1" customHeight="1">
      <c r="A1204" s="49"/>
      <c r="B1204" s="81"/>
      <c r="C1204" s="97"/>
      <c r="D1204" s="49"/>
      <c r="E1204" s="49"/>
      <c r="F1204" s="98"/>
      <c r="G1204" s="98"/>
      <c r="H1204" s="97"/>
      <c r="I1204" s="99">
        <f t="shared" si="9"/>
        <v>0</v>
      </c>
      <c r="J1204" s="49"/>
      <c r="K1204" s="49"/>
      <c r="L1204" s="49" t="str">
        <f t="shared" si="8"/>
        <v>EN PROCESO</v>
      </c>
      <c r="M1204" s="49"/>
      <c r="N1204" s="49"/>
    </row>
    <row r="1205" ht="22.5" hidden="1" customHeight="1">
      <c r="A1205" s="101"/>
      <c r="B1205" s="102"/>
      <c r="C1205" s="103"/>
      <c r="D1205" s="101"/>
      <c r="E1205" s="101"/>
      <c r="F1205" s="104"/>
      <c r="G1205" s="104"/>
      <c r="H1205" s="103"/>
      <c r="I1205" s="99">
        <f t="shared" si="9"/>
        <v>0</v>
      </c>
      <c r="J1205" s="101"/>
      <c r="K1205" s="101"/>
      <c r="L1205" s="101" t="str">
        <f t="shared" si="8"/>
        <v>EN PROCESO</v>
      </c>
      <c r="M1205" s="101"/>
      <c r="N1205" s="101"/>
    </row>
    <row r="1206" ht="22.5" hidden="1" customHeight="1">
      <c r="A1206" s="49"/>
      <c r="B1206" s="81"/>
      <c r="C1206" s="97"/>
      <c r="D1206" s="49"/>
      <c r="E1206" s="49"/>
      <c r="F1206" s="98"/>
      <c r="G1206" s="98"/>
      <c r="H1206" s="97"/>
      <c r="I1206" s="99">
        <f t="shared" si="9"/>
        <v>0</v>
      </c>
      <c r="J1206" s="49"/>
      <c r="K1206" s="49"/>
      <c r="L1206" s="49" t="str">
        <f t="shared" si="8"/>
        <v>EN PROCESO</v>
      </c>
      <c r="M1206" s="49"/>
      <c r="N1206" s="49"/>
    </row>
    <row r="1207" ht="22.5" hidden="1" customHeight="1">
      <c r="A1207" s="101"/>
      <c r="B1207" s="102"/>
      <c r="C1207" s="103"/>
      <c r="D1207" s="101"/>
      <c r="E1207" s="101"/>
      <c r="F1207" s="104"/>
      <c r="G1207" s="104"/>
      <c r="H1207" s="103"/>
      <c r="I1207" s="99">
        <f t="shared" si="9"/>
        <v>0</v>
      </c>
      <c r="J1207" s="101"/>
      <c r="K1207" s="101"/>
      <c r="L1207" s="101" t="str">
        <f t="shared" si="8"/>
        <v>EN PROCESO</v>
      </c>
      <c r="M1207" s="101"/>
      <c r="N1207" s="101"/>
    </row>
    <row r="1208" ht="22.5" hidden="1" customHeight="1">
      <c r="A1208" s="49"/>
      <c r="B1208" s="81"/>
      <c r="C1208" s="97"/>
      <c r="D1208" s="49"/>
      <c r="E1208" s="49"/>
      <c r="F1208" s="98"/>
      <c r="G1208" s="98"/>
      <c r="H1208" s="97"/>
      <c r="I1208" s="99">
        <f t="shared" si="9"/>
        <v>0</v>
      </c>
      <c r="J1208" s="49"/>
      <c r="K1208" s="49"/>
      <c r="L1208" s="49" t="str">
        <f t="shared" si="8"/>
        <v>EN PROCESO</v>
      </c>
      <c r="M1208" s="49"/>
      <c r="N1208" s="49"/>
    </row>
    <row r="1209" ht="22.5" hidden="1" customHeight="1">
      <c r="A1209" s="101"/>
      <c r="B1209" s="102"/>
      <c r="C1209" s="103"/>
      <c r="D1209" s="101"/>
      <c r="E1209" s="101"/>
      <c r="F1209" s="104"/>
      <c r="G1209" s="104"/>
      <c r="H1209" s="103"/>
      <c r="I1209" s="99">
        <f t="shared" si="9"/>
        <v>0</v>
      </c>
      <c r="J1209" s="101"/>
      <c r="K1209" s="101"/>
      <c r="L1209" s="101" t="str">
        <f t="shared" si="8"/>
        <v>EN PROCESO</v>
      </c>
      <c r="M1209" s="101"/>
      <c r="N1209" s="101"/>
    </row>
    <row r="1210" ht="22.5" hidden="1" customHeight="1">
      <c r="A1210" s="49"/>
      <c r="B1210" s="81"/>
      <c r="C1210" s="97"/>
      <c r="D1210" s="49"/>
      <c r="E1210" s="49"/>
      <c r="F1210" s="98"/>
      <c r="G1210" s="98"/>
      <c r="H1210" s="97"/>
      <c r="I1210" s="99">
        <f t="shared" si="9"/>
        <v>0</v>
      </c>
      <c r="J1210" s="49"/>
      <c r="K1210" s="49"/>
      <c r="L1210" s="49" t="str">
        <f t="shared" si="8"/>
        <v>EN PROCESO</v>
      </c>
      <c r="M1210" s="49"/>
      <c r="N1210" s="49"/>
    </row>
    <row r="1211" ht="22.5" hidden="1" customHeight="1">
      <c r="A1211" s="101"/>
      <c r="B1211" s="102"/>
      <c r="C1211" s="103"/>
      <c r="D1211" s="101"/>
      <c r="E1211" s="101"/>
      <c r="F1211" s="104"/>
      <c r="G1211" s="104"/>
      <c r="H1211" s="103"/>
      <c r="I1211" s="99">
        <f t="shared" si="9"/>
        <v>0</v>
      </c>
      <c r="J1211" s="101"/>
      <c r="K1211" s="101"/>
      <c r="L1211" s="101" t="str">
        <f t="shared" si="8"/>
        <v>EN PROCESO</v>
      </c>
      <c r="M1211" s="101"/>
      <c r="N1211" s="101"/>
    </row>
    <row r="1212" ht="22.5" hidden="1" customHeight="1">
      <c r="A1212" s="49"/>
      <c r="B1212" s="81"/>
      <c r="C1212" s="97"/>
      <c r="D1212" s="49"/>
      <c r="E1212" s="49"/>
      <c r="F1212" s="98"/>
      <c r="G1212" s="98"/>
      <c r="H1212" s="97"/>
      <c r="I1212" s="99">
        <f t="shared" si="9"/>
        <v>0</v>
      </c>
      <c r="J1212" s="49"/>
      <c r="K1212" s="49"/>
      <c r="L1212" s="49" t="str">
        <f t="shared" si="8"/>
        <v>EN PROCESO</v>
      </c>
      <c r="M1212" s="49"/>
      <c r="N1212" s="49"/>
    </row>
    <row r="1213" ht="22.5" hidden="1" customHeight="1">
      <c r="A1213" s="101"/>
      <c r="B1213" s="102"/>
      <c r="C1213" s="103"/>
      <c r="D1213" s="101"/>
      <c r="E1213" s="101"/>
      <c r="F1213" s="104"/>
      <c r="G1213" s="104"/>
      <c r="H1213" s="103"/>
      <c r="I1213" s="99">
        <f t="shared" si="9"/>
        <v>0</v>
      </c>
      <c r="J1213" s="101"/>
      <c r="K1213" s="101"/>
      <c r="L1213" s="101" t="str">
        <f t="shared" si="8"/>
        <v>EN PROCESO</v>
      </c>
      <c r="M1213" s="101"/>
      <c r="N1213" s="101"/>
    </row>
    <row r="1214" ht="22.5" hidden="1" customHeight="1">
      <c r="A1214" s="49"/>
      <c r="B1214" s="81"/>
      <c r="C1214" s="97"/>
      <c r="D1214" s="49"/>
      <c r="E1214" s="49"/>
      <c r="F1214" s="98"/>
      <c r="G1214" s="98"/>
      <c r="H1214" s="97"/>
      <c r="I1214" s="99">
        <f t="shared" si="9"/>
        <v>0</v>
      </c>
      <c r="J1214" s="49"/>
      <c r="K1214" s="49"/>
      <c r="L1214" s="49" t="str">
        <f t="shared" si="8"/>
        <v>EN PROCESO</v>
      </c>
      <c r="M1214" s="49"/>
      <c r="N1214" s="49"/>
    </row>
    <row r="1215" ht="22.5" hidden="1" customHeight="1">
      <c r="A1215" s="101"/>
      <c r="B1215" s="102"/>
      <c r="C1215" s="103"/>
      <c r="D1215" s="101"/>
      <c r="E1215" s="101"/>
      <c r="F1215" s="104"/>
      <c r="G1215" s="104"/>
      <c r="H1215" s="103"/>
      <c r="I1215" s="99">
        <f t="shared" si="9"/>
        <v>0</v>
      </c>
      <c r="J1215" s="101"/>
      <c r="K1215" s="101"/>
      <c r="L1215" s="101" t="str">
        <f t="shared" si="8"/>
        <v>EN PROCESO</v>
      </c>
      <c r="M1215" s="101"/>
      <c r="N1215" s="101"/>
    </row>
    <row r="1216" ht="22.5" hidden="1" customHeight="1">
      <c r="A1216" s="49"/>
      <c r="B1216" s="81"/>
      <c r="C1216" s="97"/>
      <c r="D1216" s="49"/>
      <c r="E1216" s="49"/>
      <c r="F1216" s="98"/>
      <c r="G1216" s="98"/>
      <c r="H1216" s="97"/>
      <c r="I1216" s="99">
        <f t="shared" si="9"/>
        <v>0</v>
      </c>
      <c r="J1216" s="49"/>
      <c r="K1216" s="49"/>
      <c r="L1216" s="49" t="str">
        <f t="shared" si="8"/>
        <v>EN PROCESO</v>
      </c>
      <c r="M1216" s="49"/>
      <c r="N1216" s="49"/>
    </row>
    <row r="1217" ht="22.5" hidden="1" customHeight="1">
      <c r="A1217" s="101"/>
      <c r="B1217" s="102"/>
      <c r="C1217" s="103"/>
      <c r="D1217" s="101"/>
      <c r="E1217" s="101"/>
      <c r="F1217" s="104"/>
      <c r="G1217" s="104"/>
      <c r="H1217" s="103"/>
      <c r="I1217" s="99">
        <f t="shared" si="9"/>
        <v>0</v>
      </c>
      <c r="J1217" s="101"/>
      <c r="K1217" s="101"/>
      <c r="L1217" s="101" t="str">
        <f t="shared" si="8"/>
        <v>EN PROCESO</v>
      </c>
      <c r="M1217" s="101"/>
      <c r="N1217" s="101"/>
    </row>
    <row r="1218" ht="22.5" hidden="1" customHeight="1">
      <c r="A1218" s="49"/>
      <c r="B1218" s="81"/>
      <c r="C1218" s="97"/>
      <c r="D1218" s="49"/>
      <c r="E1218" s="49"/>
      <c r="F1218" s="98"/>
      <c r="G1218" s="98"/>
      <c r="H1218" s="97"/>
      <c r="I1218" s="99">
        <f t="shared" si="9"/>
        <v>0</v>
      </c>
      <c r="J1218" s="49"/>
      <c r="K1218" s="49"/>
      <c r="L1218" s="49" t="str">
        <f t="shared" si="8"/>
        <v>EN PROCESO</v>
      </c>
      <c r="M1218" s="49"/>
      <c r="N1218" s="49"/>
    </row>
    <row r="1219" ht="22.5" hidden="1" customHeight="1">
      <c r="A1219" s="101"/>
      <c r="B1219" s="102"/>
      <c r="C1219" s="103"/>
      <c r="D1219" s="101"/>
      <c r="E1219" s="101"/>
      <c r="F1219" s="104"/>
      <c r="G1219" s="104"/>
      <c r="H1219" s="103"/>
      <c r="I1219" s="99">
        <f t="shared" si="9"/>
        <v>0</v>
      </c>
      <c r="J1219" s="101"/>
      <c r="K1219" s="101"/>
      <c r="L1219" s="101" t="str">
        <f t="shared" si="8"/>
        <v>EN PROCESO</v>
      </c>
      <c r="M1219" s="101"/>
      <c r="N1219" s="101"/>
    </row>
    <row r="1220" ht="22.5" hidden="1" customHeight="1">
      <c r="A1220" s="49"/>
      <c r="B1220" s="81"/>
      <c r="C1220" s="97"/>
      <c r="D1220" s="49"/>
      <c r="E1220" s="49"/>
      <c r="F1220" s="98"/>
      <c r="G1220" s="98"/>
      <c r="H1220" s="97"/>
      <c r="I1220" s="99">
        <f t="shared" si="9"/>
        <v>0</v>
      </c>
      <c r="J1220" s="49"/>
      <c r="K1220" s="49"/>
      <c r="L1220" s="49" t="str">
        <f t="shared" si="8"/>
        <v>EN PROCESO</v>
      </c>
      <c r="M1220" s="49"/>
      <c r="N1220" s="49"/>
    </row>
    <row r="1221" ht="22.5" hidden="1" customHeight="1">
      <c r="A1221" s="101"/>
      <c r="B1221" s="102"/>
      <c r="C1221" s="103"/>
      <c r="D1221" s="101"/>
      <c r="E1221" s="101"/>
      <c r="F1221" s="104"/>
      <c r="G1221" s="104"/>
      <c r="H1221" s="103"/>
      <c r="I1221" s="99">
        <f t="shared" si="9"/>
        <v>0</v>
      </c>
      <c r="J1221" s="101"/>
      <c r="K1221" s="101"/>
      <c r="L1221" s="101" t="str">
        <f t="shared" si="8"/>
        <v>EN PROCESO</v>
      </c>
      <c r="M1221" s="101"/>
      <c r="N1221" s="101"/>
    </row>
    <row r="1222" ht="22.5" hidden="1" customHeight="1">
      <c r="A1222" s="49"/>
      <c r="B1222" s="81"/>
      <c r="C1222" s="97"/>
      <c r="D1222" s="49"/>
      <c r="E1222" s="49"/>
      <c r="F1222" s="98"/>
      <c r="G1222" s="98"/>
      <c r="H1222" s="97"/>
      <c r="I1222" s="99">
        <f t="shared" si="9"/>
        <v>0</v>
      </c>
      <c r="J1222" s="49"/>
      <c r="K1222" s="49"/>
      <c r="L1222" s="49" t="str">
        <f t="shared" si="8"/>
        <v>EN PROCESO</v>
      </c>
      <c r="M1222" s="49"/>
      <c r="N1222" s="49"/>
    </row>
    <row r="1223" ht="22.5" hidden="1" customHeight="1">
      <c r="A1223" s="101"/>
      <c r="B1223" s="102"/>
      <c r="C1223" s="103"/>
      <c r="D1223" s="101"/>
      <c r="E1223" s="101"/>
      <c r="F1223" s="104"/>
      <c r="G1223" s="104"/>
      <c r="H1223" s="103"/>
      <c r="I1223" s="99">
        <f t="shared" si="9"/>
        <v>0</v>
      </c>
      <c r="J1223" s="101"/>
      <c r="K1223" s="101"/>
      <c r="L1223" s="101" t="str">
        <f t="shared" si="8"/>
        <v>EN PROCESO</v>
      </c>
      <c r="M1223" s="101"/>
      <c r="N1223" s="101"/>
    </row>
    <row r="1224" ht="22.5" hidden="1" customHeight="1">
      <c r="A1224" s="49"/>
      <c r="B1224" s="81"/>
      <c r="C1224" s="97"/>
      <c r="D1224" s="49"/>
      <c r="E1224" s="49"/>
      <c r="F1224" s="98"/>
      <c r="G1224" s="98"/>
      <c r="H1224" s="97"/>
      <c r="I1224" s="99">
        <f t="shared" si="9"/>
        <v>0</v>
      </c>
      <c r="J1224" s="49"/>
      <c r="K1224" s="49"/>
      <c r="L1224" s="49" t="str">
        <f t="shared" si="8"/>
        <v>EN PROCESO</v>
      </c>
      <c r="M1224" s="49"/>
      <c r="N1224" s="49"/>
    </row>
    <row r="1225" ht="22.5" hidden="1" customHeight="1">
      <c r="A1225" s="101"/>
      <c r="B1225" s="102"/>
      <c r="C1225" s="103"/>
      <c r="D1225" s="101"/>
      <c r="E1225" s="101"/>
      <c r="F1225" s="104"/>
      <c r="G1225" s="104"/>
      <c r="H1225" s="103"/>
      <c r="I1225" s="99">
        <f t="shared" si="9"/>
        <v>0</v>
      </c>
      <c r="J1225" s="101"/>
      <c r="K1225" s="101"/>
      <c r="L1225" s="101" t="str">
        <f t="shared" si="8"/>
        <v>EN PROCESO</v>
      </c>
      <c r="M1225" s="101"/>
      <c r="N1225" s="101"/>
    </row>
    <row r="1226" ht="22.5" hidden="1" customHeight="1">
      <c r="A1226" s="49"/>
      <c r="B1226" s="81"/>
      <c r="C1226" s="97"/>
      <c r="D1226" s="49"/>
      <c r="E1226" s="49"/>
      <c r="F1226" s="98"/>
      <c r="G1226" s="98"/>
      <c r="H1226" s="97"/>
      <c r="I1226" s="99">
        <f t="shared" si="9"/>
        <v>0</v>
      </c>
      <c r="J1226" s="49"/>
      <c r="K1226" s="49"/>
      <c r="L1226" s="49" t="str">
        <f t="shared" si="8"/>
        <v>EN PROCESO</v>
      </c>
      <c r="M1226" s="49"/>
      <c r="N1226" s="49"/>
    </row>
    <row r="1227" ht="22.5" hidden="1" customHeight="1">
      <c r="A1227" s="101"/>
      <c r="B1227" s="102"/>
      <c r="C1227" s="103"/>
      <c r="D1227" s="101"/>
      <c r="E1227" s="101"/>
      <c r="F1227" s="104"/>
      <c r="G1227" s="104"/>
      <c r="H1227" s="103"/>
      <c r="I1227" s="99">
        <f t="shared" si="9"/>
        <v>0</v>
      </c>
      <c r="J1227" s="101"/>
      <c r="K1227" s="101"/>
      <c r="L1227" s="101" t="str">
        <f t="shared" si="8"/>
        <v>EN PROCESO</v>
      </c>
      <c r="M1227" s="101"/>
      <c r="N1227" s="101"/>
    </row>
    <row r="1228" ht="22.5" hidden="1" customHeight="1">
      <c r="A1228" s="49"/>
      <c r="B1228" s="81"/>
      <c r="C1228" s="97"/>
      <c r="D1228" s="49"/>
      <c r="E1228" s="49"/>
      <c r="F1228" s="98"/>
      <c r="G1228" s="98"/>
      <c r="H1228" s="97"/>
      <c r="I1228" s="99">
        <f t="shared" si="9"/>
        <v>0</v>
      </c>
      <c r="J1228" s="49"/>
      <c r="K1228" s="49"/>
      <c r="L1228" s="49" t="str">
        <f t="shared" si="8"/>
        <v>EN PROCESO</v>
      </c>
      <c r="M1228" s="49"/>
      <c r="N1228" s="49"/>
    </row>
    <row r="1229" ht="22.5" hidden="1" customHeight="1">
      <c r="A1229" s="101"/>
      <c r="B1229" s="102"/>
      <c r="C1229" s="103"/>
      <c r="D1229" s="101"/>
      <c r="E1229" s="101"/>
      <c r="F1229" s="104"/>
      <c r="G1229" s="104"/>
      <c r="H1229" s="103"/>
      <c r="I1229" s="99">
        <f t="shared" si="9"/>
        <v>0</v>
      </c>
      <c r="J1229" s="101"/>
      <c r="K1229" s="101"/>
      <c r="L1229" s="101" t="str">
        <f t="shared" si="8"/>
        <v>EN PROCESO</v>
      </c>
      <c r="M1229" s="101"/>
      <c r="N1229" s="101"/>
    </row>
    <row r="1230" ht="22.5" hidden="1" customHeight="1">
      <c r="A1230" s="49"/>
      <c r="B1230" s="81"/>
      <c r="C1230" s="97"/>
      <c r="D1230" s="49"/>
      <c r="E1230" s="49"/>
      <c r="F1230" s="98"/>
      <c r="G1230" s="98"/>
      <c r="H1230" s="97"/>
      <c r="I1230" s="99">
        <f t="shared" si="9"/>
        <v>0</v>
      </c>
      <c r="J1230" s="49"/>
      <c r="K1230" s="49"/>
      <c r="L1230" s="49" t="str">
        <f t="shared" si="8"/>
        <v>EN PROCESO</v>
      </c>
      <c r="M1230" s="49"/>
      <c r="N1230" s="49"/>
    </row>
    <row r="1231" ht="22.5" hidden="1" customHeight="1">
      <c r="A1231" s="101"/>
      <c r="B1231" s="102"/>
      <c r="C1231" s="103"/>
      <c r="D1231" s="101"/>
      <c r="E1231" s="101"/>
      <c r="F1231" s="104"/>
      <c r="G1231" s="104"/>
      <c r="H1231" s="103"/>
      <c r="I1231" s="99">
        <f t="shared" si="9"/>
        <v>0</v>
      </c>
      <c r="J1231" s="101"/>
      <c r="K1231" s="101"/>
      <c r="L1231" s="101" t="str">
        <f t="shared" si="8"/>
        <v>EN PROCESO</v>
      </c>
      <c r="M1231" s="101"/>
      <c r="N1231" s="101"/>
    </row>
    <row r="1232" ht="22.5" hidden="1" customHeight="1">
      <c r="A1232" s="49"/>
      <c r="B1232" s="81"/>
      <c r="C1232" s="97"/>
      <c r="D1232" s="49"/>
      <c r="E1232" s="49"/>
      <c r="F1232" s="98"/>
      <c r="G1232" s="98"/>
      <c r="H1232" s="97"/>
      <c r="I1232" s="99">
        <f t="shared" si="9"/>
        <v>0</v>
      </c>
      <c r="J1232" s="49"/>
      <c r="K1232" s="49"/>
      <c r="L1232" s="49" t="str">
        <f t="shared" si="8"/>
        <v>EN PROCESO</v>
      </c>
      <c r="M1232" s="49"/>
      <c r="N1232" s="49"/>
    </row>
    <row r="1233" ht="22.5" hidden="1" customHeight="1">
      <c r="A1233" s="101"/>
      <c r="B1233" s="102"/>
      <c r="C1233" s="103"/>
      <c r="D1233" s="101"/>
      <c r="E1233" s="101"/>
      <c r="F1233" s="104"/>
      <c r="G1233" s="104"/>
      <c r="H1233" s="103"/>
      <c r="I1233" s="99">
        <f t="shared" si="9"/>
        <v>0</v>
      </c>
      <c r="J1233" s="101"/>
      <c r="K1233" s="101"/>
      <c r="L1233" s="101" t="str">
        <f t="shared" si="8"/>
        <v>EN PROCESO</v>
      </c>
      <c r="M1233" s="101"/>
      <c r="N1233" s="101"/>
    </row>
    <row r="1234" ht="22.5" hidden="1" customHeight="1">
      <c r="A1234" s="49"/>
      <c r="B1234" s="81"/>
      <c r="C1234" s="97"/>
      <c r="D1234" s="49"/>
      <c r="E1234" s="49"/>
      <c r="F1234" s="98"/>
      <c r="G1234" s="98"/>
      <c r="H1234" s="97"/>
      <c r="I1234" s="99">
        <f t="shared" si="9"/>
        <v>0</v>
      </c>
      <c r="J1234" s="49"/>
      <c r="K1234" s="49"/>
      <c r="L1234" s="49" t="str">
        <f t="shared" si="8"/>
        <v>EN PROCESO</v>
      </c>
      <c r="M1234" s="49"/>
      <c r="N1234" s="49"/>
    </row>
    <row r="1235" ht="22.5" hidden="1" customHeight="1">
      <c r="A1235" s="101"/>
      <c r="B1235" s="102"/>
      <c r="C1235" s="103"/>
      <c r="D1235" s="101"/>
      <c r="E1235" s="101"/>
      <c r="F1235" s="104"/>
      <c r="G1235" s="104"/>
      <c r="H1235" s="103"/>
      <c r="I1235" s="99">
        <f t="shared" si="9"/>
        <v>0</v>
      </c>
      <c r="J1235" s="101"/>
      <c r="K1235" s="101"/>
      <c r="L1235" s="101" t="str">
        <f t="shared" si="8"/>
        <v>EN PROCESO</v>
      </c>
      <c r="M1235" s="101"/>
      <c r="N1235" s="101"/>
    </row>
    <row r="1236" ht="22.5" hidden="1" customHeight="1">
      <c r="A1236" s="49"/>
      <c r="B1236" s="81"/>
      <c r="C1236" s="97"/>
      <c r="D1236" s="49"/>
      <c r="E1236" s="49"/>
      <c r="F1236" s="98"/>
      <c r="G1236" s="98"/>
      <c r="H1236" s="97"/>
      <c r="I1236" s="99">
        <f t="shared" si="9"/>
        <v>0</v>
      </c>
      <c r="J1236" s="49"/>
      <c r="K1236" s="49"/>
      <c r="L1236" s="49" t="str">
        <f t="shared" si="8"/>
        <v>EN PROCESO</v>
      </c>
      <c r="M1236" s="49"/>
      <c r="N1236" s="49"/>
    </row>
    <row r="1237" ht="22.5" hidden="1" customHeight="1">
      <c r="A1237" s="101"/>
      <c r="B1237" s="102"/>
      <c r="C1237" s="103"/>
      <c r="D1237" s="101"/>
      <c r="E1237" s="101"/>
      <c r="F1237" s="104"/>
      <c r="G1237" s="104"/>
      <c r="H1237" s="103"/>
      <c r="I1237" s="99">
        <f t="shared" si="9"/>
        <v>0</v>
      </c>
      <c r="J1237" s="101"/>
      <c r="K1237" s="101"/>
      <c r="L1237" s="101" t="str">
        <f t="shared" si="8"/>
        <v>EN PROCESO</v>
      </c>
      <c r="M1237" s="101"/>
      <c r="N1237" s="101"/>
    </row>
    <row r="1238" ht="22.5" hidden="1" customHeight="1">
      <c r="A1238" s="49"/>
      <c r="B1238" s="81"/>
      <c r="C1238" s="97"/>
      <c r="D1238" s="49"/>
      <c r="E1238" s="49"/>
      <c r="F1238" s="98"/>
      <c r="G1238" s="98"/>
      <c r="H1238" s="97"/>
      <c r="I1238" s="99">
        <f t="shared" si="9"/>
        <v>0</v>
      </c>
      <c r="J1238" s="49"/>
      <c r="K1238" s="49"/>
      <c r="L1238" s="49" t="str">
        <f t="shared" si="8"/>
        <v>EN PROCESO</v>
      </c>
      <c r="M1238" s="49"/>
      <c r="N1238" s="49"/>
    </row>
    <row r="1239" ht="22.5" hidden="1" customHeight="1">
      <c r="A1239" s="101"/>
      <c r="B1239" s="102"/>
      <c r="C1239" s="103"/>
      <c r="D1239" s="101"/>
      <c r="E1239" s="101"/>
      <c r="F1239" s="104"/>
      <c r="G1239" s="104"/>
      <c r="H1239" s="103"/>
      <c r="I1239" s="99">
        <f t="shared" si="9"/>
        <v>0</v>
      </c>
      <c r="J1239" s="101"/>
      <c r="K1239" s="101"/>
      <c r="L1239" s="101" t="str">
        <f t="shared" si="8"/>
        <v>EN PROCESO</v>
      </c>
      <c r="M1239" s="101"/>
      <c r="N1239" s="101"/>
    </row>
    <row r="1240" ht="22.5" hidden="1" customHeight="1">
      <c r="A1240" s="49"/>
      <c r="B1240" s="81"/>
      <c r="C1240" s="97"/>
      <c r="D1240" s="49"/>
      <c r="E1240" s="49"/>
      <c r="F1240" s="98"/>
      <c r="G1240" s="98"/>
      <c r="H1240" s="97"/>
      <c r="I1240" s="99">
        <f t="shared" si="9"/>
        <v>0</v>
      </c>
      <c r="J1240" s="49"/>
      <c r="K1240" s="49"/>
      <c r="L1240" s="49" t="str">
        <f t="shared" si="8"/>
        <v>EN PROCESO</v>
      </c>
      <c r="M1240" s="49"/>
      <c r="N1240" s="49"/>
    </row>
    <row r="1241" ht="22.5" hidden="1" customHeight="1">
      <c r="A1241" s="101"/>
      <c r="B1241" s="102"/>
      <c r="C1241" s="103"/>
      <c r="D1241" s="101"/>
      <c r="E1241" s="101"/>
      <c r="F1241" s="104"/>
      <c r="G1241" s="104"/>
      <c r="H1241" s="103"/>
      <c r="I1241" s="99">
        <f t="shared" si="9"/>
        <v>0</v>
      </c>
      <c r="J1241" s="101"/>
      <c r="K1241" s="101"/>
      <c r="L1241" s="101" t="str">
        <f t="shared" si="8"/>
        <v>EN PROCESO</v>
      </c>
      <c r="M1241" s="101"/>
      <c r="N1241" s="101"/>
    </row>
    <row r="1242" ht="22.5" hidden="1" customHeight="1">
      <c r="A1242" s="49"/>
      <c r="B1242" s="81"/>
      <c r="C1242" s="97"/>
      <c r="D1242" s="49"/>
      <c r="E1242" s="49"/>
      <c r="F1242" s="98"/>
      <c r="G1242" s="98"/>
      <c r="H1242" s="97"/>
      <c r="I1242" s="99">
        <f t="shared" si="9"/>
        <v>0</v>
      </c>
      <c r="J1242" s="49"/>
      <c r="K1242" s="49"/>
      <c r="L1242" s="49" t="str">
        <f t="shared" si="8"/>
        <v>EN PROCESO</v>
      </c>
      <c r="M1242" s="49"/>
      <c r="N1242" s="49"/>
    </row>
    <row r="1243" ht="22.5" hidden="1" customHeight="1">
      <c r="A1243" s="101"/>
      <c r="B1243" s="102"/>
      <c r="C1243" s="103"/>
      <c r="D1243" s="101"/>
      <c r="E1243" s="101"/>
      <c r="F1243" s="104"/>
      <c r="G1243" s="104"/>
      <c r="H1243" s="103"/>
      <c r="I1243" s="99">
        <f t="shared" si="9"/>
        <v>0</v>
      </c>
      <c r="J1243" s="101"/>
      <c r="K1243" s="101"/>
      <c r="L1243" s="101" t="str">
        <f t="shared" si="8"/>
        <v>EN PROCESO</v>
      </c>
      <c r="M1243" s="101"/>
      <c r="N1243" s="101"/>
    </row>
    <row r="1244" ht="22.5" hidden="1" customHeight="1">
      <c r="A1244" s="49"/>
      <c r="B1244" s="81"/>
      <c r="C1244" s="97"/>
      <c r="D1244" s="49"/>
      <c r="E1244" s="49"/>
      <c r="F1244" s="98"/>
      <c r="G1244" s="98"/>
      <c r="H1244" s="97"/>
      <c r="I1244" s="99">
        <f t="shared" si="9"/>
        <v>0</v>
      </c>
      <c r="J1244" s="49"/>
      <c r="K1244" s="49"/>
      <c r="L1244" s="49" t="str">
        <f t="shared" si="8"/>
        <v>EN PROCESO</v>
      </c>
      <c r="M1244" s="49"/>
      <c r="N1244" s="49"/>
    </row>
    <row r="1245" ht="22.5" hidden="1" customHeight="1">
      <c r="A1245" s="101"/>
      <c r="B1245" s="102"/>
      <c r="C1245" s="103"/>
      <c r="D1245" s="101"/>
      <c r="E1245" s="101"/>
      <c r="F1245" s="104"/>
      <c r="G1245" s="104"/>
      <c r="H1245" s="103"/>
      <c r="I1245" s="99">
        <f t="shared" si="9"/>
        <v>0</v>
      </c>
      <c r="J1245" s="101"/>
      <c r="K1245" s="101"/>
      <c r="L1245" s="101" t="str">
        <f t="shared" si="8"/>
        <v>EN PROCESO</v>
      </c>
      <c r="M1245" s="101"/>
      <c r="N1245" s="101"/>
    </row>
    <row r="1246" ht="22.5" hidden="1" customHeight="1">
      <c r="A1246" s="49"/>
      <c r="B1246" s="81"/>
      <c r="C1246" s="97"/>
      <c r="D1246" s="49"/>
      <c r="E1246" s="49"/>
      <c r="F1246" s="98"/>
      <c r="G1246" s="98"/>
      <c r="H1246" s="97"/>
      <c r="I1246" s="99">
        <f t="shared" si="9"/>
        <v>0</v>
      </c>
      <c r="J1246" s="49"/>
      <c r="K1246" s="49"/>
      <c r="L1246" s="49" t="str">
        <f t="shared" si="8"/>
        <v>EN PROCESO</v>
      </c>
      <c r="M1246" s="49"/>
      <c r="N1246" s="49"/>
    </row>
    <row r="1247" ht="22.5" hidden="1" customHeight="1">
      <c r="A1247" s="101"/>
      <c r="B1247" s="102"/>
      <c r="C1247" s="103"/>
      <c r="D1247" s="101"/>
      <c r="E1247" s="101"/>
      <c r="F1247" s="104"/>
      <c r="G1247" s="104"/>
      <c r="H1247" s="103"/>
      <c r="I1247" s="99">
        <f t="shared" si="9"/>
        <v>0</v>
      </c>
      <c r="J1247" s="101"/>
      <c r="K1247" s="101"/>
      <c r="L1247" s="101" t="str">
        <f t="shared" si="8"/>
        <v>EN PROCESO</v>
      </c>
      <c r="M1247" s="101"/>
      <c r="N1247" s="101"/>
    </row>
    <row r="1248" ht="22.5" hidden="1" customHeight="1">
      <c r="A1248" s="49"/>
      <c r="B1248" s="81"/>
      <c r="C1248" s="97"/>
      <c r="D1248" s="49"/>
      <c r="E1248" s="49"/>
      <c r="F1248" s="98"/>
      <c r="G1248" s="98"/>
      <c r="H1248" s="97"/>
      <c r="I1248" s="99">
        <f t="shared" si="9"/>
        <v>0</v>
      </c>
      <c r="J1248" s="49"/>
      <c r="K1248" s="49"/>
      <c r="L1248" s="49" t="str">
        <f t="shared" si="8"/>
        <v>EN PROCESO</v>
      </c>
      <c r="M1248" s="49"/>
      <c r="N1248" s="49"/>
    </row>
    <row r="1249" ht="22.5" hidden="1" customHeight="1">
      <c r="A1249" s="101"/>
      <c r="B1249" s="102"/>
      <c r="C1249" s="103"/>
      <c r="D1249" s="101"/>
      <c r="E1249" s="101"/>
      <c r="F1249" s="104"/>
      <c r="G1249" s="104"/>
      <c r="H1249" s="103"/>
      <c r="I1249" s="99">
        <f t="shared" si="9"/>
        <v>0</v>
      </c>
      <c r="J1249" s="101"/>
      <c r="K1249" s="101"/>
      <c r="L1249" s="101" t="str">
        <f t="shared" si="8"/>
        <v>EN PROCESO</v>
      </c>
      <c r="M1249" s="101"/>
      <c r="N1249" s="101"/>
    </row>
    <row r="1250" ht="22.5" hidden="1" customHeight="1">
      <c r="A1250" s="49"/>
      <c r="B1250" s="81"/>
      <c r="C1250" s="97"/>
      <c r="D1250" s="49"/>
      <c r="E1250" s="49"/>
      <c r="F1250" s="98"/>
      <c r="G1250" s="98"/>
      <c r="H1250" s="97"/>
      <c r="I1250" s="99">
        <f t="shared" si="9"/>
        <v>0</v>
      </c>
      <c r="J1250" s="49"/>
      <c r="K1250" s="49"/>
      <c r="L1250" s="49" t="str">
        <f t="shared" si="8"/>
        <v>EN PROCESO</v>
      </c>
      <c r="M1250" s="49"/>
      <c r="N1250" s="49"/>
    </row>
    <row r="1251" ht="22.5" hidden="1" customHeight="1">
      <c r="A1251" s="101"/>
      <c r="B1251" s="102"/>
      <c r="C1251" s="103"/>
      <c r="D1251" s="101"/>
      <c r="E1251" s="101"/>
      <c r="F1251" s="104"/>
      <c r="G1251" s="104"/>
      <c r="H1251" s="103"/>
      <c r="I1251" s="99">
        <f t="shared" si="9"/>
        <v>0</v>
      </c>
      <c r="J1251" s="101"/>
      <c r="K1251" s="101"/>
      <c r="L1251" s="101" t="str">
        <f t="shared" si="8"/>
        <v>EN PROCESO</v>
      </c>
      <c r="M1251" s="101"/>
      <c r="N1251" s="101"/>
    </row>
    <row r="1252" ht="22.5" hidden="1" customHeight="1">
      <c r="A1252" s="49"/>
      <c r="B1252" s="81"/>
      <c r="C1252" s="97"/>
      <c r="D1252" s="49"/>
      <c r="E1252" s="49"/>
      <c r="F1252" s="98"/>
      <c r="G1252" s="98"/>
      <c r="H1252" s="97"/>
      <c r="I1252" s="99">
        <f t="shared" si="9"/>
        <v>0</v>
      </c>
      <c r="J1252" s="49"/>
      <c r="K1252" s="49"/>
      <c r="L1252" s="49" t="str">
        <f t="shared" si="8"/>
        <v>EN PROCESO</v>
      </c>
      <c r="M1252" s="49"/>
      <c r="N1252" s="49"/>
    </row>
    <row r="1253" ht="22.5" hidden="1" customHeight="1">
      <c r="A1253" s="101"/>
      <c r="B1253" s="102"/>
      <c r="C1253" s="103"/>
      <c r="D1253" s="101"/>
      <c r="E1253" s="101"/>
      <c r="F1253" s="104"/>
      <c r="G1253" s="104"/>
      <c r="H1253" s="103"/>
      <c r="I1253" s="99">
        <f t="shared" si="9"/>
        <v>0</v>
      </c>
      <c r="J1253" s="101"/>
      <c r="K1253" s="101"/>
      <c r="L1253" s="101" t="str">
        <f t="shared" si="8"/>
        <v>EN PROCESO</v>
      </c>
      <c r="M1253" s="101"/>
      <c r="N1253" s="101"/>
    </row>
    <row r="1254" ht="22.5" hidden="1" customHeight="1">
      <c r="A1254" s="49"/>
      <c r="B1254" s="81"/>
      <c r="C1254" s="97"/>
      <c r="D1254" s="49"/>
      <c r="E1254" s="49"/>
      <c r="F1254" s="98"/>
      <c r="G1254" s="98"/>
      <c r="H1254" s="97"/>
      <c r="I1254" s="99">
        <f t="shared" si="9"/>
        <v>0</v>
      </c>
      <c r="J1254" s="49"/>
      <c r="K1254" s="49"/>
      <c r="L1254" s="49" t="str">
        <f t="shared" si="8"/>
        <v>EN PROCESO</v>
      </c>
      <c r="M1254" s="49"/>
      <c r="N1254" s="49"/>
    </row>
    <row r="1255" ht="22.5" hidden="1" customHeight="1">
      <c r="A1255" s="101"/>
      <c r="B1255" s="102"/>
      <c r="C1255" s="103"/>
      <c r="D1255" s="101"/>
      <c r="E1255" s="101"/>
      <c r="F1255" s="104"/>
      <c r="G1255" s="104"/>
      <c r="H1255" s="103"/>
      <c r="I1255" s="99">
        <f t="shared" si="9"/>
        <v>0</v>
      </c>
      <c r="J1255" s="101"/>
      <c r="K1255" s="101"/>
      <c r="L1255" s="101" t="str">
        <f t="shared" si="8"/>
        <v>EN PROCESO</v>
      </c>
      <c r="M1255" s="101"/>
      <c r="N1255" s="101"/>
    </row>
    <row r="1256" ht="22.5" hidden="1" customHeight="1">
      <c r="A1256" s="49"/>
      <c r="B1256" s="81"/>
      <c r="C1256" s="97"/>
      <c r="D1256" s="49"/>
      <c r="E1256" s="49"/>
      <c r="F1256" s="98"/>
      <c r="G1256" s="98"/>
      <c r="H1256" s="97"/>
      <c r="I1256" s="99">
        <f t="shared" si="9"/>
        <v>0</v>
      </c>
      <c r="J1256" s="49"/>
      <c r="K1256" s="49"/>
      <c r="L1256" s="49" t="str">
        <f t="shared" si="8"/>
        <v>EN PROCESO</v>
      </c>
      <c r="M1256" s="49"/>
      <c r="N1256" s="49"/>
    </row>
    <row r="1257" ht="22.5" hidden="1" customHeight="1">
      <c r="A1257" s="101"/>
      <c r="B1257" s="102"/>
      <c r="C1257" s="103"/>
      <c r="D1257" s="101"/>
      <c r="E1257" s="101"/>
      <c r="F1257" s="104"/>
      <c r="G1257" s="104"/>
      <c r="H1257" s="103"/>
      <c r="I1257" s="99">
        <f t="shared" si="9"/>
        <v>0</v>
      </c>
      <c r="J1257" s="101"/>
      <c r="K1257" s="101"/>
      <c r="L1257" s="101" t="str">
        <f t="shared" si="8"/>
        <v>EN PROCESO</v>
      </c>
      <c r="M1257" s="101"/>
      <c r="N1257" s="101"/>
    </row>
    <row r="1258" ht="22.5" hidden="1" customHeight="1">
      <c r="A1258" s="49"/>
      <c r="B1258" s="81"/>
      <c r="C1258" s="97"/>
      <c r="D1258" s="49"/>
      <c r="E1258" s="49"/>
      <c r="F1258" s="98"/>
      <c r="G1258" s="98"/>
      <c r="H1258" s="97"/>
      <c r="I1258" s="99">
        <f t="shared" si="9"/>
        <v>0</v>
      </c>
      <c r="J1258" s="49"/>
      <c r="K1258" s="49"/>
      <c r="L1258" s="49" t="str">
        <f t="shared" si="8"/>
        <v>EN PROCESO</v>
      </c>
      <c r="M1258" s="49"/>
      <c r="N1258" s="49"/>
    </row>
    <row r="1259" ht="22.5" hidden="1" customHeight="1">
      <c r="A1259" s="101"/>
      <c r="B1259" s="102"/>
      <c r="C1259" s="103"/>
      <c r="D1259" s="101"/>
      <c r="E1259" s="101"/>
      <c r="F1259" s="104"/>
      <c r="G1259" s="104"/>
      <c r="H1259" s="103"/>
      <c r="I1259" s="99">
        <f t="shared" si="9"/>
        <v>0</v>
      </c>
      <c r="J1259" s="101"/>
      <c r="K1259" s="101"/>
      <c r="L1259" s="101" t="str">
        <f t="shared" si="8"/>
        <v>EN PROCESO</v>
      </c>
      <c r="M1259" s="101"/>
      <c r="N1259" s="101"/>
    </row>
    <row r="1260" ht="22.5" hidden="1" customHeight="1">
      <c r="A1260" s="49"/>
      <c r="B1260" s="81"/>
      <c r="C1260" s="97"/>
      <c r="D1260" s="49"/>
      <c r="E1260" s="49"/>
      <c r="F1260" s="98"/>
      <c r="G1260" s="98"/>
      <c r="H1260" s="97"/>
      <c r="I1260" s="99">
        <f t="shared" si="9"/>
        <v>0</v>
      </c>
      <c r="J1260" s="49"/>
      <c r="K1260" s="49"/>
      <c r="L1260" s="49" t="str">
        <f t="shared" si="8"/>
        <v>EN PROCESO</v>
      </c>
      <c r="M1260" s="49"/>
      <c r="N1260" s="49"/>
    </row>
    <row r="1261" ht="22.5" hidden="1" customHeight="1">
      <c r="A1261" s="101"/>
      <c r="B1261" s="102"/>
      <c r="C1261" s="103"/>
      <c r="D1261" s="101"/>
      <c r="E1261" s="101"/>
      <c r="F1261" s="104"/>
      <c r="G1261" s="104"/>
      <c r="H1261" s="103"/>
      <c r="I1261" s="99">
        <f t="shared" si="9"/>
        <v>0</v>
      </c>
      <c r="J1261" s="101"/>
      <c r="K1261" s="101"/>
      <c r="L1261" s="101" t="str">
        <f t="shared" si="8"/>
        <v>EN PROCESO</v>
      </c>
      <c r="M1261" s="101"/>
      <c r="N1261" s="101"/>
    </row>
    <row r="1262" ht="22.5" hidden="1" customHeight="1">
      <c r="A1262" s="49"/>
      <c r="B1262" s="81"/>
      <c r="C1262" s="97"/>
      <c r="D1262" s="49"/>
      <c r="E1262" s="49"/>
      <c r="F1262" s="98"/>
      <c r="G1262" s="98"/>
      <c r="H1262" s="97"/>
      <c r="I1262" s="99">
        <f t="shared" si="9"/>
        <v>0</v>
      </c>
      <c r="J1262" s="49"/>
      <c r="K1262" s="49"/>
      <c r="L1262" s="49" t="str">
        <f t="shared" si="8"/>
        <v>EN PROCESO</v>
      </c>
      <c r="M1262" s="49"/>
      <c r="N1262" s="49"/>
    </row>
    <row r="1263" ht="22.5" hidden="1" customHeight="1">
      <c r="A1263" s="101"/>
      <c r="B1263" s="102"/>
      <c r="C1263" s="103"/>
      <c r="D1263" s="101"/>
      <c r="E1263" s="101"/>
      <c r="F1263" s="104"/>
      <c r="G1263" s="104"/>
      <c r="H1263" s="103"/>
      <c r="I1263" s="99">
        <f t="shared" si="9"/>
        <v>0</v>
      </c>
      <c r="J1263" s="101"/>
      <c r="K1263" s="101"/>
      <c r="L1263" s="101" t="str">
        <f t="shared" si="8"/>
        <v>EN PROCESO</v>
      </c>
      <c r="M1263" s="101"/>
      <c r="N1263" s="101"/>
    </row>
    <row r="1264" ht="22.5" hidden="1" customHeight="1">
      <c r="A1264" s="49"/>
      <c r="B1264" s="81"/>
      <c r="C1264" s="97"/>
      <c r="D1264" s="49"/>
      <c r="E1264" s="49"/>
      <c r="F1264" s="98"/>
      <c r="G1264" s="98"/>
      <c r="H1264" s="97"/>
      <c r="I1264" s="99">
        <f t="shared" si="9"/>
        <v>0</v>
      </c>
      <c r="J1264" s="49"/>
      <c r="K1264" s="49"/>
      <c r="L1264" s="49" t="str">
        <f t="shared" si="8"/>
        <v>EN PROCESO</v>
      </c>
      <c r="M1264" s="49"/>
      <c r="N1264" s="49"/>
    </row>
    <row r="1265" ht="22.5" hidden="1" customHeight="1">
      <c r="A1265" s="101"/>
      <c r="B1265" s="102"/>
      <c r="C1265" s="103"/>
      <c r="D1265" s="101"/>
      <c r="E1265" s="101"/>
      <c r="F1265" s="104"/>
      <c r="G1265" s="104"/>
      <c r="H1265" s="103"/>
      <c r="I1265" s="99">
        <f t="shared" si="9"/>
        <v>0</v>
      </c>
      <c r="J1265" s="101"/>
      <c r="K1265" s="101"/>
      <c r="L1265" s="101" t="str">
        <f t="shared" si="8"/>
        <v>EN PROCESO</v>
      </c>
      <c r="M1265" s="101"/>
      <c r="N1265" s="101"/>
    </row>
    <row r="1266" ht="22.5" hidden="1" customHeight="1">
      <c r="A1266" s="49"/>
      <c r="B1266" s="81"/>
      <c r="C1266" s="97"/>
      <c r="D1266" s="49"/>
      <c r="E1266" s="49"/>
      <c r="F1266" s="98"/>
      <c r="G1266" s="98"/>
      <c r="H1266" s="97"/>
      <c r="I1266" s="99">
        <f t="shared" si="9"/>
        <v>0</v>
      </c>
      <c r="J1266" s="49"/>
      <c r="K1266" s="49"/>
      <c r="L1266" s="49" t="str">
        <f t="shared" si="8"/>
        <v>EN PROCESO</v>
      </c>
      <c r="M1266" s="49"/>
      <c r="N1266" s="49"/>
    </row>
    <row r="1267" ht="22.5" hidden="1" customHeight="1">
      <c r="A1267" s="101"/>
      <c r="B1267" s="102"/>
      <c r="C1267" s="103"/>
      <c r="D1267" s="101"/>
      <c r="E1267" s="101"/>
      <c r="F1267" s="104"/>
      <c r="G1267" s="104"/>
      <c r="H1267" s="103"/>
      <c r="I1267" s="99">
        <f t="shared" si="9"/>
        <v>0</v>
      </c>
      <c r="J1267" s="101"/>
      <c r="K1267" s="101"/>
      <c r="L1267" s="101" t="str">
        <f t="shared" si="8"/>
        <v>EN PROCESO</v>
      </c>
      <c r="M1267" s="101"/>
      <c r="N1267" s="101"/>
    </row>
    <row r="1268" ht="22.5" hidden="1" customHeight="1">
      <c r="A1268" s="49"/>
      <c r="B1268" s="81"/>
      <c r="C1268" s="97"/>
      <c r="D1268" s="49"/>
      <c r="E1268" s="49"/>
      <c r="F1268" s="98"/>
      <c r="G1268" s="98"/>
      <c r="H1268" s="97"/>
      <c r="I1268" s="99">
        <f t="shared" si="9"/>
        <v>0</v>
      </c>
      <c r="J1268" s="49"/>
      <c r="K1268" s="49"/>
      <c r="L1268" s="49" t="str">
        <f t="shared" si="8"/>
        <v>EN PROCESO</v>
      </c>
      <c r="M1268" s="49"/>
      <c r="N1268" s="49"/>
    </row>
    <row r="1269" ht="22.5" hidden="1" customHeight="1">
      <c r="A1269" s="101"/>
      <c r="B1269" s="102"/>
      <c r="C1269" s="103"/>
      <c r="D1269" s="101"/>
      <c r="E1269" s="101"/>
      <c r="F1269" s="104"/>
      <c r="G1269" s="104"/>
      <c r="H1269" s="103"/>
      <c r="I1269" s="99">
        <f t="shared" si="9"/>
        <v>0</v>
      </c>
      <c r="J1269" s="101"/>
      <c r="K1269" s="101"/>
      <c r="L1269" s="101" t="str">
        <f t="shared" si="8"/>
        <v>EN PROCESO</v>
      </c>
      <c r="M1269" s="101"/>
      <c r="N1269" s="101"/>
    </row>
    <row r="1270" ht="22.5" hidden="1" customHeight="1">
      <c r="A1270" s="49"/>
      <c r="B1270" s="81"/>
      <c r="C1270" s="97"/>
      <c r="D1270" s="49"/>
      <c r="E1270" s="49"/>
      <c r="F1270" s="98"/>
      <c r="G1270" s="98"/>
      <c r="H1270" s="97"/>
      <c r="I1270" s="99">
        <f t="shared" si="9"/>
        <v>0</v>
      </c>
      <c r="J1270" s="49"/>
      <c r="K1270" s="49"/>
      <c r="L1270" s="49" t="str">
        <f t="shared" si="8"/>
        <v>EN PROCESO</v>
      </c>
      <c r="M1270" s="49"/>
      <c r="N1270" s="49"/>
    </row>
    <row r="1271" ht="22.5" hidden="1" customHeight="1">
      <c r="A1271" s="101"/>
      <c r="B1271" s="102"/>
      <c r="C1271" s="103"/>
      <c r="D1271" s="101"/>
      <c r="E1271" s="101"/>
      <c r="F1271" s="104"/>
      <c r="G1271" s="104"/>
      <c r="H1271" s="103"/>
      <c r="I1271" s="99">
        <f t="shared" si="9"/>
        <v>0</v>
      </c>
      <c r="J1271" s="101"/>
      <c r="K1271" s="101"/>
      <c r="L1271" s="101" t="str">
        <f t="shared" si="8"/>
        <v>EN PROCESO</v>
      </c>
      <c r="M1271" s="101"/>
      <c r="N1271" s="101"/>
    </row>
    <row r="1272" ht="22.5" hidden="1" customHeight="1">
      <c r="A1272" s="49"/>
      <c r="B1272" s="81"/>
      <c r="C1272" s="97"/>
      <c r="D1272" s="49"/>
      <c r="E1272" s="49"/>
      <c r="F1272" s="98"/>
      <c r="G1272" s="98"/>
      <c r="H1272" s="97"/>
      <c r="I1272" s="99">
        <f t="shared" si="9"/>
        <v>0</v>
      </c>
      <c r="J1272" s="49"/>
      <c r="K1272" s="49"/>
      <c r="L1272" s="49" t="str">
        <f t="shared" si="8"/>
        <v>EN PROCESO</v>
      </c>
      <c r="M1272" s="49"/>
      <c r="N1272" s="49"/>
    </row>
    <row r="1273" ht="22.5" hidden="1" customHeight="1">
      <c r="A1273" s="101"/>
      <c r="B1273" s="102"/>
      <c r="C1273" s="103"/>
      <c r="D1273" s="101"/>
      <c r="E1273" s="101"/>
      <c r="F1273" s="104"/>
      <c r="G1273" s="104"/>
      <c r="H1273" s="103"/>
      <c r="I1273" s="99">
        <f t="shared" si="9"/>
        <v>0</v>
      </c>
      <c r="J1273" s="101"/>
      <c r="K1273" s="101"/>
      <c r="L1273" s="101" t="str">
        <f t="shared" si="8"/>
        <v>EN PROCESO</v>
      </c>
      <c r="M1273" s="101"/>
      <c r="N1273" s="101"/>
    </row>
    <row r="1274" ht="22.5" hidden="1" customHeight="1">
      <c r="A1274" s="49"/>
      <c r="B1274" s="81"/>
      <c r="C1274" s="97"/>
      <c r="D1274" s="49"/>
      <c r="E1274" s="49"/>
      <c r="F1274" s="98"/>
      <c r="G1274" s="98"/>
      <c r="H1274" s="97"/>
      <c r="I1274" s="99">
        <f t="shared" si="9"/>
        <v>0</v>
      </c>
      <c r="J1274" s="49"/>
      <c r="K1274" s="49"/>
      <c r="L1274" s="49" t="str">
        <f t="shared" si="8"/>
        <v>EN PROCESO</v>
      </c>
      <c r="M1274" s="49"/>
      <c r="N1274" s="49"/>
    </row>
    <row r="1275" ht="22.5" hidden="1" customHeight="1">
      <c r="A1275" s="101"/>
      <c r="B1275" s="102"/>
      <c r="C1275" s="103"/>
      <c r="D1275" s="101"/>
      <c r="E1275" s="101"/>
      <c r="F1275" s="104"/>
      <c r="G1275" s="104"/>
      <c r="H1275" s="103"/>
      <c r="I1275" s="99">
        <f t="shared" si="9"/>
        <v>0</v>
      </c>
      <c r="J1275" s="101"/>
      <c r="K1275" s="101"/>
      <c r="L1275" s="101" t="str">
        <f t="shared" si="8"/>
        <v>EN PROCESO</v>
      </c>
      <c r="M1275" s="101"/>
      <c r="N1275" s="101"/>
    </row>
    <row r="1276" ht="22.5" hidden="1" customHeight="1">
      <c r="A1276" s="49"/>
      <c r="B1276" s="81"/>
      <c r="C1276" s="97"/>
      <c r="D1276" s="49"/>
      <c r="E1276" s="49"/>
      <c r="F1276" s="98"/>
      <c r="G1276" s="98"/>
      <c r="H1276" s="97"/>
      <c r="I1276" s="99">
        <f t="shared" si="9"/>
        <v>0</v>
      </c>
      <c r="J1276" s="49"/>
      <c r="K1276" s="49"/>
      <c r="L1276" s="49" t="str">
        <f t="shared" si="8"/>
        <v>EN PROCESO</v>
      </c>
      <c r="M1276" s="49"/>
      <c r="N1276" s="49"/>
    </row>
    <row r="1277" ht="22.5" hidden="1" customHeight="1">
      <c r="A1277" s="101"/>
      <c r="B1277" s="102"/>
      <c r="C1277" s="103"/>
      <c r="D1277" s="101"/>
      <c r="E1277" s="101"/>
      <c r="F1277" s="104"/>
      <c r="G1277" s="104"/>
      <c r="H1277" s="103"/>
      <c r="I1277" s="99">
        <f t="shared" si="9"/>
        <v>0</v>
      </c>
      <c r="J1277" s="101"/>
      <c r="K1277" s="101"/>
      <c r="L1277" s="101" t="str">
        <f t="shared" si="8"/>
        <v>EN PROCESO</v>
      </c>
      <c r="M1277" s="101"/>
      <c r="N1277" s="101"/>
    </row>
    <row r="1278" ht="22.5" hidden="1" customHeight="1">
      <c r="A1278" s="49"/>
      <c r="B1278" s="81"/>
      <c r="C1278" s="97"/>
      <c r="D1278" s="49"/>
      <c r="E1278" s="49"/>
      <c r="F1278" s="98"/>
      <c r="G1278" s="98"/>
      <c r="H1278" s="97"/>
      <c r="I1278" s="99">
        <f t="shared" si="9"/>
        <v>0</v>
      </c>
      <c r="J1278" s="49"/>
      <c r="K1278" s="49"/>
      <c r="L1278" s="49" t="str">
        <f t="shared" si="8"/>
        <v>EN PROCESO</v>
      </c>
      <c r="M1278" s="49"/>
      <c r="N1278" s="49"/>
    </row>
    <row r="1279" ht="22.5" hidden="1" customHeight="1">
      <c r="A1279" s="101"/>
      <c r="B1279" s="102"/>
      <c r="C1279" s="103"/>
      <c r="D1279" s="101"/>
      <c r="E1279" s="101"/>
      <c r="F1279" s="104"/>
      <c r="G1279" s="104"/>
      <c r="H1279" s="103"/>
      <c r="I1279" s="99">
        <f t="shared" si="9"/>
        <v>0</v>
      </c>
      <c r="J1279" s="101"/>
      <c r="K1279" s="101"/>
      <c r="L1279" s="101" t="str">
        <f t="shared" si="8"/>
        <v>EN PROCESO</v>
      </c>
      <c r="M1279" s="101"/>
      <c r="N1279" s="101"/>
    </row>
    <row r="1280" ht="22.5" hidden="1" customHeight="1">
      <c r="A1280" s="49"/>
      <c r="B1280" s="81"/>
      <c r="C1280" s="97"/>
      <c r="D1280" s="49"/>
      <c r="E1280" s="49"/>
      <c r="F1280" s="98"/>
      <c r="G1280" s="98"/>
      <c r="H1280" s="97"/>
      <c r="I1280" s="99">
        <f t="shared" si="9"/>
        <v>0</v>
      </c>
      <c r="J1280" s="49"/>
      <c r="K1280" s="49"/>
      <c r="L1280" s="49" t="str">
        <f t="shared" si="8"/>
        <v>EN PROCESO</v>
      </c>
      <c r="M1280" s="49"/>
      <c r="N1280" s="49"/>
    </row>
    <row r="1281" ht="22.5" hidden="1" customHeight="1">
      <c r="A1281" s="101"/>
      <c r="B1281" s="102"/>
      <c r="C1281" s="103"/>
      <c r="D1281" s="101"/>
      <c r="E1281" s="101"/>
      <c r="F1281" s="104"/>
      <c r="G1281" s="104"/>
      <c r="H1281" s="103"/>
      <c r="I1281" s="99">
        <f t="shared" si="9"/>
        <v>0</v>
      </c>
      <c r="J1281" s="101"/>
      <c r="K1281" s="101"/>
      <c r="L1281" s="101" t="str">
        <f t="shared" si="8"/>
        <v>EN PROCESO</v>
      </c>
      <c r="M1281" s="101"/>
      <c r="N1281" s="101"/>
    </row>
    <row r="1282" ht="22.5" hidden="1" customHeight="1">
      <c r="A1282" s="49"/>
      <c r="B1282" s="81"/>
      <c r="C1282" s="97"/>
      <c r="D1282" s="49"/>
      <c r="E1282" s="49"/>
      <c r="F1282" s="98"/>
      <c r="G1282" s="98"/>
      <c r="H1282" s="97"/>
      <c r="I1282" s="99">
        <f t="shared" si="9"/>
        <v>0</v>
      </c>
      <c r="J1282" s="49"/>
      <c r="K1282" s="49"/>
      <c r="L1282" s="49" t="str">
        <f t="shared" si="8"/>
        <v>EN PROCESO</v>
      </c>
      <c r="M1282" s="49"/>
      <c r="N1282" s="49"/>
    </row>
    <row r="1283" ht="22.5" hidden="1" customHeight="1">
      <c r="A1283" s="101"/>
      <c r="B1283" s="102"/>
      <c r="C1283" s="103"/>
      <c r="D1283" s="101"/>
      <c r="E1283" s="101"/>
      <c r="F1283" s="104"/>
      <c r="G1283" s="104"/>
      <c r="H1283" s="103"/>
      <c r="I1283" s="99">
        <f t="shared" si="9"/>
        <v>0</v>
      </c>
      <c r="J1283" s="101"/>
      <c r="K1283" s="101"/>
      <c r="L1283" s="101" t="str">
        <f t="shared" si="8"/>
        <v>EN PROCESO</v>
      </c>
      <c r="M1283" s="101"/>
      <c r="N1283" s="101"/>
    </row>
    <row r="1284" ht="22.5" hidden="1" customHeight="1">
      <c r="A1284" s="49"/>
      <c r="B1284" s="81"/>
      <c r="C1284" s="97"/>
      <c r="D1284" s="49"/>
      <c r="E1284" s="49"/>
      <c r="F1284" s="98"/>
      <c r="G1284" s="98"/>
      <c r="H1284" s="97"/>
      <c r="I1284" s="99">
        <f t="shared" si="9"/>
        <v>0</v>
      </c>
      <c r="J1284" s="49"/>
      <c r="K1284" s="49"/>
      <c r="L1284" s="49" t="str">
        <f t="shared" si="8"/>
        <v>EN PROCESO</v>
      </c>
      <c r="M1284" s="49"/>
      <c r="N1284" s="49"/>
    </row>
    <row r="1285" ht="22.5" hidden="1" customHeight="1">
      <c r="A1285" s="101"/>
      <c r="B1285" s="102"/>
      <c r="C1285" s="103"/>
      <c r="D1285" s="101"/>
      <c r="E1285" s="101"/>
      <c r="F1285" s="104"/>
      <c r="G1285" s="104"/>
      <c r="H1285" s="103"/>
      <c r="I1285" s="99">
        <f t="shared" si="9"/>
        <v>0</v>
      </c>
      <c r="J1285" s="101"/>
      <c r="K1285" s="101"/>
      <c r="L1285" s="101" t="str">
        <f t="shared" si="8"/>
        <v>EN PROCESO</v>
      </c>
      <c r="M1285" s="101"/>
      <c r="N1285" s="101"/>
    </row>
    <row r="1286" ht="22.5" hidden="1" customHeight="1">
      <c r="A1286" s="49"/>
      <c r="B1286" s="81"/>
      <c r="C1286" s="97"/>
      <c r="D1286" s="49"/>
      <c r="E1286" s="49"/>
      <c r="F1286" s="98"/>
      <c r="G1286" s="98"/>
      <c r="H1286" s="97"/>
      <c r="I1286" s="99">
        <f t="shared" si="9"/>
        <v>0</v>
      </c>
      <c r="J1286" s="49"/>
      <c r="K1286" s="49"/>
      <c r="L1286" s="49" t="str">
        <f t="shared" si="8"/>
        <v>EN PROCESO</v>
      </c>
      <c r="M1286" s="49"/>
      <c r="N1286" s="49"/>
    </row>
    <row r="1287" ht="22.5" hidden="1" customHeight="1">
      <c r="A1287" s="101"/>
      <c r="B1287" s="102"/>
      <c r="C1287" s="103"/>
      <c r="D1287" s="101"/>
      <c r="E1287" s="101"/>
      <c r="F1287" s="104"/>
      <c r="G1287" s="104"/>
      <c r="H1287" s="103"/>
      <c r="I1287" s="99">
        <f t="shared" si="9"/>
        <v>0</v>
      </c>
      <c r="J1287" s="101"/>
      <c r="K1287" s="101"/>
      <c r="L1287" s="101" t="str">
        <f t="shared" si="8"/>
        <v>EN PROCESO</v>
      </c>
      <c r="M1287" s="101"/>
      <c r="N1287" s="101"/>
    </row>
    <row r="1288" ht="22.5" hidden="1" customHeight="1">
      <c r="A1288" s="49"/>
      <c r="B1288" s="81"/>
      <c r="C1288" s="97"/>
      <c r="D1288" s="49"/>
      <c r="E1288" s="49"/>
      <c r="F1288" s="98"/>
      <c r="G1288" s="98"/>
      <c r="H1288" s="97"/>
      <c r="I1288" s="99">
        <f t="shared" si="9"/>
        <v>0</v>
      </c>
      <c r="J1288" s="49"/>
      <c r="K1288" s="49"/>
      <c r="L1288" s="49" t="str">
        <f t="shared" si="8"/>
        <v>EN PROCESO</v>
      </c>
      <c r="M1288" s="49"/>
      <c r="N1288" s="49"/>
    </row>
    <row r="1289" ht="22.5" hidden="1" customHeight="1">
      <c r="A1289" s="101"/>
      <c r="B1289" s="102"/>
      <c r="C1289" s="103"/>
      <c r="D1289" s="101"/>
      <c r="E1289" s="101"/>
      <c r="F1289" s="104"/>
      <c r="G1289" s="104"/>
      <c r="H1289" s="103"/>
      <c r="I1289" s="99">
        <f t="shared" si="9"/>
        <v>0</v>
      </c>
      <c r="J1289" s="101"/>
      <c r="K1289" s="101"/>
      <c r="L1289" s="101" t="str">
        <f t="shared" si="8"/>
        <v>EN PROCESO</v>
      </c>
      <c r="M1289" s="101"/>
      <c r="N1289" s="101"/>
    </row>
    <row r="1290" ht="22.5" hidden="1" customHeight="1">
      <c r="A1290" s="49"/>
      <c r="B1290" s="81"/>
      <c r="C1290" s="97"/>
      <c r="D1290" s="49"/>
      <c r="E1290" s="49"/>
      <c r="F1290" s="98"/>
      <c r="G1290" s="98"/>
      <c r="H1290" s="97"/>
      <c r="I1290" s="99">
        <f t="shared" si="9"/>
        <v>0</v>
      </c>
      <c r="J1290" s="49"/>
      <c r="K1290" s="49"/>
      <c r="L1290" s="49" t="str">
        <f t="shared" si="8"/>
        <v>EN PROCESO</v>
      </c>
      <c r="M1290" s="49"/>
      <c r="N1290" s="49"/>
    </row>
    <row r="1291" ht="22.5" hidden="1" customHeight="1">
      <c r="A1291" s="101"/>
      <c r="B1291" s="102"/>
      <c r="C1291" s="103"/>
      <c r="D1291" s="101"/>
      <c r="E1291" s="101"/>
      <c r="F1291" s="104"/>
      <c r="G1291" s="104"/>
      <c r="H1291" s="103"/>
      <c r="I1291" s="99">
        <f t="shared" si="9"/>
        <v>0</v>
      </c>
      <c r="J1291" s="101"/>
      <c r="K1291" s="101"/>
      <c r="L1291" s="101" t="str">
        <f t="shared" si="8"/>
        <v>EN PROCESO</v>
      </c>
      <c r="M1291" s="101"/>
      <c r="N1291" s="101"/>
    </row>
    <row r="1292" ht="22.5" hidden="1" customHeight="1">
      <c r="A1292" s="49"/>
      <c r="B1292" s="81"/>
      <c r="C1292" s="97"/>
      <c r="D1292" s="49"/>
      <c r="E1292" s="49"/>
      <c r="F1292" s="98"/>
      <c r="G1292" s="98"/>
      <c r="H1292" s="97"/>
      <c r="I1292" s="99">
        <f t="shared" si="9"/>
        <v>0</v>
      </c>
      <c r="J1292" s="49"/>
      <c r="K1292" s="49"/>
      <c r="L1292" s="49" t="str">
        <f t="shared" si="8"/>
        <v>EN PROCESO</v>
      </c>
      <c r="M1292" s="49"/>
      <c r="N1292" s="49"/>
    </row>
    <row r="1293" ht="22.5" hidden="1" customHeight="1">
      <c r="A1293" s="101"/>
      <c r="B1293" s="102"/>
      <c r="C1293" s="103"/>
      <c r="D1293" s="101"/>
      <c r="E1293" s="101"/>
      <c r="F1293" s="104"/>
      <c r="G1293" s="104"/>
      <c r="H1293" s="103"/>
      <c r="I1293" s="99">
        <f t="shared" si="9"/>
        <v>0</v>
      </c>
      <c r="J1293" s="101"/>
      <c r="K1293" s="101"/>
      <c r="L1293" s="101" t="str">
        <f t="shared" si="8"/>
        <v>EN PROCESO</v>
      </c>
      <c r="M1293" s="101"/>
      <c r="N1293" s="101"/>
    </row>
    <row r="1294" ht="22.5" hidden="1" customHeight="1">
      <c r="A1294" s="49"/>
      <c r="B1294" s="81"/>
      <c r="C1294" s="97"/>
      <c r="D1294" s="49"/>
      <c r="E1294" s="49"/>
      <c r="F1294" s="98"/>
      <c r="G1294" s="98"/>
      <c r="H1294" s="97"/>
      <c r="I1294" s="99">
        <f t="shared" si="9"/>
        <v>0</v>
      </c>
      <c r="J1294" s="49"/>
      <c r="K1294" s="49"/>
      <c r="L1294" s="49" t="str">
        <f t="shared" si="8"/>
        <v>EN PROCESO</v>
      </c>
      <c r="M1294" s="49"/>
      <c r="N1294" s="49"/>
    </row>
    <row r="1295" ht="22.5" hidden="1" customHeight="1">
      <c r="A1295" s="101"/>
      <c r="B1295" s="102"/>
      <c r="C1295" s="103"/>
      <c r="D1295" s="101"/>
      <c r="E1295" s="101"/>
      <c r="F1295" s="104"/>
      <c r="G1295" s="104"/>
      <c r="H1295" s="103"/>
      <c r="I1295" s="99">
        <f t="shared" si="9"/>
        <v>0</v>
      </c>
      <c r="J1295" s="101"/>
      <c r="K1295" s="101"/>
      <c r="L1295" s="101" t="str">
        <f t="shared" si="8"/>
        <v>EN PROCESO</v>
      </c>
      <c r="M1295" s="101"/>
      <c r="N1295" s="101"/>
    </row>
    <row r="1296" ht="22.5" hidden="1" customHeight="1">
      <c r="A1296" s="49"/>
      <c r="B1296" s="81"/>
      <c r="C1296" s="97"/>
      <c r="D1296" s="49"/>
      <c r="E1296" s="49"/>
      <c r="F1296" s="98"/>
      <c r="G1296" s="98"/>
      <c r="H1296" s="97"/>
      <c r="I1296" s="99">
        <f t="shared" si="9"/>
        <v>0</v>
      </c>
      <c r="J1296" s="49"/>
      <c r="K1296" s="49"/>
      <c r="L1296" s="49" t="str">
        <f t="shared" si="8"/>
        <v>EN PROCESO</v>
      </c>
      <c r="M1296" s="49"/>
      <c r="N1296" s="49"/>
    </row>
    <row r="1297" ht="22.5" hidden="1" customHeight="1">
      <c r="A1297" s="101"/>
      <c r="B1297" s="102"/>
      <c r="C1297" s="103"/>
      <c r="D1297" s="101"/>
      <c r="E1297" s="101"/>
      <c r="F1297" s="104"/>
      <c r="G1297" s="104"/>
      <c r="H1297" s="103"/>
      <c r="I1297" s="99">
        <f t="shared" si="9"/>
        <v>0</v>
      </c>
      <c r="J1297" s="101"/>
      <c r="K1297" s="101"/>
      <c r="L1297" s="101" t="str">
        <f t="shared" si="8"/>
        <v>EN PROCESO</v>
      </c>
      <c r="M1297" s="101"/>
      <c r="N1297" s="101"/>
    </row>
    <row r="1298" ht="22.5" hidden="1" customHeight="1">
      <c r="A1298" s="49"/>
      <c r="B1298" s="81"/>
      <c r="C1298" s="97"/>
      <c r="D1298" s="49"/>
      <c r="E1298" s="49"/>
      <c r="F1298" s="98"/>
      <c r="G1298" s="98"/>
      <c r="H1298" s="97"/>
      <c r="I1298" s="99">
        <f t="shared" si="9"/>
        <v>0</v>
      </c>
      <c r="J1298" s="49"/>
      <c r="K1298" s="49"/>
      <c r="L1298" s="49" t="str">
        <f t="shared" si="8"/>
        <v>EN PROCESO</v>
      </c>
      <c r="M1298" s="49"/>
      <c r="N1298" s="49"/>
    </row>
    <row r="1299" ht="22.5" hidden="1" customHeight="1">
      <c r="A1299" s="101"/>
      <c r="B1299" s="102"/>
      <c r="C1299" s="103"/>
      <c r="D1299" s="101"/>
      <c r="E1299" s="101"/>
      <c r="F1299" s="104"/>
      <c r="G1299" s="104"/>
      <c r="H1299" s="103"/>
      <c r="I1299" s="99">
        <f t="shared" si="9"/>
        <v>0</v>
      </c>
      <c r="J1299" s="101"/>
      <c r="K1299" s="101"/>
      <c r="L1299" s="101" t="str">
        <f t="shared" si="8"/>
        <v>EN PROCESO</v>
      </c>
      <c r="M1299" s="101"/>
      <c r="N1299" s="101"/>
    </row>
    <row r="1300" ht="22.5" hidden="1" customHeight="1">
      <c r="A1300" s="49"/>
      <c r="B1300" s="81"/>
      <c r="C1300" s="97"/>
      <c r="D1300" s="49"/>
      <c r="E1300" s="49"/>
      <c r="F1300" s="98"/>
      <c r="G1300" s="98"/>
      <c r="H1300" s="97"/>
      <c r="I1300" s="99">
        <f t="shared" si="9"/>
        <v>0</v>
      </c>
      <c r="J1300" s="49"/>
      <c r="K1300" s="49"/>
      <c r="L1300" s="49" t="str">
        <f t="shared" si="8"/>
        <v>EN PROCESO</v>
      </c>
      <c r="M1300" s="49"/>
      <c r="N1300" s="49"/>
    </row>
    <row r="1301" ht="22.5" hidden="1" customHeight="1">
      <c r="A1301" s="101"/>
      <c r="B1301" s="102"/>
      <c r="C1301" s="103"/>
      <c r="D1301" s="101"/>
      <c r="E1301" s="101"/>
      <c r="F1301" s="104"/>
      <c r="G1301" s="104"/>
      <c r="H1301" s="103"/>
      <c r="I1301" s="99">
        <f t="shared" si="9"/>
        <v>0</v>
      </c>
      <c r="J1301" s="101"/>
      <c r="K1301" s="101"/>
      <c r="L1301" s="101" t="str">
        <f t="shared" si="8"/>
        <v>EN PROCESO</v>
      </c>
      <c r="M1301" s="101"/>
      <c r="N1301" s="101"/>
    </row>
    <row r="1302" ht="22.5" hidden="1" customHeight="1">
      <c r="A1302" s="49"/>
      <c r="B1302" s="81"/>
      <c r="C1302" s="97"/>
      <c r="D1302" s="49"/>
      <c r="E1302" s="49"/>
      <c r="F1302" s="98"/>
      <c r="G1302" s="98"/>
      <c r="H1302" s="97"/>
      <c r="I1302" s="99">
        <f t="shared" si="9"/>
        <v>0</v>
      </c>
      <c r="J1302" s="49"/>
      <c r="K1302" s="49"/>
      <c r="L1302" s="49" t="str">
        <f t="shared" si="8"/>
        <v>EN PROCESO</v>
      </c>
      <c r="M1302" s="49"/>
      <c r="N1302" s="49"/>
    </row>
    <row r="1303" ht="22.5" hidden="1" customHeight="1">
      <c r="A1303" s="101"/>
      <c r="B1303" s="102"/>
      <c r="C1303" s="103"/>
      <c r="D1303" s="101"/>
      <c r="E1303" s="101"/>
      <c r="F1303" s="104"/>
      <c r="G1303" s="104"/>
      <c r="H1303" s="103"/>
      <c r="I1303" s="99">
        <f t="shared" si="9"/>
        <v>0</v>
      </c>
      <c r="J1303" s="101"/>
      <c r="K1303" s="101"/>
      <c r="L1303" s="101" t="str">
        <f t="shared" si="8"/>
        <v>EN PROCESO</v>
      </c>
      <c r="M1303" s="101"/>
      <c r="N1303" s="101"/>
    </row>
    <row r="1304" ht="22.5" hidden="1" customHeight="1">
      <c r="A1304" s="49"/>
      <c r="B1304" s="81"/>
      <c r="C1304" s="97"/>
      <c r="D1304" s="49"/>
      <c r="E1304" s="49"/>
      <c r="F1304" s="98"/>
      <c r="G1304" s="98"/>
      <c r="H1304" s="97"/>
      <c r="I1304" s="99">
        <f t="shared" si="9"/>
        <v>0</v>
      </c>
      <c r="J1304" s="49"/>
      <c r="K1304" s="49"/>
      <c r="L1304" s="49" t="str">
        <f t="shared" si="8"/>
        <v>EN PROCESO</v>
      </c>
      <c r="M1304" s="49"/>
      <c r="N1304" s="49"/>
    </row>
    <row r="1305" ht="22.5" hidden="1" customHeight="1">
      <c r="A1305" s="101"/>
      <c r="B1305" s="102"/>
      <c r="C1305" s="103"/>
      <c r="D1305" s="101"/>
      <c r="E1305" s="101"/>
      <c r="F1305" s="104"/>
      <c r="G1305" s="104"/>
      <c r="H1305" s="103"/>
      <c r="I1305" s="99">
        <f t="shared" si="9"/>
        <v>0</v>
      </c>
      <c r="J1305" s="101"/>
      <c r="K1305" s="101"/>
      <c r="L1305" s="101" t="str">
        <f t="shared" si="8"/>
        <v>EN PROCESO</v>
      </c>
      <c r="M1305" s="101"/>
      <c r="N1305" s="101"/>
    </row>
    <row r="1306" ht="22.5" hidden="1" customHeight="1">
      <c r="A1306" s="49"/>
      <c r="B1306" s="81"/>
      <c r="C1306" s="97"/>
      <c r="D1306" s="49"/>
      <c r="E1306" s="49"/>
      <c r="F1306" s="98"/>
      <c r="G1306" s="98"/>
      <c r="H1306" s="97"/>
      <c r="I1306" s="99">
        <f t="shared" si="9"/>
        <v>0</v>
      </c>
      <c r="J1306" s="49"/>
      <c r="K1306" s="49"/>
      <c r="L1306" s="49" t="str">
        <f t="shared" si="8"/>
        <v>EN PROCESO</v>
      </c>
      <c r="M1306" s="49"/>
      <c r="N1306" s="49"/>
    </row>
    <row r="1307" ht="22.5" hidden="1" customHeight="1">
      <c r="A1307" s="101"/>
      <c r="B1307" s="102"/>
      <c r="C1307" s="103"/>
      <c r="D1307" s="101"/>
      <c r="E1307" s="101"/>
      <c r="F1307" s="104"/>
      <c r="G1307" s="104"/>
      <c r="H1307" s="103"/>
      <c r="I1307" s="99">
        <f t="shared" si="9"/>
        <v>0</v>
      </c>
      <c r="J1307" s="101"/>
      <c r="K1307" s="101"/>
      <c r="L1307" s="101" t="str">
        <f t="shared" si="8"/>
        <v>EN PROCESO</v>
      </c>
      <c r="M1307" s="101"/>
      <c r="N1307" s="101"/>
    </row>
    <row r="1308" ht="22.5" hidden="1" customHeight="1">
      <c r="A1308" s="49"/>
      <c r="B1308" s="81"/>
      <c r="C1308" s="97"/>
      <c r="D1308" s="49"/>
      <c r="E1308" s="49"/>
      <c r="F1308" s="98"/>
      <c r="G1308" s="98"/>
      <c r="H1308" s="97"/>
      <c r="I1308" s="99">
        <f t="shared" si="9"/>
        <v>0</v>
      </c>
      <c r="J1308" s="49"/>
      <c r="K1308" s="49"/>
      <c r="L1308" s="49" t="str">
        <f t="shared" si="8"/>
        <v>EN PROCESO</v>
      </c>
      <c r="M1308" s="49"/>
      <c r="N1308" s="49"/>
    </row>
    <row r="1309" ht="22.5" hidden="1" customHeight="1">
      <c r="A1309" s="101"/>
      <c r="B1309" s="102"/>
      <c r="C1309" s="103"/>
      <c r="D1309" s="101"/>
      <c r="E1309" s="101"/>
      <c r="F1309" s="104"/>
      <c r="G1309" s="104"/>
      <c r="H1309" s="103"/>
      <c r="I1309" s="99">
        <f t="shared" si="9"/>
        <v>0</v>
      </c>
      <c r="J1309" s="101"/>
      <c r="K1309" s="101"/>
      <c r="L1309" s="101" t="str">
        <f t="shared" si="8"/>
        <v>EN PROCESO</v>
      </c>
      <c r="M1309" s="101"/>
      <c r="N1309" s="101"/>
    </row>
    <row r="1310" ht="22.5" hidden="1" customHeight="1">
      <c r="A1310" s="49"/>
      <c r="B1310" s="81"/>
      <c r="C1310" s="97"/>
      <c r="D1310" s="49"/>
      <c r="E1310" s="49"/>
      <c r="F1310" s="98"/>
      <c r="G1310" s="98"/>
      <c r="H1310" s="97"/>
      <c r="I1310" s="99">
        <f t="shared" si="9"/>
        <v>0</v>
      </c>
      <c r="J1310" s="49"/>
      <c r="K1310" s="49"/>
      <c r="L1310" s="49" t="str">
        <f t="shared" si="8"/>
        <v>EN PROCESO</v>
      </c>
      <c r="M1310" s="49"/>
      <c r="N1310" s="49"/>
    </row>
    <row r="1311" ht="22.5" hidden="1" customHeight="1">
      <c r="A1311" s="101"/>
      <c r="B1311" s="102"/>
      <c r="C1311" s="103"/>
      <c r="D1311" s="101"/>
      <c r="E1311" s="101"/>
      <c r="F1311" s="104"/>
      <c r="G1311" s="104"/>
      <c r="H1311" s="103"/>
      <c r="I1311" s="99">
        <f t="shared" si="9"/>
        <v>0</v>
      </c>
      <c r="J1311" s="101"/>
      <c r="K1311" s="101"/>
      <c r="L1311" s="101" t="str">
        <f t="shared" si="8"/>
        <v>EN PROCESO</v>
      </c>
      <c r="M1311" s="101"/>
      <c r="N1311" s="101"/>
    </row>
    <row r="1312" ht="22.5" hidden="1" customHeight="1">
      <c r="A1312" s="49"/>
      <c r="B1312" s="81"/>
      <c r="C1312" s="97"/>
      <c r="D1312" s="49"/>
      <c r="E1312" s="49"/>
      <c r="F1312" s="98"/>
      <c r="G1312" s="98"/>
      <c r="H1312" s="97"/>
      <c r="I1312" s="99">
        <f t="shared" si="9"/>
        <v>0</v>
      </c>
      <c r="J1312" s="49"/>
      <c r="K1312" s="49"/>
      <c r="L1312" s="49" t="str">
        <f t="shared" si="8"/>
        <v>EN PROCESO</v>
      </c>
      <c r="M1312" s="49"/>
      <c r="N1312" s="49"/>
    </row>
    <row r="1313" ht="22.5" hidden="1" customHeight="1">
      <c r="A1313" s="101"/>
      <c r="B1313" s="102"/>
      <c r="C1313" s="103"/>
      <c r="D1313" s="101"/>
      <c r="E1313" s="101"/>
      <c r="F1313" s="104"/>
      <c r="G1313" s="104"/>
      <c r="H1313" s="103"/>
      <c r="I1313" s="99">
        <f t="shared" si="9"/>
        <v>0</v>
      </c>
      <c r="J1313" s="101"/>
      <c r="K1313" s="101"/>
      <c r="L1313" s="101" t="str">
        <f t="shared" si="8"/>
        <v>EN PROCESO</v>
      </c>
      <c r="M1313" s="101"/>
      <c r="N1313" s="101"/>
    </row>
    <row r="1314" ht="22.5" hidden="1" customHeight="1">
      <c r="A1314" s="49"/>
      <c r="B1314" s="81"/>
      <c r="C1314" s="97"/>
      <c r="D1314" s="49"/>
      <c r="E1314" s="49"/>
      <c r="F1314" s="98"/>
      <c r="G1314" s="98"/>
      <c r="H1314" s="97"/>
      <c r="I1314" s="99">
        <f t="shared" si="9"/>
        <v>0</v>
      </c>
      <c r="J1314" s="49"/>
      <c r="K1314" s="49"/>
      <c r="L1314" s="49" t="str">
        <f t="shared" si="8"/>
        <v>EN PROCESO</v>
      </c>
      <c r="M1314" s="49"/>
      <c r="N1314" s="49"/>
    </row>
    <row r="1315" ht="22.5" hidden="1" customHeight="1">
      <c r="A1315" s="101"/>
      <c r="B1315" s="102"/>
      <c r="C1315" s="103"/>
      <c r="D1315" s="101"/>
      <c r="E1315" s="101"/>
      <c r="F1315" s="104"/>
      <c r="G1315" s="104"/>
      <c r="H1315" s="103"/>
      <c r="I1315" s="99">
        <f t="shared" si="9"/>
        <v>0</v>
      </c>
      <c r="J1315" s="101"/>
      <c r="K1315" s="101"/>
      <c r="L1315" s="101" t="str">
        <f t="shared" si="8"/>
        <v>EN PROCESO</v>
      </c>
      <c r="M1315" s="101"/>
      <c r="N1315" s="101"/>
    </row>
    <row r="1316" ht="22.5" hidden="1" customHeight="1">
      <c r="A1316" s="49"/>
      <c r="B1316" s="81"/>
      <c r="C1316" s="97"/>
      <c r="D1316" s="49"/>
      <c r="E1316" s="49"/>
      <c r="F1316" s="98"/>
      <c r="G1316" s="98"/>
      <c r="H1316" s="97"/>
      <c r="I1316" s="99">
        <f t="shared" si="9"/>
        <v>0</v>
      </c>
      <c r="J1316" s="49"/>
      <c r="K1316" s="49"/>
      <c r="L1316" s="49" t="str">
        <f t="shared" si="8"/>
        <v>EN PROCESO</v>
      </c>
      <c r="M1316" s="49"/>
      <c r="N1316" s="49"/>
    </row>
    <row r="1317" ht="22.5" hidden="1" customHeight="1">
      <c r="A1317" s="101"/>
      <c r="B1317" s="102"/>
      <c r="C1317" s="103"/>
      <c r="D1317" s="101"/>
      <c r="E1317" s="101"/>
      <c r="F1317" s="104"/>
      <c r="G1317" s="104"/>
      <c r="H1317" s="103"/>
      <c r="I1317" s="99">
        <f t="shared" si="9"/>
        <v>0</v>
      </c>
      <c r="J1317" s="101"/>
      <c r="K1317" s="101"/>
      <c r="L1317" s="101" t="str">
        <f t="shared" si="8"/>
        <v>EN PROCESO</v>
      </c>
      <c r="M1317" s="101"/>
      <c r="N1317" s="101"/>
    </row>
    <row r="1318" ht="22.5" hidden="1" customHeight="1">
      <c r="A1318" s="49"/>
      <c r="B1318" s="81"/>
      <c r="C1318" s="97"/>
      <c r="D1318" s="49"/>
      <c r="E1318" s="49"/>
      <c r="F1318" s="98"/>
      <c r="G1318" s="98"/>
      <c r="H1318" s="97"/>
      <c r="I1318" s="99">
        <f t="shared" si="9"/>
        <v>0</v>
      </c>
      <c r="J1318" s="49"/>
      <c r="K1318" s="49"/>
      <c r="L1318" s="49" t="str">
        <f t="shared" si="8"/>
        <v>EN PROCESO</v>
      </c>
      <c r="M1318" s="49"/>
      <c r="N1318" s="49"/>
    </row>
    <row r="1319" ht="22.5" hidden="1" customHeight="1">
      <c r="A1319" s="101"/>
      <c r="B1319" s="102"/>
      <c r="C1319" s="103"/>
      <c r="D1319" s="101"/>
      <c r="E1319" s="101"/>
      <c r="F1319" s="104"/>
      <c r="G1319" s="104"/>
      <c r="H1319" s="103"/>
      <c r="I1319" s="99">
        <f t="shared" si="9"/>
        <v>0</v>
      </c>
      <c r="J1319" s="101"/>
      <c r="K1319" s="101"/>
      <c r="L1319" s="101" t="str">
        <f t="shared" si="8"/>
        <v>EN PROCESO</v>
      </c>
      <c r="M1319" s="101"/>
      <c r="N1319" s="101"/>
    </row>
    <row r="1320" ht="22.5" hidden="1" customHeight="1">
      <c r="A1320" s="49"/>
      <c r="B1320" s="81"/>
      <c r="C1320" s="97"/>
      <c r="D1320" s="49"/>
      <c r="E1320" s="49"/>
      <c r="F1320" s="98"/>
      <c r="G1320" s="98"/>
      <c r="H1320" s="97"/>
      <c r="I1320" s="99">
        <f t="shared" si="9"/>
        <v>0</v>
      </c>
      <c r="J1320" s="49"/>
      <c r="K1320" s="49"/>
      <c r="L1320" s="49" t="str">
        <f t="shared" si="8"/>
        <v>EN PROCESO</v>
      </c>
      <c r="M1320" s="49"/>
      <c r="N1320" s="49"/>
    </row>
    <row r="1321" ht="22.5" hidden="1" customHeight="1">
      <c r="A1321" s="101"/>
      <c r="B1321" s="102"/>
      <c r="C1321" s="103"/>
      <c r="D1321" s="101"/>
      <c r="E1321" s="101"/>
      <c r="F1321" s="104"/>
      <c r="G1321" s="104"/>
      <c r="H1321" s="103"/>
      <c r="I1321" s="99">
        <f t="shared" si="9"/>
        <v>0</v>
      </c>
      <c r="J1321" s="101"/>
      <c r="K1321" s="101"/>
      <c r="L1321" s="101" t="str">
        <f t="shared" si="8"/>
        <v>EN PROCESO</v>
      </c>
      <c r="M1321" s="101"/>
      <c r="N1321" s="101"/>
    </row>
    <row r="1322" ht="22.5" hidden="1" customHeight="1">
      <c r="A1322" s="49"/>
      <c r="B1322" s="81"/>
      <c r="C1322" s="97"/>
      <c r="D1322" s="49"/>
      <c r="E1322" s="49"/>
      <c r="F1322" s="98"/>
      <c r="G1322" s="98"/>
      <c r="H1322" s="97"/>
      <c r="I1322" s="99">
        <f t="shared" si="9"/>
        <v>0</v>
      </c>
      <c r="J1322" s="49"/>
      <c r="K1322" s="49"/>
      <c r="L1322" s="49" t="str">
        <f t="shared" si="8"/>
        <v>EN PROCESO</v>
      </c>
      <c r="M1322" s="49"/>
      <c r="N1322" s="49"/>
    </row>
    <row r="1323" ht="22.5" hidden="1" customHeight="1">
      <c r="A1323" s="101"/>
      <c r="B1323" s="102"/>
      <c r="C1323" s="103"/>
      <c r="D1323" s="101"/>
      <c r="E1323" s="101"/>
      <c r="F1323" s="104"/>
      <c r="G1323" s="104"/>
      <c r="H1323" s="103"/>
      <c r="I1323" s="99">
        <f t="shared" si="9"/>
        <v>0</v>
      </c>
      <c r="J1323" s="101"/>
      <c r="K1323" s="101"/>
      <c r="L1323" s="101" t="str">
        <f t="shared" si="8"/>
        <v>EN PROCESO</v>
      </c>
      <c r="M1323" s="101"/>
      <c r="N1323" s="101"/>
    </row>
    <row r="1324" ht="22.5" hidden="1" customHeight="1">
      <c r="A1324" s="49"/>
      <c r="B1324" s="81"/>
      <c r="C1324" s="97"/>
      <c r="D1324" s="49"/>
      <c r="E1324" s="49"/>
      <c r="F1324" s="98"/>
      <c r="G1324" s="98"/>
      <c r="H1324" s="97"/>
      <c r="I1324" s="99">
        <f t="shared" si="9"/>
        <v>0</v>
      </c>
      <c r="J1324" s="49"/>
      <c r="K1324" s="49"/>
      <c r="L1324" s="49" t="str">
        <f t="shared" si="8"/>
        <v>EN PROCESO</v>
      </c>
      <c r="M1324" s="49"/>
      <c r="N1324" s="49"/>
    </row>
    <row r="1325" ht="22.5" hidden="1" customHeight="1">
      <c r="A1325" s="101"/>
      <c r="B1325" s="102"/>
      <c r="C1325" s="103"/>
      <c r="D1325" s="101"/>
      <c r="E1325" s="101"/>
      <c r="F1325" s="104"/>
      <c r="G1325" s="104"/>
      <c r="H1325" s="103"/>
      <c r="I1325" s="99">
        <f t="shared" si="9"/>
        <v>0</v>
      </c>
      <c r="J1325" s="101"/>
      <c r="K1325" s="101"/>
      <c r="L1325" s="101" t="str">
        <f t="shared" si="8"/>
        <v>EN PROCESO</v>
      </c>
      <c r="M1325" s="101"/>
      <c r="N1325" s="101"/>
    </row>
    <row r="1326" ht="22.5" hidden="1" customHeight="1">
      <c r="A1326" s="49"/>
      <c r="B1326" s="81"/>
      <c r="C1326" s="97"/>
      <c r="D1326" s="49"/>
      <c r="E1326" s="49"/>
      <c r="F1326" s="98"/>
      <c r="G1326" s="98"/>
      <c r="H1326" s="97"/>
      <c r="I1326" s="99">
        <f t="shared" si="9"/>
        <v>0</v>
      </c>
      <c r="J1326" s="49"/>
      <c r="K1326" s="49"/>
      <c r="L1326" s="49" t="str">
        <f t="shared" si="8"/>
        <v>EN PROCESO</v>
      </c>
      <c r="M1326" s="49"/>
      <c r="N1326" s="49"/>
    </row>
    <row r="1327" ht="22.5" hidden="1" customHeight="1">
      <c r="A1327" s="101"/>
      <c r="B1327" s="102"/>
      <c r="C1327" s="103"/>
      <c r="D1327" s="101"/>
      <c r="E1327" s="101"/>
      <c r="F1327" s="104"/>
      <c r="G1327" s="104"/>
      <c r="H1327" s="103"/>
      <c r="I1327" s="99">
        <f t="shared" si="9"/>
        <v>0</v>
      </c>
      <c r="J1327" s="101"/>
      <c r="K1327" s="101"/>
      <c r="L1327" s="101" t="str">
        <f t="shared" si="8"/>
        <v>EN PROCESO</v>
      </c>
      <c r="M1327" s="101"/>
      <c r="N1327" s="101"/>
    </row>
    <row r="1328" ht="22.5" hidden="1" customHeight="1">
      <c r="A1328" s="49"/>
      <c r="B1328" s="81"/>
      <c r="C1328" s="97"/>
      <c r="D1328" s="49"/>
      <c r="E1328" s="49"/>
      <c r="F1328" s="98"/>
      <c r="G1328" s="98"/>
      <c r="H1328" s="97"/>
      <c r="I1328" s="99">
        <f t="shared" si="9"/>
        <v>0</v>
      </c>
      <c r="J1328" s="49"/>
      <c r="K1328" s="49"/>
      <c r="L1328" s="49" t="str">
        <f t="shared" si="8"/>
        <v>EN PROCESO</v>
      </c>
      <c r="M1328" s="49"/>
      <c r="N1328" s="49"/>
    </row>
    <row r="1329" ht="22.5" hidden="1" customHeight="1">
      <c r="A1329" s="101"/>
      <c r="B1329" s="102"/>
      <c r="C1329" s="103"/>
      <c r="D1329" s="101"/>
      <c r="E1329" s="101"/>
      <c r="F1329" s="104"/>
      <c r="G1329" s="104"/>
      <c r="H1329" s="103"/>
      <c r="I1329" s="99">
        <f t="shared" si="9"/>
        <v>0</v>
      </c>
      <c r="J1329" s="101"/>
      <c r="K1329" s="101"/>
      <c r="L1329" s="101" t="str">
        <f t="shared" si="8"/>
        <v>EN PROCESO</v>
      </c>
      <c r="M1329" s="101"/>
      <c r="N1329" s="101"/>
    </row>
    <row r="1330" ht="22.5" hidden="1" customHeight="1">
      <c r="A1330" s="49"/>
      <c r="B1330" s="81"/>
      <c r="C1330" s="97"/>
      <c r="D1330" s="49"/>
      <c r="E1330" s="49"/>
      <c r="F1330" s="98"/>
      <c r="G1330" s="98"/>
      <c r="H1330" s="97"/>
      <c r="I1330" s="99">
        <f t="shared" si="9"/>
        <v>0</v>
      </c>
      <c r="J1330" s="49"/>
      <c r="K1330" s="49"/>
      <c r="L1330" s="49" t="str">
        <f t="shared" si="8"/>
        <v>EN PROCESO</v>
      </c>
      <c r="M1330" s="49"/>
      <c r="N1330" s="49"/>
    </row>
    <row r="1331" ht="22.5" hidden="1" customHeight="1">
      <c r="A1331" s="101"/>
      <c r="B1331" s="102"/>
      <c r="C1331" s="103"/>
      <c r="D1331" s="101"/>
      <c r="E1331" s="101"/>
      <c r="F1331" s="104"/>
      <c r="G1331" s="104"/>
      <c r="H1331" s="103"/>
      <c r="I1331" s="99">
        <f t="shared" si="9"/>
        <v>0</v>
      </c>
      <c r="J1331" s="101"/>
      <c r="K1331" s="101"/>
      <c r="L1331" s="101" t="str">
        <f t="shared" si="8"/>
        <v>EN PROCESO</v>
      </c>
      <c r="M1331" s="101"/>
      <c r="N1331" s="101"/>
    </row>
    <row r="1332" ht="22.5" hidden="1" customHeight="1">
      <c r="A1332" s="49"/>
      <c r="B1332" s="81"/>
      <c r="C1332" s="97"/>
      <c r="D1332" s="49"/>
      <c r="E1332" s="49"/>
      <c r="F1332" s="98"/>
      <c r="G1332" s="98"/>
      <c r="H1332" s="97"/>
      <c r="I1332" s="99">
        <f t="shared" si="9"/>
        <v>0</v>
      </c>
      <c r="J1332" s="49"/>
      <c r="K1332" s="49"/>
      <c r="L1332" s="49" t="str">
        <f t="shared" si="8"/>
        <v>EN PROCESO</v>
      </c>
      <c r="M1332" s="49"/>
      <c r="N1332" s="49"/>
    </row>
    <row r="1333" ht="22.5" hidden="1" customHeight="1">
      <c r="A1333" s="101"/>
      <c r="B1333" s="102"/>
      <c r="C1333" s="103"/>
      <c r="D1333" s="101"/>
      <c r="E1333" s="101"/>
      <c r="F1333" s="104"/>
      <c r="G1333" s="104"/>
      <c r="H1333" s="103"/>
      <c r="I1333" s="99">
        <f t="shared" si="9"/>
        <v>0</v>
      </c>
      <c r="J1333" s="101"/>
      <c r="K1333" s="101"/>
      <c r="L1333" s="101" t="str">
        <f t="shared" si="8"/>
        <v>EN PROCESO</v>
      </c>
      <c r="M1333" s="101"/>
      <c r="N1333" s="101"/>
    </row>
    <row r="1334" ht="22.5" hidden="1" customHeight="1">
      <c r="A1334" s="49"/>
      <c r="B1334" s="81"/>
      <c r="C1334" s="97"/>
      <c r="D1334" s="49"/>
      <c r="E1334" s="49"/>
      <c r="F1334" s="98"/>
      <c r="G1334" s="98"/>
      <c r="H1334" s="97"/>
      <c r="I1334" s="99">
        <f t="shared" si="9"/>
        <v>0</v>
      </c>
      <c r="J1334" s="49"/>
      <c r="K1334" s="49"/>
      <c r="L1334" s="49" t="str">
        <f t="shared" si="8"/>
        <v>EN PROCESO</v>
      </c>
      <c r="M1334" s="49"/>
      <c r="N1334" s="49"/>
    </row>
    <row r="1335" ht="22.5" hidden="1" customHeight="1">
      <c r="A1335" s="101"/>
      <c r="B1335" s="102"/>
      <c r="C1335" s="103"/>
      <c r="D1335" s="101"/>
      <c r="E1335" s="101"/>
      <c r="F1335" s="104"/>
      <c r="G1335" s="104"/>
      <c r="H1335" s="103"/>
      <c r="I1335" s="99">
        <f t="shared" si="9"/>
        <v>0</v>
      </c>
      <c r="J1335" s="101"/>
      <c r="K1335" s="101"/>
      <c r="L1335" s="101" t="str">
        <f t="shared" si="8"/>
        <v>EN PROCESO</v>
      </c>
      <c r="M1335" s="101"/>
      <c r="N1335" s="101"/>
    </row>
    <row r="1336" ht="22.5" hidden="1" customHeight="1">
      <c r="A1336" s="49"/>
      <c r="B1336" s="81"/>
      <c r="C1336" s="97"/>
      <c r="D1336" s="49"/>
      <c r="E1336" s="49"/>
      <c r="F1336" s="98"/>
      <c r="G1336" s="98"/>
      <c r="H1336" s="97"/>
      <c r="I1336" s="99">
        <f t="shared" si="9"/>
        <v>0</v>
      </c>
      <c r="J1336" s="49"/>
      <c r="K1336" s="49"/>
      <c r="L1336" s="49" t="str">
        <f t="shared" si="8"/>
        <v>EN PROCESO</v>
      </c>
      <c r="M1336" s="49"/>
      <c r="N1336" s="49"/>
    </row>
    <row r="1337" ht="22.5" hidden="1" customHeight="1">
      <c r="A1337" s="101"/>
      <c r="B1337" s="102"/>
      <c r="C1337" s="103"/>
      <c r="D1337" s="101"/>
      <c r="E1337" s="101"/>
      <c r="F1337" s="104"/>
      <c r="G1337" s="104"/>
      <c r="H1337" s="103"/>
      <c r="I1337" s="99">
        <f t="shared" si="9"/>
        <v>0</v>
      </c>
      <c r="J1337" s="101"/>
      <c r="K1337" s="101"/>
      <c r="L1337" s="101" t="str">
        <f t="shared" si="8"/>
        <v>EN PROCESO</v>
      </c>
      <c r="M1337" s="101"/>
      <c r="N1337" s="101"/>
    </row>
    <row r="1338" ht="22.5" hidden="1" customHeight="1">
      <c r="A1338" s="49"/>
      <c r="B1338" s="81"/>
      <c r="C1338" s="97"/>
      <c r="D1338" s="49"/>
      <c r="E1338" s="49"/>
      <c r="F1338" s="98"/>
      <c r="G1338" s="98"/>
      <c r="H1338" s="97"/>
      <c r="I1338" s="99">
        <f t="shared" si="9"/>
        <v>0</v>
      </c>
      <c r="J1338" s="49"/>
      <c r="K1338" s="49"/>
      <c r="L1338" s="49" t="str">
        <f t="shared" si="8"/>
        <v>EN PROCESO</v>
      </c>
      <c r="M1338" s="49"/>
      <c r="N1338" s="49"/>
    </row>
    <row r="1339" ht="22.5" hidden="1" customHeight="1">
      <c r="A1339" s="101"/>
      <c r="B1339" s="102"/>
      <c r="C1339" s="103"/>
      <c r="D1339" s="101"/>
      <c r="E1339" s="101"/>
      <c r="F1339" s="104"/>
      <c r="G1339" s="104"/>
      <c r="H1339" s="103"/>
      <c r="I1339" s="99">
        <f t="shared" si="9"/>
        <v>0</v>
      </c>
      <c r="J1339" s="101"/>
      <c r="K1339" s="101"/>
      <c r="L1339" s="101" t="str">
        <f t="shared" si="8"/>
        <v>EN PROCESO</v>
      </c>
      <c r="M1339" s="101"/>
      <c r="N1339" s="101"/>
    </row>
    <row r="1340" ht="22.5" hidden="1" customHeight="1">
      <c r="A1340" s="49"/>
      <c r="B1340" s="81"/>
      <c r="C1340" s="97"/>
      <c r="D1340" s="49"/>
      <c r="E1340" s="49"/>
      <c r="F1340" s="98"/>
      <c r="G1340" s="98"/>
      <c r="H1340" s="97"/>
      <c r="I1340" s="99">
        <f t="shared" si="9"/>
        <v>0</v>
      </c>
      <c r="J1340" s="49"/>
      <c r="K1340" s="49"/>
      <c r="L1340" s="49" t="str">
        <f t="shared" si="8"/>
        <v>EN PROCESO</v>
      </c>
      <c r="M1340" s="49"/>
      <c r="N1340" s="49"/>
    </row>
    <row r="1341" ht="22.5" hidden="1" customHeight="1">
      <c r="A1341" s="101"/>
      <c r="B1341" s="102"/>
      <c r="C1341" s="103"/>
      <c r="D1341" s="101"/>
      <c r="E1341" s="101"/>
      <c r="F1341" s="104"/>
      <c r="G1341" s="104"/>
      <c r="H1341" s="103"/>
      <c r="I1341" s="99">
        <f t="shared" si="9"/>
        <v>0</v>
      </c>
      <c r="J1341" s="101"/>
      <c r="K1341" s="101"/>
      <c r="L1341" s="101" t="str">
        <f t="shared" si="8"/>
        <v>EN PROCESO</v>
      </c>
      <c r="M1341" s="101"/>
      <c r="N1341" s="101"/>
    </row>
    <row r="1342" ht="22.5" hidden="1" customHeight="1">
      <c r="A1342" s="49"/>
      <c r="B1342" s="81"/>
      <c r="C1342" s="97"/>
      <c r="D1342" s="49"/>
      <c r="E1342" s="49"/>
      <c r="F1342" s="98"/>
      <c r="G1342" s="98"/>
      <c r="H1342" s="97"/>
      <c r="I1342" s="99">
        <f t="shared" si="9"/>
        <v>0</v>
      </c>
      <c r="J1342" s="49"/>
      <c r="K1342" s="49"/>
      <c r="L1342" s="49" t="str">
        <f t="shared" si="8"/>
        <v>EN PROCESO</v>
      </c>
      <c r="M1342" s="49"/>
      <c r="N1342" s="49"/>
    </row>
    <row r="1343" ht="22.5" hidden="1" customHeight="1">
      <c r="A1343" s="101"/>
      <c r="B1343" s="102"/>
      <c r="C1343" s="103"/>
      <c r="D1343" s="101"/>
      <c r="E1343" s="101"/>
      <c r="F1343" s="104"/>
      <c r="G1343" s="104"/>
      <c r="H1343" s="103"/>
      <c r="I1343" s="99">
        <f t="shared" si="9"/>
        <v>0</v>
      </c>
      <c r="J1343" s="101"/>
      <c r="K1343" s="101"/>
      <c r="L1343" s="101" t="str">
        <f t="shared" si="8"/>
        <v>EN PROCESO</v>
      </c>
      <c r="M1343" s="101"/>
      <c r="N1343" s="101"/>
    </row>
    <row r="1344" ht="22.5" hidden="1" customHeight="1">
      <c r="A1344" s="49"/>
      <c r="B1344" s="81"/>
      <c r="C1344" s="97"/>
      <c r="D1344" s="49"/>
      <c r="E1344" s="49"/>
      <c r="F1344" s="98"/>
      <c r="G1344" s="98"/>
      <c r="H1344" s="97"/>
      <c r="I1344" s="99">
        <f t="shared" si="9"/>
        <v>0</v>
      </c>
      <c r="J1344" s="49"/>
      <c r="K1344" s="49"/>
      <c r="L1344" s="49" t="str">
        <f t="shared" si="8"/>
        <v>EN PROCESO</v>
      </c>
      <c r="M1344" s="49"/>
      <c r="N1344" s="49"/>
    </row>
    <row r="1345" ht="22.5" hidden="1" customHeight="1">
      <c r="A1345" s="101"/>
      <c r="B1345" s="102"/>
      <c r="C1345" s="103"/>
      <c r="D1345" s="101"/>
      <c r="E1345" s="101"/>
      <c r="F1345" s="104"/>
      <c r="G1345" s="104"/>
      <c r="H1345" s="103"/>
      <c r="I1345" s="99">
        <f t="shared" si="9"/>
        <v>0</v>
      </c>
      <c r="J1345" s="101"/>
      <c r="K1345" s="101"/>
      <c r="L1345" s="101" t="str">
        <f t="shared" si="8"/>
        <v>EN PROCESO</v>
      </c>
      <c r="M1345" s="101"/>
      <c r="N1345" s="101"/>
    </row>
    <row r="1346" ht="22.5" hidden="1" customHeight="1">
      <c r="A1346" s="49"/>
      <c r="B1346" s="81"/>
      <c r="C1346" s="97"/>
      <c r="D1346" s="49"/>
      <c r="E1346" s="49"/>
      <c r="F1346" s="98"/>
      <c r="G1346" s="98"/>
      <c r="H1346" s="97"/>
      <c r="I1346" s="99">
        <f t="shared" si="9"/>
        <v>0</v>
      </c>
      <c r="J1346" s="49"/>
      <c r="K1346" s="49"/>
      <c r="L1346" s="49" t="str">
        <f t="shared" si="8"/>
        <v>EN PROCESO</v>
      </c>
      <c r="M1346" s="49"/>
      <c r="N1346" s="49"/>
    </row>
    <row r="1347" ht="22.5" hidden="1" customHeight="1">
      <c r="A1347" s="101"/>
      <c r="B1347" s="102"/>
      <c r="C1347" s="103"/>
      <c r="D1347" s="101"/>
      <c r="E1347" s="101"/>
      <c r="F1347" s="104"/>
      <c r="G1347" s="104"/>
      <c r="H1347" s="103"/>
      <c r="I1347" s="99">
        <f t="shared" si="9"/>
        <v>0</v>
      </c>
      <c r="J1347" s="101"/>
      <c r="K1347" s="101"/>
      <c r="L1347" s="101" t="str">
        <f t="shared" si="8"/>
        <v>EN PROCESO</v>
      </c>
      <c r="M1347" s="101"/>
      <c r="N1347" s="101"/>
    </row>
    <row r="1348" ht="22.5" hidden="1" customHeight="1">
      <c r="A1348" s="49"/>
      <c r="B1348" s="81"/>
      <c r="C1348" s="97"/>
      <c r="D1348" s="49"/>
      <c r="E1348" s="49"/>
      <c r="F1348" s="98"/>
      <c r="G1348" s="98"/>
      <c r="H1348" s="97"/>
      <c r="I1348" s="99">
        <f t="shared" si="9"/>
        <v>0</v>
      </c>
      <c r="J1348" s="49"/>
      <c r="K1348" s="49"/>
      <c r="L1348" s="49" t="str">
        <f t="shared" si="8"/>
        <v>EN PROCESO</v>
      </c>
      <c r="M1348" s="49"/>
      <c r="N1348" s="49"/>
    </row>
    <row r="1349" ht="22.5" hidden="1" customHeight="1">
      <c r="A1349" s="101"/>
      <c r="B1349" s="102"/>
      <c r="C1349" s="103"/>
      <c r="D1349" s="101"/>
      <c r="E1349" s="101"/>
      <c r="F1349" s="104"/>
      <c r="G1349" s="104"/>
      <c r="H1349" s="103"/>
      <c r="I1349" s="99">
        <f t="shared" si="9"/>
        <v>0</v>
      </c>
      <c r="J1349" s="101"/>
      <c r="K1349" s="101"/>
      <c r="L1349" s="101" t="str">
        <f t="shared" si="8"/>
        <v>EN PROCESO</v>
      </c>
      <c r="M1349" s="101"/>
      <c r="N1349" s="101"/>
    </row>
    <row r="1350" ht="22.5" hidden="1" customHeight="1">
      <c r="A1350" s="49"/>
      <c r="B1350" s="81"/>
      <c r="C1350" s="97"/>
      <c r="D1350" s="49"/>
      <c r="E1350" s="49"/>
      <c r="F1350" s="98"/>
      <c r="G1350" s="98"/>
      <c r="H1350" s="97"/>
      <c r="I1350" s="99">
        <f t="shared" si="9"/>
        <v>0</v>
      </c>
      <c r="J1350" s="49"/>
      <c r="K1350" s="49"/>
      <c r="L1350" s="49" t="str">
        <f t="shared" si="8"/>
        <v>EN PROCESO</v>
      </c>
      <c r="M1350" s="49"/>
      <c r="N1350" s="49"/>
    </row>
    <row r="1351" ht="22.5" hidden="1" customHeight="1">
      <c r="A1351" s="101"/>
      <c r="B1351" s="102"/>
      <c r="C1351" s="103"/>
      <c r="D1351" s="101"/>
      <c r="E1351" s="101"/>
      <c r="F1351" s="104"/>
      <c r="G1351" s="104"/>
      <c r="H1351" s="103"/>
      <c r="I1351" s="99">
        <f t="shared" si="9"/>
        <v>0</v>
      </c>
      <c r="J1351" s="101"/>
      <c r="K1351" s="101"/>
      <c r="L1351" s="101" t="str">
        <f t="shared" si="8"/>
        <v>EN PROCESO</v>
      </c>
      <c r="M1351" s="101"/>
      <c r="N1351" s="101"/>
    </row>
    <row r="1352" ht="22.5" hidden="1" customHeight="1">
      <c r="A1352" s="49"/>
      <c r="B1352" s="81"/>
      <c r="C1352" s="97"/>
      <c r="D1352" s="49"/>
      <c r="E1352" s="49"/>
      <c r="F1352" s="98"/>
      <c r="G1352" s="98"/>
      <c r="H1352" s="97"/>
      <c r="I1352" s="99">
        <f t="shared" si="9"/>
        <v>0</v>
      </c>
      <c r="J1352" s="49"/>
      <c r="K1352" s="49"/>
      <c r="L1352" s="49" t="str">
        <f t="shared" si="8"/>
        <v>EN PROCESO</v>
      </c>
      <c r="M1352" s="49"/>
      <c r="N1352" s="49"/>
    </row>
    <row r="1353" ht="22.5" hidden="1" customHeight="1">
      <c r="A1353" s="101"/>
      <c r="B1353" s="102"/>
      <c r="C1353" s="103"/>
      <c r="D1353" s="101"/>
      <c r="E1353" s="101"/>
      <c r="F1353" s="104"/>
      <c r="G1353" s="104"/>
      <c r="H1353" s="103"/>
      <c r="I1353" s="99">
        <f t="shared" si="9"/>
        <v>0</v>
      </c>
      <c r="J1353" s="101"/>
      <c r="K1353" s="101"/>
      <c r="L1353" s="101" t="str">
        <f t="shared" si="8"/>
        <v>EN PROCESO</v>
      </c>
      <c r="M1353" s="101"/>
      <c r="N1353" s="101"/>
    </row>
    <row r="1354" ht="22.5" hidden="1" customHeight="1">
      <c r="A1354" s="49"/>
      <c r="B1354" s="81"/>
      <c r="C1354" s="97"/>
      <c r="D1354" s="49"/>
      <c r="E1354" s="49"/>
      <c r="F1354" s="98"/>
      <c r="G1354" s="98"/>
      <c r="H1354" s="97"/>
      <c r="I1354" s="99">
        <f t="shared" si="9"/>
        <v>0</v>
      </c>
      <c r="J1354" s="49"/>
      <c r="K1354" s="49"/>
      <c r="L1354" s="49" t="str">
        <f t="shared" si="8"/>
        <v>EN PROCESO</v>
      </c>
      <c r="M1354" s="49"/>
      <c r="N1354" s="49"/>
    </row>
    <row r="1355" ht="22.5" hidden="1" customHeight="1">
      <c r="A1355" s="101"/>
      <c r="B1355" s="102"/>
      <c r="C1355" s="103"/>
      <c r="D1355" s="101"/>
      <c r="E1355" s="101"/>
      <c r="F1355" s="104"/>
      <c r="G1355" s="104"/>
      <c r="H1355" s="103"/>
      <c r="I1355" s="99">
        <f t="shared" si="9"/>
        <v>0</v>
      </c>
      <c r="J1355" s="101"/>
      <c r="K1355" s="101"/>
      <c r="L1355" s="101" t="str">
        <f t="shared" si="8"/>
        <v>EN PROCESO</v>
      </c>
      <c r="M1355" s="101"/>
      <c r="N1355" s="101"/>
    </row>
    <row r="1356" ht="22.5" hidden="1" customHeight="1">
      <c r="A1356" s="49"/>
      <c r="B1356" s="81"/>
      <c r="C1356" s="97"/>
      <c r="D1356" s="49"/>
      <c r="E1356" s="49"/>
      <c r="F1356" s="98"/>
      <c r="G1356" s="98"/>
      <c r="H1356" s="97"/>
      <c r="I1356" s="99">
        <f t="shared" si="9"/>
        <v>0</v>
      </c>
      <c r="J1356" s="49"/>
      <c r="K1356" s="49"/>
      <c r="L1356" s="49" t="str">
        <f t="shared" si="8"/>
        <v>EN PROCESO</v>
      </c>
      <c r="M1356" s="49"/>
      <c r="N1356" s="49"/>
    </row>
    <row r="1357" ht="22.5" hidden="1" customHeight="1">
      <c r="A1357" s="101"/>
      <c r="B1357" s="102"/>
      <c r="C1357" s="103"/>
      <c r="D1357" s="101"/>
      <c r="E1357" s="101"/>
      <c r="F1357" s="104"/>
      <c r="G1357" s="104"/>
      <c r="H1357" s="103"/>
      <c r="I1357" s="99">
        <f t="shared" si="9"/>
        <v>0</v>
      </c>
      <c r="J1357" s="101"/>
      <c r="K1357" s="101"/>
      <c r="L1357" s="101" t="str">
        <f t="shared" si="8"/>
        <v>EN PROCESO</v>
      </c>
      <c r="M1357" s="101"/>
      <c r="N1357" s="101"/>
    </row>
    <row r="1358" ht="22.5" hidden="1" customHeight="1">
      <c r="A1358" s="49"/>
      <c r="B1358" s="81"/>
      <c r="C1358" s="97"/>
      <c r="D1358" s="49"/>
      <c r="E1358" s="49"/>
      <c r="F1358" s="98"/>
      <c r="G1358" s="98"/>
      <c r="H1358" s="97"/>
      <c r="I1358" s="99">
        <f t="shared" si="9"/>
        <v>0</v>
      </c>
      <c r="J1358" s="49"/>
      <c r="K1358" s="49"/>
      <c r="L1358" s="49" t="str">
        <f t="shared" si="8"/>
        <v>EN PROCESO</v>
      </c>
      <c r="M1358" s="49"/>
      <c r="N1358" s="49"/>
    </row>
    <row r="1359" ht="22.5" hidden="1" customHeight="1">
      <c r="A1359" s="101"/>
      <c r="B1359" s="102"/>
      <c r="C1359" s="103"/>
      <c r="D1359" s="101"/>
      <c r="E1359" s="101"/>
      <c r="F1359" s="104"/>
      <c r="G1359" s="104"/>
      <c r="H1359" s="103"/>
      <c r="I1359" s="99">
        <f t="shared" si="9"/>
        <v>0</v>
      </c>
      <c r="J1359" s="101"/>
      <c r="K1359" s="101"/>
      <c r="L1359" s="101" t="str">
        <f t="shared" si="8"/>
        <v>EN PROCESO</v>
      </c>
      <c r="M1359" s="101"/>
      <c r="N1359" s="101"/>
    </row>
    <row r="1360" ht="22.5" hidden="1" customHeight="1">
      <c r="A1360" s="49"/>
      <c r="B1360" s="81"/>
      <c r="C1360" s="97"/>
      <c r="D1360" s="49"/>
      <c r="E1360" s="49"/>
      <c r="F1360" s="98"/>
      <c r="G1360" s="98"/>
      <c r="H1360" s="97"/>
      <c r="I1360" s="99">
        <f t="shared" si="9"/>
        <v>0</v>
      </c>
      <c r="J1360" s="49"/>
      <c r="K1360" s="49"/>
      <c r="L1360" s="49" t="str">
        <f t="shared" si="8"/>
        <v>EN PROCESO</v>
      </c>
      <c r="M1360" s="49"/>
      <c r="N1360" s="49"/>
    </row>
    <row r="1361" ht="22.5" hidden="1" customHeight="1">
      <c r="A1361" s="101"/>
      <c r="B1361" s="102"/>
      <c r="C1361" s="103"/>
      <c r="D1361" s="101"/>
      <c r="E1361" s="101"/>
      <c r="F1361" s="104"/>
      <c r="G1361" s="104"/>
      <c r="H1361" s="103"/>
      <c r="I1361" s="99">
        <f t="shared" si="9"/>
        <v>0</v>
      </c>
      <c r="J1361" s="101"/>
      <c r="K1361" s="101"/>
      <c r="L1361" s="101" t="str">
        <f t="shared" si="8"/>
        <v>EN PROCESO</v>
      </c>
      <c r="M1361" s="101"/>
      <c r="N1361" s="101"/>
    </row>
    <row r="1362" ht="22.5" hidden="1" customHeight="1">
      <c r="A1362" s="49"/>
      <c r="B1362" s="81"/>
      <c r="C1362" s="97"/>
      <c r="D1362" s="49"/>
      <c r="E1362" s="49"/>
      <c r="F1362" s="98"/>
      <c r="G1362" s="98"/>
      <c r="H1362" s="97"/>
      <c r="I1362" s="99">
        <f t="shared" si="9"/>
        <v>0</v>
      </c>
      <c r="J1362" s="49"/>
      <c r="K1362" s="49"/>
      <c r="L1362" s="49" t="str">
        <f t="shared" si="8"/>
        <v>EN PROCESO</v>
      </c>
      <c r="M1362" s="49"/>
      <c r="N1362" s="49"/>
    </row>
    <row r="1363" ht="22.5" hidden="1" customHeight="1">
      <c r="A1363" s="101"/>
      <c r="B1363" s="102"/>
      <c r="C1363" s="103"/>
      <c r="D1363" s="101"/>
      <c r="E1363" s="101"/>
      <c r="F1363" s="104"/>
      <c r="G1363" s="104"/>
      <c r="H1363" s="103"/>
      <c r="I1363" s="99">
        <f t="shared" si="9"/>
        <v>0</v>
      </c>
      <c r="J1363" s="101"/>
      <c r="K1363" s="101"/>
      <c r="L1363" s="101" t="str">
        <f t="shared" si="8"/>
        <v>EN PROCESO</v>
      </c>
      <c r="M1363" s="101"/>
      <c r="N1363" s="101"/>
    </row>
    <row r="1364" ht="22.5" hidden="1" customHeight="1">
      <c r="A1364" s="49"/>
      <c r="B1364" s="81"/>
      <c r="C1364" s="97"/>
      <c r="D1364" s="49"/>
      <c r="E1364" s="49"/>
      <c r="F1364" s="98"/>
      <c r="G1364" s="98"/>
      <c r="H1364" s="97"/>
      <c r="I1364" s="99">
        <f t="shared" si="9"/>
        <v>0</v>
      </c>
      <c r="J1364" s="49"/>
      <c r="K1364" s="49"/>
      <c r="L1364" s="49" t="str">
        <f t="shared" si="8"/>
        <v>EN PROCESO</v>
      </c>
      <c r="M1364" s="49"/>
      <c r="N1364" s="49"/>
    </row>
    <row r="1365" ht="22.5" hidden="1" customHeight="1">
      <c r="A1365" s="101"/>
      <c r="B1365" s="102"/>
      <c r="C1365" s="103"/>
      <c r="D1365" s="101"/>
      <c r="E1365" s="101"/>
      <c r="F1365" s="104"/>
      <c r="G1365" s="104"/>
      <c r="H1365" s="103"/>
      <c r="I1365" s="99">
        <f t="shared" si="9"/>
        <v>0</v>
      </c>
      <c r="J1365" s="101"/>
      <c r="K1365" s="101"/>
      <c r="L1365" s="101" t="str">
        <f t="shared" si="8"/>
        <v>EN PROCESO</v>
      </c>
      <c r="M1365" s="101"/>
      <c r="N1365" s="101"/>
    </row>
    <row r="1366" ht="22.5" hidden="1" customHeight="1">
      <c r="A1366" s="49"/>
      <c r="B1366" s="81"/>
      <c r="C1366" s="97"/>
      <c r="D1366" s="49"/>
      <c r="E1366" s="49"/>
      <c r="F1366" s="98"/>
      <c r="G1366" s="98"/>
      <c r="H1366" s="97"/>
      <c r="I1366" s="99">
        <f t="shared" si="9"/>
        <v>0</v>
      </c>
      <c r="J1366" s="49"/>
      <c r="K1366" s="49"/>
      <c r="L1366" s="49" t="str">
        <f t="shared" si="8"/>
        <v>EN PROCESO</v>
      </c>
      <c r="M1366" s="49"/>
      <c r="N1366" s="49"/>
    </row>
    <row r="1367" ht="22.5" hidden="1" customHeight="1">
      <c r="A1367" s="101"/>
      <c r="B1367" s="102"/>
      <c r="C1367" s="103"/>
      <c r="D1367" s="101"/>
      <c r="E1367" s="101"/>
      <c r="F1367" s="104"/>
      <c r="G1367" s="104"/>
      <c r="H1367" s="103"/>
      <c r="I1367" s="99">
        <f t="shared" si="9"/>
        <v>0</v>
      </c>
      <c r="J1367" s="101"/>
      <c r="K1367" s="101"/>
      <c r="L1367" s="101" t="str">
        <f t="shared" si="8"/>
        <v>EN PROCESO</v>
      </c>
      <c r="M1367" s="101"/>
      <c r="N1367" s="101"/>
    </row>
    <row r="1368" ht="22.5" hidden="1" customHeight="1">
      <c r="A1368" s="49"/>
      <c r="B1368" s="81"/>
      <c r="C1368" s="97"/>
      <c r="D1368" s="49"/>
      <c r="E1368" s="49"/>
      <c r="F1368" s="98"/>
      <c r="G1368" s="98"/>
      <c r="H1368" s="97"/>
      <c r="I1368" s="99">
        <f t="shared" si="9"/>
        <v>0</v>
      </c>
      <c r="J1368" s="49"/>
      <c r="K1368" s="49"/>
      <c r="L1368" s="49" t="str">
        <f t="shared" si="8"/>
        <v>EN PROCESO</v>
      </c>
      <c r="M1368" s="49"/>
      <c r="N1368" s="49"/>
    </row>
    <row r="1369" ht="22.5" hidden="1" customHeight="1">
      <c r="A1369" s="101"/>
      <c r="B1369" s="102"/>
      <c r="C1369" s="103"/>
      <c r="D1369" s="101"/>
      <c r="E1369" s="101"/>
      <c r="F1369" s="104"/>
      <c r="G1369" s="104"/>
      <c r="H1369" s="103"/>
      <c r="I1369" s="99">
        <f t="shared" si="9"/>
        <v>0</v>
      </c>
      <c r="J1369" s="101"/>
      <c r="K1369" s="101"/>
      <c r="L1369" s="101" t="str">
        <f t="shared" si="8"/>
        <v>EN PROCESO</v>
      </c>
      <c r="M1369" s="101"/>
      <c r="N1369" s="101"/>
    </row>
    <row r="1370" ht="22.5" hidden="1" customHeight="1">
      <c r="A1370" s="49"/>
      <c r="B1370" s="81"/>
      <c r="C1370" s="97"/>
      <c r="D1370" s="49"/>
      <c r="E1370" s="49"/>
      <c r="F1370" s="98"/>
      <c r="G1370" s="98"/>
      <c r="H1370" s="97"/>
      <c r="I1370" s="99">
        <f t="shared" si="9"/>
        <v>0</v>
      </c>
      <c r="J1370" s="49"/>
      <c r="K1370" s="49"/>
      <c r="L1370" s="49" t="str">
        <f t="shared" si="8"/>
        <v>EN PROCESO</v>
      </c>
      <c r="M1370" s="49"/>
      <c r="N1370" s="49"/>
    </row>
    <row r="1371" ht="22.5" hidden="1" customHeight="1">
      <c r="A1371" s="101"/>
      <c r="B1371" s="102"/>
      <c r="C1371" s="103"/>
      <c r="D1371" s="101"/>
      <c r="E1371" s="101"/>
      <c r="F1371" s="104"/>
      <c r="G1371" s="104"/>
      <c r="H1371" s="103"/>
      <c r="I1371" s="99">
        <f t="shared" si="9"/>
        <v>0</v>
      </c>
      <c r="J1371" s="101"/>
      <c r="K1371" s="101"/>
      <c r="L1371" s="101" t="str">
        <f t="shared" si="8"/>
        <v>EN PROCESO</v>
      </c>
      <c r="M1371" s="101"/>
      <c r="N1371" s="101"/>
    </row>
    <row r="1372" ht="22.5" hidden="1" customHeight="1">
      <c r="A1372" s="49"/>
      <c r="B1372" s="81"/>
      <c r="C1372" s="97"/>
      <c r="D1372" s="49"/>
      <c r="E1372" s="49"/>
      <c r="F1372" s="98"/>
      <c r="G1372" s="98"/>
      <c r="H1372" s="97"/>
      <c r="I1372" s="99">
        <f t="shared" si="9"/>
        <v>0</v>
      </c>
      <c r="J1372" s="49"/>
      <c r="K1372" s="49"/>
      <c r="L1372" s="49" t="str">
        <f t="shared" si="8"/>
        <v>EN PROCESO</v>
      </c>
      <c r="M1372" s="49"/>
      <c r="N1372" s="49"/>
    </row>
    <row r="1373" ht="22.5" hidden="1" customHeight="1">
      <c r="A1373" s="101"/>
      <c r="B1373" s="102"/>
      <c r="C1373" s="103"/>
      <c r="D1373" s="101"/>
      <c r="E1373" s="101"/>
      <c r="F1373" s="104"/>
      <c r="G1373" s="104"/>
      <c r="H1373" s="103"/>
      <c r="I1373" s="99">
        <f t="shared" si="9"/>
        <v>0</v>
      </c>
      <c r="J1373" s="101"/>
      <c r="K1373" s="101"/>
      <c r="L1373" s="101" t="str">
        <f t="shared" si="8"/>
        <v>EN PROCESO</v>
      </c>
      <c r="M1373" s="101"/>
      <c r="N1373" s="101"/>
    </row>
    <row r="1374" ht="22.5" hidden="1" customHeight="1">
      <c r="A1374" s="49"/>
      <c r="B1374" s="81"/>
      <c r="C1374" s="97"/>
      <c r="D1374" s="49"/>
      <c r="E1374" s="49"/>
      <c r="F1374" s="98"/>
      <c r="G1374" s="98"/>
      <c r="H1374" s="97"/>
      <c r="I1374" s="99">
        <f t="shared" si="9"/>
        <v>0</v>
      </c>
      <c r="J1374" s="49"/>
      <c r="K1374" s="49"/>
      <c r="L1374" s="49" t="str">
        <f t="shared" si="8"/>
        <v>EN PROCESO</v>
      </c>
      <c r="M1374" s="49"/>
      <c r="N1374" s="49"/>
    </row>
    <row r="1375" ht="22.5" hidden="1" customHeight="1">
      <c r="A1375" s="101"/>
      <c r="B1375" s="102"/>
      <c r="C1375" s="103"/>
      <c r="D1375" s="101"/>
      <c r="E1375" s="101"/>
      <c r="F1375" s="104"/>
      <c r="G1375" s="104"/>
      <c r="H1375" s="103"/>
      <c r="I1375" s="99">
        <f t="shared" si="9"/>
        <v>0</v>
      </c>
      <c r="J1375" s="101"/>
      <c r="K1375" s="101"/>
      <c r="L1375" s="101" t="str">
        <f t="shared" si="8"/>
        <v>EN PROCESO</v>
      </c>
      <c r="M1375" s="101"/>
      <c r="N1375" s="101"/>
    </row>
    <row r="1376" ht="22.5" hidden="1" customHeight="1">
      <c r="A1376" s="49"/>
      <c r="B1376" s="81"/>
      <c r="C1376" s="97"/>
      <c r="D1376" s="49"/>
      <c r="E1376" s="49"/>
      <c r="F1376" s="98"/>
      <c r="G1376" s="98"/>
      <c r="H1376" s="97"/>
      <c r="I1376" s="99">
        <f t="shared" si="9"/>
        <v>0</v>
      </c>
      <c r="J1376" s="49"/>
      <c r="K1376" s="49"/>
      <c r="L1376" s="49" t="str">
        <f t="shared" si="8"/>
        <v>EN PROCESO</v>
      </c>
      <c r="M1376" s="49"/>
      <c r="N1376" s="49"/>
    </row>
    <row r="1377" ht="22.5" hidden="1" customHeight="1">
      <c r="A1377" s="101"/>
      <c r="B1377" s="102"/>
      <c r="C1377" s="103"/>
      <c r="D1377" s="101"/>
      <c r="E1377" s="101"/>
      <c r="F1377" s="104"/>
      <c r="G1377" s="104"/>
      <c r="H1377" s="103"/>
      <c r="I1377" s="99">
        <f t="shared" si="9"/>
        <v>0</v>
      </c>
      <c r="J1377" s="101"/>
      <c r="K1377" s="101"/>
      <c r="L1377" s="101" t="str">
        <f t="shared" si="8"/>
        <v>EN PROCESO</v>
      </c>
      <c r="M1377" s="101"/>
      <c r="N1377" s="101"/>
    </row>
    <row r="1378" ht="22.5" hidden="1" customHeight="1">
      <c r="A1378" s="49"/>
      <c r="B1378" s="81"/>
      <c r="C1378" s="97"/>
      <c r="D1378" s="49"/>
      <c r="E1378" s="49"/>
      <c r="F1378" s="98"/>
      <c r="G1378" s="98"/>
      <c r="H1378" s="97"/>
      <c r="I1378" s="99">
        <f t="shared" si="9"/>
        <v>0</v>
      </c>
      <c r="J1378" s="49"/>
      <c r="K1378" s="49"/>
      <c r="L1378" s="49" t="str">
        <f t="shared" si="8"/>
        <v>EN PROCESO</v>
      </c>
      <c r="M1378" s="49"/>
      <c r="N1378" s="49"/>
    </row>
    <row r="1379" ht="22.5" hidden="1" customHeight="1">
      <c r="A1379" s="101"/>
      <c r="B1379" s="102"/>
      <c r="C1379" s="103"/>
      <c r="D1379" s="101"/>
      <c r="E1379" s="101"/>
      <c r="F1379" s="104"/>
      <c r="G1379" s="104"/>
      <c r="H1379" s="103"/>
      <c r="I1379" s="99">
        <f t="shared" si="9"/>
        <v>0</v>
      </c>
      <c r="J1379" s="101"/>
      <c r="K1379" s="101"/>
      <c r="L1379" s="101" t="str">
        <f t="shared" si="8"/>
        <v>EN PROCESO</v>
      </c>
      <c r="M1379" s="101"/>
      <c r="N1379" s="101"/>
    </row>
    <row r="1380" ht="22.5" hidden="1" customHeight="1">
      <c r="A1380" s="49"/>
      <c r="B1380" s="81"/>
      <c r="C1380" s="97"/>
      <c r="D1380" s="49"/>
      <c r="E1380" s="49"/>
      <c r="F1380" s="98"/>
      <c r="G1380" s="98"/>
      <c r="H1380" s="97"/>
      <c r="I1380" s="99">
        <f t="shared" si="9"/>
        <v>0</v>
      </c>
      <c r="J1380" s="49"/>
      <c r="K1380" s="49"/>
      <c r="L1380" s="49" t="str">
        <f t="shared" si="8"/>
        <v>EN PROCESO</v>
      </c>
      <c r="M1380" s="49"/>
      <c r="N1380" s="49"/>
    </row>
    <row r="1381" ht="22.5" hidden="1" customHeight="1">
      <c r="A1381" s="101"/>
      <c r="B1381" s="102"/>
      <c r="C1381" s="103"/>
      <c r="D1381" s="101"/>
      <c r="E1381" s="101"/>
      <c r="F1381" s="104"/>
      <c r="G1381" s="104"/>
      <c r="H1381" s="103"/>
      <c r="I1381" s="99">
        <f t="shared" si="9"/>
        <v>0</v>
      </c>
      <c r="J1381" s="101"/>
      <c r="K1381" s="101"/>
      <c r="L1381" s="101" t="str">
        <f t="shared" si="8"/>
        <v>EN PROCESO</v>
      </c>
      <c r="M1381" s="101"/>
      <c r="N1381" s="101"/>
    </row>
    <row r="1382" ht="22.5" hidden="1" customHeight="1">
      <c r="A1382" s="49"/>
      <c r="B1382" s="81"/>
      <c r="C1382" s="97"/>
      <c r="D1382" s="49"/>
      <c r="E1382" s="49"/>
      <c r="F1382" s="98"/>
      <c r="G1382" s="98"/>
      <c r="H1382" s="97"/>
      <c r="I1382" s="99">
        <f t="shared" si="9"/>
        <v>0</v>
      </c>
      <c r="J1382" s="49"/>
      <c r="K1382" s="49"/>
      <c r="L1382" s="49" t="str">
        <f t="shared" si="8"/>
        <v>EN PROCESO</v>
      </c>
      <c r="M1382" s="49"/>
      <c r="N1382" s="49"/>
    </row>
    <row r="1383" ht="22.5" hidden="1" customHeight="1">
      <c r="A1383" s="101"/>
      <c r="B1383" s="102"/>
      <c r="C1383" s="103"/>
      <c r="D1383" s="101"/>
      <c r="E1383" s="101"/>
      <c r="F1383" s="104"/>
      <c r="G1383" s="104"/>
      <c r="H1383" s="103"/>
      <c r="I1383" s="99">
        <f t="shared" si="9"/>
        <v>0</v>
      </c>
      <c r="J1383" s="101"/>
      <c r="K1383" s="101"/>
      <c r="L1383" s="101" t="str">
        <f t="shared" si="8"/>
        <v>EN PROCESO</v>
      </c>
      <c r="M1383" s="101"/>
      <c r="N1383" s="101"/>
    </row>
    <row r="1384" ht="22.5" hidden="1" customHeight="1">
      <c r="A1384" s="49"/>
      <c r="B1384" s="81"/>
      <c r="C1384" s="97"/>
      <c r="D1384" s="49"/>
      <c r="E1384" s="49"/>
      <c r="F1384" s="98"/>
      <c r="G1384" s="98"/>
      <c r="H1384" s="97"/>
      <c r="I1384" s="99">
        <f t="shared" si="9"/>
        <v>0</v>
      </c>
      <c r="J1384" s="49"/>
      <c r="K1384" s="49"/>
      <c r="L1384" s="49" t="str">
        <f t="shared" si="8"/>
        <v>EN PROCESO</v>
      </c>
      <c r="M1384" s="49"/>
      <c r="N1384" s="49"/>
    </row>
    <row r="1385" ht="22.5" hidden="1" customHeight="1">
      <c r="A1385" s="101"/>
      <c r="B1385" s="102"/>
      <c r="C1385" s="103"/>
      <c r="D1385" s="101"/>
      <c r="E1385" s="101"/>
      <c r="F1385" s="104"/>
      <c r="G1385" s="104"/>
      <c r="H1385" s="103"/>
      <c r="I1385" s="99">
        <f t="shared" si="9"/>
        <v>0</v>
      </c>
      <c r="J1385" s="101"/>
      <c r="K1385" s="101"/>
      <c r="L1385" s="101" t="str">
        <f t="shared" si="8"/>
        <v>EN PROCESO</v>
      </c>
      <c r="M1385" s="101"/>
      <c r="N1385" s="101"/>
    </row>
    <row r="1386" ht="22.5" hidden="1" customHeight="1">
      <c r="A1386" s="49"/>
      <c r="B1386" s="81"/>
      <c r="C1386" s="97"/>
      <c r="D1386" s="49"/>
      <c r="E1386" s="49"/>
      <c r="F1386" s="98"/>
      <c r="G1386" s="98"/>
      <c r="H1386" s="97"/>
      <c r="I1386" s="99">
        <f t="shared" si="9"/>
        <v>0</v>
      </c>
      <c r="J1386" s="49"/>
      <c r="K1386" s="49"/>
      <c r="L1386" s="49" t="str">
        <f t="shared" si="8"/>
        <v>EN PROCESO</v>
      </c>
      <c r="M1386" s="49"/>
      <c r="N1386" s="49"/>
    </row>
    <row r="1387" ht="22.5" hidden="1" customHeight="1">
      <c r="A1387" s="101"/>
      <c r="B1387" s="102"/>
      <c r="C1387" s="103"/>
      <c r="D1387" s="101"/>
      <c r="E1387" s="101"/>
      <c r="F1387" s="104"/>
      <c r="G1387" s="104"/>
      <c r="H1387" s="103"/>
      <c r="I1387" s="99">
        <f t="shared" si="9"/>
        <v>0</v>
      </c>
      <c r="J1387" s="101"/>
      <c r="K1387" s="101"/>
      <c r="L1387" s="101" t="str">
        <f t="shared" si="8"/>
        <v>EN PROCESO</v>
      </c>
      <c r="M1387" s="101"/>
      <c r="N1387" s="101"/>
    </row>
    <row r="1388" ht="22.5" hidden="1" customHeight="1">
      <c r="A1388" s="49"/>
      <c r="B1388" s="81"/>
      <c r="C1388" s="97"/>
      <c r="D1388" s="49"/>
      <c r="E1388" s="49"/>
      <c r="F1388" s="98"/>
      <c r="G1388" s="98"/>
      <c r="H1388" s="97"/>
      <c r="I1388" s="99">
        <f t="shared" si="9"/>
        <v>0</v>
      </c>
      <c r="J1388" s="49"/>
      <c r="K1388" s="49"/>
      <c r="L1388" s="49" t="str">
        <f t="shared" si="8"/>
        <v>EN PROCESO</v>
      </c>
      <c r="M1388" s="49"/>
      <c r="N1388" s="49"/>
    </row>
    <row r="1389" ht="22.5" hidden="1" customHeight="1">
      <c r="A1389" s="101"/>
      <c r="B1389" s="102"/>
      <c r="C1389" s="103"/>
      <c r="D1389" s="101"/>
      <c r="E1389" s="101"/>
      <c r="F1389" s="104"/>
      <c r="G1389" s="104"/>
      <c r="H1389" s="103"/>
      <c r="I1389" s="99">
        <f t="shared" si="9"/>
        <v>0</v>
      </c>
      <c r="J1389" s="101"/>
      <c r="K1389" s="101"/>
      <c r="L1389" s="101" t="str">
        <f t="shared" si="8"/>
        <v>EN PROCESO</v>
      </c>
      <c r="M1389" s="101"/>
      <c r="N1389" s="101"/>
    </row>
    <row r="1390" ht="22.5" hidden="1" customHeight="1">
      <c r="A1390" s="49"/>
      <c r="B1390" s="81"/>
      <c r="C1390" s="97"/>
      <c r="D1390" s="49"/>
      <c r="E1390" s="49"/>
      <c r="F1390" s="98"/>
      <c r="G1390" s="98"/>
      <c r="H1390" s="97"/>
      <c r="I1390" s="99">
        <f t="shared" si="9"/>
        <v>0</v>
      </c>
      <c r="J1390" s="49"/>
      <c r="K1390" s="49"/>
      <c r="L1390" s="49" t="str">
        <f t="shared" si="8"/>
        <v>EN PROCESO</v>
      </c>
      <c r="M1390" s="49"/>
      <c r="N1390" s="49"/>
    </row>
    <row r="1391" ht="22.5" hidden="1" customHeight="1">
      <c r="A1391" s="101"/>
      <c r="B1391" s="102"/>
      <c r="C1391" s="103"/>
      <c r="D1391" s="101"/>
      <c r="E1391" s="101"/>
      <c r="F1391" s="104"/>
      <c r="G1391" s="104"/>
      <c r="H1391" s="103"/>
      <c r="I1391" s="99">
        <f t="shared" si="9"/>
        <v>0</v>
      </c>
      <c r="J1391" s="101"/>
      <c r="K1391" s="101"/>
      <c r="L1391" s="101" t="str">
        <f t="shared" si="8"/>
        <v>EN PROCESO</v>
      </c>
      <c r="M1391" s="101"/>
      <c r="N1391" s="101"/>
    </row>
    <row r="1392" ht="22.5" hidden="1" customHeight="1">
      <c r="A1392" s="49"/>
      <c r="B1392" s="81"/>
      <c r="C1392" s="97"/>
      <c r="D1392" s="49"/>
      <c r="E1392" s="49"/>
      <c r="F1392" s="98"/>
      <c r="G1392" s="98"/>
      <c r="H1392" s="97"/>
      <c r="I1392" s="99">
        <f t="shared" si="9"/>
        <v>0</v>
      </c>
      <c r="J1392" s="49"/>
      <c r="K1392" s="49"/>
      <c r="L1392" s="49" t="str">
        <f t="shared" si="8"/>
        <v>EN PROCESO</v>
      </c>
      <c r="M1392" s="49"/>
      <c r="N1392" s="49"/>
    </row>
    <row r="1393" ht="22.5" hidden="1" customHeight="1">
      <c r="A1393" s="101"/>
      <c r="B1393" s="102"/>
      <c r="C1393" s="103"/>
      <c r="D1393" s="101"/>
      <c r="E1393" s="101"/>
      <c r="F1393" s="104"/>
      <c r="G1393" s="104"/>
      <c r="H1393" s="103"/>
      <c r="I1393" s="99">
        <f t="shared" si="9"/>
        <v>0</v>
      </c>
      <c r="J1393" s="101"/>
      <c r="K1393" s="101"/>
      <c r="L1393" s="101" t="str">
        <f t="shared" si="8"/>
        <v>EN PROCESO</v>
      </c>
      <c r="M1393" s="101"/>
      <c r="N1393" s="101"/>
    </row>
    <row r="1394" ht="22.5" hidden="1" customHeight="1">
      <c r="A1394" s="49"/>
      <c r="B1394" s="81"/>
      <c r="C1394" s="97"/>
      <c r="D1394" s="49"/>
      <c r="E1394" s="49"/>
      <c r="F1394" s="98"/>
      <c r="G1394" s="98"/>
      <c r="H1394" s="97"/>
      <c r="I1394" s="99">
        <f t="shared" si="9"/>
        <v>0</v>
      </c>
      <c r="J1394" s="49"/>
      <c r="K1394" s="49"/>
      <c r="L1394" s="49" t="str">
        <f t="shared" si="8"/>
        <v>EN PROCESO</v>
      </c>
      <c r="M1394" s="49"/>
      <c r="N1394" s="49"/>
    </row>
    <row r="1395" ht="22.5" hidden="1" customHeight="1">
      <c r="A1395" s="101"/>
      <c r="B1395" s="102"/>
      <c r="C1395" s="103"/>
      <c r="D1395" s="101"/>
      <c r="E1395" s="101"/>
      <c r="F1395" s="104"/>
      <c r="G1395" s="104"/>
      <c r="H1395" s="103"/>
      <c r="I1395" s="99">
        <f t="shared" si="9"/>
        <v>0</v>
      </c>
      <c r="J1395" s="101"/>
      <c r="K1395" s="101"/>
      <c r="L1395" s="101" t="str">
        <f t="shared" si="8"/>
        <v>EN PROCESO</v>
      </c>
      <c r="M1395" s="101"/>
      <c r="N1395" s="101"/>
    </row>
    <row r="1396" ht="22.5" hidden="1" customHeight="1">
      <c r="A1396" s="49"/>
      <c r="B1396" s="81"/>
      <c r="C1396" s="97"/>
      <c r="D1396" s="49"/>
      <c r="E1396" s="49"/>
      <c r="F1396" s="98"/>
      <c r="G1396" s="98"/>
      <c r="H1396" s="97"/>
      <c r="I1396" s="99">
        <f t="shared" si="9"/>
        <v>0</v>
      </c>
      <c r="J1396" s="49"/>
      <c r="K1396" s="49"/>
      <c r="L1396" s="49" t="str">
        <f t="shared" si="8"/>
        <v>EN PROCESO</v>
      </c>
      <c r="M1396" s="49"/>
      <c r="N1396" s="49"/>
    </row>
    <row r="1397" ht="22.5" hidden="1" customHeight="1">
      <c r="A1397" s="101"/>
      <c r="B1397" s="102"/>
      <c r="C1397" s="103"/>
      <c r="D1397" s="101"/>
      <c r="E1397" s="101"/>
      <c r="F1397" s="104"/>
      <c r="G1397" s="104"/>
      <c r="H1397" s="103"/>
      <c r="I1397" s="99">
        <f t="shared" si="9"/>
        <v>0</v>
      </c>
      <c r="J1397" s="101"/>
      <c r="K1397" s="101"/>
      <c r="L1397" s="101" t="str">
        <f t="shared" si="8"/>
        <v>EN PROCESO</v>
      </c>
      <c r="M1397" s="101"/>
      <c r="N1397" s="101"/>
    </row>
    <row r="1398" ht="22.5" hidden="1" customHeight="1">
      <c r="A1398" s="49"/>
      <c r="B1398" s="81"/>
      <c r="C1398" s="97"/>
      <c r="D1398" s="49"/>
      <c r="E1398" s="49"/>
      <c r="F1398" s="98"/>
      <c r="G1398" s="98"/>
      <c r="H1398" s="97"/>
      <c r="I1398" s="99">
        <f t="shared" si="9"/>
        <v>0</v>
      </c>
      <c r="J1398" s="49"/>
      <c r="K1398" s="49"/>
      <c r="L1398" s="49" t="str">
        <f t="shared" si="8"/>
        <v>EN PROCESO</v>
      </c>
      <c r="M1398" s="49"/>
      <c r="N1398" s="49"/>
    </row>
    <row r="1399" ht="22.5" hidden="1" customHeight="1">
      <c r="A1399" s="101"/>
      <c r="B1399" s="102"/>
      <c r="C1399" s="103"/>
      <c r="D1399" s="101"/>
      <c r="E1399" s="101"/>
      <c r="F1399" s="104"/>
      <c r="G1399" s="104"/>
      <c r="H1399" s="103"/>
      <c r="I1399" s="99">
        <f t="shared" si="9"/>
        <v>0</v>
      </c>
      <c r="J1399" s="101"/>
      <c r="K1399" s="101"/>
      <c r="L1399" s="101" t="str">
        <f t="shared" si="8"/>
        <v>EN PROCESO</v>
      </c>
      <c r="M1399" s="101"/>
      <c r="N1399" s="101"/>
    </row>
    <row r="1400" ht="22.5" hidden="1" customHeight="1">
      <c r="A1400" s="49"/>
      <c r="B1400" s="81"/>
      <c r="C1400" s="97"/>
      <c r="D1400" s="49"/>
      <c r="E1400" s="49"/>
      <c r="F1400" s="98"/>
      <c r="G1400" s="98"/>
      <c r="H1400" s="97"/>
      <c r="I1400" s="99">
        <f t="shared" si="9"/>
        <v>0</v>
      </c>
      <c r="J1400" s="49"/>
      <c r="K1400" s="49"/>
      <c r="L1400" s="49" t="str">
        <f t="shared" si="8"/>
        <v>EN PROCESO</v>
      </c>
      <c r="M1400" s="49"/>
      <c r="N1400" s="49"/>
    </row>
    <row r="1401" ht="22.5" hidden="1" customHeight="1">
      <c r="A1401" s="101"/>
      <c r="B1401" s="102"/>
      <c r="C1401" s="103"/>
      <c r="D1401" s="101"/>
      <c r="E1401" s="101"/>
      <c r="F1401" s="104"/>
      <c r="G1401" s="104"/>
      <c r="H1401" s="103"/>
      <c r="I1401" s="99">
        <f t="shared" si="9"/>
        <v>0</v>
      </c>
      <c r="J1401" s="101"/>
      <c r="K1401" s="101"/>
      <c r="L1401" s="101" t="str">
        <f t="shared" si="8"/>
        <v>EN PROCESO</v>
      </c>
      <c r="M1401" s="101"/>
      <c r="N1401" s="101"/>
    </row>
    <row r="1402" ht="22.5" hidden="1" customHeight="1">
      <c r="A1402" s="49"/>
      <c r="B1402" s="81"/>
      <c r="C1402" s="97"/>
      <c r="D1402" s="49"/>
      <c r="E1402" s="49"/>
      <c r="F1402" s="98"/>
      <c r="G1402" s="98"/>
      <c r="H1402" s="97"/>
      <c r="I1402" s="99">
        <f t="shared" si="9"/>
        <v>0</v>
      </c>
      <c r="J1402" s="49"/>
      <c r="K1402" s="49"/>
      <c r="L1402" s="49" t="str">
        <f t="shared" si="8"/>
        <v>EN PROCESO</v>
      </c>
      <c r="M1402" s="49"/>
      <c r="N1402" s="49"/>
    </row>
    <row r="1403" ht="22.5" hidden="1" customHeight="1">
      <c r="A1403" s="101"/>
      <c r="B1403" s="102"/>
      <c r="C1403" s="103"/>
      <c r="D1403" s="101"/>
      <c r="E1403" s="101"/>
      <c r="F1403" s="104"/>
      <c r="G1403" s="104"/>
      <c r="H1403" s="103"/>
      <c r="I1403" s="99">
        <f t="shared" si="9"/>
        <v>0</v>
      </c>
      <c r="J1403" s="101"/>
      <c r="K1403" s="101"/>
      <c r="L1403" s="101" t="str">
        <f t="shared" si="8"/>
        <v>EN PROCESO</v>
      </c>
      <c r="M1403" s="101"/>
      <c r="N1403" s="101"/>
    </row>
    <row r="1404" ht="22.5" hidden="1" customHeight="1">
      <c r="A1404" s="49"/>
      <c r="B1404" s="81"/>
      <c r="C1404" s="97"/>
      <c r="D1404" s="49"/>
      <c r="E1404" s="49"/>
      <c r="F1404" s="98"/>
      <c r="G1404" s="98"/>
      <c r="H1404" s="97"/>
      <c r="I1404" s="99">
        <f t="shared" si="9"/>
        <v>0</v>
      </c>
      <c r="J1404" s="49"/>
      <c r="K1404" s="49"/>
      <c r="L1404" s="49" t="str">
        <f t="shared" si="8"/>
        <v>EN PROCESO</v>
      </c>
      <c r="M1404" s="49"/>
      <c r="N1404" s="49"/>
    </row>
    <row r="1405" ht="22.5" hidden="1" customHeight="1">
      <c r="A1405" s="101"/>
      <c r="B1405" s="102"/>
      <c r="C1405" s="103"/>
      <c r="D1405" s="101"/>
      <c r="E1405" s="101"/>
      <c r="F1405" s="104"/>
      <c r="G1405" s="104"/>
      <c r="H1405" s="103"/>
      <c r="I1405" s="99">
        <f t="shared" si="9"/>
        <v>0</v>
      </c>
      <c r="J1405" s="101"/>
      <c r="K1405" s="101"/>
      <c r="L1405" s="101" t="str">
        <f t="shared" si="8"/>
        <v>EN PROCESO</v>
      </c>
      <c r="M1405" s="101"/>
      <c r="N1405" s="101"/>
    </row>
    <row r="1406" ht="22.5" hidden="1" customHeight="1">
      <c r="A1406" s="49"/>
      <c r="B1406" s="81"/>
      <c r="C1406" s="97"/>
      <c r="D1406" s="49"/>
      <c r="E1406" s="49"/>
      <c r="F1406" s="98"/>
      <c r="G1406" s="98"/>
      <c r="H1406" s="97"/>
      <c r="I1406" s="99">
        <f t="shared" si="9"/>
        <v>0</v>
      </c>
      <c r="J1406" s="49"/>
      <c r="K1406" s="49"/>
      <c r="L1406" s="49" t="str">
        <f t="shared" si="8"/>
        <v>EN PROCESO</v>
      </c>
      <c r="M1406" s="49"/>
      <c r="N1406" s="49"/>
    </row>
    <row r="1407" ht="22.5" hidden="1" customHeight="1">
      <c r="A1407" s="101"/>
      <c r="B1407" s="102"/>
      <c r="C1407" s="103"/>
      <c r="D1407" s="101"/>
      <c r="E1407" s="101"/>
      <c r="F1407" s="104"/>
      <c r="G1407" s="104"/>
      <c r="H1407" s="103"/>
      <c r="I1407" s="99">
        <f t="shared" si="9"/>
        <v>0</v>
      </c>
      <c r="J1407" s="101"/>
      <c r="K1407" s="101"/>
      <c r="L1407" s="101" t="str">
        <f t="shared" si="8"/>
        <v>EN PROCESO</v>
      </c>
      <c r="M1407" s="101"/>
      <c r="N1407" s="101"/>
    </row>
    <row r="1408" ht="22.5" hidden="1" customHeight="1">
      <c r="A1408" s="49"/>
      <c r="B1408" s="81"/>
      <c r="C1408" s="97"/>
      <c r="D1408" s="49"/>
      <c r="E1408" s="49"/>
      <c r="F1408" s="98"/>
      <c r="G1408" s="98"/>
      <c r="H1408" s="97"/>
      <c r="I1408" s="99">
        <f t="shared" si="9"/>
        <v>0</v>
      </c>
      <c r="J1408" s="49"/>
      <c r="K1408" s="49"/>
      <c r="L1408" s="49" t="str">
        <f t="shared" si="8"/>
        <v>EN PROCESO</v>
      </c>
      <c r="M1408" s="49"/>
      <c r="N1408" s="49"/>
    </row>
    <row r="1409" ht="22.5" hidden="1" customHeight="1">
      <c r="A1409" s="101"/>
      <c r="B1409" s="102"/>
      <c r="C1409" s="103"/>
      <c r="D1409" s="101"/>
      <c r="E1409" s="101"/>
      <c r="F1409" s="104"/>
      <c r="G1409" s="104"/>
      <c r="H1409" s="103"/>
      <c r="I1409" s="99">
        <f t="shared" si="9"/>
        <v>0</v>
      </c>
      <c r="J1409" s="101"/>
      <c r="K1409" s="101"/>
      <c r="L1409" s="101" t="str">
        <f t="shared" si="8"/>
        <v>EN PROCESO</v>
      </c>
      <c r="M1409" s="101"/>
      <c r="N1409" s="101"/>
    </row>
    <row r="1410" ht="22.5" hidden="1" customHeight="1">
      <c r="A1410" s="49"/>
      <c r="B1410" s="81"/>
      <c r="C1410" s="97"/>
      <c r="D1410" s="49"/>
      <c r="E1410" s="49"/>
      <c r="F1410" s="98"/>
      <c r="G1410" s="98"/>
      <c r="H1410" s="97"/>
      <c r="I1410" s="99">
        <f t="shared" si="9"/>
        <v>0</v>
      </c>
      <c r="J1410" s="49"/>
      <c r="K1410" s="49"/>
      <c r="L1410" s="49" t="str">
        <f t="shared" si="8"/>
        <v>EN PROCESO</v>
      </c>
      <c r="M1410" s="49"/>
      <c r="N1410" s="49"/>
    </row>
    <row r="1411" ht="22.5" hidden="1" customHeight="1">
      <c r="A1411" s="101"/>
      <c r="B1411" s="102"/>
      <c r="C1411" s="103"/>
      <c r="D1411" s="101"/>
      <c r="E1411" s="101"/>
      <c r="F1411" s="104"/>
      <c r="G1411" s="104"/>
      <c r="H1411" s="103"/>
      <c r="I1411" s="99">
        <f t="shared" si="9"/>
        <v>0</v>
      </c>
      <c r="J1411" s="101"/>
      <c r="K1411" s="101"/>
      <c r="L1411" s="101" t="str">
        <f t="shared" si="8"/>
        <v>EN PROCESO</v>
      </c>
      <c r="M1411" s="101"/>
      <c r="N1411" s="101"/>
    </row>
    <row r="1412" ht="22.5" hidden="1" customHeight="1">
      <c r="A1412" s="49"/>
      <c r="B1412" s="81"/>
      <c r="C1412" s="97"/>
      <c r="D1412" s="49"/>
      <c r="E1412" s="49"/>
      <c r="F1412" s="98"/>
      <c r="G1412" s="98"/>
      <c r="H1412" s="97"/>
      <c r="I1412" s="99">
        <f t="shared" si="9"/>
        <v>0</v>
      </c>
      <c r="J1412" s="49"/>
      <c r="K1412" s="49"/>
      <c r="L1412" s="49" t="str">
        <f t="shared" si="8"/>
        <v>EN PROCESO</v>
      </c>
      <c r="M1412" s="49"/>
      <c r="N1412" s="49"/>
    </row>
    <row r="1413" ht="22.5" hidden="1" customHeight="1">
      <c r="A1413" s="101"/>
      <c r="B1413" s="102"/>
      <c r="C1413" s="103"/>
      <c r="D1413" s="101"/>
      <c r="E1413" s="101"/>
      <c r="F1413" s="104"/>
      <c r="G1413" s="104"/>
      <c r="H1413" s="103"/>
      <c r="I1413" s="99">
        <f t="shared" si="9"/>
        <v>0</v>
      </c>
      <c r="J1413" s="101"/>
      <c r="K1413" s="101"/>
      <c r="L1413" s="101" t="str">
        <f t="shared" si="8"/>
        <v>EN PROCESO</v>
      </c>
      <c r="M1413" s="101"/>
      <c r="N1413" s="101"/>
    </row>
    <row r="1414" ht="22.5" hidden="1" customHeight="1">
      <c r="A1414" s="49"/>
      <c r="B1414" s="81"/>
      <c r="C1414" s="97"/>
      <c r="D1414" s="49"/>
      <c r="E1414" s="49"/>
      <c r="F1414" s="98"/>
      <c r="G1414" s="98"/>
      <c r="H1414" s="97"/>
      <c r="I1414" s="99">
        <f t="shared" si="9"/>
        <v>0</v>
      </c>
      <c r="J1414" s="49"/>
      <c r="K1414" s="49"/>
      <c r="L1414" s="49" t="str">
        <f t="shared" si="8"/>
        <v>EN PROCESO</v>
      </c>
      <c r="M1414" s="49"/>
      <c r="N1414" s="49"/>
    </row>
    <row r="1415" ht="22.5" hidden="1" customHeight="1">
      <c r="A1415" s="101"/>
      <c r="B1415" s="102"/>
      <c r="C1415" s="103"/>
      <c r="D1415" s="101"/>
      <c r="E1415" s="101"/>
      <c r="F1415" s="104"/>
      <c r="G1415" s="104"/>
      <c r="H1415" s="103"/>
      <c r="I1415" s="99">
        <f t="shared" si="9"/>
        <v>0</v>
      </c>
      <c r="J1415" s="101"/>
      <c r="K1415" s="101"/>
      <c r="L1415" s="101" t="str">
        <f t="shared" si="8"/>
        <v>EN PROCESO</v>
      </c>
      <c r="M1415" s="101"/>
      <c r="N1415" s="101"/>
    </row>
    <row r="1416" ht="22.5" hidden="1" customHeight="1">
      <c r="A1416" s="49"/>
      <c r="B1416" s="81"/>
      <c r="C1416" s="97"/>
      <c r="D1416" s="49"/>
      <c r="E1416" s="49"/>
      <c r="F1416" s="98"/>
      <c r="G1416" s="98"/>
      <c r="H1416" s="97"/>
      <c r="I1416" s="99">
        <f t="shared" si="9"/>
        <v>0</v>
      </c>
      <c r="J1416" s="49"/>
      <c r="K1416" s="49"/>
      <c r="L1416" s="49" t="str">
        <f t="shared" si="8"/>
        <v>EN PROCESO</v>
      </c>
      <c r="M1416" s="49"/>
      <c r="N1416" s="49"/>
    </row>
    <row r="1417" ht="22.5" hidden="1" customHeight="1">
      <c r="A1417" s="101"/>
      <c r="B1417" s="102"/>
      <c r="C1417" s="103"/>
      <c r="D1417" s="101"/>
      <c r="E1417" s="101"/>
      <c r="F1417" s="104"/>
      <c r="G1417" s="104"/>
      <c r="H1417" s="103"/>
      <c r="I1417" s="99">
        <f t="shared" si="9"/>
        <v>0</v>
      </c>
      <c r="J1417" s="101"/>
      <c r="K1417" s="101"/>
      <c r="L1417" s="101" t="str">
        <f t="shared" si="8"/>
        <v>EN PROCESO</v>
      </c>
      <c r="M1417" s="101"/>
      <c r="N1417" s="101"/>
    </row>
    <row r="1418" ht="22.5" hidden="1" customHeight="1">
      <c r="A1418" s="49"/>
      <c r="B1418" s="81"/>
      <c r="C1418" s="97"/>
      <c r="D1418" s="49"/>
      <c r="E1418" s="49"/>
      <c r="F1418" s="98"/>
      <c r="G1418" s="98"/>
      <c r="H1418" s="97"/>
      <c r="I1418" s="99">
        <f t="shared" si="9"/>
        <v>0</v>
      </c>
      <c r="J1418" s="49"/>
      <c r="K1418" s="49"/>
      <c r="L1418" s="49" t="str">
        <f t="shared" si="8"/>
        <v>EN PROCESO</v>
      </c>
      <c r="M1418" s="49"/>
      <c r="N1418" s="49"/>
    </row>
    <row r="1419" ht="22.5" hidden="1" customHeight="1">
      <c r="A1419" s="101"/>
      <c r="B1419" s="102"/>
      <c r="C1419" s="103"/>
      <c r="D1419" s="101"/>
      <c r="E1419" s="101"/>
      <c r="F1419" s="104"/>
      <c r="G1419" s="104"/>
      <c r="H1419" s="103"/>
      <c r="I1419" s="99">
        <f t="shared" si="9"/>
        <v>0</v>
      </c>
      <c r="J1419" s="101"/>
      <c r="K1419" s="101"/>
      <c r="L1419" s="101" t="str">
        <f t="shared" si="8"/>
        <v>EN PROCESO</v>
      </c>
      <c r="M1419" s="101"/>
      <c r="N1419" s="101"/>
    </row>
    <row r="1420" ht="22.5" hidden="1" customHeight="1">
      <c r="A1420" s="49"/>
      <c r="B1420" s="81"/>
      <c r="C1420" s="97"/>
      <c r="D1420" s="49"/>
      <c r="E1420" s="49"/>
      <c r="F1420" s="98"/>
      <c r="G1420" s="98"/>
      <c r="H1420" s="97"/>
      <c r="I1420" s="99">
        <f t="shared" si="9"/>
        <v>0</v>
      </c>
      <c r="J1420" s="49"/>
      <c r="K1420" s="49"/>
      <c r="L1420" s="49" t="str">
        <f t="shared" si="8"/>
        <v>EN PROCESO</v>
      </c>
      <c r="M1420" s="49"/>
      <c r="N1420" s="49"/>
    </row>
    <row r="1421" ht="22.5" hidden="1" customHeight="1">
      <c r="A1421" s="101"/>
      <c r="B1421" s="102"/>
      <c r="C1421" s="103"/>
      <c r="D1421" s="101"/>
      <c r="E1421" s="101"/>
      <c r="F1421" s="104"/>
      <c r="G1421" s="104"/>
      <c r="H1421" s="103"/>
      <c r="I1421" s="99">
        <f t="shared" si="9"/>
        <v>0</v>
      </c>
      <c r="J1421" s="101"/>
      <c r="K1421" s="101"/>
      <c r="L1421" s="101" t="str">
        <f t="shared" si="8"/>
        <v>EN PROCESO</v>
      </c>
      <c r="M1421" s="101"/>
      <c r="N1421" s="101"/>
    </row>
    <row r="1422" ht="22.5" hidden="1" customHeight="1">
      <c r="A1422" s="49"/>
      <c r="B1422" s="81"/>
      <c r="C1422" s="97"/>
      <c r="D1422" s="49"/>
      <c r="E1422" s="49"/>
      <c r="F1422" s="98"/>
      <c r="G1422" s="98"/>
      <c r="H1422" s="97"/>
      <c r="I1422" s="99">
        <f t="shared" si="9"/>
        <v>0</v>
      </c>
      <c r="J1422" s="49"/>
      <c r="K1422" s="49"/>
      <c r="L1422" s="49" t="str">
        <f t="shared" si="8"/>
        <v>EN PROCESO</v>
      </c>
      <c r="M1422" s="49"/>
      <c r="N1422" s="49"/>
    </row>
    <row r="1423" ht="22.5" hidden="1" customHeight="1">
      <c r="A1423" s="101"/>
      <c r="B1423" s="102"/>
      <c r="C1423" s="103"/>
      <c r="D1423" s="101"/>
      <c r="E1423" s="101"/>
      <c r="F1423" s="104"/>
      <c r="G1423" s="104"/>
      <c r="H1423" s="103"/>
      <c r="I1423" s="99">
        <f t="shared" si="9"/>
        <v>0</v>
      </c>
      <c r="J1423" s="101"/>
      <c r="K1423" s="101"/>
      <c r="L1423" s="101" t="str">
        <f t="shared" si="8"/>
        <v>EN PROCESO</v>
      </c>
      <c r="M1423" s="101"/>
      <c r="N1423" s="101"/>
    </row>
    <row r="1424" ht="22.5" hidden="1" customHeight="1">
      <c r="A1424" s="49"/>
      <c r="B1424" s="81"/>
      <c r="C1424" s="97"/>
      <c r="D1424" s="49"/>
      <c r="E1424" s="49"/>
      <c r="F1424" s="98"/>
      <c r="G1424" s="98"/>
      <c r="H1424" s="97"/>
      <c r="I1424" s="99">
        <f t="shared" si="9"/>
        <v>0</v>
      </c>
      <c r="J1424" s="49"/>
      <c r="K1424" s="49"/>
      <c r="L1424" s="49" t="str">
        <f t="shared" si="8"/>
        <v>EN PROCESO</v>
      </c>
      <c r="M1424" s="49"/>
      <c r="N1424" s="49"/>
    </row>
    <row r="1425" ht="22.5" hidden="1" customHeight="1">
      <c r="A1425" s="101"/>
      <c r="B1425" s="102"/>
      <c r="C1425" s="103"/>
      <c r="D1425" s="101"/>
      <c r="E1425" s="101"/>
      <c r="F1425" s="104"/>
      <c r="G1425" s="104"/>
      <c r="H1425" s="103"/>
      <c r="I1425" s="99">
        <f t="shared" si="9"/>
        <v>0</v>
      </c>
      <c r="J1425" s="101"/>
      <c r="K1425" s="101"/>
      <c r="L1425" s="101" t="str">
        <f t="shared" si="8"/>
        <v>EN PROCESO</v>
      </c>
      <c r="M1425" s="101"/>
      <c r="N1425" s="101"/>
    </row>
    <row r="1426" ht="22.5" hidden="1" customHeight="1">
      <c r="A1426" s="49"/>
      <c r="B1426" s="81"/>
      <c r="C1426" s="97"/>
      <c r="D1426" s="49"/>
      <c r="E1426" s="49"/>
      <c r="F1426" s="98"/>
      <c r="G1426" s="98"/>
      <c r="H1426" s="97"/>
      <c r="I1426" s="99">
        <f t="shared" si="9"/>
        <v>0</v>
      </c>
      <c r="J1426" s="49"/>
      <c r="K1426" s="49"/>
      <c r="L1426" s="49" t="str">
        <f t="shared" si="8"/>
        <v>EN PROCESO</v>
      </c>
      <c r="M1426" s="49"/>
      <c r="N1426" s="49"/>
    </row>
    <row r="1427" ht="22.5" hidden="1" customHeight="1">
      <c r="A1427" s="101"/>
      <c r="B1427" s="102"/>
      <c r="C1427" s="103"/>
      <c r="D1427" s="101"/>
      <c r="E1427" s="101"/>
      <c r="F1427" s="104"/>
      <c r="G1427" s="104"/>
      <c r="H1427" s="103"/>
      <c r="I1427" s="99">
        <f t="shared" si="9"/>
        <v>0</v>
      </c>
      <c r="J1427" s="101"/>
      <c r="K1427" s="101"/>
      <c r="L1427" s="101" t="str">
        <f t="shared" si="8"/>
        <v>EN PROCESO</v>
      </c>
      <c r="M1427" s="101"/>
      <c r="N1427" s="101"/>
    </row>
    <row r="1428" ht="22.5" hidden="1" customHeight="1">
      <c r="A1428" s="49"/>
      <c r="B1428" s="81"/>
      <c r="C1428" s="97"/>
      <c r="D1428" s="49"/>
      <c r="E1428" s="49"/>
      <c r="F1428" s="98"/>
      <c r="G1428" s="98"/>
      <c r="H1428" s="97"/>
      <c r="I1428" s="99">
        <f t="shared" si="9"/>
        <v>0</v>
      </c>
      <c r="J1428" s="49"/>
      <c r="K1428" s="49"/>
      <c r="L1428" s="49" t="str">
        <f t="shared" si="8"/>
        <v>EN PROCESO</v>
      </c>
      <c r="M1428" s="49"/>
      <c r="N1428" s="49"/>
    </row>
    <row r="1429" ht="22.5" hidden="1" customHeight="1">
      <c r="A1429" s="101"/>
      <c r="B1429" s="102"/>
      <c r="C1429" s="103"/>
      <c r="D1429" s="101"/>
      <c r="E1429" s="101"/>
      <c r="F1429" s="104"/>
      <c r="G1429" s="104"/>
      <c r="H1429" s="103"/>
      <c r="I1429" s="99">
        <f t="shared" si="9"/>
        <v>0</v>
      </c>
      <c r="J1429" s="101"/>
      <c r="K1429" s="101"/>
      <c r="L1429" s="101" t="str">
        <f t="shared" si="8"/>
        <v>EN PROCESO</v>
      </c>
      <c r="M1429" s="101"/>
      <c r="N1429" s="101"/>
    </row>
    <row r="1430" ht="22.5" hidden="1" customHeight="1">
      <c r="A1430" s="49"/>
      <c r="B1430" s="81"/>
      <c r="C1430" s="97"/>
      <c r="D1430" s="49"/>
      <c r="E1430" s="49"/>
      <c r="F1430" s="98"/>
      <c r="G1430" s="98"/>
      <c r="H1430" s="97"/>
      <c r="I1430" s="99">
        <f t="shared" si="9"/>
        <v>0</v>
      </c>
      <c r="J1430" s="49"/>
      <c r="K1430" s="49"/>
      <c r="L1430" s="49" t="str">
        <f t="shared" si="8"/>
        <v>EN PROCESO</v>
      </c>
      <c r="M1430" s="49"/>
      <c r="N1430" s="49"/>
    </row>
    <row r="1431" ht="22.5" hidden="1" customHeight="1">
      <c r="A1431" s="101"/>
      <c r="B1431" s="102"/>
      <c r="C1431" s="103"/>
      <c r="D1431" s="101"/>
      <c r="E1431" s="101"/>
      <c r="F1431" s="104"/>
      <c r="G1431" s="104"/>
      <c r="H1431" s="103"/>
      <c r="I1431" s="99">
        <f t="shared" si="9"/>
        <v>0</v>
      </c>
      <c r="J1431" s="101"/>
      <c r="K1431" s="101"/>
      <c r="L1431" s="101" t="str">
        <f t="shared" si="8"/>
        <v>EN PROCESO</v>
      </c>
      <c r="M1431" s="101"/>
      <c r="N1431" s="101"/>
    </row>
    <row r="1432" ht="22.5" hidden="1" customHeight="1">
      <c r="A1432" s="49"/>
      <c r="B1432" s="81"/>
      <c r="C1432" s="97"/>
      <c r="D1432" s="49"/>
      <c r="E1432" s="49"/>
      <c r="F1432" s="98"/>
      <c r="G1432" s="98"/>
      <c r="H1432" s="97"/>
      <c r="I1432" s="99">
        <f t="shared" si="9"/>
        <v>0</v>
      </c>
      <c r="J1432" s="49"/>
      <c r="K1432" s="49"/>
      <c r="L1432" s="49" t="str">
        <f t="shared" si="8"/>
        <v>EN PROCESO</v>
      </c>
      <c r="M1432" s="49"/>
      <c r="N1432" s="49"/>
    </row>
    <row r="1433" ht="22.5" hidden="1" customHeight="1">
      <c r="A1433" s="101"/>
      <c r="B1433" s="102"/>
      <c r="C1433" s="103"/>
      <c r="D1433" s="101"/>
      <c r="E1433" s="101"/>
      <c r="F1433" s="104"/>
      <c r="G1433" s="104"/>
      <c r="H1433" s="103"/>
      <c r="I1433" s="99">
        <f t="shared" si="9"/>
        <v>0</v>
      </c>
      <c r="J1433" s="101"/>
      <c r="K1433" s="101"/>
      <c r="L1433" s="101" t="str">
        <f t="shared" si="8"/>
        <v>EN PROCESO</v>
      </c>
      <c r="M1433" s="101"/>
      <c r="N1433" s="101"/>
    </row>
    <row r="1434" ht="22.5" hidden="1" customHeight="1">
      <c r="A1434" s="49"/>
      <c r="B1434" s="81"/>
      <c r="C1434" s="97"/>
      <c r="D1434" s="49"/>
      <c r="E1434" s="49"/>
      <c r="F1434" s="98"/>
      <c r="G1434" s="98"/>
      <c r="H1434" s="97"/>
      <c r="I1434" s="99">
        <f t="shared" si="9"/>
        <v>0</v>
      </c>
      <c r="J1434" s="49"/>
      <c r="K1434" s="49"/>
      <c r="L1434" s="49" t="str">
        <f t="shared" si="8"/>
        <v>EN PROCESO</v>
      </c>
      <c r="M1434" s="49"/>
      <c r="N1434" s="49"/>
    </row>
    <row r="1435" ht="22.5" hidden="1" customHeight="1">
      <c r="A1435" s="101"/>
      <c r="B1435" s="102"/>
      <c r="C1435" s="103"/>
      <c r="D1435" s="101"/>
      <c r="E1435" s="101"/>
      <c r="F1435" s="104"/>
      <c r="G1435" s="104"/>
      <c r="H1435" s="103"/>
      <c r="I1435" s="99">
        <f t="shared" si="9"/>
        <v>0</v>
      </c>
      <c r="J1435" s="101"/>
      <c r="K1435" s="101"/>
      <c r="L1435" s="101" t="str">
        <f t="shared" si="8"/>
        <v>EN PROCESO</v>
      </c>
      <c r="M1435" s="101"/>
      <c r="N1435" s="101"/>
    </row>
    <row r="1436" ht="22.5" hidden="1" customHeight="1">
      <c r="A1436" s="49"/>
      <c r="B1436" s="81"/>
      <c r="C1436" s="97"/>
      <c r="D1436" s="49"/>
      <c r="E1436" s="49"/>
      <c r="F1436" s="98"/>
      <c r="G1436" s="98"/>
      <c r="H1436" s="97"/>
      <c r="I1436" s="99">
        <f t="shared" si="9"/>
        <v>0</v>
      </c>
      <c r="J1436" s="49"/>
      <c r="K1436" s="49"/>
      <c r="L1436" s="49" t="str">
        <f t="shared" si="8"/>
        <v>EN PROCESO</v>
      </c>
      <c r="M1436" s="49"/>
      <c r="N1436" s="49"/>
    </row>
    <row r="1437" ht="22.5" hidden="1" customHeight="1">
      <c r="A1437" s="101"/>
      <c r="B1437" s="102"/>
      <c r="C1437" s="103"/>
      <c r="D1437" s="101"/>
      <c r="E1437" s="101"/>
      <c r="F1437" s="104"/>
      <c r="G1437" s="104"/>
      <c r="H1437" s="103"/>
      <c r="I1437" s="99">
        <f t="shared" si="9"/>
        <v>0</v>
      </c>
      <c r="J1437" s="101"/>
      <c r="K1437" s="101"/>
      <c r="L1437" s="101" t="str">
        <f t="shared" si="8"/>
        <v>EN PROCESO</v>
      </c>
      <c r="M1437" s="101"/>
      <c r="N1437" s="101"/>
    </row>
    <row r="1438" ht="22.5" hidden="1" customHeight="1">
      <c r="A1438" s="49"/>
      <c r="B1438" s="81"/>
      <c r="C1438" s="97"/>
      <c r="D1438" s="49"/>
      <c r="E1438" s="49"/>
      <c r="F1438" s="98"/>
      <c r="G1438" s="98"/>
      <c r="H1438" s="97"/>
      <c r="I1438" s="99">
        <f t="shared" si="9"/>
        <v>0</v>
      </c>
      <c r="J1438" s="49"/>
      <c r="K1438" s="49"/>
      <c r="L1438" s="49" t="str">
        <f t="shared" si="8"/>
        <v>EN PROCESO</v>
      </c>
      <c r="M1438" s="49"/>
      <c r="N1438" s="49"/>
    </row>
    <row r="1439" ht="22.5" hidden="1" customHeight="1">
      <c r="A1439" s="101"/>
      <c r="B1439" s="102"/>
      <c r="C1439" s="103"/>
      <c r="D1439" s="101"/>
      <c r="E1439" s="101"/>
      <c r="F1439" s="104"/>
      <c r="G1439" s="104"/>
      <c r="H1439" s="103"/>
      <c r="I1439" s="99">
        <f t="shared" si="9"/>
        <v>0</v>
      </c>
      <c r="J1439" s="101"/>
      <c r="K1439" s="101"/>
      <c r="L1439" s="101" t="str">
        <f t="shared" si="8"/>
        <v>EN PROCESO</v>
      </c>
      <c r="M1439" s="101"/>
      <c r="N1439" s="101"/>
    </row>
    <row r="1440" ht="22.5" hidden="1" customHeight="1">
      <c r="A1440" s="49"/>
      <c r="B1440" s="81"/>
      <c r="C1440" s="97"/>
      <c r="D1440" s="49"/>
      <c r="E1440" s="49"/>
      <c r="F1440" s="98"/>
      <c r="G1440" s="98"/>
      <c r="H1440" s="97"/>
      <c r="I1440" s="99">
        <f t="shared" si="9"/>
        <v>0</v>
      </c>
      <c r="J1440" s="49"/>
      <c r="K1440" s="49"/>
      <c r="L1440" s="49" t="str">
        <f t="shared" si="8"/>
        <v>EN PROCESO</v>
      </c>
      <c r="M1440" s="49"/>
      <c r="N1440" s="49"/>
    </row>
    <row r="1441" ht="22.5" hidden="1" customHeight="1">
      <c r="A1441" s="101"/>
      <c r="B1441" s="102"/>
      <c r="C1441" s="103"/>
      <c r="D1441" s="101"/>
      <c r="E1441" s="101"/>
      <c r="F1441" s="104"/>
      <c r="G1441" s="104"/>
      <c r="H1441" s="103"/>
      <c r="I1441" s="99">
        <f t="shared" si="9"/>
        <v>0</v>
      </c>
      <c r="J1441" s="101"/>
      <c r="K1441" s="101"/>
      <c r="L1441" s="101" t="str">
        <f t="shared" si="8"/>
        <v>EN PROCESO</v>
      </c>
      <c r="M1441" s="101"/>
      <c r="N1441" s="101"/>
    </row>
    <row r="1442" ht="22.5" hidden="1" customHeight="1">
      <c r="A1442" s="49"/>
      <c r="B1442" s="81"/>
      <c r="C1442" s="97"/>
      <c r="D1442" s="49"/>
      <c r="E1442" s="49"/>
      <c r="F1442" s="98"/>
      <c r="G1442" s="98"/>
      <c r="H1442" s="97"/>
      <c r="I1442" s="99">
        <f t="shared" si="9"/>
        <v>0</v>
      </c>
      <c r="J1442" s="49"/>
      <c r="K1442" s="49"/>
      <c r="L1442" s="49" t="str">
        <f t="shared" si="8"/>
        <v>EN PROCESO</v>
      </c>
      <c r="M1442" s="49"/>
      <c r="N1442" s="49"/>
    </row>
    <row r="1443" ht="22.5" hidden="1" customHeight="1">
      <c r="A1443" s="101"/>
      <c r="B1443" s="102"/>
      <c r="C1443" s="103"/>
      <c r="D1443" s="101"/>
      <c r="E1443" s="101"/>
      <c r="F1443" s="104"/>
      <c r="G1443" s="104"/>
      <c r="H1443" s="103"/>
      <c r="I1443" s="99">
        <f t="shared" si="9"/>
        <v>0</v>
      </c>
      <c r="J1443" s="101"/>
      <c r="K1443" s="101"/>
      <c r="L1443" s="101" t="str">
        <f t="shared" si="8"/>
        <v>EN PROCESO</v>
      </c>
      <c r="M1443" s="101"/>
      <c r="N1443" s="101"/>
    </row>
    <row r="1444" ht="22.5" hidden="1" customHeight="1">
      <c r="A1444" s="49"/>
      <c r="B1444" s="81"/>
      <c r="C1444" s="97"/>
      <c r="D1444" s="49"/>
      <c r="E1444" s="49"/>
      <c r="F1444" s="98"/>
      <c r="G1444" s="98"/>
      <c r="H1444" s="97"/>
      <c r="I1444" s="99">
        <f t="shared" si="9"/>
        <v>0</v>
      </c>
      <c r="J1444" s="49"/>
      <c r="K1444" s="49"/>
      <c r="L1444" s="49" t="str">
        <f t="shared" si="8"/>
        <v>EN PROCESO</v>
      </c>
      <c r="M1444" s="49"/>
      <c r="N1444" s="49"/>
    </row>
    <row r="1445" ht="22.5" hidden="1" customHeight="1">
      <c r="A1445" s="101"/>
      <c r="B1445" s="102"/>
      <c r="C1445" s="103"/>
      <c r="D1445" s="101"/>
      <c r="E1445" s="101"/>
      <c r="F1445" s="104"/>
      <c r="G1445" s="104"/>
      <c r="H1445" s="103"/>
      <c r="I1445" s="99">
        <f t="shared" si="9"/>
        <v>0</v>
      </c>
      <c r="J1445" s="101"/>
      <c r="K1445" s="101"/>
      <c r="L1445" s="101" t="str">
        <f t="shared" si="8"/>
        <v>EN PROCESO</v>
      </c>
      <c r="M1445" s="101"/>
      <c r="N1445" s="101"/>
    </row>
    <row r="1446" ht="22.5" hidden="1" customHeight="1">
      <c r="A1446" s="49"/>
      <c r="B1446" s="81"/>
      <c r="C1446" s="97"/>
      <c r="D1446" s="49"/>
      <c r="E1446" s="49"/>
      <c r="F1446" s="98"/>
      <c r="G1446" s="98"/>
      <c r="H1446" s="97"/>
      <c r="I1446" s="99">
        <f t="shared" si="9"/>
        <v>0</v>
      </c>
      <c r="J1446" s="49"/>
      <c r="K1446" s="49"/>
      <c r="L1446" s="49" t="str">
        <f t="shared" si="8"/>
        <v>EN PROCESO</v>
      </c>
      <c r="M1446" s="49"/>
      <c r="N1446" s="49"/>
    </row>
    <row r="1447" ht="22.5" hidden="1" customHeight="1">
      <c r="A1447" s="101"/>
      <c r="B1447" s="102"/>
      <c r="C1447" s="103"/>
      <c r="D1447" s="101"/>
      <c r="E1447" s="101"/>
      <c r="F1447" s="104"/>
      <c r="G1447" s="104"/>
      <c r="H1447" s="103"/>
      <c r="I1447" s="99">
        <f t="shared" si="9"/>
        <v>0</v>
      </c>
      <c r="J1447" s="101"/>
      <c r="K1447" s="101"/>
      <c r="L1447" s="101" t="str">
        <f t="shared" si="8"/>
        <v>EN PROCESO</v>
      </c>
      <c r="M1447" s="101"/>
      <c r="N1447" s="101"/>
    </row>
    <row r="1448" ht="22.5" hidden="1" customHeight="1">
      <c r="A1448" s="49"/>
      <c r="B1448" s="81"/>
      <c r="C1448" s="97"/>
      <c r="D1448" s="49"/>
      <c r="E1448" s="49"/>
      <c r="F1448" s="98"/>
      <c r="G1448" s="98"/>
      <c r="H1448" s="97"/>
      <c r="I1448" s="99">
        <f t="shared" si="9"/>
        <v>0</v>
      </c>
      <c r="J1448" s="49"/>
      <c r="K1448" s="49"/>
      <c r="L1448" s="49" t="str">
        <f t="shared" si="8"/>
        <v>EN PROCESO</v>
      </c>
      <c r="M1448" s="49"/>
      <c r="N1448" s="49"/>
    </row>
    <row r="1449" ht="22.5" hidden="1" customHeight="1">
      <c r="A1449" s="101"/>
      <c r="B1449" s="102"/>
      <c r="C1449" s="103"/>
      <c r="D1449" s="101"/>
      <c r="E1449" s="101"/>
      <c r="F1449" s="104"/>
      <c r="G1449" s="104"/>
      <c r="H1449" s="103"/>
      <c r="I1449" s="99">
        <f t="shared" si="9"/>
        <v>0</v>
      </c>
      <c r="J1449" s="101"/>
      <c r="K1449" s="101"/>
      <c r="L1449" s="101" t="str">
        <f t="shared" si="8"/>
        <v>EN PROCESO</v>
      </c>
      <c r="M1449" s="101"/>
      <c r="N1449" s="101"/>
    </row>
    <row r="1450" ht="22.5" hidden="1" customHeight="1">
      <c r="A1450" s="49"/>
      <c r="B1450" s="81"/>
      <c r="C1450" s="97"/>
      <c r="D1450" s="49"/>
      <c r="E1450" s="49"/>
      <c r="F1450" s="98"/>
      <c r="G1450" s="98"/>
      <c r="H1450" s="97"/>
      <c r="I1450" s="99">
        <f t="shared" si="9"/>
        <v>0</v>
      </c>
      <c r="J1450" s="49"/>
      <c r="K1450" s="49"/>
      <c r="L1450" s="49" t="str">
        <f t="shared" si="8"/>
        <v>EN PROCESO</v>
      </c>
      <c r="M1450" s="49"/>
      <c r="N1450" s="49"/>
    </row>
    <row r="1451" ht="22.5" hidden="1" customHeight="1">
      <c r="A1451" s="101"/>
      <c r="B1451" s="102"/>
      <c r="C1451" s="103"/>
      <c r="D1451" s="101"/>
      <c r="E1451" s="101"/>
      <c r="F1451" s="104"/>
      <c r="G1451" s="104"/>
      <c r="H1451" s="103"/>
      <c r="I1451" s="99">
        <f t="shared" si="9"/>
        <v>0</v>
      </c>
      <c r="J1451" s="101"/>
      <c r="K1451" s="101"/>
      <c r="L1451" s="101" t="str">
        <f t="shared" si="8"/>
        <v>EN PROCESO</v>
      </c>
      <c r="M1451" s="101"/>
      <c r="N1451" s="101"/>
    </row>
    <row r="1452" ht="22.5" hidden="1" customHeight="1">
      <c r="A1452" s="49"/>
      <c r="B1452" s="81"/>
      <c r="C1452" s="97"/>
      <c r="D1452" s="49"/>
      <c r="E1452" s="49"/>
      <c r="F1452" s="98"/>
      <c r="G1452" s="98"/>
      <c r="H1452" s="97"/>
      <c r="I1452" s="99">
        <f t="shared" si="9"/>
        <v>0</v>
      </c>
      <c r="J1452" s="49"/>
      <c r="K1452" s="49"/>
      <c r="L1452" s="49" t="str">
        <f t="shared" si="8"/>
        <v>EN PROCESO</v>
      </c>
      <c r="M1452" s="49"/>
      <c r="N1452" s="49"/>
    </row>
    <row r="1453" ht="22.5" hidden="1" customHeight="1">
      <c r="A1453" s="101"/>
      <c r="B1453" s="102"/>
      <c r="C1453" s="103"/>
      <c r="D1453" s="101"/>
      <c r="E1453" s="101"/>
      <c r="F1453" s="104"/>
      <c r="G1453" s="104"/>
      <c r="H1453" s="103"/>
      <c r="I1453" s="99">
        <f t="shared" si="9"/>
        <v>0</v>
      </c>
      <c r="J1453" s="101"/>
      <c r="K1453" s="101"/>
      <c r="L1453" s="101" t="str">
        <f t="shared" si="8"/>
        <v>EN PROCESO</v>
      </c>
      <c r="M1453" s="101"/>
      <c r="N1453" s="101"/>
    </row>
    <row r="1454" ht="22.5" hidden="1" customHeight="1">
      <c r="A1454" s="49"/>
      <c r="B1454" s="81"/>
      <c r="C1454" s="97"/>
      <c r="D1454" s="49"/>
      <c r="E1454" s="49"/>
      <c r="F1454" s="98"/>
      <c r="G1454" s="98"/>
      <c r="H1454" s="97"/>
      <c r="I1454" s="99">
        <f t="shared" si="9"/>
        <v>0</v>
      </c>
      <c r="J1454" s="49"/>
      <c r="K1454" s="49"/>
      <c r="L1454" s="49" t="str">
        <f t="shared" si="8"/>
        <v>EN PROCESO</v>
      </c>
      <c r="M1454" s="49"/>
      <c r="N1454" s="49"/>
    </row>
    <row r="1455" ht="22.5" hidden="1" customHeight="1">
      <c r="A1455" s="101"/>
      <c r="B1455" s="102"/>
      <c r="C1455" s="103"/>
      <c r="D1455" s="101"/>
      <c r="E1455" s="101"/>
      <c r="F1455" s="104"/>
      <c r="G1455" s="104"/>
      <c r="H1455" s="103"/>
      <c r="I1455" s="99">
        <f t="shared" si="9"/>
        <v>0</v>
      </c>
      <c r="J1455" s="101"/>
      <c r="K1455" s="101"/>
      <c r="L1455" s="101" t="str">
        <f t="shared" si="8"/>
        <v>EN PROCESO</v>
      </c>
      <c r="M1455" s="101"/>
      <c r="N1455" s="101"/>
    </row>
    <row r="1456" ht="22.5" hidden="1" customHeight="1">
      <c r="A1456" s="49"/>
      <c r="B1456" s="81"/>
      <c r="C1456" s="97"/>
      <c r="D1456" s="49"/>
      <c r="E1456" s="49"/>
      <c r="F1456" s="98"/>
      <c r="G1456" s="98"/>
      <c r="H1456" s="97"/>
      <c r="I1456" s="99">
        <f t="shared" si="9"/>
        <v>0</v>
      </c>
      <c r="J1456" s="49"/>
      <c r="K1456" s="49"/>
      <c r="L1456" s="49" t="str">
        <f t="shared" si="8"/>
        <v>EN PROCESO</v>
      </c>
      <c r="M1456" s="49"/>
      <c r="N1456" s="49"/>
    </row>
    <row r="1457" ht="22.5" hidden="1" customHeight="1">
      <c r="A1457" s="101"/>
      <c r="B1457" s="102"/>
      <c r="C1457" s="103"/>
      <c r="D1457" s="101"/>
      <c r="E1457" s="101"/>
      <c r="F1457" s="104"/>
      <c r="G1457" s="104"/>
      <c r="H1457" s="103"/>
      <c r="I1457" s="99">
        <f t="shared" si="9"/>
        <v>0</v>
      </c>
      <c r="J1457" s="101"/>
      <c r="K1457" s="101"/>
      <c r="L1457" s="101" t="str">
        <f t="shared" si="8"/>
        <v>EN PROCESO</v>
      </c>
      <c r="M1457" s="101"/>
      <c r="N1457" s="101"/>
    </row>
    <row r="1458" ht="22.5" hidden="1" customHeight="1">
      <c r="A1458" s="49"/>
      <c r="B1458" s="81"/>
      <c r="C1458" s="97"/>
      <c r="D1458" s="49"/>
      <c r="E1458" s="49"/>
      <c r="F1458" s="98"/>
      <c r="G1458" s="98"/>
      <c r="H1458" s="97"/>
      <c r="I1458" s="99">
        <f t="shared" si="9"/>
        <v>0</v>
      </c>
      <c r="J1458" s="49"/>
      <c r="K1458" s="49"/>
      <c r="L1458" s="49" t="str">
        <f t="shared" si="8"/>
        <v>EN PROCESO</v>
      </c>
      <c r="M1458" s="49"/>
      <c r="N1458" s="49"/>
    </row>
    <row r="1459" ht="22.5" hidden="1" customHeight="1">
      <c r="A1459" s="101"/>
      <c r="B1459" s="102"/>
      <c r="C1459" s="103"/>
      <c r="D1459" s="101"/>
      <c r="E1459" s="101"/>
      <c r="F1459" s="104"/>
      <c r="G1459" s="104"/>
      <c r="H1459" s="103"/>
      <c r="I1459" s="99">
        <f t="shared" si="9"/>
        <v>0</v>
      </c>
      <c r="J1459" s="101"/>
      <c r="K1459" s="101"/>
      <c r="L1459" s="101" t="str">
        <f t="shared" si="8"/>
        <v>EN PROCESO</v>
      </c>
      <c r="M1459" s="101"/>
      <c r="N1459" s="101"/>
    </row>
    <row r="1460" ht="22.5" hidden="1" customHeight="1">
      <c r="A1460" s="49"/>
      <c r="B1460" s="81"/>
      <c r="C1460" s="97"/>
      <c r="D1460" s="49"/>
      <c r="E1460" s="49"/>
      <c r="F1460" s="98"/>
      <c r="G1460" s="98"/>
      <c r="H1460" s="97"/>
      <c r="I1460" s="99">
        <f t="shared" si="9"/>
        <v>0</v>
      </c>
      <c r="J1460" s="49"/>
      <c r="K1460" s="49"/>
      <c r="L1460" s="49" t="str">
        <f t="shared" si="8"/>
        <v>EN PROCESO</v>
      </c>
      <c r="M1460" s="49"/>
      <c r="N1460" s="49"/>
    </row>
    <row r="1461" ht="22.5" hidden="1" customHeight="1">
      <c r="A1461" s="101"/>
      <c r="B1461" s="102"/>
      <c r="C1461" s="103"/>
      <c r="D1461" s="101"/>
      <c r="E1461" s="101"/>
      <c r="F1461" s="104"/>
      <c r="G1461" s="104"/>
      <c r="H1461" s="103"/>
      <c r="I1461" s="99">
        <f t="shared" si="9"/>
        <v>0</v>
      </c>
      <c r="J1461" s="101"/>
      <c r="K1461" s="101"/>
      <c r="L1461" s="101" t="str">
        <f t="shared" si="8"/>
        <v>EN PROCESO</v>
      </c>
      <c r="M1461" s="101"/>
      <c r="N1461" s="101"/>
    </row>
    <row r="1462" ht="22.5" hidden="1" customHeight="1">
      <c r="A1462" s="49"/>
      <c r="B1462" s="81"/>
      <c r="C1462" s="97"/>
      <c r="D1462" s="49"/>
      <c r="E1462" s="49"/>
      <c r="F1462" s="98"/>
      <c r="G1462" s="98"/>
      <c r="H1462" s="97"/>
      <c r="I1462" s="99">
        <f t="shared" si="9"/>
        <v>0</v>
      </c>
      <c r="J1462" s="49"/>
      <c r="K1462" s="49"/>
      <c r="L1462" s="49" t="str">
        <f t="shared" si="8"/>
        <v>EN PROCESO</v>
      </c>
      <c r="M1462" s="49"/>
      <c r="N1462" s="49"/>
    </row>
    <row r="1463" ht="22.5" hidden="1" customHeight="1">
      <c r="A1463" s="101"/>
      <c r="B1463" s="102"/>
      <c r="C1463" s="103"/>
      <c r="D1463" s="101"/>
      <c r="E1463" s="101"/>
      <c r="F1463" s="104"/>
      <c r="G1463" s="104"/>
      <c r="H1463" s="103"/>
      <c r="I1463" s="99">
        <f t="shared" si="9"/>
        <v>0</v>
      </c>
      <c r="J1463" s="101"/>
      <c r="K1463" s="101"/>
      <c r="L1463" s="101" t="str">
        <f t="shared" si="8"/>
        <v>EN PROCESO</v>
      </c>
      <c r="M1463" s="101"/>
      <c r="N1463" s="101"/>
    </row>
    <row r="1464" ht="22.5" hidden="1" customHeight="1">
      <c r="A1464" s="49"/>
      <c r="B1464" s="81"/>
      <c r="C1464" s="97"/>
      <c r="D1464" s="49"/>
      <c r="E1464" s="49"/>
      <c r="F1464" s="98"/>
      <c r="G1464" s="98"/>
      <c r="H1464" s="97"/>
      <c r="I1464" s="99">
        <f t="shared" si="9"/>
        <v>0</v>
      </c>
      <c r="J1464" s="49"/>
      <c r="K1464" s="49"/>
      <c r="L1464" s="49" t="str">
        <f t="shared" si="8"/>
        <v>EN PROCESO</v>
      </c>
      <c r="M1464" s="49"/>
      <c r="N1464" s="49"/>
    </row>
    <row r="1465" ht="22.5" hidden="1" customHeight="1">
      <c r="A1465" s="101"/>
      <c r="B1465" s="102"/>
      <c r="C1465" s="103"/>
      <c r="D1465" s="101"/>
      <c r="E1465" s="101"/>
      <c r="F1465" s="104"/>
      <c r="G1465" s="104"/>
      <c r="H1465" s="103"/>
      <c r="I1465" s="99">
        <f t="shared" si="9"/>
        <v>0</v>
      </c>
      <c r="J1465" s="101"/>
      <c r="K1465" s="101"/>
      <c r="L1465" s="101" t="str">
        <f t="shared" si="8"/>
        <v>EN PROCESO</v>
      </c>
      <c r="M1465" s="101"/>
      <c r="N1465" s="101"/>
    </row>
    <row r="1466" ht="22.5" hidden="1" customHeight="1">
      <c r="A1466" s="49"/>
      <c r="B1466" s="81"/>
      <c r="C1466" s="97"/>
      <c r="D1466" s="49"/>
      <c r="E1466" s="49"/>
      <c r="F1466" s="98"/>
      <c r="G1466" s="98"/>
      <c r="H1466" s="97"/>
      <c r="I1466" s="99">
        <f t="shared" si="9"/>
        <v>0</v>
      </c>
      <c r="J1466" s="49"/>
      <c r="K1466" s="49"/>
      <c r="L1466" s="49" t="str">
        <f t="shared" si="8"/>
        <v>EN PROCESO</v>
      </c>
      <c r="M1466" s="49"/>
      <c r="N1466" s="49"/>
    </row>
    <row r="1467" ht="22.5" hidden="1" customHeight="1">
      <c r="A1467" s="101"/>
      <c r="B1467" s="102"/>
      <c r="C1467" s="103"/>
      <c r="D1467" s="101"/>
      <c r="E1467" s="101"/>
      <c r="F1467" s="104"/>
      <c r="G1467" s="104"/>
      <c r="H1467" s="103"/>
      <c r="I1467" s="99">
        <f t="shared" si="9"/>
        <v>0</v>
      </c>
      <c r="J1467" s="101"/>
      <c r="K1467" s="101"/>
      <c r="L1467" s="101" t="str">
        <f t="shared" si="8"/>
        <v>EN PROCESO</v>
      </c>
      <c r="M1467" s="101"/>
      <c r="N1467" s="101"/>
    </row>
    <row r="1468" ht="22.5" hidden="1" customHeight="1">
      <c r="A1468" s="49"/>
      <c r="B1468" s="81"/>
      <c r="C1468" s="97"/>
      <c r="D1468" s="49"/>
      <c r="E1468" s="49"/>
      <c r="F1468" s="98"/>
      <c r="G1468" s="98"/>
      <c r="H1468" s="97"/>
      <c r="I1468" s="99">
        <f t="shared" si="9"/>
        <v>0</v>
      </c>
      <c r="J1468" s="49"/>
      <c r="K1468" s="49"/>
      <c r="L1468" s="49" t="str">
        <f t="shared" si="8"/>
        <v>EN PROCESO</v>
      </c>
      <c r="M1468" s="49"/>
      <c r="N1468" s="49"/>
    </row>
    <row r="1469" ht="22.5" hidden="1" customHeight="1">
      <c r="A1469" s="101"/>
      <c r="B1469" s="102"/>
      <c r="C1469" s="103"/>
      <c r="D1469" s="101"/>
      <c r="E1469" s="101"/>
      <c r="F1469" s="104"/>
      <c r="G1469" s="104"/>
      <c r="H1469" s="103"/>
      <c r="I1469" s="99">
        <f t="shared" si="9"/>
        <v>0</v>
      </c>
      <c r="J1469" s="101"/>
      <c r="K1469" s="101"/>
      <c r="L1469" s="101" t="str">
        <f t="shared" si="8"/>
        <v>EN PROCESO</v>
      </c>
      <c r="M1469" s="101"/>
      <c r="N1469" s="101"/>
    </row>
    <row r="1470" ht="22.5" hidden="1" customHeight="1">
      <c r="A1470" s="49"/>
      <c r="B1470" s="81"/>
      <c r="C1470" s="97"/>
      <c r="D1470" s="49"/>
      <c r="E1470" s="49"/>
      <c r="F1470" s="98"/>
      <c r="G1470" s="98"/>
      <c r="H1470" s="97"/>
      <c r="I1470" s="99">
        <f t="shared" si="9"/>
        <v>0</v>
      </c>
      <c r="J1470" s="49"/>
      <c r="K1470" s="49"/>
      <c r="L1470" s="49" t="str">
        <f t="shared" si="8"/>
        <v>EN PROCESO</v>
      </c>
      <c r="M1470" s="49"/>
      <c r="N1470" s="49"/>
    </row>
    <row r="1471" ht="22.5" hidden="1" customHeight="1">
      <c r="A1471" s="101"/>
      <c r="B1471" s="102"/>
      <c r="C1471" s="103"/>
      <c r="D1471" s="101"/>
      <c r="E1471" s="101"/>
      <c r="F1471" s="104"/>
      <c r="G1471" s="104"/>
      <c r="H1471" s="103"/>
      <c r="I1471" s="99">
        <f t="shared" si="9"/>
        <v>0</v>
      </c>
      <c r="J1471" s="101"/>
      <c r="K1471" s="101"/>
      <c r="L1471" s="101" t="str">
        <f t="shared" si="8"/>
        <v>EN PROCESO</v>
      </c>
      <c r="M1471" s="101"/>
      <c r="N1471" s="101"/>
    </row>
    <row r="1472" ht="22.5" hidden="1" customHeight="1">
      <c r="A1472" s="49"/>
      <c r="B1472" s="81"/>
      <c r="C1472" s="97"/>
      <c r="D1472" s="49"/>
      <c r="E1472" s="49"/>
      <c r="F1472" s="98"/>
      <c r="G1472" s="98"/>
      <c r="H1472" s="97"/>
      <c r="I1472" s="99">
        <f t="shared" si="9"/>
        <v>0</v>
      </c>
      <c r="J1472" s="49"/>
      <c r="K1472" s="49"/>
      <c r="L1472" s="49" t="str">
        <f t="shared" si="8"/>
        <v>EN PROCESO</v>
      </c>
      <c r="M1472" s="49"/>
      <c r="N1472" s="49"/>
    </row>
    <row r="1473" ht="22.5" hidden="1" customHeight="1">
      <c r="A1473" s="101"/>
      <c r="B1473" s="102"/>
      <c r="C1473" s="103"/>
      <c r="D1473" s="101"/>
      <c r="E1473" s="101"/>
      <c r="F1473" s="104"/>
      <c r="G1473" s="104"/>
      <c r="H1473" s="103"/>
      <c r="I1473" s="99">
        <f t="shared" si="9"/>
        <v>0</v>
      </c>
      <c r="J1473" s="101"/>
      <c r="K1473" s="101"/>
      <c r="L1473" s="101" t="str">
        <f t="shared" si="8"/>
        <v>EN PROCESO</v>
      </c>
      <c r="M1473" s="101"/>
      <c r="N1473" s="101"/>
    </row>
    <row r="1474" ht="22.5" hidden="1" customHeight="1">
      <c r="A1474" s="49"/>
      <c r="B1474" s="81"/>
      <c r="C1474" s="97"/>
      <c r="D1474" s="49"/>
      <c r="E1474" s="49"/>
      <c r="F1474" s="98"/>
      <c r="G1474" s="98"/>
      <c r="H1474" s="97"/>
      <c r="I1474" s="99">
        <f t="shared" si="9"/>
        <v>0</v>
      </c>
      <c r="J1474" s="49"/>
      <c r="K1474" s="49"/>
      <c r="L1474" s="49" t="str">
        <f t="shared" si="8"/>
        <v>EN PROCESO</v>
      </c>
      <c r="M1474" s="49"/>
      <c r="N1474" s="49"/>
    </row>
    <row r="1475" ht="22.5" hidden="1" customHeight="1">
      <c r="A1475" s="101"/>
      <c r="B1475" s="102"/>
      <c r="C1475" s="103"/>
      <c r="D1475" s="101"/>
      <c r="E1475" s="101"/>
      <c r="F1475" s="104"/>
      <c r="G1475" s="104"/>
      <c r="H1475" s="103"/>
      <c r="I1475" s="99">
        <f t="shared" si="9"/>
        <v>0</v>
      </c>
      <c r="J1475" s="101"/>
      <c r="K1475" s="101"/>
      <c r="L1475" s="101" t="str">
        <f t="shared" si="8"/>
        <v>EN PROCESO</v>
      </c>
      <c r="M1475" s="101"/>
      <c r="N1475" s="101"/>
    </row>
    <row r="1476" ht="22.5" hidden="1" customHeight="1">
      <c r="A1476" s="49"/>
      <c r="B1476" s="81"/>
      <c r="C1476" s="97"/>
      <c r="D1476" s="49"/>
      <c r="E1476" s="49"/>
      <c r="F1476" s="98"/>
      <c r="G1476" s="98"/>
      <c r="H1476" s="97"/>
      <c r="I1476" s="99">
        <f t="shared" si="9"/>
        <v>0</v>
      </c>
      <c r="J1476" s="49"/>
      <c r="K1476" s="49"/>
      <c r="L1476" s="49" t="str">
        <f t="shared" si="8"/>
        <v>EN PROCESO</v>
      </c>
      <c r="M1476" s="49"/>
      <c r="N1476" s="49"/>
    </row>
    <row r="1477" ht="22.5" hidden="1" customHeight="1">
      <c r="A1477" s="101"/>
      <c r="B1477" s="102"/>
      <c r="C1477" s="103"/>
      <c r="D1477" s="101"/>
      <c r="E1477" s="101"/>
      <c r="F1477" s="104"/>
      <c r="G1477" s="104"/>
      <c r="H1477" s="103"/>
      <c r="I1477" s="99">
        <f t="shared" si="9"/>
        <v>0</v>
      </c>
      <c r="J1477" s="101"/>
      <c r="K1477" s="101"/>
      <c r="L1477" s="101" t="str">
        <f t="shared" si="8"/>
        <v>EN PROCESO</v>
      </c>
      <c r="M1477" s="101"/>
      <c r="N1477" s="101"/>
    </row>
    <row r="1478" ht="22.5" hidden="1" customHeight="1">
      <c r="A1478" s="49"/>
      <c r="B1478" s="81"/>
      <c r="C1478" s="97"/>
      <c r="D1478" s="49"/>
      <c r="E1478" s="49"/>
      <c r="F1478" s="98"/>
      <c r="G1478" s="98"/>
      <c r="H1478" s="97"/>
      <c r="I1478" s="99">
        <f t="shared" si="9"/>
        <v>0</v>
      </c>
      <c r="J1478" s="49"/>
      <c r="K1478" s="49"/>
      <c r="L1478" s="49" t="str">
        <f t="shared" si="8"/>
        <v>EN PROCESO</v>
      </c>
      <c r="M1478" s="49"/>
      <c r="N1478" s="49"/>
    </row>
    <row r="1479" ht="22.5" hidden="1" customHeight="1">
      <c r="A1479" s="101"/>
      <c r="B1479" s="102"/>
      <c r="C1479" s="103"/>
      <c r="D1479" s="101"/>
      <c r="E1479" s="101"/>
      <c r="F1479" s="104"/>
      <c r="G1479" s="104"/>
      <c r="H1479" s="103"/>
      <c r="I1479" s="99">
        <f t="shared" si="9"/>
        <v>0</v>
      </c>
      <c r="J1479" s="101"/>
      <c r="K1479" s="101"/>
      <c r="L1479" s="101" t="str">
        <f t="shared" si="8"/>
        <v>EN PROCESO</v>
      </c>
      <c r="M1479" s="101"/>
      <c r="N1479" s="101"/>
    </row>
    <row r="1480" ht="22.5" hidden="1" customHeight="1">
      <c r="A1480" s="49"/>
      <c r="B1480" s="81"/>
      <c r="C1480" s="97"/>
      <c r="D1480" s="49"/>
      <c r="E1480" s="49"/>
      <c r="F1480" s="98"/>
      <c r="G1480" s="98"/>
      <c r="H1480" s="97"/>
      <c r="I1480" s="99">
        <f t="shared" si="9"/>
        <v>0</v>
      </c>
      <c r="J1480" s="49"/>
      <c r="K1480" s="49"/>
      <c r="L1480" s="49" t="str">
        <f t="shared" si="8"/>
        <v>EN PROCESO</v>
      </c>
      <c r="M1480" s="49"/>
      <c r="N1480" s="49"/>
    </row>
    <row r="1481" ht="22.5" hidden="1" customHeight="1">
      <c r="A1481" s="101"/>
      <c r="B1481" s="102"/>
      <c r="C1481" s="103"/>
      <c r="D1481" s="101"/>
      <c r="E1481" s="101"/>
      <c r="F1481" s="104"/>
      <c r="G1481" s="104"/>
      <c r="H1481" s="103"/>
      <c r="I1481" s="99">
        <f t="shared" si="9"/>
        <v>0</v>
      </c>
      <c r="J1481" s="101"/>
      <c r="K1481" s="101"/>
      <c r="L1481" s="101" t="str">
        <f t="shared" si="8"/>
        <v>EN PROCESO</v>
      </c>
      <c r="M1481" s="101"/>
      <c r="N1481" s="101"/>
    </row>
    <row r="1482" ht="22.5" hidden="1" customHeight="1">
      <c r="A1482" s="49"/>
      <c r="B1482" s="81"/>
      <c r="C1482" s="97"/>
      <c r="D1482" s="49"/>
      <c r="E1482" s="49"/>
      <c r="F1482" s="98"/>
      <c r="G1482" s="98"/>
      <c r="H1482" s="97"/>
      <c r="I1482" s="99">
        <f t="shared" si="9"/>
        <v>0</v>
      </c>
      <c r="J1482" s="49"/>
      <c r="K1482" s="49"/>
      <c r="L1482" s="49" t="str">
        <f t="shared" si="8"/>
        <v>EN PROCESO</v>
      </c>
      <c r="M1482" s="49"/>
      <c r="N1482" s="49"/>
    </row>
    <row r="1483" ht="22.5" hidden="1" customHeight="1">
      <c r="A1483" s="101"/>
      <c r="B1483" s="102"/>
      <c r="C1483" s="103"/>
      <c r="D1483" s="101"/>
      <c r="E1483" s="101"/>
      <c r="F1483" s="104"/>
      <c r="G1483" s="104"/>
      <c r="H1483" s="103"/>
      <c r="I1483" s="99">
        <f t="shared" si="9"/>
        <v>0</v>
      </c>
      <c r="J1483" s="101"/>
      <c r="K1483" s="101"/>
      <c r="L1483" s="101" t="str">
        <f t="shared" si="8"/>
        <v>EN PROCESO</v>
      </c>
      <c r="M1483" s="101"/>
      <c r="N1483" s="101"/>
    </row>
    <row r="1484" ht="22.5" hidden="1" customHeight="1">
      <c r="A1484" s="49"/>
      <c r="B1484" s="81"/>
      <c r="C1484" s="97"/>
      <c r="D1484" s="49"/>
      <c r="E1484" s="49"/>
      <c r="F1484" s="98"/>
      <c r="G1484" s="98"/>
      <c r="H1484" s="97"/>
      <c r="I1484" s="99">
        <f t="shared" si="9"/>
        <v>0</v>
      </c>
      <c r="J1484" s="49"/>
      <c r="K1484" s="49"/>
      <c r="L1484" s="49" t="str">
        <f t="shared" si="8"/>
        <v>EN PROCESO</v>
      </c>
      <c r="M1484" s="49"/>
      <c r="N1484" s="49"/>
    </row>
    <row r="1485" ht="22.5" hidden="1" customHeight="1">
      <c r="A1485" s="101"/>
      <c r="B1485" s="102"/>
      <c r="C1485" s="103"/>
      <c r="D1485" s="101"/>
      <c r="E1485" s="101"/>
      <c r="F1485" s="104"/>
      <c r="G1485" s="104"/>
      <c r="H1485" s="103"/>
      <c r="I1485" s="99">
        <f t="shared" si="9"/>
        <v>0</v>
      </c>
      <c r="J1485" s="101"/>
      <c r="K1485" s="101"/>
      <c r="L1485" s="101" t="str">
        <f t="shared" si="8"/>
        <v>EN PROCESO</v>
      </c>
      <c r="M1485" s="101"/>
      <c r="N1485" s="101"/>
    </row>
    <row r="1486" ht="22.5" hidden="1" customHeight="1">
      <c r="A1486" s="49"/>
      <c r="B1486" s="81"/>
      <c r="C1486" s="97"/>
      <c r="D1486" s="49"/>
      <c r="E1486" s="49"/>
      <c r="F1486" s="98"/>
      <c r="G1486" s="98"/>
      <c r="H1486" s="97"/>
      <c r="I1486" s="99">
        <f t="shared" si="9"/>
        <v>0</v>
      </c>
      <c r="J1486" s="49"/>
      <c r="K1486" s="49"/>
      <c r="L1486" s="49" t="str">
        <f t="shared" si="8"/>
        <v>EN PROCESO</v>
      </c>
      <c r="M1486" s="49"/>
      <c r="N1486" s="49"/>
    </row>
    <row r="1487" ht="22.5" hidden="1" customHeight="1">
      <c r="A1487" s="101"/>
      <c r="B1487" s="102"/>
      <c r="C1487" s="103"/>
      <c r="D1487" s="101"/>
      <c r="E1487" s="101"/>
      <c r="F1487" s="104"/>
      <c r="G1487" s="104"/>
      <c r="H1487" s="103"/>
      <c r="I1487" s="99">
        <f t="shared" si="9"/>
        <v>0</v>
      </c>
      <c r="J1487" s="101"/>
      <c r="K1487" s="101"/>
      <c r="L1487" s="101" t="str">
        <f t="shared" si="8"/>
        <v>EN PROCESO</v>
      </c>
      <c r="M1487" s="101"/>
      <c r="N1487" s="101"/>
    </row>
    <row r="1488" ht="22.5" hidden="1" customHeight="1">
      <c r="A1488" s="49"/>
      <c r="B1488" s="81"/>
      <c r="C1488" s="97"/>
      <c r="D1488" s="49"/>
      <c r="E1488" s="49"/>
      <c r="F1488" s="98"/>
      <c r="G1488" s="98"/>
      <c r="H1488" s="97"/>
      <c r="I1488" s="99">
        <f t="shared" si="9"/>
        <v>0</v>
      </c>
      <c r="J1488" s="49"/>
      <c r="K1488" s="49"/>
      <c r="L1488" s="49" t="str">
        <f t="shared" si="8"/>
        <v>EN PROCESO</v>
      </c>
      <c r="M1488" s="49"/>
      <c r="N1488" s="49"/>
    </row>
    <row r="1489" ht="22.5" hidden="1" customHeight="1">
      <c r="A1489" s="101"/>
      <c r="B1489" s="102"/>
      <c r="C1489" s="103"/>
      <c r="D1489" s="101"/>
      <c r="E1489" s="101"/>
      <c r="F1489" s="104"/>
      <c r="G1489" s="104"/>
      <c r="H1489" s="103"/>
      <c r="I1489" s="99">
        <f t="shared" si="9"/>
        <v>0</v>
      </c>
      <c r="J1489" s="101"/>
      <c r="K1489" s="101"/>
      <c r="L1489" s="101" t="str">
        <f t="shared" si="8"/>
        <v>EN PROCESO</v>
      </c>
      <c r="M1489" s="101"/>
      <c r="N1489" s="101"/>
    </row>
    <row r="1490" ht="22.5" hidden="1" customHeight="1">
      <c r="A1490" s="49"/>
      <c r="B1490" s="81"/>
      <c r="C1490" s="97"/>
      <c r="D1490" s="49"/>
      <c r="E1490" s="49"/>
      <c r="F1490" s="98"/>
      <c r="G1490" s="98"/>
      <c r="H1490" s="97"/>
      <c r="I1490" s="99">
        <f t="shared" si="9"/>
        <v>0</v>
      </c>
      <c r="J1490" s="49"/>
      <c r="K1490" s="49"/>
      <c r="L1490" s="49" t="str">
        <f t="shared" si="8"/>
        <v>EN PROCESO</v>
      </c>
      <c r="M1490" s="49"/>
      <c r="N1490" s="49"/>
    </row>
    <row r="1491" ht="22.5" hidden="1" customHeight="1">
      <c r="A1491" s="101"/>
      <c r="B1491" s="102"/>
      <c r="C1491" s="103"/>
      <c r="D1491" s="101"/>
      <c r="E1491" s="101"/>
      <c r="F1491" s="104"/>
      <c r="G1491" s="104"/>
      <c r="H1491" s="103"/>
      <c r="I1491" s="99">
        <f t="shared" si="9"/>
        <v>0</v>
      </c>
      <c r="J1491" s="101"/>
      <c r="K1491" s="101"/>
      <c r="L1491" s="101" t="str">
        <f t="shared" si="8"/>
        <v>EN PROCESO</v>
      </c>
      <c r="M1491" s="101"/>
      <c r="N1491" s="101"/>
    </row>
    <row r="1492" ht="22.5" hidden="1" customHeight="1">
      <c r="A1492" s="49"/>
      <c r="B1492" s="81"/>
      <c r="C1492" s="97"/>
      <c r="D1492" s="49"/>
      <c r="E1492" s="49"/>
      <c r="F1492" s="98"/>
      <c r="G1492" s="98"/>
      <c r="H1492" s="97"/>
      <c r="I1492" s="99">
        <f t="shared" si="9"/>
        <v>0</v>
      </c>
      <c r="J1492" s="49"/>
      <c r="K1492" s="49"/>
      <c r="L1492" s="49" t="str">
        <f t="shared" si="8"/>
        <v>EN PROCESO</v>
      </c>
      <c r="M1492" s="49"/>
      <c r="N1492" s="49"/>
    </row>
    <row r="1493" ht="22.5" hidden="1" customHeight="1">
      <c r="A1493" s="101"/>
      <c r="B1493" s="102"/>
      <c r="C1493" s="103"/>
      <c r="D1493" s="101"/>
      <c r="E1493" s="101"/>
      <c r="F1493" s="104"/>
      <c r="G1493" s="104"/>
      <c r="H1493" s="103"/>
      <c r="I1493" s="99">
        <f t="shared" si="9"/>
        <v>0</v>
      </c>
      <c r="J1493" s="101"/>
      <c r="K1493" s="101"/>
      <c r="L1493" s="101" t="str">
        <f t="shared" si="8"/>
        <v>EN PROCESO</v>
      </c>
      <c r="M1493" s="101"/>
      <c r="N1493" s="101"/>
    </row>
    <row r="1494" ht="22.5" hidden="1" customHeight="1">
      <c r="A1494" s="49"/>
      <c r="B1494" s="81"/>
      <c r="C1494" s="97"/>
      <c r="D1494" s="49"/>
      <c r="E1494" s="49"/>
      <c r="F1494" s="98"/>
      <c r="G1494" s="98"/>
      <c r="H1494" s="97"/>
      <c r="I1494" s="99">
        <f t="shared" si="9"/>
        <v>0</v>
      </c>
      <c r="J1494" s="49"/>
      <c r="K1494" s="49"/>
      <c r="L1494" s="49" t="str">
        <f t="shared" si="8"/>
        <v>EN PROCESO</v>
      </c>
      <c r="M1494" s="49"/>
      <c r="N1494" s="49"/>
    </row>
    <row r="1495" ht="22.5" hidden="1" customHeight="1">
      <c r="A1495" s="101"/>
      <c r="B1495" s="102"/>
      <c r="C1495" s="103"/>
      <c r="D1495" s="101"/>
      <c r="E1495" s="101"/>
      <c r="F1495" s="104"/>
      <c r="G1495" s="104"/>
      <c r="H1495" s="103"/>
      <c r="I1495" s="99">
        <f t="shared" si="9"/>
        <v>0</v>
      </c>
      <c r="J1495" s="101"/>
      <c r="K1495" s="101"/>
      <c r="L1495" s="101" t="str">
        <f t="shared" si="8"/>
        <v>EN PROCESO</v>
      </c>
      <c r="M1495" s="101"/>
      <c r="N1495" s="101"/>
    </row>
    <row r="1496" ht="22.5" hidden="1" customHeight="1">
      <c r="A1496" s="49"/>
      <c r="B1496" s="81"/>
      <c r="C1496" s="97"/>
      <c r="D1496" s="49"/>
      <c r="E1496" s="49"/>
      <c r="F1496" s="98"/>
      <c r="G1496" s="98"/>
      <c r="H1496" s="97"/>
      <c r="I1496" s="99">
        <f t="shared" si="9"/>
        <v>0</v>
      </c>
      <c r="J1496" s="49"/>
      <c r="K1496" s="49"/>
      <c r="L1496" s="49" t="str">
        <f t="shared" si="8"/>
        <v>EN PROCESO</v>
      </c>
      <c r="M1496" s="49"/>
      <c r="N1496" s="49"/>
    </row>
    <row r="1497" ht="22.5" hidden="1" customHeight="1">
      <c r="A1497" s="101"/>
      <c r="B1497" s="102"/>
      <c r="C1497" s="103"/>
      <c r="D1497" s="101"/>
      <c r="E1497" s="101"/>
      <c r="F1497" s="104"/>
      <c r="G1497" s="104"/>
      <c r="H1497" s="103"/>
      <c r="I1497" s="99">
        <f t="shared" si="9"/>
        <v>0</v>
      </c>
      <c r="J1497" s="101"/>
      <c r="K1497" s="101"/>
      <c r="L1497" s="101" t="str">
        <f t="shared" si="8"/>
        <v>EN PROCESO</v>
      </c>
      <c r="M1497" s="101"/>
      <c r="N1497" s="101"/>
    </row>
    <row r="1498" ht="22.5" hidden="1" customHeight="1">
      <c r="A1498" s="49"/>
      <c r="B1498" s="81"/>
      <c r="C1498" s="97"/>
      <c r="D1498" s="49"/>
      <c r="E1498" s="49"/>
      <c r="F1498" s="98"/>
      <c r="G1498" s="98"/>
      <c r="H1498" s="97"/>
      <c r="I1498" s="99">
        <f t="shared" si="9"/>
        <v>0</v>
      </c>
      <c r="J1498" s="49"/>
      <c r="K1498" s="49"/>
      <c r="L1498" s="49" t="str">
        <f t="shared" si="8"/>
        <v>EN PROCESO</v>
      </c>
      <c r="M1498" s="49"/>
      <c r="N1498" s="49"/>
    </row>
    <row r="1499" ht="22.5" hidden="1" customHeight="1">
      <c r="A1499" s="101"/>
      <c r="B1499" s="102"/>
      <c r="C1499" s="103"/>
      <c r="D1499" s="101"/>
      <c r="E1499" s="101"/>
      <c r="F1499" s="104"/>
      <c r="G1499" s="104"/>
      <c r="H1499" s="103"/>
      <c r="I1499" s="99">
        <f t="shared" si="9"/>
        <v>0</v>
      </c>
      <c r="J1499" s="101"/>
      <c r="K1499" s="101"/>
      <c r="L1499" s="101" t="str">
        <f t="shared" si="8"/>
        <v>EN PROCESO</v>
      </c>
      <c r="M1499" s="101"/>
      <c r="N1499" s="101"/>
    </row>
    <row r="1500" ht="22.5" hidden="1" customHeight="1">
      <c r="A1500" s="49"/>
      <c r="B1500" s="81"/>
      <c r="C1500" s="97"/>
      <c r="D1500" s="49"/>
      <c r="E1500" s="49"/>
      <c r="F1500" s="98"/>
      <c r="G1500" s="98"/>
      <c r="H1500" s="97"/>
      <c r="I1500" s="99">
        <f t="shared" si="9"/>
        <v>0</v>
      </c>
      <c r="J1500" s="49"/>
      <c r="K1500" s="49"/>
      <c r="L1500" s="49" t="str">
        <f t="shared" si="8"/>
        <v>EN PROCESO</v>
      </c>
      <c r="M1500" s="49"/>
      <c r="N1500" s="49"/>
    </row>
    <row r="1501" ht="22.5" hidden="1" customHeight="1">
      <c r="A1501" s="101"/>
      <c r="B1501" s="102"/>
      <c r="C1501" s="103"/>
      <c r="D1501" s="101"/>
      <c r="E1501" s="101"/>
      <c r="F1501" s="104"/>
      <c r="G1501" s="104"/>
      <c r="H1501" s="103"/>
      <c r="I1501" s="99">
        <f t="shared" si="9"/>
        <v>0</v>
      </c>
      <c r="J1501" s="101"/>
      <c r="K1501" s="101"/>
      <c r="L1501" s="101" t="str">
        <f t="shared" si="8"/>
        <v>EN PROCESO</v>
      </c>
      <c r="M1501" s="101"/>
      <c r="N1501" s="101"/>
    </row>
    <row r="1502" ht="22.5" hidden="1" customHeight="1">
      <c r="A1502" s="49"/>
      <c r="B1502" s="81"/>
      <c r="C1502" s="97"/>
      <c r="D1502" s="49"/>
      <c r="E1502" s="49"/>
      <c r="F1502" s="98"/>
      <c r="G1502" s="98"/>
      <c r="H1502" s="97"/>
      <c r="I1502" s="99">
        <f t="shared" si="9"/>
        <v>0</v>
      </c>
      <c r="J1502" s="49"/>
      <c r="K1502" s="49"/>
      <c r="L1502" s="49" t="str">
        <f t="shared" si="8"/>
        <v>EN PROCESO</v>
      </c>
      <c r="M1502" s="49"/>
      <c r="N1502" s="49"/>
    </row>
    <row r="1503" ht="22.5" hidden="1" customHeight="1">
      <c r="A1503" s="101"/>
      <c r="B1503" s="102"/>
      <c r="C1503" s="103"/>
      <c r="D1503" s="101"/>
      <c r="E1503" s="101"/>
      <c r="F1503" s="104"/>
      <c r="G1503" s="104"/>
      <c r="H1503" s="103"/>
      <c r="I1503" s="99">
        <f t="shared" si="9"/>
        <v>0</v>
      </c>
      <c r="J1503" s="101"/>
      <c r="K1503" s="101"/>
      <c r="L1503" s="101" t="str">
        <f t="shared" si="8"/>
        <v>EN PROCESO</v>
      </c>
      <c r="M1503" s="101"/>
      <c r="N1503" s="101"/>
    </row>
    <row r="1504" ht="22.5" hidden="1" customHeight="1">
      <c r="A1504" s="49"/>
      <c r="B1504" s="81"/>
      <c r="C1504" s="97"/>
      <c r="D1504" s="49"/>
      <c r="E1504" s="49"/>
      <c r="F1504" s="98"/>
      <c r="G1504" s="98"/>
      <c r="H1504" s="97"/>
      <c r="I1504" s="99">
        <f t="shared" si="9"/>
        <v>0</v>
      </c>
      <c r="J1504" s="49"/>
      <c r="K1504" s="49"/>
      <c r="L1504" s="49" t="str">
        <f t="shared" si="8"/>
        <v>EN PROCESO</v>
      </c>
      <c r="M1504" s="49"/>
      <c r="N1504" s="49"/>
    </row>
    <row r="1505" ht="22.5" hidden="1" customHeight="1">
      <c r="A1505" s="101"/>
      <c r="B1505" s="102"/>
      <c r="C1505" s="103"/>
      <c r="D1505" s="101"/>
      <c r="E1505" s="101"/>
      <c r="F1505" s="104"/>
      <c r="G1505" s="104"/>
      <c r="H1505" s="103"/>
      <c r="I1505" s="99">
        <f t="shared" si="9"/>
        <v>0</v>
      </c>
      <c r="J1505" s="101"/>
      <c r="K1505" s="101"/>
      <c r="L1505" s="101" t="str">
        <f t="shared" si="8"/>
        <v>EN PROCESO</v>
      </c>
      <c r="M1505" s="101"/>
      <c r="N1505" s="101"/>
    </row>
    <row r="1506" ht="22.5" hidden="1" customHeight="1">
      <c r="A1506" s="49"/>
      <c r="B1506" s="81"/>
      <c r="C1506" s="97"/>
      <c r="D1506" s="49"/>
      <c r="E1506" s="49"/>
      <c r="F1506" s="98"/>
      <c r="G1506" s="98"/>
      <c r="H1506" s="97"/>
      <c r="I1506" s="99">
        <f t="shared" si="9"/>
        <v>0</v>
      </c>
      <c r="J1506" s="49"/>
      <c r="K1506" s="49"/>
      <c r="L1506" s="49" t="str">
        <f t="shared" si="8"/>
        <v>EN PROCESO</v>
      </c>
      <c r="M1506" s="49"/>
      <c r="N1506" s="49"/>
    </row>
    <row r="1507" ht="22.5" hidden="1" customHeight="1">
      <c r="A1507" s="101"/>
      <c r="B1507" s="102"/>
      <c r="C1507" s="103"/>
      <c r="D1507" s="101"/>
      <c r="E1507" s="101"/>
      <c r="F1507" s="104"/>
      <c r="G1507" s="104"/>
      <c r="H1507" s="103"/>
      <c r="I1507" s="99">
        <f t="shared" si="9"/>
        <v>0</v>
      </c>
      <c r="J1507" s="101"/>
      <c r="K1507" s="101"/>
      <c r="L1507" s="101" t="str">
        <f t="shared" si="8"/>
        <v>EN PROCESO</v>
      </c>
      <c r="M1507" s="101"/>
      <c r="N1507" s="101"/>
    </row>
    <row r="1508" ht="22.5" hidden="1" customHeight="1">
      <c r="A1508" s="49"/>
      <c r="B1508" s="81"/>
      <c r="C1508" s="97"/>
      <c r="D1508" s="49"/>
      <c r="E1508" s="49"/>
      <c r="F1508" s="98"/>
      <c r="G1508" s="98"/>
      <c r="H1508" s="97"/>
      <c r="I1508" s="99">
        <f t="shared" si="9"/>
        <v>0</v>
      </c>
      <c r="J1508" s="49"/>
      <c r="K1508" s="49"/>
      <c r="L1508" s="49" t="str">
        <f t="shared" si="8"/>
        <v>EN PROCESO</v>
      </c>
      <c r="M1508" s="49"/>
      <c r="N1508" s="49"/>
    </row>
    <row r="1509" ht="22.5" hidden="1" customHeight="1">
      <c r="A1509" s="101"/>
      <c r="B1509" s="102"/>
      <c r="C1509" s="103"/>
      <c r="D1509" s="101"/>
      <c r="E1509" s="101"/>
      <c r="F1509" s="104"/>
      <c r="G1509" s="104"/>
      <c r="H1509" s="103"/>
      <c r="I1509" s="99">
        <f t="shared" si="9"/>
        <v>0</v>
      </c>
      <c r="J1509" s="101"/>
      <c r="K1509" s="101"/>
      <c r="L1509" s="101" t="str">
        <f t="shared" si="8"/>
        <v>EN PROCESO</v>
      </c>
      <c r="M1509" s="101"/>
      <c r="N1509" s="101"/>
    </row>
    <row r="1510" ht="22.5" hidden="1" customHeight="1">
      <c r="A1510" s="49"/>
      <c r="B1510" s="81"/>
      <c r="C1510" s="97"/>
      <c r="D1510" s="49"/>
      <c r="E1510" s="49"/>
      <c r="F1510" s="98"/>
      <c r="G1510" s="98"/>
      <c r="H1510" s="97"/>
      <c r="I1510" s="99">
        <f t="shared" si="9"/>
        <v>0</v>
      </c>
      <c r="J1510" s="49"/>
      <c r="K1510" s="49"/>
      <c r="L1510" s="49" t="str">
        <f t="shared" si="8"/>
        <v>EN PROCESO</v>
      </c>
      <c r="M1510" s="49"/>
      <c r="N1510" s="49"/>
    </row>
    <row r="1511" ht="22.5" hidden="1" customHeight="1">
      <c r="A1511" s="101"/>
      <c r="B1511" s="102"/>
      <c r="C1511" s="103"/>
      <c r="D1511" s="101"/>
      <c r="E1511" s="101"/>
      <c r="F1511" s="104"/>
      <c r="G1511" s="104"/>
      <c r="H1511" s="103"/>
      <c r="I1511" s="99">
        <f t="shared" si="9"/>
        <v>0</v>
      </c>
      <c r="J1511" s="101"/>
      <c r="K1511" s="101"/>
      <c r="L1511" s="101" t="str">
        <f t="shared" si="8"/>
        <v>EN PROCESO</v>
      </c>
      <c r="M1511" s="101"/>
      <c r="N1511" s="101"/>
    </row>
    <row r="1512" ht="22.5" hidden="1" customHeight="1">
      <c r="A1512" s="49"/>
      <c r="B1512" s="81"/>
      <c r="C1512" s="97"/>
      <c r="D1512" s="49"/>
      <c r="E1512" s="49"/>
      <c r="F1512" s="98"/>
      <c r="G1512" s="98"/>
      <c r="H1512" s="97"/>
      <c r="I1512" s="99">
        <f t="shared" si="9"/>
        <v>0</v>
      </c>
      <c r="J1512" s="49"/>
      <c r="K1512" s="49"/>
      <c r="L1512" s="49" t="str">
        <f t="shared" si="8"/>
        <v>EN PROCESO</v>
      </c>
      <c r="M1512" s="49"/>
      <c r="N1512" s="49"/>
    </row>
    <row r="1513" ht="22.5" hidden="1" customHeight="1">
      <c r="A1513" s="101"/>
      <c r="B1513" s="102"/>
      <c r="C1513" s="103"/>
      <c r="D1513" s="101"/>
      <c r="E1513" s="101"/>
      <c r="F1513" s="104"/>
      <c r="G1513" s="104"/>
      <c r="H1513" s="103"/>
      <c r="I1513" s="99">
        <f t="shared" si="9"/>
        <v>0</v>
      </c>
      <c r="J1513" s="101"/>
      <c r="K1513" s="101"/>
      <c r="L1513" s="101" t="str">
        <f t="shared" si="8"/>
        <v>EN PROCESO</v>
      </c>
      <c r="M1513" s="101"/>
      <c r="N1513" s="101"/>
    </row>
    <row r="1514" ht="22.5" hidden="1" customHeight="1">
      <c r="A1514" s="49"/>
      <c r="B1514" s="81"/>
      <c r="C1514" s="97"/>
      <c r="D1514" s="49"/>
      <c r="E1514" s="49"/>
      <c r="F1514" s="98"/>
      <c r="G1514" s="98"/>
      <c r="H1514" s="97"/>
      <c r="I1514" s="99">
        <f t="shared" si="9"/>
        <v>0</v>
      </c>
      <c r="J1514" s="49"/>
      <c r="K1514" s="49"/>
      <c r="L1514" s="49" t="str">
        <f t="shared" si="8"/>
        <v>EN PROCESO</v>
      </c>
      <c r="M1514" s="49"/>
      <c r="N1514" s="49"/>
    </row>
    <row r="1515" ht="22.5" hidden="1" customHeight="1">
      <c r="A1515" s="101"/>
      <c r="B1515" s="102"/>
      <c r="C1515" s="103"/>
      <c r="D1515" s="101"/>
      <c r="E1515" s="101"/>
      <c r="F1515" s="104"/>
      <c r="G1515" s="104"/>
      <c r="H1515" s="103"/>
      <c r="I1515" s="99">
        <f t="shared" si="9"/>
        <v>0</v>
      </c>
      <c r="J1515" s="101"/>
      <c r="K1515" s="101"/>
      <c r="L1515" s="101" t="str">
        <f t="shared" si="8"/>
        <v>EN PROCESO</v>
      </c>
      <c r="M1515" s="101"/>
      <c r="N1515" s="101"/>
    </row>
    <row r="1516" ht="22.5" hidden="1" customHeight="1">
      <c r="A1516" s="49"/>
      <c r="B1516" s="81"/>
      <c r="C1516" s="97"/>
      <c r="D1516" s="49"/>
      <c r="E1516" s="49"/>
      <c r="F1516" s="98"/>
      <c r="G1516" s="98"/>
      <c r="H1516" s="97"/>
      <c r="I1516" s="99">
        <f t="shared" si="9"/>
        <v>0</v>
      </c>
      <c r="J1516" s="49"/>
      <c r="K1516" s="49"/>
      <c r="L1516" s="49" t="str">
        <f t="shared" si="8"/>
        <v>EN PROCESO</v>
      </c>
      <c r="M1516" s="49"/>
      <c r="N1516" s="49"/>
    </row>
    <row r="1517" ht="22.5" hidden="1" customHeight="1">
      <c r="A1517" s="101"/>
      <c r="B1517" s="102"/>
      <c r="C1517" s="103"/>
      <c r="D1517" s="101"/>
      <c r="E1517" s="101"/>
      <c r="F1517" s="104"/>
      <c r="G1517" s="104"/>
      <c r="H1517" s="103"/>
      <c r="I1517" s="99">
        <f t="shared" si="9"/>
        <v>0</v>
      </c>
      <c r="J1517" s="101"/>
      <c r="K1517" s="101"/>
      <c r="L1517" s="101" t="str">
        <f t="shared" si="8"/>
        <v>EN PROCESO</v>
      </c>
      <c r="M1517" s="101"/>
      <c r="N1517" s="101"/>
    </row>
    <row r="1518" ht="22.5" hidden="1" customHeight="1">
      <c r="A1518" s="49"/>
      <c r="B1518" s="81"/>
      <c r="C1518" s="97"/>
      <c r="D1518" s="49"/>
      <c r="E1518" s="49"/>
      <c r="F1518" s="98"/>
      <c r="G1518" s="98"/>
      <c r="H1518" s="97"/>
      <c r="I1518" s="99">
        <f t="shared" si="9"/>
        <v>0</v>
      </c>
      <c r="J1518" s="49"/>
      <c r="K1518" s="49"/>
      <c r="L1518" s="49" t="str">
        <f t="shared" si="8"/>
        <v>EN PROCESO</v>
      </c>
      <c r="M1518" s="49"/>
      <c r="N1518" s="49"/>
    </row>
    <row r="1519" ht="22.5" hidden="1" customHeight="1">
      <c r="A1519" s="101"/>
      <c r="B1519" s="102"/>
      <c r="C1519" s="103"/>
      <c r="D1519" s="101"/>
      <c r="E1519" s="101"/>
      <c r="F1519" s="104"/>
      <c r="G1519" s="104"/>
      <c r="H1519" s="103"/>
      <c r="I1519" s="99">
        <f t="shared" si="9"/>
        <v>0</v>
      </c>
      <c r="J1519" s="101"/>
      <c r="K1519" s="101"/>
      <c r="L1519" s="101" t="str">
        <f t="shared" si="8"/>
        <v>EN PROCESO</v>
      </c>
      <c r="M1519" s="101"/>
      <c r="N1519" s="101"/>
    </row>
    <row r="1520" ht="22.5" hidden="1" customHeight="1">
      <c r="A1520" s="49"/>
      <c r="B1520" s="81"/>
      <c r="C1520" s="97"/>
      <c r="D1520" s="49"/>
      <c r="E1520" s="49"/>
      <c r="F1520" s="98"/>
      <c r="G1520" s="98"/>
      <c r="H1520" s="97"/>
      <c r="I1520" s="99">
        <f t="shared" si="9"/>
        <v>0</v>
      </c>
      <c r="J1520" s="49"/>
      <c r="K1520" s="49"/>
      <c r="L1520" s="49" t="str">
        <f t="shared" si="8"/>
        <v>EN PROCESO</v>
      </c>
      <c r="M1520" s="49"/>
      <c r="N1520" s="49"/>
    </row>
    <row r="1521" ht="22.5" hidden="1" customHeight="1">
      <c r="A1521" s="101"/>
      <c r="B1521" s="102"/>
      <c r="C1521" s="103"/>
      <c r="D1521" s="101"/>
      <c r="E1521" s="101"/>
      <c r="F1521" s="104"/>
      <c r="G1521" s="104"/>
      <c r="H1521" s="103"/>
      <c r="I1521" s="99">
        <f t="shared" si="9"/>
        <v>0</v>
      </c>
      <c r="J1521" s="101"/>
      <c r="K1521" s="101"/>
      <c r="L1521" s="101" t="str">
        <f t="shared" si="8"/>
        <v>EN PROCESO</v>
      </c>
      <c r="M1521" s="101"/>
      <c r="N1521" s="101"/>
    </row>
    <row r="1522" ht="22.5" hidden="1" customHeight="1">
      <c r="A1522" s="49"/>
      <c r="B1522" s="81"/>
      <c r="C1522" s="97"/>
      <c r="D1522" s="49"/>
      <c r="E1522" s="49"/>
      <c r="F1522" s="98"/>
      <c r="G1522" s="98"/>
      <c r="H1522" s="97"/>
      <c r="I1522" s="99">
        <f t="shared" si="9"/>
        <v>0</v>
      </c>
      <c r="J1522" s="49"/>
      <c r="K1522" s="49"/>
      <c r="L1522" s="49" t="str">
        <f t="shared" si="8"/>
        <v>EN PROCESO</v>
      </c>
      <c r="M1522" s="49"/>
      <c r="N1522" s="49"/>
    </row>
    <row r="1523" ht="22.5" hidden="1" customHeight="1">
      <c r="A1523" s="101"/>
      <c r="B1523" s="102"/>
      <c r="C1523" s="103"/>
      <c r="D1523" s="101"/>
      <c r="E1523" s="101"/>
      <c r="F1523" s="104"/>
      <c r="G1523" s="104"/>
      <c r="H1523" s="103"/>
      <c r="I1523" s="99">
        <f t="shared" si="9"/>
        <v>0</v>
      </c>
      <c r="J1523" s="101"/>
      <c r="K1523" s="101"/>
      <c r="L1523" s="101" t="str">
        <f t="shared" si="8"/>
        <v>EN PROCESO</v>
      </c>
      <c r="M1523" s="101"/>
      <c r="N1523" s="101"/>
    </row>
    <row r="1524" ht="22.5" hidden="1" customHeight="1">
      <c r="A1524" s="49"/>
      <c r="B1524" s="81"/>
      <c r="C1524" s="97"/>
      <c r="D1524" s="49"/>
      <c r="E1524" s="49"/>
      <c r="F1524" s="98"/>
      <c r="G1524" s="98"/>
      <c r="H1524" s="97"/>
      <c r="I1524" s="99">
        <f t="shared" si="9"/>
        <v>0</v>
      </c>
      <c r="J1524" s="49"/>
      <c r="K1524" s="49"/>
      <c r="L1524" s="49" t="str">
        <f t="shared" si="8"/>
        <v>EN PROCESO</v>
      </c>
      <c r="M1524" s="49"/>
      <c r="N1524" s="49"/>
    </row>
    <row r="1525" ht="22.5" hidden="1" customHeight="1">
      <c r="A1525" s="101"/>
      <c r="B1525" s="102"/>
      <c r="C1525" s="103"/>
      <c r="D1525" s="101"/>
      <c r="E1525" s="101"/>
      <c r="F1525" s="104"/>
      <c r="G1525" s="104"/>
      <c r="H1525" s="103"/>
      <c r="I1525" s="99">
        <f t="shared" si="9"/>
        <v>0</v>
      </c>
      <c r="J1525" s="101"/>
      <c r="K1525" s="101"/>
      <c r="L1525" s="101" t="str">
        <f t="shared" si="8"/>
        <v>EN PROCESO</v>
      </c>
      <c r="M1525" s="101"/>
      <c r="N1525" s="101"/>
    </row>
    <row r="1526" ht="22.5" hidden="1" customHeight="1">
      <c r="A1526" s="49"/>
      <c r="B1526" s="81"/>
      <c r="C1526" s="97"/>
      <c r="D1526" s="49"/>
      <c r="E1526" s="49"/>
      <c r="F1526" s="98"/>
      <c r="G1526" s="98"/>
      <c r="H1526" s="97"/>
      <c r="I1526" s="99">
        <f t="shared" si="9"/>
        <v>0</v>
      </c>
      <c r="J1526" s="49"/>
      <c r="K1526" s="49"/>
      <c r="L1526" s="49" t="str">
        <f t="shared" si="8"/>
        <v>EN PROCESO</v>
      </c>
      <c r="M1526" s="49"/>
      <c r="N1526" s="49"/>
    </row>
    <row r="1527" ht="22.5" hidden="1" customHeight="1">
      <c r="A1527" s="101"/>
      <c r="B1527" s="102"/>
      <c r="C1527" s="103"/>
      <c r="D1527" s="101"/>
      <c r="E1527" s="101"/>
      <c r="F1527" s="104"/>
      <c r="G1527" s="104"/>
      <c r="H1527" s="103"/>
      <c r="I1527" s="99">
        <f t="shared" si="9"/>
        <v>0</v>
      </c>
      <c r="J1527" s="101"/>
      <c r="K1527" s="101"/>
      <c r="L1527" s="101" t="str">
        <f t="shared" si="8"/>
        <v>EN PROCESO</v>
      </c>
      <c r="M1527" s="101"/>
      <c r="N1527" s="101"/>
    </row>
    <row r="1528" ht="22.5" hidden="1" customHeight="1">
      <c r="A1528" s="49"/>
      <c r="B1528" s="81"/>
      <c r="C1528" s="97"/>
      <c r="D1528" s="49"/>
      <c r="E1528" s="49"/>
      <c r="F1528" s="98"/>
      <c r="G1528" s="98"/>
      <c r="H1528" s="97"/>
      <c r="I1528" s="99">
        <f t="shared" si="9"/>
        <v>0</v>
      </c>
      <c r="J1528" s="49"/>
      <c r="K1528" s="49"/>
      <c r="L1528" s="49" t="str">
        <f t="shared" si="8"/>
        <v>EN PROCESO</v>
      </c>
      <c r="M1528" s="49"/>
      <c r="N1528" s="49"/>
    </row>
    <row r="1529" ht="22.5" hidden="1" customHeight="1">
      <c r="A1529" s="101"/>
      <c r="B1529" s="102"/>
      <c r="C1529" s="103"/>
      <c r="D1529" s="101"/>
      <c r="E1529" s="101"/>
      <c r="F1529" s="104"/>
      <c r="G1529" s="104"/>
      <c r="H1529" s="103"/>
      <c r="I1529" s="99">
        <f t="shared" si="9"/>
        <v>0</v>
      </c>
      <c r="J1529" s="101"/>
      <c r="K1529" s="101"/>
      <c r="L1529" s="101" t="str">
        <f t="shared" si="8"/>
        <v>EN PROCESO</v>
      </c>
      <c r="M1529" s="101"/>
      <c r="N1529" s="101"/>
    </row>
    <row r="1530" ht="22.5" hidden="1" customHeight="1">
      <c r="A1530" s="49"/>
      <c r="B1530" s="81"/>
      <c r="C1530" s="97"/>
      <c r="D1530" s="49"/>
      <c r="E1530" s="49"/>
      <c r="F1530" s="98"/>
      <c r="G1530" s="98"/>
      <c r="H1530" s="97"/>
      <c r="I1530" s="99">
        <f t="shared" si="9"/>
        <v>0</v>
      </c>
      <c r="J1530" s="49"/>
      <c r="K1530" s="49"/>
      <c r="L1530" s="49" t="str">
        <f t="shared" si="8"/>
        <v>EN PROCESO</v>
      </c>
      <c r="M1530" s="49"/>
      <c r="N1530" s="49"/>
    </row>
    <row r="1531" ht="22.5" hidden="1" customHeight="1">
      <c r="A1531" s="101"/>
      <c r="B1531" s="102"/>
      <c r="C1531" s="103"/>
      <c r="D1531" s="101"/>
      <c r="E1531" s="101"/>
      <c r="F1531" s="104"/>
      <c r="G1531" s="104"/>
      <c r="H1531" s="103"/>
      <c r="I1531" s="99">
        <f t="shared" si="9"/>
        <v>0</v>
      </c>
      <c r="J1531" s="101"/>
      <c r="K1531" s="101"/>
      <c r="L1531" s="101" t="str">
        <f t="shared" si="8"/>
        <v>EN PROCESO</v>
      </c>
      <c r="M1531" s="101"/>
      <c r="N1531" s="101"/>
    </row>
    <row r="1532" ht="22.5" hidden="1" customHeight="1">
      <c r="A1532" s="49"/>
      <c r="B1532" s="81"/>
      <c r="C1532" s="97"/>
      <c r="D1532" s="49"/>
      <c r="E1532" s="49"/>
      <c r="F1532" s="98"/>
      <c r="G1532" s="98"/>
      <c r="H1532" s="97"/>
      <c r="I1532" s="99">
        <f t="shared" si="9"/>
        <v>0</v>
      </c>
      <c r="J1532" s="49"/>
      <c r="K1532" s="49"/>
      <c r="L1532" s="49" t="str">
        <f t="shared" si="8"/>
        <v>EN PROCESO</v>
      </c>
      <c r="M1532" s="49"/>
      <c r="N1532" s="49"/>
    </row>
    <row r="1533" ht="22.5" hidden="1" customHeight="1">
      <c r="A1533" s="101"/>
      <c r="B1533" s="102"/>
      <c r="C1533" s="103"/>
      <c r="D1533" s="101"/>
      <c r="E1533" s="101"/>
      <c r="F1533" s="104"/>
      <c r="G1533" s="104"/>
      <c r="H1533" s="103"/>
      <c r="I1533" s="99">
        <f t="shared" si="9"/>
        <v>0</v>
      </c>
      <c r="J1533" s="101"/>
      <c r="K1533" s="101"/>
      <c r="L1533" s="101" t="str">
        <f t="shared" si="8"/>
        <v>EN PROCESO</v>
      </c>
      <c r="M1533" s="101"/>
      <c r="N1533" s="101"/>
    </row>
    <row r="1534" ht="22.5" hidden="1" customHeight="1">
      <c r="A1534" s="49"/>
      <c r="B1534" s="81"/>
      <c r="C1534" s="97"/>
      <c r="D1534" s="49"/>
      <c r="E1534" s="49"/>
      <c r="F1534" s="98"/>
      <c r="G1534" s="98"/>
      <c r="H1534" s="97"/>
      <c r="I1534" s="99">
        <f t="shared" si="9"/>
        <v>0</v>
      </c>
      <c r="J1534" s="49"/>
      <c r="K1534" s="49"/>
      <c r="L1534" s="49" t="str">
        <f t="shared" si="8"/>
        <v>EN PROCESO</v>
      </c>
      <c r="M1534" s="49"/>
      <c r="N1534" s="49"/>
    </row>
    <row r="1535" ht="22.5" hidden="1" customHeight="1">
      <c r="A1535" s="101"/>
      <c r="B1535" s="102"/>
      <c r="C1535" s="103"/>
      <c r="D1535" s="101"/>
      <c r="E1535" s="101"/>
      <c r="F1535" s="104"/>
      <c r="G1535" s="104"/>
      <c r="H1535" s="103"/>
      <c r="I1535" s="99">
        <f t="shared" si="9"/>
        <v>0</v>
      </c>
      <c r="J1535" s="101"/>
      <c r="K1535" s="101"/>
      <c r="L1535" s="101" t="str">
        <f t="shared" si="8"/>
        <v>EN PROCESO</v>
      </c>
      <c r="M1535" s="101"/>
      <c r="N1535" s="101"/>
    </row>
    <row r="1536" ht="22.5" hidden="1" customHeight="1">
      <c r="A1536" s="49"/>
      <c r="B1536" s="81"/>
      <c r="C1536" s="97"/>
      <c r="D1536" s="49"/>
      <c r="E1536" s="49"/>
      <c r="F1536" s="98"/>
      <c r="G1536" s="98"/>
      <c r="H1536" s="97"/>
      <c r="I1536" s="99">
        <f t="shared" si="9"/>
        <v>0</v>
      </c>
      <c r="J1536" s="49"/>
      <c r="K1536" s="49"/>
      <c r="L1536" s="49" t="str">
        <f t="shared" si="8"/>
        <v>EN PROCESO</v>
      </c>
      <c r="M1536" s="49"/>
      <c r="N1536" s="49"/>
    </row>
    <row r="1537" ht="22.5" hidden="1" customHeight="1">
      <c r="A1537" s="101"/>
      <c r="B1537" s="102"/>
      <c r="C1537" s="103"/>
      <c r="D1537" s="101"/>
      <c r="E1537" s="101"/>
      <c r="F1537" s="104"/>
      <c r="G1537" s="104"/>
      <c r="H1537" s="103"/>
      <c r="I1537" s="99">
        <f t="shared" si="9"/>
        <v>0</v>
      </c>
      <c r="J1537" s="101"/>
      <c r="K1537" s="101"/>
      <c r="L1537" s="101" t="str">
        <f t="shared" si="8"/>
        <v>EN PROCESO</v>
      </c>
      <c r="M1537" s="101"/>
      <c r="N1537" s="101"/>
    </row>
    <row r="1538" ht="22.5" hidden="1" customHeight="1">
      <c r="A1538" s="49"/>
      <c r="B1538" s="81"/>
      <c r="C1538" s="97"/>
      <c r="D1538" s="49"/>
      <c r="E1538" s="49"/>
      <c r="F1538" s="98"/>
      <c r="G1538" s="98"/>
      <c r="H1538" s="97"/>
      <c r="I1538" s="99">
        <f t="shared" si="9"/>
        <v>0</v>
      </c>
      <c r="J1538" s="49"/>
      <c r="K1538" s="49"/>
      <c r="L1538" s="49" t="str">
        <f t="shared" si="8"/>
        <v>EN PROCESO</v>
      </c>
      <c r="M1538" s="49"/>
      <c r="N1538" s="49"/>
    </row>
    <row r="1539" ht="22.5" hidden="1" customHeight="1">
      <c r="A1539" s="101"/>
      <c r="B1539" s="102"/>
      <c r="C1539" s="103"/>
      <c r="D1539" s="101"/>
      <c r="E1539" s="101"/>
      <c r="F1539" s="104"/>
      <c r="G1539" s="104"/>
      <c r="H1539" s="103"/>
      <c r="I1539" s="99">
        <f t="shared" si="9"/>
        <v>0</v>
      </c>
      <c r="J1539" s="101"/>
      <c r="K1539" s="101"/>
      <c r="L1539" s="101" t="str">
        <f t="shared" si="8"/>
        <v>EN PROCESO</v>
      </c>
      <c r="M1539" s="101"/>
      <c r="N1539" s="101"/>
    </row>
    <row r="1540" ht="22.5" hidden="1" customHeight="1">
      <c r="A1540" s="49"/>
      <c r="B1540" s="81"/>
      <c r="C1540" s="97"/>
      <c r="D1540" s="49"/>
      <c r="E1540" s="49"/>
      <c r="F1540" s="98"/>
      <c r="G1540" s="98"/>
      <c r="H1540" s="97"/>
      <c r="I1540" s="99">
        <f t="shared" si="9"/>
        <v>0</v>
      </c>
      <c r="J1540" s="49"/>
      <c r="K1540" s="49"/>
      <c r="L1540" s="49" t="str">
        <f t="shared" si="8"/>
        <v>EN PROCESO</v>
      </c>
      <c r="M1540" s="49"/>
      <c r="N1540" s="49"/>
    </row>
    <row r="1541" ht="22.5" hidden="1" customHeight="1">
      <c r="A1541" s="101"/>
      <c r="B1541" s="102"/>
      <c r="C1541" s="103"/>
      <c r="D1541" s="101"/>
      <c r="E1541" s="101"/>
      <c r="F1541" s="104"/>
      <c r="G1541" s="104"/>
      <c r="H1541" s="103"/>
      <c r="I1541" s="99">
        <f t="shared" si="9"/>
        <v>0</v>
      </c>
      <c r="J1541" s="101"/>
      <c r="K1541" s="101"/>
      <c r="L1541" s="101" t="str">
        <f t="shared" si="8"/>
        <v>EN PROCESO</v>
      </c>
      <c r="M1541" s="101"/>
      <c r="N1541" s="101"/>
    </row>
    <row r="1542" ht="22.5" hidden="1" customHeight="1">
      <c r="A1542" s="49"/>
      <c r="B1542" s="81"/>
      <c r="C1542" s="97"/>
      <c r="D1542" s="49"/>
      <c r="E1542" s="49"/>
      <c r="F1542" s="98"/>
      <c r="G1542" s="98"/>
      <c r="H1542" s="97"/>
      <c r="I1542" s="99">
        <f t="shared" si="9"/>
        <v>0</v>
      </c>
      <c r="J1542" s="49"/>
      <c r="K1542" s="49"/>
      <c r="L1542" s="49" t="str">
        <f t="shared" si="8"/>
        <v>EN PROCESO</v>
      </c>
      <c r="M1542" s="49"/>
      <c r="N1542" s="49"/>
    </row>
    <row r="1543" ht="22.5" hidden="1" customHeight="1">
      <c r="A1543" s="101"/>
      <c r="B1543" s="102"/>
      <c r="C1543" s="103"/>
      <c r="D1543" s="101"/>
      <c r="E1543" s="101"/>
      <c r="F1543" s="104"/>
      <c r="G1543" s="104"/>
      <c r="H1543" s="103"/>
      <c r="I1543" s="99">
        <f t="shared" si="9"/>
        <v>0</v>
      </c>
      <c r="J1543" s="101"/>
      <c r="K1543" s="101"/>
      <c r="L1543" s="101" t="str">
        <f t="shared" si="8"/>
        <v>EN PROCESO</v>
      </c>
      <c r="M1543" s="101"/>
      <c r="N1543" s="101"/>
    </row>
    <row r="1544" ht="22.5" hidden="1" customHeight="1">
      <c r="A1544" s="49"/>
      <c r="B1544" s="81"/>
      <c r="C1544" s="97"/>
      <c r="D1544" s="49"/>
      <c r="E1544" s="49"/>
      <c r="F1544" s="98"/>
      <c r="G1544" s="98"/>
      <c r="H1544" s="97"/>
      <c r="I1544" s="99">
        <f t="shared" si="9"/>
        <v>0</v>
      </c>
      <c r="J1544" s="49"/>
      <c r="K1544" s="49"/>
      <c r="L1544" s="49" t="str">
        <f t="shared" si="8"/>
        <v>EN PROCESO</v>
      </c>
      <c r="M1544" s="49"/>
      <c r="N1544" s="49"/>
    </row>
    <row r="1545" ht="22.5" hidden="1" customHeight="1">
      <c r="A1545" s="101"/>
      <c r="B1545" s="102"/>
      <c r="C1545" s="103"/>
      <c r="D1545" s="101"/>
      <c r="E1545" s="101"/>
      <c r="F1545" s="104"/>
      <c r="G1545" s="104"/>
      <c r="H1545" s="103"/>
      <c r="I1545" s="99">
        <f t="shared" si="9"/>
        <v>0</v>
      </c>
      <c r="J1545" s="101"/>
      <c r="K1545" s="101"/>
      <c r="L1545" s="101" t="str">
        <f t="shared" si="8"/>
        <v>EN PROCESO</v>
      </c>
      <c r="M1545" s="101"/>
      <c r="N1545" s="101"/>
    </row>
    <row r="1546" ht="22.5" hidden="1" customHeight="1">
      <c r="A1546" s="49"/>
      <c r="B1546" s="81"/>
      <c r="C1546" s="97"/>
      <c r="D1546" s="49"/>
      <c r="E1546" s="49"/>
      <c r="F1546" s="98"/>
      <c r="G1546" s="98"/>
      <c r="H1546" s="97"/>
      <c r="I1546" s="99">
        <f t="shared" si="9"/>
        <v>0</v>
      </c>
      <c r="J1546" s="49"/>
      <c r="K1546" s="49"/>
      <c r="L1546" s="49" t="str">
        <f t="shared" si="8"/>
        <v>EN PROCESO</v>
      </c>
      <c r="M1546" s="49"/>
      <c r="N1546" s="49"/>
    </row>
    <row r="1547" ht="22.5" hidden="1" customHeight="1">
      <c r="A1547" s="101"/>
      <c r="B1547" s="102"/>
      <c r="C1547" s="103"/>
      <c r="D1547" s="101"/>
      <c r="E1547" s="101"/>
      <c r="F1547" s="104"/>
      <c r="G1547" s="104"/>
      <c r="H1547" s="103"/>
      <c r="I1547" s="99">
        <f t="shared" si="9"/>
        <v>0</v>
      </c>
      <c r="J1547" s="101"/>
      <c r="K1547" s="101"/>
      <c r="L1547" s="101" t="str">
        <f t="shared" si="8"/>
        <v>EN PROCESO</v>
      </c>
      <c r="M1547" s="101"/>
      <c r="N1547" s="101"/>
    </row>
    <row r="1548" ht="22.5" hidden="1" customHeight="1">
      <c r="A1548" s="49"/>
      <c r="B1548" s="81"/>
      <c r="C1548" s="97"/>
      <c r="D1548" s="49"/>
      <c r="E1548" s="49"/>
      <c r="F1548" s="98"/>
      <c r="G1548" s="98"/>
      <c r="H1548" s="97"/>
      <c r="I1548" s="99">
        <f t="shared" si="9"/>
        <v>0</v>
      </c>
      <c r="J1548" s="49"/>
      <c r="K1548" s="49"/>
      <c r="L1548" s="49" t="str">
        <f t="shared" si="8"/>
        <v>EN PROCESO</v>
      </c>
      <c r="M1548" s="49"/>
      <c r="N1548" s="49"/>
    </row>
    <row r="1549" ht="22.5" hidden="1" customHeight="1">
      <c r="A1549" s="101"/>
      <c r="B1549" s="102"/>
      <c r="C1549" s="103"/>
      <c r="D1549" s="101"/>
      <c r="E1549" s="101"/>
      <c r="F1549" s="104"/>
      <c r="G1549" s="104"/>
      <c r="H1549" s="103"/>
      <c r="I1549" s="99">
        <f t="shared" si="9"/>
        <v>0</v>
      </c>
      <c r="J1549" s="101"/>
      <c r="K1549" s="101"/>
      <c r="L1549" s="101" t="str">
        <f t="shared" si="8"/>
        <v>EN PROCESO</v>
      </c>
      <c r="M1549" s="101"/>
      <c r="N1549" s="101"/>
    </row>
    <row r="1550" ht="22.5" hidden="1" customHeight="1">
      <c r="A1550" s="49"/>
      <c r="B1550" s="81"/>
      <c r="C1550" s="97"/>
      <c r="D1550" s="49"/>
      <c r="E1550" s="49"/>
      <c r="F1550" s="98"/>
      <c r="G1550" s="98"/>
      <c r="H1550" s="97"/>
      <c r="I1550" s="99">
        <f t="shared" si="9"/>
        <v>0</v>
      </c>
      <c r="J1550" s="49"/>
      <c r="K1550" s="49"/>
      <c r="L1550" s="49" t="str">
        <f t="shared" si="8"/>
        <v>EN PROCESO</v>
      </c>
      <c r="M1550" s="49"/>
      <c r="N1550" s="49"/>
    </row>
    <row r="1551" ht="22.5" hidden="1" customHeight="1">
      <c r="A1551" s="101"/>
      <c r="B1551" s="102"/>
      <c r="C1551" s="103"/>
      <c r="D1551" s="101"/>
      <c r="E1551" s="101"/>
      <c r="F1551" s="104"/>
      <c r="G1551" s="104"/>
      <c r="H1551" s="103"/>
      <c r="I1551" s="99">
        <f t="shared" si="9"/>
        <v>0</v>
      </c>
      <c r="J1551" s="101"/>
      <c r="K1551" s="101"/>
      <c r="L1551" s="101" t="str">
        <f t="shared" si="8"/>
        <v>EN PROCESO</v>
      </c>
      <c r="M1551" s="101"/>
      <c r="N1551" s="101"/>
    </row>
    <row r="1552" ht="22.5" hidden="1" customHeight="1">
      <c r="A1552" s="49"/>
      <c r="B1552" s="81"/>
      <c r="C1552" s="97"/>
      <c r="D1552" s="49"/>
      <c r="E1552" s="49"/>
      <c r="F1552" s="98"/>
      <c r="G1552" s="98"/>
      <c r="H1552" s="97"/>
      <c r="I1552" s="99">
        <f t="shared" si="9"/>
        <v>0</v>
      </c>
      <c r="J1552" s="49"/>
      <c r="K1552" s="49"/>
      <c r="L1552" s="49" t="str">
        <f t="shared" si="8"/>
        <v>EN PROCESO</v>
      </c>
      <c r="M1552" s="49"/>
      <c r="N1552" s="49"/>
    </row>
    <row r="1553" ht="22.5" hidden="1" customHeight="1">
      <c r="A1553" s="101"/>
      <c r="B1553" s="102"/>
      <c r="C1553" s="103"/>
      <c r="D1553" s="101"/>
      <c r="E1553" s="101"/>
      <c r="F1553" s="104"/>
      <c r="G1553" s="104"/>
      <c r="H1553" s="103"/>
      <c r="I1553" s="99">
        <f t="shared" si="9"/>
        <v>0</v>
      </c>
      <c r="J1553" s="101"/>
      <c r="K1553" s="101"/>
      <c r="L1553" s="101" t="str">
        <f t="shared" si="8"/>
        <v>EN PROCESO</v>
      </c>
      <c r="M1553" s="101"/>
      <c r="N1553" s="101"/>
    </row>
    <row r="1554" ht="22.5" hidden="1" customHeight="1">
      <c r="A1554" s="49"/>
      <c r="B1554" s="81"/>
      <c r="C1554" s="97"/>
      <c r="D1554" s="49"/>
      <c r="E1554" s="49"/>
      <c r="F1554" s="98"/>
      <c r="G1554" s="98"/>
      <c r="H1554" s="97"/>
      <c r="I1554" s="99">
        <f t="shared" si="9"/>
        <v>0</v>
      </c>
      <c r="J1554" s="49"/>
      <c r="K1554" s="49"/>
      <c r="L1554" s="49" t="str">
        <f t="shared" si="8"/>
        <v>EN PROCESO</v>
      </c>
      <c r="M1554" s="49"/>
      <c r="N1554" s="49"/>
    </row>
    <row r="1555" ht="22.5" hidden="1" customHeight="1">
      <c r="A1555" s="101"/>
      <c r="B1555" s="102"/>
      <c r="C1555" s="103"/>
      <c r="D1555" s="101"/>
      <c r="E1555" s="101"/>
      <c r="F1555" s="104"/>
      <c r="G1555" s="104"/>
      <c r="H1555" s="103"/>
      <c r="I1555" s="99">
        <f t="shared" si="9"/>
        <v>0</v>
      </c>
      <c r="J1555" s="101"/>
      <c r="K1555" s="101"/>
      <c r="L1555" s="101" t="str">
        <f t="shared" si="8"/>
        <v>EN PROCESO</v>
      </c>
      <c r="M1555" s="101"/>
      <c r="N1555" s="101"/>
    </row>
    <row r="1556" ht="22.5" hidden="1" customHeight="1">
      <c r="A1556" s="49"/>
      <c r="B1556" s="81"/>
      <c r="C1556" s="97"/>
      <c r="D1556" s="49"/>
      <c r="E1556" s="49"/>
      <c r="F1556" s="98"/>
      <c r="G1556" s="98"/>
      <c r="H1556" s="97"/>
      <c r="I1556" s="99">
        <f t="shared" si="9"/>
        <v>0</v>
      </c>
      <c r="J1556" s="49"/>
      <c r="K1556" s="49"/>
      <c r="L1556" s="49" t="str">
        <f t="shared" si="8"/>
        <v>EN PROCESO</v>
      </c>
      <c r="M1556" s="49"/>
      <c r="N1556" s="49"/>
    </row>
    <row r="1557" ht="22.5" hidden="1" customHeight="1">
      <c r="A1557" s="101"/>
      <c r="B1557" s="102"/>
      <c r="C1557" s="103"/>
      <c r="D1557" s="101"/>
      <c r="E1557" s="101"/>
      <c r="F1557" s="104"/>
      <c r="G1557" s="104"/>
      <c r="H1557" s="103"/>
      <c r="I1557" s="99">
        <f t="shared" si="9"/>
        <v>0</v>
      </c>
      <c r="J1557" s="101"/>
      <c r="K1557" s="101"/>
      <c r="L1557" s="101" t="str">
        <f t="shared" si="8"/>
        <v>EN PROCESO</v>
      </c>
      <c r="M1557" s="101"/>
      <c r="N1557" s="101"/>
    </row>
    <row r="1558" ht="22.5" hidden="1" customHeight="1">
      <c r="A1558" s="49"/>
      <c r="B1558" s="81"/>
      <c r="C1558" s="97"/>
      <c r="D1558" s="49"/>
      <c r="E1558" s="49"/>
      <c r="F1558" s="98"/>
      <c r="G1558" s="98"/>
      <c r="H1558" s="97"/>
      <c r="I1558" s="99">
        <f t="shared" si="9"/>
        <v>0</v>
      </c>
      <c r="J1558" s="49"/>
      <c r="K1558" s="49"/>
      <c r="L1558" s="49" t="str">
        <f t="shared" si="8"/>
        <v>EN PROCESO</v>
      </c>
      <c r="M1558" s="49"/>
      <c r="N1558" s="49"/>
    </row>
    <row r="1559" ht="22.5" hidden="1" customHeight="1">
      <c r="A1559" s="101"/>
      <c r="B1559" s="102"/>
      <c r="C1559" s="103"/>
      <c r="D1559" s="101"/>
      <c r="E1559" s="101"/>
      <c r="F1559" s="104"/>
      <c r="G1559" s="104"/>
      <c r="H1559" s="103"/>
      <c r="I1559" s="99">
        <f t="shared" si="9"/>
        <v>0</v>
      </c>
      <c r="J1559" s="101"/>
      <c r="K1559" s="101"/>
      <c r="L1559" s="101" t="str">
        <f t="shared" si="8"/>
        <v>EN PROCESO</v>
      </c>
      <c r="M1559" s="101"/>
      <c r="N1559" s="101"/>
    </row>
    <row r="1560" ht="22.5" hidden="1" customHeight="1">
      <c r="A1560" s="49"/>
      <c r="B1560" s="81"/>
      <c r="C1560" s="97"/>
      <c r="D1560" s="49"/>
      <c r="E1560" s="49"/>
      <c r="F1560" s="98"/>
      <c r="G1560" s="98"/>
      <c r="H1560" s="97"/>
      <c r="I1560" s="99">
        <f t="shared" si="9"/>
        <v>0</v>
      </c>
      <c r="J1560" s="49"/>
      <c r="K1560" s="49"/>
      <c r="L1560" s="49" t="str">
        <f t="shared" si="8"/>
        <v>EN PROCESO</v>
      </c>
      <c r="M1560" s="49"/>
      <c r="N1560" s="49"/>
    </row>
    <row r="1561" ht="22.5" hidden="1" customHeight="1">
      <c r="A1561" s="101"/>
      <c r="B1561" s="102"/>
      <c r="C1561" s="103"/>
      <c r="D1561" s="101"/>
      <c r="E1561" s="101"/>
      <c r="F1561" s="104"/>
      <c r="G1561" s="104"/>
      <c r="H1561" s="103"/>
      <c r="I1561" s="99">
        <f t="shared" si="9"/>
        <v>0</v>
      </c>
      <c r="J1561" s="101"/>
      <c r="K1561" s="101"/>
      <c r="L1561" s="101" t="str">
        <f t="shared" si="8"/>
        <v>EN PROCESO</v>
      </c>
      <c r="M1561" s="101"/>
      <c r="N1561" s="101"/>
    </row>
    <row r="1562" ht="22.5" hidden="1" customHeight="1">
      <c r="A1562" s="49"/>
      <c r="B1562" s="81"/>
      <c r="C1562" s="97"/>
      <c r="D1562" s="49"/>
      <c r="E1562" s="49"/>
      <c r="F1562" s="98"/>
      <c r="G1562" s="98"/>
      <c r="H1562" s="97"/>
      <c r="I1562" s="99">
        <f t="shared" si="9"/>
        <v>0</v>
      </c>
      <c r="J1562" s="49"/>
      <c r="K1562" s="49"/>
      <c r="L1562" s="49" t="str">
        <f t="shared" si="8"/>
        <v>EN PROCESO</v>
      </c>
      <c r="M1562" s="49"/>
      <c r="N1562" s="49"/>
    </row>
    <row r="1563" ht="22.5" hidden="1" customHeight="1">
      <c r="A1563" s="101"/>
      <c r="B1563" s="102"/>
      <c r="C1563" s="103"/>
      <c r="D1563" s="101"/>
      <c r="E1563" s="101"/>
      <c r="F1563" s="104"/>
      <c r="G1563" s="104"/>
      <c r="H1563" s="103"/>
      <c r="I1563" s="99">
        <f t="shared" si="9"/>
        <v>0</v>
      </c>
      <c r="J1563" s="101"/>
      <c r="K1563" s="101"/>
      <c r="L1563" s="101" t="str">
        <f t="shared" si="8"/>
        <v>EN PROCESO</v>
      </c>
      <c r="M1563" s="101"/>
      <c r="N1563" s="101"/>
    </row>
    <row r="1564" ht="22.5" hidden="1" customHeight="1">
      <c r="A1564" s="49"/>
      <c r="B1564" s="81"/>
      <c r="C1564" s="97"/>
      <c r="D1564" s="49"/>
      <c r="E1564" s="49"/>
      <c r="F1564" s="98"/>
      <c r="G1564" s="98"/>
      <c r="H1564" s="97"/>
      <c r="I1564" s="99">
        <f t="shared" si="9"/>
        <v>0</v>
      </c>
      <c r="J1564" s="49"/>
      <c r="K1564" s="49"/>
      <c r="L1564" s="49" t="str">
        <f t="shared" si="8"/>
        <v>EN PROCESO</v>
      </c>
      <c r="M1564" s="49"/>
      <c r="N1564" s="49"/>
    </row>
    <row r="1565" ht="22.5" hidden="1" customHeight="1">
      <c r="A1565" s="101"/>
      <c r="B1565" s="102"/>
      <c r="C1565" s="103"/>
      <c r="D1565" s="101"/>
      <c r="E1565" s="101"/>
      <c r="F1565" s="104"/>
      <c r="G1565" s="104"/>
      <c r="H1565" s="103"/>
      <c r="I1565" s="99">
        <f t="shared" si="9"/>
        <v>0</v>
      </c>
      <c r="J1565" s="101"/>
      <c r="K1565" s="101"/>
      <c r="L1565" s="101" t="str">
        <f t="shared" si="8"/>
        <v>EN PROCESO</v>
      </c>
      <c r="M1565" s="101"/>
      <c r="N1565" s="101"/>
    </row>
    <row r="1566" ht="22.5" hidden="1" customHeight="1">
      <c r="A1566" s="49"/>
      <c r="B1566" s="81"/>
      <c r="C1566" s="97"/>
      <c r="D1566" s="49"/>
      <c r="E1566" s="49"/>
      <c r="F1566" s="98"/>
      <c r="G1566" s="98"/>
      <c r="H1566" s="97"/>
      <c r="I1566" s="99">
        <f t="shared" si="9"/>
        <v>0</v>
      </c>
      <c r="J1566" s="49"/>
      <c r="K1566" s="49"/>
      <c r="L1566" s="49" t="str">
        <f t="shared" si="8"/>
        <v>EN PROCESO</v>
      </c>
      <c r="M1566" s="49"/>
      <c r="N1566" s="49"/>
    </row>
    <row r="1567" ht="22.5" hidden="1" customHeight="1">
      <c r="A1567" s="101"/>
      <c r="B1567" s="102"/>
      <c r="C1567" s="103"/>
      <c r="D1567" s="101"/>
      <c r="E1567" s="101"/>
      <c r="F1567" s="104"/>
      <c r="G1567" s="104"/>
      <c r="H1567" s="103"/>
      <c r="I1567" s="99">
        <f t="shared" si="9"/>
        <v>0</v>
      </c>
      <c r="J1567" s="101"/>
      <c r="K1567" s="101"/>
      <c r="L1567" s="101" t="str">
        <f t="shared" si="8"/>
        <v>EN PROCESO</v>
      </c>
      <c r="M1567" s="101"/>
      <c r="N1567" s="101"/>
    </row>
    <row r="1568" ht="22.5" hidden="1" customHeight="1">
      <c r="A1568" s="49"/>
      <c r="B1568" s="81"/>
      <c r="C1568" s="97"/>
      <c r="D1568" s="49"/>
      <c r="E1568" s="49"/>
      <c r="F1568" s="98"/>
      <c r="G1568" s="98"/>
      <c r="H1568" s="97"/>
      <c r="I1568" s="99">
        <f t="shared" si="9"/>
        <v>0</v>
      </c>
      <c r="J1568" s="49"/>
      <c r="K1568" s="49"/>
      <c r="L1568" s="49" t="str">
        <f t="shared" si="8"/>
        <v>EN PROCESO</v>
      </c>
      <c r="M1568" s="49"/>
      <c r="N1568" s="49"/>
    </row>
    <row r="1569" ht="22.5" hidden="1" customHeight="1">
      <c r="A1569" s="101"/>
      <c r="B1569" s="102"/>
      <c r="C1569" s="103"/>
      <c r="D1569" s="101"/>
      <c r="E1569" s="101"/>
      <c r="F1569" s="104"/>
      <c r="G1569" s="104"/>
      <c r="H1569" s="103"/>
      <c r="I1569" s="99">
        <f t="shared" si="9"/>
        <v>0</v>
      </c>
      <c r="J1569" s="101"/>
      <c r="K1569" s="101"/>
      <c r="L1569" s="101" t="str">
        <f t="shared" si="8"/>
        <v>EN PROCESO</v>
      </c>
      <c r="M1569" s="101"/>
      <c r="N1569" s="101"/>
    </row>
    <row r="1570" ht="22.5" hidden="1" customHeight="1">
      <c r="A1570" s="49"/>
      <c r="B1570" s="81"/>
      <c r="C1570" s="97"/>
      <c r="D1570" s="49"/>
      <c r="E1570" s="49"/>
      <c r="F1570" s="98"/>
      <c r="G1570" s="98"/>
      <c r="H1570" s="97"/>
      <c r="I1570" s="99">
        <f t="shared" si="9"/>
        <v>0</v>
      </c>
      <c r="J1570" s="49"/>
      <c r="K1570" s="49"/>
      <c r="L1570" s="49" t="str">
        <f t="shared" si="8"/>
        <v>EN PROCESO</v>
      </c>
      <c r="M1570" s="49"/>
      <c r="N1570" s="49"/>
    </row>
    <row r="1571" ht="22.5" hidden="1" customHeight="1">
      <c r="A1571" s="101"/>
      <c r="B1571" s="102"/>
      <c r="C1571" s="103"/>
      <c r="D1571" s="101"/>
      <c r="E1571" s="101"/>
      <c r="F1571" s="104"/>
      <c r="G1571" s="104"/>
      <c r="H1571" s="103"/>
      <c r="I1571" s="99">
        <f t="shared" si="9"/>
        <v>0</v>
      </c>
      <c r="J1571" s="101"/>
      <c r="K1571" s="101"/>
      <c r="L1571" s="101" t="str">
        <f t="shared" si="8"/>
        <v>EN PROCESO</v>
      </c>
      <c r="M1571" s="101"/>
      <c r="N1571" s="101"/>
    </row>
    <row r="1572" ht="22.5" hidden="1" customHeight="1">
      <c r="A1572" s="49"/>
      <c r="B1572" s="81"/>
      <c r="C1572" s="97"/>
      <c r="D1572" s="49"/>
      <c r="E1572" s="49"/>
      <c r="F1572" s="98"/>
      <c r="G1572" s="98"/>
      <c r="H1572" s="97"/>
      <c r="I1572" s="99">
        <f t="shared" si="9"/>
        <v>0</v>
      </c>
      <c r="J1572" s="49"/>
      <c r="K1572" s="49"/>
      <c r="L1572" s="49" t="str">
        <f t="shared" si="8"/>
        <v>EN PROCESO</v>
      </c>
      <c r="M1572" s="49"/>
      <c r="N1572" s="49"/>
    </row>
    <row r="1573" ht="22.5" hidden="1" customHeight="1">
      <c r="A1573" s="101"/>
      <c r="B1573" s="102"/>
      <c r="C1573" s="103"/>
      <c r="D1573" s="101"/>
      <c r="E1573" s="101"/>
      <c r="F1573" s="104"/>
      <c r="G1573" s="104"/>
      <c r="H1573" s="103"/>
      <c r="I1573" s="99">
        <f t="shared" si="9"/>
        <v>0</v>
      </c>
      <c r="J1573" s="101"/>
      <c r="K1573" s="101"/>
      <c r="L1573" s="101" t="str">
        <f t="shared" si="8"/>
        <v>EN PROCESO</v>
      </c>
      <c r="M1573" s="101"/>
      <c r="N1573" s="101"/>
    </row>
    <row r="1574" ht="22.5" hidden="1" customHeight="1">
      <c r="A1574" s="49"/>
      <c r="B1574" s="81"/>
      <c r="C1574" s="97"/>
      <c r="D1574" s="49"/>
      <c r="E1574" s="49"/>
      <c r="F1574" s="98"/>
      <c r="G1574" s="98"/>
      <c r="H1574" s="97"/>
      <c r="I1574" s="99">
        <f t="shared" si="9"/>
        <v>0</v>
      </c>
      <c r="J1574" s="49"/>
      <c r="K1574" s="49"/>
      <c r="L1574" s="49" t="str">
        <f t="shared" si="8"/>
        <v>EN PROCESO</v>
      </c>
      <c r="M1574" s="49"/>
      <c r="N1574" s="49"/>
    </row>
    <row r="1575" ht="22.5" hidden="1" customHeight="1">
      <c r="A1575" s="101"/>
      <c r="B1575" s="102"/>
      <c r="C1575" s="103"/>
      <c r="D1575" s="101"/>
      <c r="E1575" s="101"/>
      <c r="F1575" s="104"/>
      <c r="G1575" s="104"/>
      <c r="H1575" s="103"/>
      <c r="I1575" s="99">
        <f t="shared" si="9"/>
        <v>0</v>
      </c>
      <c r="J1575" s="101"/>
      <c r="K1575" s="101"/>
      <c r="L1575" s="101" t="str">
        <f t="shared" si="8"/>
        <v>EN PROCESO</v>
      </c>
      <c r="M1575" s="101"/>
      <c r="N1575" s="101"/>
    </row>
    <row r="1576" ht="22.5" hidden="1" customHeight="1">
      <c r="A1576" s="49"/>
      <c r="B1576" s="81"/>
      <c r="C1576" s="97"/>
      <c r="D1576" s="49"/>
      <c r="E1576" s="49"/>
      <c r="F1576" s="98"/>
      <c r="G1576" s="98"/>
      <c r="H1576" s="97"/>
      <c r="I1576" s="99">
        <f t="shared" si="9"/>
        <v>0</v>
      </c>
      <c r="J1576" s="49"/>
      <c r="K1576" s="49"/>
      <c r="L1576" s="49" t="str">
        <f t="shared" si="8"/>
        <v>EN PROCESO</v>
      </c>
      <c r="M1576" s="49"/>
      <c r="N1576" s="49"/>
    </row>
    <row r="1577" ht="22.5" hidden="1" customHeight="1">
      <c r="A1577" s="101"/>
      <c r="B1577" s="102"/>
      <c r="C1577" s="103"/>
      <c r="D1577" s="101"/>
      <c r="E1577" s="101"/>
      <c r="F1577" s="104"/>
      <c r="G1577" s="104"/>
      <c r="H1577" s="103"/>
      <c r="I1577" s="99">
        <f t="shared" si="9"/>
        <v>0</v>
      </c>
      <c r="J1577" s="101"/>
      <c r="K1577" s="101"/>
      <c r="L1577" s="101" t="str">
        <f t="shared" si="8"/>
        <v>EN PROCESO</v>
      </c>
      <c r="M1577" s="101"/>
      <c r="N1577" s="101"/>
    </row>
    <row r="1578" ht="22.5" hidden="1" customHeight="1">
      <c r="A1578" s="49"/>
      <c r="B1578" s="81"/>
      <c r="C1578" s="97"/>
      <c r="D1578" s="49"/>
      <c r="E1578" s="49"/>
      <c r="F1578" s="98"/>
      <c r="G1578" s="98"/>
      <c r="H1578" s="97"/>
      <c r="I1578" s="99">
        <f t="shared" si="9"/>
        <v>0</v>
      </c>
      <c r="J1578" s="49"/>
      <c r="K1578" s="49"/>
      <c r="L1578" s="49" t="str">
        <f t="shared" si="8"/>
        <v>EN PROCESO</v>
      </c>
      <c r="M1578" s="49"/>
      <c r="N1578" s="49"/>
    </row>
    <row r="1579" ht="22.5" hidden="1" customHeight="1">
      <c r="A1579" s="101"/>
      <c r="B1579" s="102"/>
      <c r="C1579" s="103"/>
      <c r="D1579" s="101"/>
      <c r="E1579" s="101"/>
      <c r="F1579" s="104"/>
      <c r="G1579" s="104"/>
      <c r="H1579" s="103"/>
      <c r="I1579" s="99">
        <f t="shared" si="9"/>
        <v>0</v>
      </c>
      <c r="J1579" s="101"/>
      <c r="K1579" s="101"/>
      <c r="L1579" s="101" t="str">
        <f t="shared" si="8"/>
        <v>EN PROCESO</v>
      </c>
      <c r="M1579" s="101"/>
      <c r="N1579" s="101"/>
    </row>
    <row r="1580" ht="22.5" hidden="1" customHeight="1">
      <c r="A1580" s="49"/>
      <c r="B1580" s="81"/>
      <c r="C1580" s="97"/>
      <c r="D1580" s="49"/>
      <c r="E1580" s="49"/>
      <c r="F1580" s="98"/>
      <c r="G1580" s="98"/>
      <c r="H1580" s="97"/>
      <c r="I1580" s="99">
        <f t="shared" si="9"/>
        <v>0</v>
      </c>
      <c r="J1580" s="49"/>
      <c r="K1580" s="49"/>
      <c r="L1580" s="49" t="str">
        <f t="shared" si="8"/>
        <v>EN PROCESO</v>
      </c>
      <c r="M1580" s="49"/>
      <c r="N1580" s="49"/>
    </row>
    <row r="1581" ht="22.5" hidden="1" customHeight="1">
      <c r="A1581" s="101"/>
      <c r="B1581" s="102"/>
      <c r="C1581" s="103"/>
      <c r="D1581" s="101"/>
      <c r="E1581" s="101"/>
      <c r="F1581" s="104"/>
      <c r="G1581" s="104"/>
      <c r="H1581" s="103"/>
      <c r="I1581" s="99">
        <f t="shared" si="9"/>
        <v>0</v>
      </c>
      <c r="J1581" s="101"/>
      <c r="K1581" s="101"/>
      <c r="L1581" s="101" t="str">
        <f t="shared" si="8"/>
        <v>EN PROCESO</v>
      </c>
      <c r="M1581" s="101"/>
      <c r="N1581" s="101"/>
    </row>
    <row r="1582" ht="22.5" hidden="1" customHeight="1">
      <c r="A1582" s="49"/>
      <c r="B1582" s="81"/>
      <c r="C1582" s="97"/>
      <c r="D1582" s="49"/>
      <c r="E1582" s="49"/>
      <c r="F1582" s="98"/>
      <c r="G1582" s="98"/>
      <c r="H1582" s="97"/>
      <c r="I1582" s="99">
        <f t="shared" si="9"/>
        <v>0</v>
      </c>
      <c r="J1582" s="49"/>
      <c r="K1582" s="49"/>
      <c r="L1582" s="49" t="str">
        <f t="shared" si="8"/>
        <v>EN PROCESO</v>
      </c>
      <c r="M1582" s="49"/>
      <c r="N1582" s="49"/>
    </row>
    <row r="1583" ht="22.5" hidden="1" customHeight="1">
      <c r="A1583" s="101"/>
      <c r="B1583" s="102"/>
      <c r="C1583" s="103"/>
      <c r="D1583" s="101"/>
      <c r="E1583" s="101"/>
      <c r="F1583" s="104"/>
      <c r="G1583" s="104"/>
      <c r="H1583" s="103"/>
      <c r="I1583" s="99">
        <f t="shared" si="9"/>
        <v>0</v>
      </c>
      <c r="J1583" s="101"/>
      <c r="K1583" s="101"/>
      <c r="L1583" s="101" t="str">
        <f t="shared" si="8"/>
        <v>EN PROCESO</v>
      </c>
      <c r="M1583" s="101"/>
      <c r="N1583" s="101"/>
    </row>
    <row r="1584" ht="22.5" hidden="1" customHeight="1">
      <c r="A1584" s="49"/>
      <c r="B1584" s="81"/>
      <c r="C1584" s="97"/>
      <c r="D1584" s="49"/>
      <c r="E1584" s="49"/>
      <c r="F1584" s="98"/>
      <c r="G1584" s="98"/>
      <c r="H1584" s="97"/>
      <c r="I1584" s="99">
        <f t="shared" si="9"/>
        <v>0</v>
      </c>
      <c r="J1584" s="49"/>
      <c r="K1584" s="49"/>
      <c r="L1584" s="49" t="str">
        <f t="shared" si="8"/>
        <v>EN PROCESO</v>
      </c>
      <c r="M1584" s="49"/>
      <c r="N1584" s="49"/>
    </row>
    <row r="1585" ht="22.5" hidden="1" customHeight="1">
      <c r="A1585" s="101"/>
      <c r="B1585" s="102"/>
      <c r="C1585" s="103"/>
      <c r="D1585" s="101"/>
      <c r="E1585" s="101"/>
      <c r="F1585" s="104"/>
      <c r="G1585" s="104"/>
      <c r="H1585" s="103"/>
      <c r="I1585" s="99">
        <f t="shared" si="9"/>
        <v>0</v>
      </c>
      <c r="J1585" s="101"/>
      <c r="K1585" s="101"/>
      <c r="L1585" s="101" t="str">
        <f t="shared" si="8"/>
        <v>EN PROCESO</v>
      </c>
      <c r="M1585" s="101"/>
      <c r="N1585" s="101"/>
    </row>
    <row r="1586" ht="22.5" hidden="1" customHeight="1">
      <c r="A1586" s="49"/>
      <c r="B1586" s="81"/>
      <c r="C1586" s="97"/>
      <c r="D1586" s="49"/>
      <c r="E1586" s="49"/>
      <c r="F1586" s="98"/>
      <c r="G1586" s="98"/>
      <c r="H1586" s="97"/>
      <c r="I1586" s="99">
        <f t="shared" si="9"/>
        <v>0</v>
      </c>
      <c r="J1586" s="49"/>
      <c r="K1586" s="49"/>
      <c r="L1586" s="49" t="str">
        <f t="shared" si="8"/>
        <v>EN PROCESO</v>
      </c>
      <c r="M1586" s="49"/>
      <c r="N1586" s="49"/>
    </row>
    <row r="1587" ht="22.5" hidden="1" customHeight="1">
      <c r="A1587" s="101"/>
      <c r="B1587" s="102"/>
      <c r="C1587" s="103"/>
      <c r="D1587" s="101"/>
      <c r="E1587" s="101"/>
      <c r="F1587" s="104"/>
      <c r="G1587" s="104"/>
      <c r="H1587" s="103"/>
      <c r="I1587" s="99">
        <f t="shared" si="9"/>
        <v>0</v>
      </c>
      <c r="J1587" s="101"/>
      <c r="K1587" s="101"/>
      <c r="L1587" s="101" t="str">
        <f t="shared" si="8"/>
        <v>EN PROCESO</v>
      </c>
      <c r="M1587" s="101"/>
      <c r="N1587" s="101"/>
    </row>
    <row r="1588" ht="22.5" hidden="1" customHeight="1">
      <c r="A1588" s="49"/>
      <c r="B1588" s="81"/>
      <c r="C1588" s="97"/>
      <c r="D1588" s="49"/>
      <c r="E1588" s="49"/>
      <c r="F1588" s="98"/>
      <c r="G1588" s="98"/>
      <c r="H1588" s="97"/>
      <c r="I1588" s="99">
        <f t="shared" si="9"/>
        <v>0</v>
      </c>
      <c r="J1588" s="49"/>
      <c r="K1588" s="49"/>
      <c r="L1588" s="49" t="str">
        <f t="shared" si="8"/>
        <v>EN PROCESO</v>
      </c>
      <c r="M1588" s="49"/>
      <c r="N1588" s="49"/>
    </row>
    <row r="1589" ht="22.5" hidden="1" customHeight="1">
      <c r="A1589" s="101"/>
      <c r="B1589" s="102"/>
      <c r="C1589" s="103"/>
      <c r="D1589" s="101"/>
      <c r="E1589" s="101"/>
      <c r="F1589" s="104"/>
      <c r="G1589" s="104"/>
      <c r="H1589" s="103"/>
      <c r="I1589" s="99">
        <f t="shared" si="9"/>
        <v>0</v>
      </c>
      <c r="J1589" s="101"/>
      <c r="K1589" s="101"/>
      <c r="L1589" s="101" t="str">
        <f t="shared" si="8"/>
        <v>EN PROCESO</v>
      </c>
      <c r="M1589" s="101"/>
      <c r="N1589" s="101"/>
    </row>
    <row r="1590" ht="22.5" hidden="1" customHeight="1">
      <c r="A1590" s="49"/>
      <c r="B1590" s="81"/>
      <c r="C1590" s="97"/>
      <c r="D1590" s="49"/>
      <c r="E1590" s="49"/>
      <c r="F1590" s="98"/>
      <c r="G1590" s="98"/>
      <c r="H1590" s="97"/>
      <c r="I1590" s="99">
        <f t="shared" si="9"/>
        <v>0</v>
      </c>
      <c r="J1590" s="49"/>
      <c r="K1590" s="49"/>
      <c r="L1590" s="49" t="str">
        <f t="shared" si="8"/>
        <v>EN PROCESO</v>
      </c>
      <c r="M1590" s="49"/>
      <c r="N1590" s="49"/>
    </row>
    <row r="1591" ht="22.5" hidden="1" customHeight="1">
      <c r="A1591" s="101"/>
      <c r="B1591" s="102"/>
      <c r="C1591" s="103"/>
      <c r="D1591" s="101"/>
      <c r="E1591" s="101"/>
      <c r="F1591" s="104"/>
      <c r="G1591" s="104"/>
      <c r="H1591" s="103"/>
      <c r="I1591" s="99">
        <f t="shared" si="9"/>
        <v>0</v>
      </c>
      <c r="J1591" s="101"/>
      <c r="K1591" s="101"/>
      <c r="L1591" s="101" t="str">
        <f t="shared" si="8"/>
        <v>EN PROCESO</v>
      </c>
      <c r="M1591" s="101"/>
      <c r="N1591" s="101"/>
    </row>
    <row r="1592" ht="22.5" hidden="1" customHeight="1">
      <c r="A1592" s="49"/>
      <c r="B1592" s="81"/>
      <c r="C1592" s="97"/>
      <c r="D1592" s="49"/>
      <c r="E1592" s="49"/>
      <c r="F1592" s="98"/>
      <c r="G1592" s="98"/>
      <c r="H1592" s="97"/>
      <c r="I1592" s="99">
        <f t="shared" si="9"/>
        <v>0</v>
      </c>
      <c r="J1592" s="49"/>
      <c r="K1592" s="49"/>
      <c r="L1592" s="49" t="str">
        <f t="shared" si="8"/>
        <v>EN PROCESO</v>
      </c>
      <c r="M1592" s="49"/>
      <c r="N1592" s="49"/>
    </row>
    <row r="1593" ht="22.5" hidden="1" customHeight="1">
      <c r="A1593" s="101"/>
      <c r="B1593" s="102"/>
      <c r="C1593" s="103"/>
      <c r="D1593" s="101"/>
      <c r="E1593" s="101"/>
      <c r="F1593" s="104"/>
      <c r="G1593" s="104"/>
      <c r="H1593" s="103"/>
      <c r="I1593" s="99">
        <f t="shared" si="9"/>
        <v>0</v>
      </c>
      <c r="J1593" s="101"/>
      <c r="K1593" s="101"/>
      <c r="L1593" s="101" t="str">
        <f t="shared" si="8"/>
        <v>EN PROCESO</v>
      </c>
      <c r="M1593" s="101"/>
      <c r="N1593" s="101"/>
    </row>
    <row r="1594" ht="22.5" hidden="1" customHeight="1">
      <c r="A1594" s="49"/>
      <c r="B1594" s="81"/>
      <c r="C1594" s="97"/>
      <c r="D1594" s="49"/>
      <c r="E1594" s="49"/>
      <c r="F1594" s="98"/>
      <c r="G1594" s="98"/>
      <c r="H1594" s="97"/>
      <c r="I1594" s="99">
        <f t="shared" si="9"/>
        <v>0</v>
      </c>
      <c r="J1594" s="49"/>
      <c r="K1594" s="49"/>
      <c r="L1594" s="49" t="str">
        <f t="shared" si="8"/>
        <v>EN PROCESO</v>
      </c>
      <c r="M1594" s="49"/>
      <c r="N1594" s="49"/>
    </row>
    <row r="1595" ht="22.5" hidden="1" customHeight="1">
      <c r="A1595" s="101"/>
      <c r="B1595" s="102"/>
      <c r="C1595" s="103"/>
      <c r="D1595" s="101"/>
      <c r="E1595" s="101"/>
      <c r="F1595" s="104"/>
      <c r="G1595" s="104"/>
      <c r="H1595" s="103"/>
      <c r="I1595" s="99">
        <f t="shared" si="9"/>
        <v>0</v>
      </c>
      <c r="J1595" s="101"/>
      <c r="K1595" s="101"/>
      <c r="L1595" s="101" t="str">
        <f t="shared" si="8"/>
        <v>EN PROCESO</v>
      </c>
      <c r="M1595" s="101"/>
      <c r="N1595" s="101"/>
    </row>
    <row r="1596" ht="22.5" hidden="1" customHeight="1">
      <c r="A1596" s="49"/>
      <c r="B1596" s="81"/>
      <c r="C1596" s="97"/>
      <c r="D1596" s="49"/>
      <c r="E1596" s="49"/>
      <c r="F1596" s="98"/>
      <c r="G1596" s="98"/>
      <c r="H1596" s="97"/>
      <c r="I1596" s="99">
        <f t="shared" si="9"/>
        <v>0</v>
      </c>
      <c r="J1596" s="49"/>
      <c r="K1596" s="49"/>
      <c r="L1596" s="49" t="str">
        <f t="shared" si="8"/>
        <v>EN PROCESO</v>
      </c>
      <c r="M1596" s="49"/>
      <c r="N1596" s="49"/>
    </row>
    <row r="1597" ht="22.5" hidden="1" customHeight="1">
      <c r="A1597" s="101"/>
      <c r="B1597" s="102"/>
      <c r="C1597" s="103"/>
      <c r="D1597" s="101"/>
      <c r="E1597" s="101"/>
      <c r="F1597" s="104"/>
      <c r="G1597" s="104"/>
      <c r="H1597" s="103"/>
      <c r="I1597" s="99">
        <f t="shared" si="9"/>
        <v>0</v>
      </c>
      <c r="J1597" s="101"/>
      <c r="K1597" s="101"/>
      <c r="L1597" s="101" t="str">
        <f t="shared" si="8"/>
        <v>EN PROCESO</v>
      </c>
      <c r="M1597" s="101"/>
      <c r="N1597" s="101"/>
    </row>
    <row r="1598" ht="22.5" hidden="1" customHeight="1">
      <c r="A1598" s="49"/>
      <c r="B1598" s="81"/>
      <c r="C1598" s="97"/>
      <c r="D1598" s="49"/>
      <c r="E1598" s="49"/>
      <c r="F1598" s="98"/>
      <c r="G1598" s="98"/>
      <c r="H1598" s="97"/>
      <c r="I1598" s="99">
        <f t="shared" si="9"/>
        <v>0</v>
      </c>
      <c r="J1598" s="49"/>
      <c r="K1598" s="49"/>
      <c r="L1598" s="49" t="str">
        <f t="shared" si="8"/>
        <v>EN PROCESO</v>
      </c>
      <c r="M1598" s="49"/>
      <c r="N1598" s="49"/>
    </row>
    <row r="1599" ht="22.5" hidden="1" customHeight="1">
      <c r="A1599" s="101"/>
      <c r="B1599" s="102"/>
      <c r="C1599" s="103"/>
      <c r="D1599" s="101"/>
      <c r="E1599" s="101"/>
      <c r="F1599" s="104"/>
      <c r="G1599" s="104"/>
      <c r="H1599" s="103"/>
      <c r="I1599" s="99">
        <f t="shared" si="9"/>
        <v>0</v>
      </c>
      <c r="J1599" s="101"/>
      <c r="K1599" s="101"/>
      <c r="L1599" s="101" t="str">
        <f t="shared" si="8"/>
        <v>EN PROCESO</v>
      </c>
      <c r="M1599" s="101"/>
      <c r="N1599" s="101"/>
    </row>
    <row r="1600" ht="22.5" hidden="1" customHeight="1">
      <c r="A1600" s="49"/>
      <c r="B1600" s="81"/>
      <c r="C1600" s="97"/>
      <c r="D1600" s="49"/>
      <c r="E1600" s="49"/>
      <c r="F1600" s="98"/>
      <c r="G1600" s="98"/>
      <c r="H1600" s="97"/>
      <c r="I1600" s="99">
        <f t="shared" si="9"/>
        <v>0</v>
      </c>
      <c r="J1600" s="49"/>
      <c r="K1600" s="49"/>
      <c r="L1600" s="49" t="str">
        <f t="shared" si="8"/>
        <v>EN PROCESO</v>
      </c>
      <c r="M1600" s="49"/>
      <c r="N1600" s="49"/>
    </row>
    <row r="1601" ht="22.5" hidden="1" customHeight="1">
      <c r="A1601" s="101"/>
      <c r="B1601" s="102"/>
      <c r="C1601" s="103"/>
      <c r="D1601" s="101"/>
      <c r="E1601" s="101"/>
      <c r="F1601" s="104"/>
      <c r="G1601" s="104"/>
      <c r="H1601" s="103"/>
      <c r="I1601" s="99">
        <f t="shared" si="9"/>
        <v>0</v>
      </c>
      <c r="J1601" s="101"/>
      <c r="K1601" s="101"/>
      <c r="L1601" s="101" t="str">
        <f t="shared" si="8"/>
        <v>EN PROCESO</v>
      </c>
      <c r="M1601" s="101"/>
      <c r="N1601" s="101"/>
    </row>
    <row r="1602" ht="22.5" hidden="1" customHeight="1">
      <c r="A1602" s="49"/>
      <c r="B1602" s="81"/>
      <c r="C1602" s="97"/>
      <c r="D1602" s="49"/>
      <c r="E1602" s="49"/>
      <c r="F1602" s="98"/>
      <c r="G1602" s="98"/>
      <c r="H1602" s="97"/>
      <c r="I1602" s="99">
        <f t="shared" si="9"/>
        <v>0</v>
      </c>
      <c r="J1602" s="49"/>
      <c r="K1602" s="49"/>
      <c r="L1602" s="49" t="str">
        <f t="shared" si="8"/>
        <v>EN PROCESO</v>
      </c>
      <c r="M1602" s="49"/>
      <c r="N1602" s="49"/>
    </row>
    <row r="1603" ht="22.5" hidden="1" customHeight="1">
      <c r="A1603" s="101"/>
      <c r="B1603" s="102"/>
      <c r="C1603" s="103"/>
      <c r="D1603" s="101"/>
      <c r="E1603" s="101"/>
      <c r="F1603" s="104"/>
      <c r="G1603" s="104"/>
      <c r="H1603" s="103"/>
      <c r="I1603" s="99">
        <f t="shared" si="9"/>
        <v>0</v>
      </c>
      <c r="J1603" s="101"/>
      <c r="K1603" s="101"/>
      <c r="L1603" s="101" t="str">
        <f t="shared" si="8"/>
        <v>EN PROCESO</v>
      </c>
      <c r="M1603" s="101"/>
      <c r="N1603" s="101"/>
    </row>
    <row r="1604" ht="22.5" hidden="1" customHeight="1">
      <c r="A1604" s="49"/>
      <c r="B1604" s="81"/>
      <c r="C1604" s="97"/>
      <c r="D1604" s="49"/>
      <c r="E1604" s="49"/>
      <c r="F1604" s="98"/>
      <c r="G1604" s="98"/>
      <c r="H1604" s="97"/>
      <c r="I1604" s="99">
        <f t="shared" si="9"/>
        <v>0</v>
      </c>
      <c r="J1604" s="49"/>
      <c r="K1604" s="49"/>
      <c r="L1604" s="49" t="str">
        <f t="shared" si="8"/>
        <v>EN PROCESO</v>
      </c>
      <c r="M1604" s="49"/>
      <c r="N1604" s="49"/>
    </row>
    <row r="1605" ht="22.5" hidden="1" customHeight="1">
      <c r="A1605" s="101"/>
      <c r="B1605" s="102"/>
      <c r="C1605" s="103"/>
      <c r="D1605" s="101"/>
      <c r="E1605" s="101"/>
      <c r="F1605" s="104"/>
      <c r="G1605" s="104"/>
      <c r="H1605" s="103"/>
      <c r="I1605" s="99">
        <f t="shared" si="9"/>
        <v>0</v>
      </c>
      <c r="J1605" s="101"/>
      <c r="K1605" s="101"/>
      <c r="L1605" s="101" t="str">
        <f t="shared" si="8"/>
        <v>EN PROCESO</v>
      </c>
      <c r="M1605" s="101"/>
      <c r="N1605" s="101"/>
    </row>
    <row r="1606" ht="22.5" hidden="1" customHeight="1">
      <c r="A1606" s="49"/>
      <c r="B1606" s="81"/>
      <c r="C1606" s="97"/>
      <c r="D1606" s="49"/>
      <c r="E1606" s="49"/>
      <c r="F1606" s="98"/>
      <c r="G1606" s="98"/>
      <c r="H1606" s="97"/>
      <c r="I1606" s="99">
        <f t="shared" si="9"/>
        <v>0</v>
      </c>
      <c r="J1606" s="49"/>
      <c r="K1606" s="49"/>
      <c r="L1606" s="49" t="str">
        <f t="shared" si="8"/>
        <v>EN PROCESO</v>
      </c>
      <c r="M1606" s="49"/>
      <c r="N1606" s="49"/>
    </row>
    <row r="1607" ht="22.5" hidden="1" customHeight="1">
      <c r="A1607" s="101"/>
      <c r="B1607" s="102"/>
      <c r="C1607" s="103"/>
      <c r="D1607" s="101"/>
      <c r="E1607" s="101"/>
      <c r="F1607" s="104"/>
      <c r="G1607" s="104"/>
      <c r="H1607" s="103"/>
      <c r="I1607" s="99">
        <f t="shared" si="9"/>
        <v>0</v>
      </c>
      <c r="J1607" s="101"/>
      <c r="K1607" s="101"/>
      <c r="L1607" s="101" t="str">
        <f t="shared" si="8"/>
        <v>EN PROCESO</v>
      </c>
      <c r="M1607" s="101"/>
      <c r="N1607" s="101"/>
    </row>
    <row r="1608" ht="22.5" hidden="1" customHeight="1">
      <c r="A1608" s="49"/>
      <c r="B1608" s="81"/>
      <c r="C1608" s="97"/>
      <c r="D1608" s="49"/>
      <c r="E1608" s="49"/>
      <c r="F1608" s="98"/>
      <c r="G1608" s="98"/>
      <c r="H1608" s="97"/>
      <c r="I1608" s="99">
        <f t="shared" si="9"/>
        <v>0</v>
      </c>
      <c r="J1608" s="49"/>
      <c r="K1608" s="49"/>
      <c r="L1608" s="49" t="str">
        <f t="shared" si="8"/>
        <v>EN PROCESO</v>
      </c>
      <c r="M1608" s="49"/>
      <c r="N1608" s="49"/>
    </row>
    <row r="1609" ht="22.5" hidden="1" customHeight="1">
      <c r="A1609" s="101"/>
      <c r="B1609" s="102"/>
      <c r="C1609" s="103"/>
      <c r="D1609" s="101"/>
      <c r="E1609" s="101"/>
      <c r="F1609" s="104"/>
      <c r="G1609" s="104"/>
      <c r="H1609" s="103"/>
      <c r="I1609" s="99">
        <f t="shared" si="9"/>
        <v>0</v>
      </c>
      <c r="J1609" s="101"/>
      <c r="K1609" s="101"/>
      <c r="L1609" s="101" t="str">
        <f t="shared" si="8"/>
        <v>EN PROCESO</v>
      </c>
      <c r="M1609" s="101"/>
      <c r="N1609" s="101"/>
    </row>
    <row r="1610" ht="22.5" hidden="1" customHeight="1">
      <c r="A1610" s="49"/>
      <c r="B1610" s="81"/>
      <c r="C1610" s="97"/>
      <c r="D1610" s="49"/>
      <c r="E1610" s="49"/>
      <c r="F1610" s="98"/>
      <c r="G1610" s="98"/>
      <c r="H1610" s="97"/>
      <c r="I1610" s="99">
        <f t="shared" si="9"/>
        <v>0</v>
      </c>
      <c r="J1610" s="49"/>
      <c r="K1610" s="49"/>
      <c r="L1610" s="49" t="str">
        <f t="shared" si="8"/>
        <v>EN PROCESO</v>
      </c>
      <c r="M1610" s="49"/>
      <c r="N1610" s="49"/>
    </row>
    <row r="1611" ht="22.5" hidden="1" customHeight="1">
      <c r="A1611" s="101"/>
      <c r="B1611" s="102"/>
      <c r="C1611" s="103"/>
      <c r="D1611" s="101"/>
      <c r="E1611" s="101"/>
      <c r="F1611" s="104"/>
      <c r="G1611" s="104"/>
      <c r="H1611" s="103"/>
      <c r="I1611" s="99">
        <f t="shared" si="9"/>
        <v>0</v>
      </c>
      <c r="J1611" s="101"/>
      <c r="K1611" s="101"/>
      <c r="L1611" s="101" t="str">
        <f t="shared" si="8"/>
        <v>EN PROCESO</v>
      </c>
      <c r="M1611" s="101"/>
      <c r="N1611" s="101"/>
    </row>
    <row r="1612" ht="22.5" hidden="1" customHeight="1">
      <c r="A1612" s="49"/>
      <c r="B1612" s="81"/>
      <c r="C1612" s="97"/>
      <c r="D1612" s="49"/>
      <c r="E1612" s="49"/>
      <c r="F1612" s="98"/>
      <c r="G1612" s="98"/>
      <c r="H1612" s="97"/>
      <c r="I1612" s="99">
        <f t="shared" si="9"/>
        <v>0</v>
      </c>
      <c r="J1612" s="49"/>
      <c r="K1612" s="49"/>
      <c r="L1612" s="49" t="str">
        <f t="shared" si="8"/>
        <v>EN PROCESO</v>
      </c>
      <c r="M1612" s="49"/>
      <c r="N1612" s="49"/>
    </row>
    <row r="1613" ht="22.5" hidden="1" customHeight="1">
      <c r="A1613" s="101"/>
      <c r="B1613" s="102"/>
      <c r="C1613" s="103"/>
      <c r="D1613" s="101"/>
      <c r="E1613" s="101"/>
      <c r="F1613" s="104"/>
      <c r="G1613" s="104"/>
      <c r="H1613" s="103"/>
      <c r="I1613" s="99">
        <f t="shared" si="9"/>
        <v>0</v>
      </c>
      <c r="J1613" s="101"/>
      <c r="K1613" s="101"/>
      <c r="L1613" s="101" t="str">
        <f t="shared" si="8"/>
        <v>EN PROCESO</v>
      </c>
      <c r="M1613" s="101"/>
      <c r="N1613" s="101"/>
    </row>
    <row r="1614" ht="22.5" hidden="1" customHeight="1">
      <c r="A1614" s="49"/>
      <c r="B1614" s="81"/>
      <c r="C1614" s="97"/>
      <c r="D1614" s="49"/>
      <c r="E1614" s="49"/>
      <c r="F1614" s="98"/>
      <c r="G1614" s="98"/>
      <c r="H1614" s="97"/>
      <c r="I1614" s="99">
        <f t="shared" si="9"/>
        <v>0</v>
      </c>
      <c r="J1614" s="49"/>
      <c r="K1614" s="49"/>
      <c r="L1614" s="49" t="str">
        <f t="shared" si="8"/>
        <v>EN PROCESO</v>
      </c>
      <c r="M1614" s="49"/>
      <c r="N1614" s="49"/>
    </row>
    <row r="1615" ht="22.5" hidden="1" customHeight="1">
      <c r="A1615" s="101"/>
      <c r="B1615" s="102"/>
      <c r="C1615" s="103"/>
      <c r="D1615" s="101"/>
      <c r="E1615" s="101"/>
      <c r="F1615" s="104"/>
      <c r="G1615" s="104"/>
      <c r="H1615" s="103"/>
      <c r="I1615" s="99">
        <f t="shared" si="9"/>
        <v>0</v>
      </c>
      <c r="J1615" s="101"/>
      <c r="K1615" s="101"/>
      <c r="L1615" s="101" t="str">
        <f t="shared" si="8"/>
        <v>EN PROCESO</v>
      </c>
      <c r="M1615" s="101"/>
      <c r="N1615" s="101"/>
    </row>
    <row r="1616" ht="22.5" hidden="1" customHeight="1">
      <c r="A1616" s="49"/>
      <c r="B1616" s="81"/>
      <c r="C1616" s="97"/>
      <c r="D1616" s="49"/>
      <c r="E1616" s="49"/>
      <c r="F1616" s="98"/>
      <c r="G1616" s="98"/>
      <c r="H1616" s="97"/>
      <c r="I1616" s="99">
        <f t="shared" si="9"/>
        <v>0</v>
      </c>
      <c r="J1616" s="49"/>
      <c r="K1616" s="49"/>
      <c r="L1616" s="49" t="str">
        <f t="shared" si="8"/>
        <v>EN PROCESO</v>
      </c>
      <c r="M1616" s="49"/>
      <c r="N1616" s="49"/>
    </row>
    <row r="1617" ht="22.5" hidden="1" customHeight="1">
      <c r="A1617" s="101"/>
      <c r="B1617" s="102"/>
      <c r="C1617" s="103"/>
      <c r="D1617" s="101"/>
      <c r="E1617" s="101"/>
      <c r="F1617" s="104"/>
      <c r="G1617" s="104"/>
      <c r="H1617" s="103"/>
      <c r="I1617" s="99">
        <f t="shared" si="9"/>
        <v>0</v>
      </c>
      <c r="J1617" s="101"/>
      <c r="K1617" s="101"/>
      <c r="L1617" s="101" t="str">
        <f t="shared" si="8"/>
        <v>EN PROCESO</v>
      </c>
      <c r="M1617" s="101"/>
      <c r="N1617" s="101"/>
    </row>
    <row r="1618" ht="22.5" hidden="1" customHeight="1">
      <c r="A1618" s="49"/>
      <c r="B1618" s="81"/>
      <c r="C1618" s="97"/>
      <c r="D1618" s="49"/>
      <c r="E1618" s="49"/>
      <c r="F1618" s="98"/>
      <c r="G1618" s="98"/>
      <c r="H1618" s="97"/>
      <c r="I1618" s="99">
        <f t="shared" si="9"/>
        <v>0</v>
      </c>
      <c r="J1618" s="49"/>
      <c r="K1618" s="49"/>
      <c r="L1618" s="49" t="str">
        <f t="shared" si="8"/>
        <v>EN PROCESO</v>
      </c>
      <c r="M1618" s="49"/>
      <c r="N1618" s="49"/>
    </row>
    <row r="1619" ht="22.5" hidden="1" customHeight="1">
      <c r="A1619" s="101"/>
      <c r="B1619" s="102"/>
      <c r="C1619" s="103"/>
      <c r="D1619" s="101"/>
      <c r="E1619" s="101"/>
      <c r="F1619" s="104"/>
      <c r="G1619" s="104"/>
      <c r="H1619" s="103"/>
      <c r="I1619" s="99">
        <f t="shared" si="9"/>
        <v>0</v>
      </c>
      <c r="J1619" s="101"/>
      <c r="K1619" s="101"/>
      <c r="L1619" s="101" t="str">
        <f t="shared" si="8"/>
        <v>EN PROCESO</v>
      </c>
      <c r="M1619" s="101"/>
      <c r="N1619" s="101"/>
    </row>
    <row r="1620" ht="22.5" hidden="1" customHeight="1">
      <c r="A1620" s="49"/>
      <c r="B1620" s="81"/>
      <c r="C1620" s="97"/>
      <c r="D1620" s="49"/>
      <c r="E1620" s="49"/>
      <c r="F1620" s="98"/>
      <c r="G1620" s="98"/>
      <c r="H1620" s="97"/>
      <c r="I1620" s="99">
        <f t="shared" si="9"/>
        <v>0</v>
      </c>
      <c r="J1620" s="49"/>
      <c r="K1620" s="49"/>
      <c r="L1620" s="49" t="str">
        <f t="shared" si="8"/>
        <v>EN PROCESO</v>
      </c>
      <c r="M1620" s="49"/>
      <c r="N1620" s="49"/>
    </row>
    <row r="1621" ht="22.5" hidden="1" customHeight="1">
      <c r="A1621" s="101"/>
      <c r="B1621" s="102"/>
      <c r="C1621" s="103"/>
      <c r="D1621" s="101"/>
      <c r="E1621" s="101"/>
      <c r="F1621" s="104"/>
      <c r="G1621" s="104"/>
      <c r="H1621" s="103"/>
      <c r="I1621" s="99">
        <f t="shared" si="9"/>
        <v>0</v>
      </c>
      <c r="J1621" s="101"/>
      <c r="K1621" s="101"/>
      <c r="L1621" s="101" t="str">
        <f t="shared" si="8"/>
        <v>EN PROCESO</v>
      </c>
      <c r="M1621" s="101"/>
      <c r="N1621" s="101"/>
    </row>
    <row r="1622" ht="22.5" hidden="1" customHeight="1">
      <c r="A1622" s="49"/>
      <c r="B1622" s="81"/>
      <c r="C1622" s="97"/>
      <c r="D1622" s="49"/>
      <c r="E1622" s="49"/>
      <c r="F1622" s="98"/>
      <c r="G1622" s="98"/>
      <c r="H1622" s="97"/>
      <c r="I1622" s="99">
        <f t="shared" si="9"/>
        <v>0</v>
      </c>
      <c r="J1622" s="49"/>
      <c r="K1622" s="49"/>
      <c r="L1622" s="49" t="str">
        <f t="shared" si="8"/>
        <v>EN PROCESO</v>
      </c>
      <c r="M1622" s="49"/>
      <c r="N1622" s="49"/>
    </row>
    <row r="1623" ht="22.5" hidden="1" customHeight="1">
      <c r="A1623" s="101"/>
      <c r="B1623" s="102"/>
      <c r="C1623" s="103"/>
      <c r="D1623" s="101"/>
      <c r="E1623" s="101"/>
      <c r="F1623" s="104"/>
      <c r="G1623" s="104"/>
      <c r="H1623" s="103"/>
      <c r="I1623" s="99">
        <f t="shared" si="9"/>
        <v>0</v>
      </c>
      <c r="J1623" s="101"/>
      <c r="K1623" s="101"/>
      <c r="L1623" s="101" t="str">
        <f t="shared" si="8"/>
        <v>EN PROCESO</v>
      </c>
      <c r="M1623" s="101"/>
      <c r="N1623" s="101"/>
    </row>
    <row r="1624" ht="22.5" hidden="1" customHeight="1">
      <c r="A1624" s="49"/>
      <c r="B1624" s="81"/>
      <c r="C1624" s="97"/>
      <c r="D1624" s="49"/>
      <c r="E1624" s="49"/>
      <c r="F1624" s="98"/>
      <c r="G1624" s="98"/>
      <c r="H1624" s="97"/>
      <c r="I1624" s="99">
        <f t="shared" si="9"/>
        <v>0</v>
      </c>
      <c r="J1624" s="49"/>
      <c r="K1624" s="49"/>
      <c r="L1624" s="49" t="str">
        <f t="shared" si="8"/>
        <v>EN PROCESO</v>
      </c>
      <c r="M1624" s="49"/>
      <c r="N1624" s="49"/>
    </row>
    <row r="1625" ht="22.5" hidden="1" customHeight="1">
      <c r="A1625" s="101"/>
      <c r="B1625" s="102"/>
      <c r="C1625" s="103"/>
      <c r="D1625" s="101"/>
      <c r="E1625" s="101"/>
      <c r="F1625" s="104"/>
      <c r="G1625" s="104"/>
      <c r="H1625" s="103"/>
      <c r="I1625" s="99">
        <f t="shared" si="9"/>
        <v>0</v>
      </c>
      <c r="J1625" s="101"/>
      <c r="K1625" s="101"/>
      <c r="L1625" s="101" t="str">
        <f t="shared" si="8"/>
        <v>EN PROCESO</v>
      </c>
      <c r="M1625" s="101"/>
      <c r="N1625" s="101"/>
    </row>
    <row r="1626" ht="22.5" hidden="1" customHeight="1">
      <c r="A1626" s="49"/>
      <c r="B1626" s="81"/>
      <c r="C1626" s="97"/>
      <c r="D1626" s="49"/>
      <c r="E1626" s="49"/>
      <c r="F1626" s="98"/>
      <c r="G1626" s="98"/>
      <c r="H1626" s="97"/>
      <c r="I1626" s="99">
        <f t="shared" si="9"/>
        <v>0</v>
      </c>
      <c r="J1626" s="49"/>
      <c r="K1626" s="49"/>
      <c r="L1626" s="49" t="str">
        <f t="shared" si="8"/>
        <v>EN PROCESO</v>
      </c>
      <c r="M1626" s="49"/>
      <c r="N1626" s="49"/>
    </row>
    <row r="1627" ht="22.5" hidden="1" customHeight="1">
      <c r="A1627" s="101"/>
      <c r="B1627" s="102"/>
      <c r="C1627" s="103"/>
      <c r="D1627" s="101"/>
      <c r="E1627" s="101"/>
      <c r="F1627" s="104"/>
      <c r="G1627" s="104"/>
      <c r="H1627" s="103"/>
      <c r="I1627" s="99">
        <f t="shared" si="9"/>
        <v>0</v>
      </c>
      <c r="J1627" s="101"/>
      <c r="K1627" s="101"/>
      <c r="L1627" s="101" t="str">
        <f t="shared" si="8"/>
        <v>EN PROCESO</v>
      </c>
      <c r="M1627" s="101"/>
      <c r="N1627" s="101"/>
    </row>
    <row r="1628" ht="22.5" hidden="1" customHeight="1">
      <c r="A1628" s="49"/>
      <c r="B1628" s="81"/>
      <c r="C1628" s="97"/>
      <c r="D1628" s="49"/>
      <c r="E1628" s="49"/>
      <c r="F1628" s="98"/>
      <c r="G1628" s="98"/>
      <c r="H1628" s="97"/>
      <c r="I1628" s="99">
        <f t="shared" si="9"/>
        <v>0</v>
      </c>
      <c r="J1628" s="49"/>
      <c r="K1628" s="49"/>
      <c r="L1628" s="49" t="str">
        <f t="shared" si="8"/>
        <v>EN PROCESO</v>
      </c>
      <c r="M1628" s="49"/>
      <c r="N1628" s="49"/>
    </row>
    <row r="1629" ht="22.5" hidden="1" customHeight="1">
      <c r="A1629" s="101"/>
      <c r="B1629" s="102"/>
      <c r="C1629" s="103"/>
      <c r="D1629" s="101"/>
      <c r="E1629" s="101"/>
      <c r="F1629" s="104"/>
      <c r="G1629" s="104"/>
      <c r="H1629" s="103"/>
      <c r="I1629" s="99">
        <f t="shared" si="9"/>
        <v>0</v>
      </c>
      <c r="J1629" s="101"/>
      <c r="K1629" s="101"/>
      <c r="L1629" s="101" t="str">
        <f t="shared" si="8"/>
        <v>EN PROCESO</v>
      </c>
      <c r="M1629" s="101"/>
      <c r="N1629" s="101"/>
    </row>
    <row r="1630" ht="22.5" hidden="1" customHeight="1">
      <c r="A1630" s="49"/>
      <c r="B1630" s="81"/>
      <c r="C1630" s="97"/>
      <c r="D1630" s="49"/>
      <c r="E1630" s="49"/>
      <c r="F1630" s="98"/>
      <c r="G1630" s="98"/>
      <c r="H1630" s="97"/>
      <c r="I1630" s="99">
        <f t="shared" si="9"/>
        <v>0</v>
      </c>
      <c r="J1630" s="49"/>
      <c r="K1630" s="49"/>
      <c r="L1630" s="49" t="str">
        <f t="shared" si="8"/>
        <v>EN PROCESO</v>
      </c>
      <c r="M1630" s="49"/>
      <c r="N1630" s="49"/>
    </row>
    <row r="1631" ht="22.5" hidden="1" customHeight="1">
      <c r="A1631" s="101"/>
      <c r="B1631" s="102"/>
      <c r="C1631" s="103"/>
      <c r="D1631" s="101"/>
      <c r="E1631" s="101"/>
      <c r="F1631" s="104"/>
      <c r="G1631" s="104"/>
      <c r="H1631" s="103"/>
      <c r="I1631" s="99">
        <f t="shared" si="9"/>
        <v>0</v>
      </c>
      <c r="J1631" s="101"/>
      <c r="K1631" s="101"/>
      <c r="L1631" s="101" t="str">
        <f t="shared" si="8"/>
        <v>EN PROCESO</v>
      </c>
      <c r="M1631" s="101"/>
      <c r="N1631" s="101"/>
    </row>
    <row r="1632" ht="22.5" hidden="1" customHeight="1">
      <c r="A1632" s="49"/>
      <c r="B1632" s="81"/>
      <c r="C1632" s="97"/>
      <c r="D1632" s="49"/>
      <c r="E1632" s="49"/>
      <c r="F1632" s="98"/>
      <c r="G1632" s="98"/>
      <c r="H1632" s="97"/>
      <c r="I1632" s="99">
        <f t="shared" si="9"/>
        <v>0</v>
      </c>
      <c r="J1632" s="49"/>
      <c r="K1632" s="49"/>
      <c r="L1632" s="49" t="str">
        <f t="shared" si="8"/>
        <v>EN PROCESO</v>
      </c>
      <c r="M1632" s="49"/>
      <c r="N1632" s="49"/>
    </row>
    <row r="1633" ht="22.5" hidden="1" customHeight="1">
      <c r="A1633" s="101"/>
      <c r="B1633" s="102"/>
      <c r="C1633" s="103"/>
      <c r="D1633" s="101"/>
      <c r="E1633" s="101"/>
      <c r="F1633" s="104"/>
      <c r="G1633" s="104"/>
      <c r="H1633" s="103"/>
      <c r="I1633" s="99">
        <f t="shared" si="9"/>
        <v>0</v>
      </c>
      <c r="J1633" s="101"/>
      <c r="K1633" s="101"/>
      <c r="L1633" s="101" t="str">
        <f t="shared" si="8"/>
        <v>EN PROCESO</v>
      </c>
      <c r="M1633" s="101"/>
      <c r="N1633" s="101"/>
    </row>
    <row r="1634" ht="22.5" hidden="1" customHeight="1">
      <c r="A1634" s="49"/>
      <c r="B1634" s="81"/>
      <c r="C1634" s="97"/>
      <c r="D1634" s="49"/>
      <c r="E1634" s="49"/>
      <c r="F1634" s="98"/>
      <c r="G1634" s="98"/>
      <c r="H1634" s="97"/>
      <c r="I1634" s="99">
        <f t="shared" si="9"/>
        <v>0</v>
      </c>
      <c r="J1634" s="49"/>
      <c r="K1634" s="49"/>
      <c r="L1634" s="49" t="str">
        <f t="shared" si="8"/>
        <v>EN PROCESO</v>
      </c>
      <c r="M1634" s="49"/>
      <c r="N1634" s="49"/>
    </row>
    <row r="1635" ht="22.5" hidden="1" customHeight="1">
      <c r="A1635" s="101"/>
      <c r="B1635" s="102"/>
      <c r="C1635" s="103"/>
      <c r="D1635" s="101"/>
      <c r="E1635" s="101"/>
      <c r="F1635" s="104"/>
      <c r="G1635" s="104"/>
      <c r="H1635" s="103"/>
      <c r="I1635" s="99">
        <f t="shared" si="9"/>
        <v>0</v>
      </c>
      <c r="J1635" s="101"/>
      <c r="K1635" s="101"/>
      <c r="L1635" s="101" t="str">
        <f t="shared" si="8"/>
        <v>EN PROCESO</v>
      </c>
      <c r="M1635" s="101"/>
      <c r="N1635" s="101"/>
    </row>
    <row r="1636" ht="22.5" hidden="1" customHeight="1">
      <c r="A1636" s="49"/>
      <c r="B1636" s="81"/>
      <c r="C1636" s="97"/>
      <c r="D1636" s="49"/>
      <c r="E1636" s="49"/>
      <c r="F1636" s="98"/>
      <c r="G1636" s="98"/>
      <c r="H1636" s="97"/>
      <c r="I1636" s="99">
        <f t="shared" si="9"/>
        <v>0</v>
      </c>
      <c r="J1636" s="49"/>
      <c r="K1636" s="49"/>
      <c r="L1636" s="49" t="str">
        <f t="shared" si="8"/>
        <v>EN PROCESO</v>
      </c>
      <c r="M1636" s="49"/>
      <c r="N1636" s="49"/>
    </row>
    <row r="1637" ht="22.5" hidden="1" customHeight="1">
      <c r="A1637" s="101"/>
      <c r="B1637" s="102"/>
      <c r="C1637" s="103"/>
      <c r="D1637" s="101"/>
      <c r="E1637" s="101"/>
      <c r="F1637" s="104"/>
      <c r="G1637" s="104"/>
      <c r="H1637" s="103"/>
      <c r="I1637" s="99">
        <f t="shared" si="9"/>
        <v>0</v>
      </c>
      <c r="J1637" s="101"/>
      <c r="K1637" s="101"/>
      <c r="L1637" s="101" t="str">
        <f t="shared" si="8"/>
        <v>EN PROCESO</v>
      </c>
      <c r="M1637" s="101"/>
      <c r="N1637" s="101"/>
    </row>
    <row r="1638" ht="22.5" hidden="1" customHeight="1">
      <c r="A1638" s="49"/>
      <c r="B1638" s="81"/>
      <c r="C1638" s="97"/>
      <c r="D1638" s="49"/>
      <c r="E1638" s="49"/>
      <c r="F1638" s="98"/>
      <c r="G1638" s="98"/>
      <c r="H1638" s="97"/>
      <c r="I1638" s="99">
        <f t="shared" si="9"/>
        <v>0</v>
      </c>
      <c r="J1638" s="49"/>
      <c r="K1638" s="49"/>
      <c r="L1638" s="49" t="str">
        <f t="shared" si="8"/>
        <v>EN PROCESO</v>
      </c>
      <c r="M1638" s="49"/>
      <c r="N1638" s="49"/>
    </row>
    <row r="1639" ht="22.5" hidden="1" customHeight="1">
      <c r="A1639" s="101"/>
      <c r="B1639" s="102"/>
      <c r="C1639" s="103"/>
      <c r="D1639" s="101"/>
      <c r="E1639" s="101"/>
      <c r="F1639" s="104"/>
      <c r="G1639" s="104"/>
      <c r="H1639" s="103"/>
      <c r="I1639" s="99">
        <f t="shared" si="9"/>
        <v>0</v>
      </c>
      <c r="J1639" s="101"/>
      <c r="K1639" s="101"/>
      <c r="L1639" s="101" t="str">
        <f t="shared" si="8"/>
        <v>EN PROCESO</v>
      </c>
      <c r="M1639" s="101"/>
      <c r="N1639" s="101"/>
    </row>
    <row r="1640" ht="22.5" hidden="1" customHeight="1">
      <c r="A1640" s="49"/>
      <c r="B1640" s="81"/>
      <c r="C1640" s="97"/>
      <c r="D1640" s="49"/>
      <c r="E1640" s="49"/>
      <c r="F1640" s="98"/>
      <c r="G1640" s="98"/>
      <c r="H1640" s="97"/>
      <c r="I1640" s="99">
        <f t="shared" si="9"/>
        <v>0</v>
      </c>
      <c r="J1640" s="49"/>
      <c r="K1640" s="49"/>
      <c r="L1640" s="49" t="str">
        <f t="shared" si="8"/>
        <v>EN PROCESO</v>
      </c>
      <c r="M1640" s="49"/>
      <c r="N1640" s="49"/>
    </row>
    <row r="1641" ht="22.5" hidden="1" customHeight="1">
      <c r="A1641" s="101"/>
      <c r="B1641" s="102"/>
      <c r="C1641" s="103"/>
      <c r="D1641" s="101"/>
      <c r="E1641" s="101"/>
      <c r="F1641" s="104"/>
      <c r="G1641" s="104"/>
      <c r="H1641" s="103"/>
      <c r="I1641" s="99">
        <f t="shared" si="9"/>
        <v>0</v>
      </c>
      <c r="J1641" s="101"/>
      <c r="K1641" s="101"/>
      <c r="L1641" s="101" t="str">
        <f t="shared" si="8"/>
        <v>EN PROCESO</v>
      </c>
      <c r="M1641" s="101"/>
      <c r="N1641" s="101"/>
    </row>
    <row r="1642" ht="22.5" hidden="1" customHeight="1">
      <c r="A1642" s="49"/>
      <c r="B1642" s="81"/>
      <c r="C1642" s="97"/>
      <c r="D1642" s="49"/>
      <c r="E1642" s="49"/>
      <c r="F1642" s="98"/>
      <c r="G1642" s="98"/>
      <c r="H1642" s="97"/>
      <c r="I1642" s="99">
        <f t="shared" si="9"/>
        <v>0</v>
      </c>
      <c r="J1642" s="49"/>
      <c r="K1642" s="49"/>
      <c r="L1642" s="49" t="str">
        <f t="shared" si="8"/>
        <v>EN PROCESO</v>
      </c>
      <c r="M1642" s="49"/>
      <c r="N1642" s="49"/>
    </row>
    <row r="1643" ht="22.5" hidden="1" customHeight="1">
      <c r="A1643" s="101"/>
      <c r="B1643" s="102"/>
      <c r="C1643" s="103"/>
      <c r="D1643" s="101"/>
      <c r="E1643" s="101"/>
      <c r="F1643" s="104"/>
      <c r="G1643" s="104"/>
      <c r="H1643" s="103"/>
      <c r="I1643" s="99">
        <f t="shared" si="9"/>
        <v>0</v>
      </c>
      <c r="J1643" s="101"/>
      <c r="K1643" s="101"/>
      <c r="L1643" s="101" t="str">
        <f t="shared" si="8"/>
        <v>EN PROCESO</v>
      </c>
      <c r="M1643" s="101"/>
      <c r="N1643" s="101"/>
    </row>
    <row r="1644" ht="22.5" hidden="1" customHeight="1">
      <c r="A1644" s="49"/>
      <c r="B1644" s="81"/>
      <c r="C1644" s="97"/>
      <c r="D1644" s="49"/>
      <c r="E1644" s="49"/>
      <c r="F1644" s="98"/>
      <c r="G1644" s="98"/>
      <c r="H1644" s="97"/>
      <c r="I1644" s="99">
        <f t="shared" si="9"/>
        <v>0</v>
      </c>
      <c r="J1644" s="49"/>
      <c r="K1644" s="49"/>
      <c r="L1644" s="49" t="str">
        <f t="shared" si="8"/>
        <v>EN PROCESO</v>
      </c>
      <c r="M1644" s="49"/>
      <c r="N1644" s="49"/>
    </row>
    <row r="1645" ht="22.5" hidden="1" customHeight="1">
      <c r="A1645" s="101"/>
      <c r="B1645" s="102"/>
      <c r="C1645" s="103"/>
      <c r="D1645" s="101"/>
      <c r="E1645" s="101"/>
      <c r="F1645" s="104"/>
      <c r="G1645" s="104"/>
      <c r="H1645" s="103"/>
      <c r="I1645" s="99">
        <f t="shared" si="9"/>
        <v>0</v>
      </c>
      <c r="J1645" s="101"/>
      <c r="K1645" s="101"/>
      <c r="L1645" s="101" t="str">
        <f t="shared" si="8"/>
        <v>EN PROCESO</v>
      </c>
      <c r="M1645" s="101"/>
      <c r="N1645" s="101"/>
    </row>
    <row r="1646" ht="22.5" hidden="1" customHeight="1">
      <c r="A1646" s="49"/>
      <c r="B1646" s="81"/>
      <c r="C1646" s="97"/>
      <c r="D1646" s="49"/>
      <c r="E1646" s="49"/>
      <c r="F1646" s="98"/>
      <c r="G1646" s="98"/>
      <c r="H1646" s="97"/>
      <c r="I1646" s="99">
        <f t="shared" si="9"/>
        <v>0</v>
      </c>
      <c r="J1646" s="49"/>
      <c r="K1646" s="49"/>
      <c r="L1646" s="49" t="str">
        <f t="shared" si="8"/>
        <v>EN PROCESO</v>
      </c>
      <c r="M1646" s="49"/>
      <c r="N1646" s="49"/>
    </row>
    <row r="1647" ht="22.5" hidden="1" customHeight="1">
      <c r="A1647" s="101"/>
      <c r="B1647" s="102"/>
      <c r="C1647" s="103"/>
      <c r="D1647" s="101"/>
      <c r="E1647" s="101"/>
      <c r="F1647" s="104"/>
      <c r="G1647" s="104"/>
      <c r="H1647" s="103"/>
      <c r="I1647" s="99">
        <f t="shared" si="9"/>
        <v>0</v>
      </c>
      <c r="J1647" s="101"/>
      <c r="K1647" s="101"/>
      <c r="L1647" s="101" t="str">
        <f t="shared" si="8"/>
        <v>EN PROCESO</v>
      </c>
      <c r="M1647" s="101"/>
      <c r="N1647" s="101"/>
    </row>
    <row r="1648" ht="22.5" hidden="1" customHeight="1">
      <c r="A1648" s="49"/>
      <c r="B1648" s="81"/>
      <c r="C1648" s="97"/>
      <c r="D1648" s="49"/>
      <c r="E1648" s="49"/>
      <c r="F1648" s="98"/>
      <c r="G1648" s="98"/>
      <c r="H1648" s="97"/>
      <c r="I1648" s="99">
        <f t="shared" si="9"/>
        <v>0</v>
      </c>
      <c r="J1648" s="49"/>
      <c r="K1648" s="49"/>
      <c r="L1648" s="49" t="str">
        <f t="shared" si="8"/>
        <v>EN PROCESO</v>
      </c>
      <c r="M1648" s="49"/>
      <c r="N1648" s="49"/>
    </row>
    <row r="1649" ht="22.5" hidden="1" customHeight="1">
      <c r="A1649" s="101"/>
      <c r="B1649" s="102"/>
      <c r="C1649" s="103"/>
      <c r="D1649" s="101"/>
      <c r="E1649" s="101"/>
      <c r="F1649" s="104"/>
      <c r="G1649" s="104"/>
      <c r="H1649" s="103"/>
      <c r="I1649" s="99">
        <f t="shared" si="9"/>
        <v>0</v>
      </c>
      <c r="J1649" s="101"/>
      <c r="K1649" s="101"/>
      <c r="L1649" s="101" t="str">
        <f t="shared" si="8"/>
        <v>EN PROCESO</v>
      </c>
      <c r="M1649" s="101"/>
      <c r="N1649" s="101"/>
    </row>
    <row r="1650" ht="22.5" hidden="1" customHeight="1">
      <c r="A1650" s="49"/>
      <c r="B1650" s="81"/>
      <c r="C1650" s="97"/>
      <c r="D1650" s="49"/>
      <c r="E1650" s="49"/>
      <c r="F1650" s="98"/>
      <c r="G1650" s="98"/>
      <c r="H1650" s="97"/>
      <c r="I1650" s="99">
        <f t="shared" si="9"/>
        <v>0</v>
      </c>
      <c r="J1650" s="49"/>
      <c r="K1650" s="49"/>
      <c r="L1650" s="49" t="str">
        <f t="shared" si="8"/>
        <v>EN PROCESO</v>
      </c>
      <c r="M1650" s="49"/>
      <c r="N1650" s="49"/>
    </row>
    <row r="1651" ht="22.5" hidden="1" customHeight="1">
      <c r="A1651" s="101"/>
      <c r="B1651" s="102"/>
      <c r="C1651" s="103"/>
      <c r="D1651" s="101"/>
      <c r="E1651" s="101"/>
      <c r="F1651" s="104"/>
      <c r="G1651" s="104"/>
      <c r="H1651" s="103"/>
      <c r="I1651" s="99">
        <f t="shared" si="9"/>
        <v>0</v>
      </c>
      <c r="J1651" s="101"/>
      <c r="K1651" s="101"/>
      <c r="L1651" s="101" t="str">
        <f t="shared" si="8"/>
        <v>EN PROCESO</v>
      </c>
      <c r="M1651" s="101"/>
      <c r="N1651" s="101"/>
    </row>
    <row r="1652" ht="22.5" hidden="1" customHeight="1">
      <c r="A1652" s="49"/>
      <c r="B1652" s="81"/>
      <c r="C1652" s="97"/>
      <c r="D1652" s="49"/>
      <c r="E1652" s="49"/>
      <c r="F1652" s="98"/>
      <c r="G1652" s="98"/>
      <c r="H1652" s="97"/>
      <c r="I1652" s="99">
        <f t="shared" si="9"/>
        <v>0</v>
      </c>
      <c r="J1652" s="49"/>
      <c r="K1652" s="49"/>
      <c r="L1652" s="49" t="str">
        <f t="shared" si="8"/>
        <v>EN PROCESO</v>
      </c>
      <c r="M1652" s="49"/>
      <c r="N1652" s="49"/>
    </row>
    <row r="1653" ht="22.5" hidden="1" customHeight="1">
      <c r="A1653" s="101"/>
      <c r="B1653" s="102"/>
      <c r="C1653" s="103"/>
      <c r="D1653" s="101"/>
      <c r="E1653" s="101"/>
      <c r="F1653" s="104"/>
      <c r="G1653" s="104"/>
      <c r="H1653" s="103"/>
      <c r="I1653" s="99">
        <f t="shared" si="9"/>
        <v>0</v>
      </c>
      <c r="J1653" s="101"/>
      <c r="K1653" s="101"/>
      <c r="L1653" s="101" t="str">
        <f t="shared" si="8"/>
        <v>EN PROCESO</v>
      </c>
      <c r="M1653" s="101"/>
      <c r="N1653" s="101"/>
    </row>
    <row r="1654" ht="22.5" hidden="1" customHeight="1">
      <c r="A1654" s="49"/>
      <c r="B1654" s="81"/>
      <c r="C1654" s="97"/>
      <c r="D1654" s="49"/>
      <c r="E1654" s="49"/>
      <c r="F1654" s="98"/>
      <c r="G1654" s="98"/>
      <c r="H1654" s="97"/>
      <c r="I1654" s="99">
        <f t="shared" si="9"/>
        <v>0</v>
      </c>
      <c r="J1654" s="49"/>
      <c r="K1654" s="49"/>
      <c r="L1654" s="49" t="str">
        <f t="shared" si="8"/>
        <v>EN PROCESO</v>
      </c>
      <c r="M1654" s="49"/>
      <c r="N1654" s="49"/>
    </row>
    <row r="1655" ht="22.5" hidden="1" customHeight="1">
      <c r="A1655" s="101"/>
      <c r="B1655" s="102"/>
      <c r="C1655" s="103"/>
      <c r="D1655" s="101"/>
      <c r="E1655" s="101"/>
      <c r="F1655" s="104"/>
      <c r="G1655" s="104"/>
      <c r="H1655" s="103"/>
      <c r="I1655" s="99">
        <f t="shared" si="9"/>
        <v>0</v>
      </c>
      <c r="J1655" s="101"/>
      <c r="K1655" s="101"/>
      <c r="L1655" s="101" t="str">
        <f t="shared" si="8"/>
        <v>EN PROCESO</v>
      </c>
      <c r="M1655" s="101"/>
      <c r="N1655" s="101"/>
    </row>
    <row r="1656" ht="22.5" hidden="1" customHeight="1">
      <c r="A1656" s="49"/>
      <c r="B1656" s="81"/>
      <c r="C1656" s="97"/>
      <c r="D1656" s="49"/>
      <c r="E1656" s="49"/>
      <c r="F1656" s="98"/>
      <c r="G1656" s="98"/>
      <c r="H1656" s="97"/>
      <c r="I1656" s="99">
        <f t="shared" si="9"/>
        <v>0</v>
      </c>
      <c r="J1656" s="49"/>
      <c r="K1656" s="49"/>
      <c r="L1656" s="49" t="str">
        <f t="shared" si="8"/>
        <v>EN PROCESO</v>
      </c>
      <c r="M1656" s="49"/>
      <c r="N1656" s="49"/>
    </row>
    <row r="1657" ht="22.5" hidden="1" customHeight="1">
      <c r="A1657" s="101"/>
      <c r="B1657" s="102"/>
      <c r="C1657" s="103"/>
      <c r="D1657" s="101"/>
      <c r="E1657" s="101"/>
      <c r="F1657" s="104"/>
      <c r="G1657" s="104"/>
      <c r="H1657" s="103"/>
      <c r="I1657" s="99">
        <f t="shared" si="9"/>
        <v>0</v>
      </c>
      <c r="J1657" s="101"/>
      <c r="K1657" s="101"/>
      <c r="L1657" s="101" t="str">
        <f t="shared" si="8"/>
        <v>EN PROCESO</v>
      </c>
      <c r="M1657" s="101"/>
      <c r="N1657" s="101"/>
    </row>
    <row r="1658" ht="22.5" hidden="1" customHeight="1">
      <c r="A1658" s="49"/>
      <c r="B1658" s="81"/>
      <c r="C1658" s="97"/>
      <c r="D1658" s="49"/>
      <c r="E1658" s="49"/>
      <c r="F1658" s="98"/>
      <c r="G1658" s="98"/>
      <c r="H1658" s="97"/>
      <c r="I1658" s="99">
        <f t="shared" si="9"/>
        <v>0</v>
      </c>
      <c r="J1658" s="49"/>
      <c r="K1658" s="49"/>
      <c r="L1658" s="49" t="str">
        <f t="shared" si="8"/>
        <v>EN PROCESO</v>
      </c>
      <c r="M1658" s="49"/>
      <c r="N1658" s="49"/>
    </row>
    <row r="1659" ht="22.5" hidden="1" customHeight="1">
      <c r="A1659" s="101"/>
      <c r="B1659" s="102"/>
      <c r="C1659" s="103"/>
      <c r="D1659" s="101"/>
      <c r="E1659" s="101"/>
      <c r="F1659" s="104"/>
      <c r="G1659" s="104"/>
      <c r="H1659" s="103"/>
      <c r="I1659" s="99">
        <f t="shared" si="9"/>
        <v>0</v>
      </c>
      <c r="J1659" s="101"/>
      <c r="K1659" s="101"/>
      <c r="L1659" s="101" t="str">
        <f t="shared" si="8"/>
        <v>EN PROCESO</v>
      </c>
      <c r="M1659" s="101"/>
      <c r="N1659" s="101"/>
    </row>
    <row r="1660" ht="22.5" hidden="1" customHeight="1">
      <c r="A1660" s="49"/>
      <c r="B1660" s="81"/>
      <c r="C1660" s="97"/>
      <c r="D1660" s="49"/>
      <c r="E1660" s="49"/>
      <c r="F1660" s="98"/>
      <c r="G1660" s="98"/>
      <c r="H1660" s="97"/>
      <c r="I1660" s="99">
        <f t="shared" si="9"/>
        <v>0</v>
      </c>
      <c r="J1660" s="49"/>
      <c r="K1660" s="49"/>
      <c r="L1660" s="49" t="str">
        <f t="shared" si="8"/>
        <v>EN PROCESO</v>
      </c>
      <c r="M1660" s="49"/>
      <c r="N1660" s="49"/>
    </row>
    <row r="1661" ht="22.5" hidden="1" customHeight="1">
      <c r="A1661" s="101"/>
      <c r="B1661" s="102"/>
      <c r="C1661" s="103"/>
      <c r="D1661" s="101"/>
      <c r="E1661" s="101"/>
      <c r="F1661" s="104"/>
      <c r="G1661" s="104"/>
      <c r="H1661" s="103"/>
      <c r="I1661" s="99">
        <f t="shared" si="9"/>
        <v>0</v>
      </c>
      <c r="J1661" s="101"/>
      <c r="K1661" s="101"/>
      <c r="L1661" s="101" t="str">
        <f t="shared" si="8"/>
        <v>EN PROCESO</v>
      </c>
      <c r="M1661" s="101"/>
      <c r="N1661" s="101"/>
    </row>
    <row r="1662" ht="22.5" hidden="1" customHeight="1">
      <c r="A1662" s="49"/>
      <c r="B1662" s="81"/>
      <c r="C1662" s="97"/>
      <c r="D1662" s="49"/>
      <c r="E1662" s="49"/>
      <c r="F1662" s="98"/>
      <c r="G1662" s="98"/>
      <c r="H1662" s="97"/>
      <c r="I1662" s="99">
        <f t="shared" si="9"/>
        <v>0</v>
      </c>
      <c r="J1662" s="49"/>
      <c r="K1662" s="49"/>
      <c r="L1662" s="49" t="str">
        <f t="shared" si="8"/>
        <v>EN PROCESO</v>
      </c>
      <c r="M1662" s="49"/>
      <c r="N1662" s="49"/>
    </row>
    <row r="1663" ht="22.5" hidden="1" customHeight="1">
      <c r="A1663" s="101"/>
      <c r="B1663" s="102"/>
      <c r="C1663" s="103"/>
      <c r="D1663" s="101"/>
      <c r="E1663" s="101"/>
      <c r="F1663" s="104"/>
      <c r="G1663" s="104"/>
      <c r="H1663" s="103"/>
      <c r="I1663" s="99">
        <f t="shared" si="9"/>
        <v>0</v>
      </c>
      <c r="J1663" s="101"/>
      <c r="K1663" s="101"/>
      <c r="L1663" s="101" t="str">
        <f t="shared" si="8"/>
        <v>EN PROCESO</v>
      </c>
      <c r="M1663" s="101"/>
      <c r="N1663" s="101"/>
    </row>
    <row r="1664" ht="22.5" hidden="1" customHeight="1">
      <c r="A1664" s="49"/>
      <c r="B1664" s="81"/>
      <c r="C1664" s="97"/>
      <c r="D1664" s="49"/>
      <c r="E1664" s="49"/>
      <c r="F1664" s="98"/>
      <c r="G1664" s="98"/>
      <c r="H1664" s="97"/>
      <c r="I1664" s="99">
        <f t="shared" si="9"/>
        <v>0</v>
      </c>
      <c r="J1664" s="49"/>
      <c r="K1664" s="49"/>
      <c r="L1664" s="49" t="str">
        <f t="shared" si="8"/>
        <v>EN PROCESO</v>
      </c>
      <c r="M1664" s="49"/>
      <c r="N1664" s="49"/>
    </row>
    <row r="1665" ht="22.5" hidden="1" customHeight="1">
      <c r="A1665" s="101"/>
      <c r="B1665" s="102"/>
      <c r="C1665" s="103"/>
      <c r="D1665" s="101"/>
      <c r="E1665" s="101"/>
      <c r="F1665" s="104"/>
      <c r="G1665" s="104"/>
      <c r="H1665" s="103"/>
      <c r="I1665" s="99">
        <f t="shared" si="9"/>
        <v>0</v>
      </c>
      <c r="J1665" s="101"/>
      <c r="K1665" s="101"/>
      <c r="L1665" s="101" t="str">
        <f t="shared" si="8"/>
        <v>EN PROCESO</v>
      </c>
      <c r="M1665" s="101"/>
      <c r="N1665" s="101"/>
    </row>
    <row r="1666" ht="22.5" hidden="1" customHeight="1">
      <c r="A1666" s="49"/>
      <c r="B1666" s="81"/>
      <c r="C1666" s="97"/>
      <c r="D1666" s="49"/>
      <c r="E1666" s="49"/>
      <c r="F1666" s="98"/>
      <c r="G1666" s="98"/>
      <c r="H1666" s="97"/>
      <c r="I1666" s="99">
        <f t="shared" si="9"/>
        <v>0</v>
      </c>
      <c r="J1666" s="49"/>
      <c r="K1666" s="49"/>
      <c r="L1666" s="49" t="str">
        <f t="shared" si="8"/>
        <v>EN PROCESO</v>
      </c>
      <c r="M1666" s="49"/>
      <c r="N1666" s="49"/>
    </row>
    <row r="1667" ht="22.5" hidden="1" customHeight="1">
      <c r="A1667" s="101"/>
      <c r="B1667" s="102"/>
      <c r="C1667" s="103"/>
      <c r="D1667" s="101"/>
      <c r="E1667" s="101"/>
      <c r="F1667" s="104"/>
      <c r="G1667" s="104"/>
      <c r="H1667" s="103"/>
      <c r="I1667" s="99">
        <f t="shared" si="9"/>
        <v>0</v>
      </c>
      <c r="J1667" s="101"/>
      <c r="K1667" s="101"/>
      <c r="L1667" s="101" t="str">
        <f t="shared" si="8"/>
        <v>EN PROCESO</v>
      </c>
      <c r="M1667" s="101"/>
      <c r="N1667" s="101"/>
    </row>
    <row r="1668" ht="22.5" hidden="1" customHeight="1">
      <c r="A1668" s="49"/>
      <c r="B1668" s="81"/>
      <c r="C1668" s="97"/>
      <c r="D1668" s="49"/>
      <c r="E1668" s="49"/>
      <c r="F1668" s="98"/>
      <c r="G1668" s="98"/>
      <c r="H1668" s="97"/>
      <c r="I1668" s="99">
        <f t="shared" si="9"/>
        <v>0</v>
      </c>
      <c r="J1668" s="49"/>
      <c r="K1668" s="49"/>
      <c r="L1668" s="49" t="str">
        <f t="shared" si="8"/>
        <v>EN PROCESO</v>
      </c>
      <c r="M1668" s="49"/>
      <c r="N1668" s="49"/>
    </row>
    <row r="1669" ht="22.5" hidden="1" customHeight="1">
      <c r="A1669" s="101"/>
      <c r="B1669" s="102"/>
      <c r="C1669" s="103"/>
      <c r="D1669" s="101"/>
      <c r="E1669" s="101"/>
      <c r="F1669" s="104"/>
      <c r="G1669" s="104"/>
      <c r="H1669" s="103"/>
      <c r="I1669" s="99">
        <f t="shared" si="9"/>
        <v>0</v>
      </c>
      <c r="J1669" s="101"/>
      <c r="K1669" s="101"/>
      <c r="L1669" s="101" t="str">
        <f t="shared" si="8"/>
        <v>EN PROCESO</v>
      </c>
      <c r="M1669" s="101"/>
      <c r="N1669" s="101"/>
    </row>
    <row r="1670" ht="22.5" hidden="1" customHeight="1">
      <c r="A1670" s="49"/>
      <c r="B1670" s="81"/>
      <c r="C1670" s="97"/>
      <c r="D1670" s="49"/>
      <c r="E1670" s="49"/>
      <c r="F1670" s="98"/>
      <c r="G1670" s="98"/>
      <c r="H1670" s="97"/>
      <c r="I1670" s="99">
        <f t="shared" si="9"/>
        <v>0</v>
      </c>
      <c r="J1670" s="49"/>
      <c r="K1670" s="49"/>
      <c r="L1670" s="49" t="str">
        <f t="shared" si="8"/>
        <v>EN PROCESO</v>
      </c>
      <c r="M1670" s="49"/>
      <c r="N1670" s="49"/>
    </row>
    <row r="1671" ht="22.5" hidden="1" customHeight="1">
      <c r="A1671" s="101"/>
      <c r="B1671" s="102"/>
      <c r="C1671" s="103"/>
      <c r="D1671" s="101"/>
      <c r="E1671" s="101"/>
      <c r="F1671" s="104"/>
      <c r="G1671" s="104"/>
      <c r="H1671" s="103"/>
      <c r="I1671" s="99">
        <f t="shared" si="9"/>
        <v>0</v>
      </c>
      <c r="J1671" s="101"/>
      <c r="K1671" s="101"/>
      <c r="L1671" s="101" t="str">
        <f t="shared" si="8"/>
        <v>EN PROCESO</v>
      </c>
      <c r="M1671" s="101"/>
      <c r="N1671" s="101"/>
    </row>
    <row r="1672" ht="22.5" hidden="1" customHeight="1">
      <c r="A1672" s="49"/>
      <c r="B1672" s="81"/>
      <c r="C1672" s="97"/>
      <c r="D1672" s="49"/>
      <c r="E1672" s="49"/>
      <c r="F1672" s="98"/>
      <c r="G1672" s="98"/>
      <c r="H1672" s="97"/>
      <c r="I1672" s="99">
        <f t="shared" si="9"/>
        <v>0</v>
      </c>
      <c r="J1672" s="49"/>
      <c r="K1672" s="49"/>
      <c r="L1672" s="49" t="str">
        <f t="shared" si="8"/>
        <v>EN PROCESO</v>
      </c>
      <c r="M1672" s="49"/>
      <c r="N1672" s="49"/>
    </row>
    <row r="1673" ht="22.5" hidden="1" customHeight="1">
      <c r="A1673" s="101"/>
      <c r="B1673" s="102"/>
      <c r="C1673" s="103"/>
      <c r="D1673" s="101"/>
      <c r="E1673" s="101"/>
      <c r="F1673" s="104"/>
      <c r="G1673" s="104"/>
      <c r="H1673" s="103"/>
      <c r="I1673" s="99">
        <f t="shared" si="9"/>
        <v>0</v>
      </c>
      <c r="J1673" s="101"/>
      <c r="K1673" s="101"/>
      <c r="L1673" s="101" t="str">
        <f t="shared" si="8"/>
        <v>EN PROCESO</v>
      </c>
      <c r="M1673" s="101"/>
      <c r="N1673" s="101"/>
    </row>
    <row r="1674" ht="22.5" hidden="1" customHeight="1">
      <c r="A1674" s="49"/>
      <c r="B1674" s="81"/>
      <c r="C1674" s="97"/>
      <c r="D1674" s="49"/>
      <c r="E1674" s="49"/>
      <c r="F1674" s="98"/>
      <c r="G1674" s="98"/>
      <c r="H1674" s="97"/>
      <c r="I1674" s="99">
        <f t="shared" si="9"/>
        <v>0</v>
      </c>
      <c r="J1674" s="49"/>
      <c r="K1674" s="49"/>
      <c r="L1674" s="49" t="str">
        <f t="shared" si="8"/>
        <v>EN PROCESO</v>
      </c>
      <c r="M1674" s="49"/>
      <c r="N1674" s="49"/>
    </row>
    <row r="1675" ht="22.5" hidden="1" customHeight="1">
      <c r="A1675" s="101"/>
      <c r="B1675" s="102"/>
      <c r="C1675" s="103"/>
      <c r="D1675" s="101"/>
      <c r="E1675" s="101"/>
      <c r="F1675" s="104"/>
      <c r="G1675" s="104"/>
      <c r="H1675" s="103"/>
      <c r="I1675" s="99">
        <f t="shared" si="9"/>
        <v>0</v>
      </c>
      <c r="J1675" s="101"/>
      <c r="K1675" s="101"/>
      <c r="L1675" s="101" t="str">
        <f t="shared" si="8"/>
        <v>EN PROCESO</v>
      </c>
      <c r="M1675" s="101"/>
      <c r="N1675" s="101"/>
    </row>
    <row r="1676" ht="22.5" hidden="1" customHeight="1">
      <c r="A1676" s="49"/>
      <c r="B1676" s="81"/>
      <c r="C1676" s="97"/>
      <c r="D1676" s="49"/>
      <c r="E1676" s="49"/>
      <c r="F1676" s="98"/>
      <c r="G1676" s="98"/>
      <c r="H1676" s="97"/>
      <c r="I1676" s="99">
        <f t="shared" si="9"/>
        <v>0</v>
      </c>
      <c r="J1676" s="49"/>
      <c r="K1676" s="49"/>
      <c r="L1676" s="49" t="str">
        <f t="shared" si="8"/>
        <v>EN PROCESO</v>
      </c>
      <c r="M1676" s="49"/>
      <c r="N1676" s="49"/>
    </row>
    <row r="1677" ht="22.5" hidden="1" customHeight="1">
      <c r="A1677" s="101"/>
      <c r="B1677" s="102"/>
      <c r="C1677" s="103"/>
      <c r="D1677" s="101"/>
      <c r="E1677" s="101"/>
      <c r="F1677" s="104"/>
      <c r="G1677" s="104"/>
      <c r="H1677" s="103"/>
      <c r="I1677" s="99">
        <f t="shared" si="9"/>
        <v>0</v>
      </c>
      <c r="J1677" s="101"/>
      <c r="K1677" s="101"/>
      <c r="L1677" s="101" t="str">
        <f t="shared" si="8"/>
        <v>EN PROCESO</v>
      </c>
      <c r="M1677" s="101"/>
      <c r="N1677" s="101"/>
    </row>
    <row r="1678" ht="22.5" hidden="1" customHeight="1">
      <c r="A1678" s="49"/>
      <c r="B1678" s="81"/>
      <c r="C1678" s="97"/>
      <c r="D1678" s="49"/>
      <c r="E1678" s="49"/>
      <c r="F1678" s="98"/>
      <c r="G1678" s="98"/>
      <c r="H1678" s="97"/>
      <c r="I1678" s="99">
        <f t="shared" si="9"/>
        <v>0</v>
      </c>
      <c r="J1678" s="49"/>
      <c r="K1678" s="49"/>
      <c r="L1678" s="49" t="str">
        <f t="shared" si="8"/>
        <v>EN PROCESO</v>
      </c>
      <c r="M1678" s="49"/>
      <c r="N1678" s="49"/>
    </row>
    <row r="1679" ht="22.5" hidden="1" customHeight="1">
      <c r="A1679" s="101"/>
      <c r="B1679" s="102"/>
      <c r="C1679" s="103"/>
      <c r="D1679" s="101"/>
      <c r="E1679" s="101"/>
      <c r="F1679" s="104"/>
      <c r="G1679" s="104"/>
      <c r="H1679" s="103"/>
      <c r="I1679" s="99">
        <f t="shared" si="9"/>
        <v>0</v>
      </c>
      <c r="J1679" s="101"/>
      <c r="K1679" s="101"/>
      <c r="L1679" s="101" t="str">
        <f t="shared" si="8"/>
        <v>EN PROCESO</v>
      </c>
      <c r="M1679" s="101"/>
      <c r="N1679" s="101"/>
    </row>
    <row r="1680" ht="22.5" hidden="1" customHeight="1">
      <c r="A1680" s="49"/>
      <c r="B1680" s="81"/>
      <c r="C1680" s="97"/>
      <c r="D1680" s="49"/>
      <c r="E1680" s="49"/>
      <c r="F1680" s="98"/>
      <c r="G1680" s="98"/>
      <c r="H1680" s="97"/>
      <c r="I1680" s="99">
        <f t="shared" si="9"/>
        <v>0</v>
      </c>
      <c r="J1680" s="49"/>
      <c r="K1680" s="49"/>
      <c r="L1680" s="49" t="str">
        <f t="shared" si="8"/>
        <v>EN PROCESO</v>
      </c>
      <c r="M1680" s="49"/>
      <c r="N1680" s="49"/>
    </row>
    <row r="1681" ht="22.5" hidden="1" customHeight="1">
      <c r="A1681" s="101"/>
      <c r="B1681" s="102"/>
      <c r="C1681" s="103"/>
      <c r="D1681" s="101"/>
      <c r="E1681" s="101"/>
      <c r="F1681" s="104"/>
      <c r="G1681" s="104"/>
      <c r="H1681" s="103"/>
      <c r="I1681" s="99">
        <f t="shared" si="9"/>
        <v>0</v>
      </c>
      <c r="J1681" s="101"/>
      <c r="K1681" s="101"/>
      <c r="L1681" s="101" t="str">
        <f t="shared" si="8"/>
        <v>EN PROCESO</v>
      </c>
      <c r="M1681" s="101"/>
      <c r="N1681" s="101"/>
    </row>
    <row r="1682" ht="22.5" hidden="1" customHeight="1">
      <c r="A1682" s="49"/>
      <c r="B1682" s="81"/>
      <c r="C1682" s="97"/>
      <c r="D1682" s="49"/>
      <c r="E1682" s="49"/>
      <c r="F1682" s="98"/>
      <c r="G1682" s="98"/>
      <c r="H1682" s="97"/>
      <c r="I1682" s="99">
        <f t="shared" si="9"/>
        <v>0</v>
      </c>
      <c r="J1682" s="49"/>
      <c r="K1682" s="49"/>
      <c r="L1682" s="49" t="str">
        <f t="shared" si="8"/>
        <v>EN PROCESO</v>
      </c>
      <c r="M1682" s="49"/>
      <c r="N1682" s="49"/>
    </row>
    <row r="1683" ht="22.5" hidden="1" customHeight="1">
      <c r="A1683" s="101"/>
      <c r="B1683" s="102"/>
      <c r="C1683" s="103"/>
      <c r="D1683" s="101"/>
      <c r="E1683" s="101"/>
      <c r="F1683" s="104"/>
      <c r="G1683" s="104"/>
      <c r="H1683" s="103"/>
      <c r="I1683" s="99">
        <f t="shared" si="9"/>
        <v>0</v>
      </c>
      <c r="J1683" s="101"/>
      <c r="K1683" s="101"/>
      <c r="L1683" s="101" t="str">
        <f t="shared" si="8"/>
        <v>EN PROCESO</v>
      </c>
      <c r="M1683" s="101"/>
      <c r="N1683" s="101"/>
    </row>
    <row r="1684" ht="22.5" hidden="1" customHeight="1">
      <c r="A1684" s="49"/>
      <c r="B1684" s="81"/>
      <c r="C1684" s="97"/>
      <c r="D1684" s="49"/>
      <c r="E1684" s="49"/>
      <c r="F1684" s="98"/>
      <c r="G1684" s="98"/>
      <c r="H1684" s="97"/>
      <c r="I1684" s="99">
        <f t="shared" si="9"/>
        <v>0</v>
      </c>
      <c r="J1684" s="49"/>
      <c r="K1684" s="49"/>
      <c r="L1684" s="49" t="str">
        <f t="shared" si="8"/>
        <v>EN PROCESO</v>
      </c>
      <c r="M1684" s="49"/>
      <c r="N1684" s="49"/>
    </row>
    <row r="1685" ht="22.5" hidden="1" customHeight="1">
      <c r="A1685" s="101"/>
      <c r="B1685" s="102"/>
      <c r="C1685" s="103"/>
      <c r="D1685" s="101"/>
      <c r="E1685" s="101"/>
      <c r="F1685" s="104"/>
      <c r="G1685" s="104"/>
      <c r="H1685" s="103"/>
      <c r="I1685" s="99">
        <f t="shared" si="9"/>
        <v>0</v>
      </c>
      <c r="J1685" s="101"/>
      <c r="K1685" s="101"/>
      <c r="L1685" s="101" t="str">
        <f t="shared" si="8"/>
        <v>EN PROCESO</v>
      </c>
      <c r="M1685" s="101"/>
      <c r="N1685" s="101"/>
    </row>
    <row r="1686" ht="22.5" hidden="1" customHeight="1">
      <c r="A1686" s="49"/>
      <c r="B1686" s="81"/>
      <c r="C1686" s="97"/>
      <c r="D1686" s="49"/>
      <c r="E1686" s="49"/>
      <c r="F1686" s="98"/>
      <c r="G1686" s="98"/>
      <c r="H1686" s="97"/>
      <c r="I1686" s="99">
        <f t="shared" si="9"/>
        <v>0</v>
      </c>
      <c r="J1686" s="49"/>
      <c r="K1686" s="49"/>
      <c r="L1686" s="49" t="str">
        <f t="shared" si="8"/>
        <v>EN PROCESO</v>
      </c>
      <c r="M1686" s="49"/>
      <c r="N1686" s="49"/>
    </row>
    <row r="1687" ht="22.5" hidden="1" customHeight="1">
      <c r="A1687" s="101"/>
      <c r="B1687" s="102"/>
      <c r="C1687" s="103"/>
      <c r="D1687" s="101"/>
      <c r="E1687" s="101"/>
      <c r="F1687" s="104"/>
      <c r="G1687" s="104"/>
      <c r="H1687" s="103"/>
      <c r="I1687" s="99">
        <f t="shared" si="9"/>
        <v>0</v>
      </c>
      <c r="J1687" s="101"/>
      <c r="K1687" s="101"/>
      <c r="L1687" s="101" t="str">
        <f t="shared" si="8"/>
        <v>EN PROCESO</v>
      </c>
      <c r="M1687" s="101"/>
      <c r="N1687" s="101"/>
    </row>
    <row r="1688" ht="22.5" hidden="1" customHeight="1">
      <c r="A1688" s="49"/>
      <c r="B1688" s="81"/>
      <c r="C1688" s="97"/>
      <c r="D1688" s="49"/>
      <c r="E1688" s="49"/>
      <c r="F1688" s="98"/>
      <c r="G1688" s="98"/>
      <c r="H1688" s="97"/>
      <c r="I1688" s="99">
        <f t="shared" si="9"/>
        <v>0</v>
      </c>
      <c r="J1688" s="49"/>
      <c r="K1688" s="49"/>
      <c r="L1688" s="49" t="str">
        <f t="shared" si="8"/>
        <v>EN PROCESO</v>
      </c>
      <c r="M1688" s="49"/>
      <c r="N1688" s="49"/>
    </row>
    <row r="1689" ht="22.5" hidden="1" customHeight="1">
      <c r="A1689" s="101"/>
      <c r="B1689" s="102"/>
      <c r="C1689" s="103"/>
      <c r="D1689" s="101"/>
      <c r="E1689" s="101"/>
      <c r="F1689" s="104"/>
      <c r="G1689" s="104"/>
      <c r="H1689" s="103"/>
      <c r="I1689" s="99">
        <f t="shared" si="9"/>
        <v>0</v>
      </c>
      <c r="J1689" s="101"/>
      <c r="K1689" s="101"/>
      <c r="L1689" s="101" t="str">
        <f t="shared" si="8"/>
        <v>EN PROCESO</v>
      </c>
      <c r="M1689" s="101"/>
      <c r="N1689" s="101"/>
    </row>
    <row r="1690" ht="22.5" hidden="1" customHeight="1">
      <c r="A1690" s="49"/>
      <c r="B1690" s="81"/>
      <c r="C1690" s="97"/>
      <c r="D1690" s="49"/>
      <c r="E1690" s="49"/>
      <c r="F1690" s="98"/>
      <c r="G1690" s="98"/>
      <c r="H1690" s="97"/>
      <c r="I1690" s="99">
        <f t="shared" si="9"/>
        <v>0</v>
      </c>
      <c r="J1690" s="49"/>
      <c r="K1690" s="49"/>
      <c r="L1690" s="49" t="str">
        <f t="shared" si="8"/>
        <v>EN PROCESO</v>
      </c>
      <c r="M1690" s="49"/>
      <c r="N1690" s="49"/>
    </row>
    <row r="1691" ht="22.5" hidden="1" customHeight="1">
      <c r="A1691" s="101"/>
      <c r="B1691" s="102"/>
      <c r="C1691" s="103"/>
      <c r="D1691" s="101"/>
      <c r="E1691" s="101"/>
      <c r="F1691" s="104"/>
      <c r="G1691" s="104"/>
      <c r="H1691" s="103"/>
      <c r="I1691" s="99">
        <f t="shared" si="9"/>
        <v>0</v>
      </c>
      <c r="J1691" s="101"/>
      <c r="K1691" s="101"/>
      <c r="L1691" s="101" t="str">
        <f t="shared" si="8"/>
        <v>EN PROCESO</v>
      </c>
      <c r="M1691" s="101"/>
      <c r="N1691" s="101"/>
    </row>
    <row r="1692" ht="22.5" hidden="1" customHeight="1">
      <c r="A1692" s="49"/>
      <c r="B1692" s="81"/>
      <c r="C1692" s="97"/>
      <c r="D1692" s="49"/>
      <c r="E1692" s="49"/>
      <c r="F1692" s="98"/>
      <c r="G1692" s="98"/>
      <c r="H1692" s="97"/>
      <c r="I1692" s="99">
        <f t="shared" si="9"/>
        <v>0</v>
      </c>
      <c r="J1692" s="49"/>
      <c r="K1692" s="49"/>
      <c r="L1692" s="49" t="str">
        <f t="shared" si="8"/>
        <v>EN PROCESO</v>
      </c>
      <c r="M1692" s="49"/>
      <c r="N1692" s="49"/>
    </row>
    <row r="1693" ht="22.5" hidden="1" customHeight="1">
      <c r="A1693" s="101"/>
      <c r="B1693" s="102"/>
      <c r="C1693" s="103"/>
      <c r="D1693" s="101"/>
      <c r="E1693" s="101"/>
      <c r="F1693" s="104"/>
      <c r="G1693" s="104"/>
      <c r="H1693" s="103"/>
      <c r="I1693" s="99">
        <f t="shared" si="9"/>
        <v>0</v>
      </c>
      <c r="J1693" s="101"/>
      <c r="K1693" s="101"/>
      <c r="L1693" s="101" t="str">
        <f t="shared" si="8"/>
        <v>EN PROCESO</v>
      </c>
      <c r="M1693" s="101"/>
      <c r="N1693" s="101"/>
    </row>
    <row r="1694" ht="22.5" hidden="1" customHeight="1">
      <c r="A1694" s="49"/>
      <c r="B1694" s="81"/>
      <c r="C1694" s="97"/>
      <c r="D1694" s="49"/>
      <c r="E1694" s="49"/>
      <c r="F1694" s="98"/>
      <c r="G1694" s="98"/>
      <c r="H1694" s="97"/>
      <c r="I1694" s="99">
        <f t="shared" si="9"/>
        <v>0</v>
      </c>
      <c r="J1694" s="49"/>
      <c r="K1694" s="49"/>
      <c r="L1694" s="49" t="str">
        <f t="shared" si="8"/>
        <v>EN PROCESO</v>
      </c>
      <c r="M1694" s="49"/>
      <c r="N1694" s="49"/>
    </row>
    <row r="1695" ht="22.5" hidden="1" customHeight="1">
      <c r="A1695" s="101"/>
      <c r="B1695" s="102"/>
      <c r="C1695" s="103"/>
      <c r="D1695" s="101"/>
      <c r="E1695" s="101"/>
      <c r="F1695" s="104"/>
      <c r="G1695" s="104"/>
      <c r="H1695" s="103"/>
      <c r="I1695" s="99">
        <f t="shared" si="9"/>
        <v>0</v>
      </c>
      <c r="J1695" s="101"/>
      <c r="K1695" s="101"/>
      <c r="L1695" s="101" t="str">
        <f t="shared" si="8"/>
        <v>EN PROCESO</v>
      </c>
      <c r="M1695" s="101"/>
      <c r="N1695" s="101"/>
    </row>
    <row r="1696" ht="22.5" hidden="1" customHeight="1">
      <c r="A1696" s="49"/>
      <c r="B1696" s="81"/>
      <c r="C1696" s="97"/>
      <c r="D1696" s="49"/>
      <c r="E1696" s="49"/>
      <c r="F1696" s="98"/>
      <c r="G1696" s="98"/>
      <c r="H1696" s="97"/>
      <c r="I1696" s="99">
        <f t="shared" si="9"/>
        <v>0</v>
      </c>
      <c r="J1696" s="49"/>
      <c r="K1696" s="49"/>
      <c r="L1696" s="49" t="str">
        <f t="shared" si="8"/>
        <v>EN PROCESO</v>
      </c>
      <c r="M1696" s="49"/>
      <c r="N1696" s="49"/>
    </row>
    <row r="1697" ht="22.5" hidden="1" customHeight="1">
      <c r="A1697" s="101"/>
      <c r="B1697" s="102"/>
      <c r="C1697" s="103"/>
      <c r="D1697" s="101"/>
      <c r="E1697" s="101"/>
      <c r="F1697" s="104"/>
      <c r="G1697" s="104"/>
      <c r="H1697" s="103"/>
      <c r="I1697" s="99">
        <f t="shared" si="9"/>
        <v>0</v>
      </c>
      <c r="J1697" s="101"/>
      <c r="K1697" s="101"/>
      <c r="L1697" s="101" t="str">
        <f t="shared" si="8"/>
        <v>EN PROCESO</v>
      </c>
      <c r="M1697" s="101"/>
      <c r="N1697" s="101"/>
    </row>
    <row r="1698" ht="22.5" hidden="1" customHeight="1">
      <c r="A1698" s="49"/>
      <c r="B1698" s="81"/>
      <c r="C1698" s="97"/>
      <c r="D1698" s="49"/>
      <c r="E1698" s="49"/>
      <c r="F1698" s="98"/>
      <c r="G1698" s="98"/>
      <c r="H1698" s="97"/>
      <c r="I1698" s="99">
        <f t="shared" si="9"/>
        <v>0</v>
      </c>
      <c r="J1698" s="49"/>
      <c r="K1698" s="49"/>
      <c r="L1698" s="49" t="str">
        <f t="shared" si="8"/>
        <v>EN PROCESO</v>
      </c>
      <c r="M1698" s="49"/>
      <c r="N1698" s="49"/>
    </row>
    <row r="1699" ht="22.5" hidden="1" customHeight="1">
      <c r="A1699" s="101"/>
      <c r="B1699" s="102"/>
      <c r="C1699" s="103"/>
      <c r="D1699" s="101"/>
      <c r="E1699" s="101"/>
      <c r="F1699" s="104"/>
      <c r="G1699" s="104"/>
      <c r="H1699" s="103"/>
      <c r="I1699" s="99">
        <f t="shared" si="9"/>
        <v>0</v>
      </c>
      <c r="J1699" s="101"/>
      <c r="K1699" s="101"/>
      <c r="L1699" s="101" t="str">
        <f t="shared" si="8"/>
        <v>EN PROCESO</v>
      </c>
      <c r="M1699" s="101"/>
      <c r="N1699" s="101"/>
    </row>
    <row r="1700" ht="22.5" hidden="1" customHeight="1">
      <c r="A1700" s="49"/>
      <c r="B1700" s="81"/>
      <c r="C1700" s="97"/>
      <c r="D1700" s="49"/>
      <c r="E1700" s="49"/>
      <c r="F1700" s="98"/>
      <c r="G1700" s="98"/>
      <c r="H1700" s="97"/>
      <c r="I1700" s="99">
        <f t="shared" si="9"/>
        <v>0</v>
      </c>
      <c r="J1700" s="49"/>
      <c r="K1700" s="49"/>
      <c r="L1700" s="49" t="str">
        <f t="shared" si="8"/>
        <v>EN PROCESO</v>
      </c>
      <c r="M1700" s="49"/>
      <c r="N1700" s="49"/>
    </row>
    <row r="1701" ht="22.5" hidden="1" customHeight="1">
      <c r="A1701" s="101"/>
      <c r="B1701" s="102"/>
      <c r="C1701" s="103"/>
      <c r="D1701" s="101"/>
      <c r="E1701" s="101"/>
      <c r="F1701" s="104"/>
      <c r="G1701" s="104"/>
      <c r="H1701" s="103"/>
      <c r="I1701" s="99">
        <f t="shared" si="9"/>
        <v>0</v>
      </c>
      <c r="J1701" s="101"/>
      <c r="K1701" s="101"/>
      <c r="L1701" s="101" t="str">
        <f t="shared" si="8"/>
        <v>EN PROCESO</v>
      </c>
      <c r="M1701" s="101"/>
      <c r="N1701" s="101"/>
    </row>
    <row r="1702" ht="22.5" hidden="1" customHeight="1">
      <c r="A1702" s="49"/>
      <c r="B1702" s="81"/>
      <c r="C1702" s="97"/>
      <c r="D1702" s="49"/>
      <c r="E1702" s="49"/>
      <c r="F1702" s="98"/>
      <c r="G1702" s="98"/>
      <c r="H1702" s="97"/>
      <c r="I1702" s="99">
        <f t="shared" si="9"/>
        <v>0</v>
      </c>
      <c r="J1702" s="49"/>
      <c r="K1702" s="49"/>
      <c r="L1702" s="49" t="str">
        <f t="shared" si="8"/>
        <v>EN PROCESO</v>
      </c>
      <c r="M1702" s="49"/>
      <c r="N1702" s="49"/>
    </row>
    <row r="1703" ht="22.5" hidden="1" customHeight="1">
      <c r="A1703" s="101"/>
      <c r="B1703" s="102"/>
      <c r="C1703" s="103"/>
      <c r="D1703" s="101"/>
      <c r="E1703" s="101"/>
      <c r="F1703" s="104"/>
      <c r="G1703" s="104"/>
      <c r="H1703" s="103"/>
      <c r="I1703" s="99">
        <f t="shared" si="9"/>
        <v>0</v>
      </c>
      <c r="J1703" s="101"/>
      <c r="K1703" s="101"/>
      <c r="L1703" s="101" t="str">
        <f t="shared" si="8"/>
        <v>EN PROCESO</v>
      </c>
      <c r="M1703" s="101"/>
      <c r="N1703" s="101"/>
    </row>
    <row r="1704" ht="22.5" hidden="1" customHeight="1">
      <c r="A1704" s="49"/>
      <c r="B1704" s="81"/>
      <c r="C1704" s="97"/>
      <c r="D1704" s="49"/>
      <c r="E1704" s="49"/>
      <c r="F1704" s="98"/>
      <c r="G1704" s="98"/>
      <c r="H1704" s="97"/>
      <c r="I1704" s="99">
        <f t="shared" si="9"/>
        <v>0</v>
      </c>
      <c r="J1704" s="49"/>
      <c r="K1704" s="49"/>
      <c r="L1704" s="49" t="str">
        <f t="shared" si="8"/>
        <v>EN PROCESO</v>
      </c>
      <c r="M1704" s="49"/>
      <c r="N1704" s="49"/>
    </row>
    <row r="1705" ht="22.5" hidden="1" customHeight="1">
      <c r="A1705" s="101"/>
      <c r="B1705" s="102"/>
      <c r="C1705" s="103"/>
      <c r="D1705" s="101"/>
      <c r="E1705" s="101"/>
      <c r="F1705" s="104"/>
      <c r="G1705" s="104"/>
      <c r="H1705" s="103"/>
      <c r="I1705" s="99">
        <f t="shared" si="9"/>
        <v>0</v>
      </c>
      <c r="J1705" s="101"/>
      <c r="K1705" s="101"/>
      <c r="L1705" s="101" t="str">
        <f t="shared" si="8"/>
        <v>EN PROCESO</v>
      </c>
      <c r="M1705" s="101"/>
      <c r="N1705" s="101"/>
    </row>
    <row r="1706" ht="22.5" hidden="1" customHeight="1">
      <c r="A1706" s="49"/>
      <c r="B1706" s="81"/>
      <c r="C1706" s="97"/>
      <c r="D1706" s="49"/>
      <c r="E1706" s="49"/>
      <c r="F1706" s="98"/>
      <c r="G1706" s="98"/>
      <c r="H1706" s="97"/>
      <c r="I1706" s="99">
        <f t="shared" si="9"/>
        <v>0</v>
      </c>
      <c r="J1706" s="49"/>
      <c r="K1706" s="49"/>
      <c r="L1706" s="49" t="str">
        <f t="shared" si="8"/>
        <v>EN PROCESO</v>
      </c>
      <c r="M1706" s="49"/>
      <c r="N1706" s="49"/>
    </row>
    <row r="1707" ht="22.5" hidden="1" customHeight="1">
      <c r="A1707" s="101"/>
      <c r="B1707" s="102"/>
      <c r="C1707" s="103"/>
      <c r="D1707" s="101"/>
      <c r="E1707" s="101"/>
      <c r="F1707" s="104"/>
      <c r="G1707" s="104"/>
      <c r="H1707" s="103"/>
      <c r="I1707" s="99">
        <f t="shared" si="9"/>
        <v>0</v>
      </c>
      <c r="J1707" s="101"/>
      <c r="K1707" s="101"/>
      <c r="L1707" s="101" t="str">
        <f t="shared" si="8"/>
        <v>EN PROCESO</v>
      </c>
      <c r="M1707" s="101"/>
      <c r="N1707" s="101"/>
    </row>
    <row r="1708" ht="22.5" hidden="1" customHeight="1">
      <c r="A1708" s="49"/>
      <c r="B1708" s="81"/>
      <c r="C1708" s="97"/>
      <c r="D1708" s="49"/>
      <c r="E1708" s="49"/>
      <c r="F1708" s="98"/>
      <c r="G1708" s="98"/>
      <c r="H1708" s="97"/>
      <c r="I1708" s="99">
        <f t="shared" si="9"/>
        <v>0</v>
      </c>
      <c r="J1708" s="49"/>
      <c r="K1708" s="49"/>
      <c r="L1708" s="49" t="str">
        <f t="shared" si="8"/>
        <v>EN PROCESO</v>
      </c>
      <c r="M1708" s="49"/>
      <c r="N1708" s="49"/>
    </row>
    <row r="1709" ht="22.5" hidden="1" customHeight="1">
      <c r="A1709" s="101"/>
      <c r="B1709" s="102"/>
      <c r="C1709" s="103"/>
      <c r="D1709" s="101"/>
      <c r="E1709" s="101"/>
      <c r="F1709" s="104"/>
      <c r="G1709" s="104"/>
      <c r="H1709" s="103"/>
      <c r="I1709" s="99">
        <f t="shared" si="9"/>
        <v>0</v>
      </c>
      <c r="J1709" s="101"/>
      <c r="K1709" s="101"/>
      <c r="L1709" s="101" t="str">
        <f t="shared" si="8"/>
        <v>EN PROCESO</v>
      </c>
      <c r="M1709" s="101"/>
      <c r="N1709" s="101"/>
    </row>
    <row r="1710" ht="22.5" hidden="1" customHeight="1">
      <c r="A1710" s="49"/>
      <c r="B1710" s="81"/>
      <c r="C1710" s="97"/>
      <c r="D1710" s="49"/>
      <c r="E1710" s="49"/>
      <c r="F1710" s="98"/>
      <c r="G1710" s="98"/>
      <c r="H1710" s="97"/>
      <c r="I1710" s="99">
        <f t="shared" si="9"/>
        <v>0</v>
      </c>
      <c r="J1710" s="49"/>
      <c r="K1710" s="49"/>
      <c r="L1710" s="49" t="str">
        <f t="shared" si="8"/>
        <v>EN PROCESO</v>
      </c>
      <c r="M1710" s="49"/>
      <c r="N1710" s="49"/>
    </row>
    <row r="1711" ht="22.5" hidden="1" customHeight="1">
      <c r="A1711" s="101"/>
      <c r="B1711" s="102"/>
      <c r="C1711" s="103"/>
      <c r="D1711" s="101"/>
      <c r="E1711" s="101"/>
      <c r="F1711" s="104"/>
      <c r="G1711" s="104"/>
      <c r="H1711" s="103"/>
      <c r="I1711" s="99">
        <f t="shared" si="9"/>
        <v>0</v>
      </c>
      <c r="J1711" s="101"/>
      <c r="K1711" s="101"/>
      <c r="L1711" s="101" t="str">
        <f t="shared" si="8"/>
        <v>EN PROCESO</v>
      </c>
      <c r="M1711" s="101"/>
      <c r="N1711" s="101"/>
    </row>
    <row r="1712" ht="22.5" hidden="1" customHeight="1">
      <c r="A1712" s="49"/>
      <c r="B1712" s="81"/>
      <c r="C1712" s="97"/>
      <c r="D1712" s="49"/>
      <c r="E1712" s="49"/>
      <c r="F1712" s="98"/>
      <c r="G1712" s="98"/>
      <c r="H1712" s="97"/>
      <c r="I1712" s="99">
        <f t="shared" si="9"/>
        <v>0</v>
      </c>
      <c r="J1712" s="49"/>
      <c r="K1712" s="49"/>
      <c r="L1712" s="49" t="str">
        <f t="shared" si="8"/>
        <v>EN PROCESO</v>
      </c>
      <c r="M1712" s="49"/>
      <c r="N1712" s="49"/>
    </row>
    <row r="1713" ht="22.5" hidden="1" customHeight="1">
      <c r="A1713" s="101"/>
      <c r="B1713" s="102"/>
      <c r="C1713" s="103"/>
      <c r="D1713" s="101"/>
      <c r="E1713" s="101"/>
      <c r="F1713" s="104"/>
      <c r="G1713" s="104"/>
      <c r="H1713" s="103"/>
      <c r="I1713" s="99">
        <f t="shared" si="9"/>
        <v>0</v>
      </c>
      <c r="J1713" s="101"/>
      <c r="K1713" s="101"/>
      <c r="L1713" s="101" t="str">
        <f t="shared" si="8"/>
        <v>EN PROCESO</v>
      </c>
      <c r="M1713" s="101"/>
      <c r="N1713" s="101"/>
    </row>
    <row r="1714" ht="22.5" hidden="1" customHeight="1">
      <c r="A1714" s="49"/>
      <c r="B1714" s="81"/>
      <c r="C1714" s="97"/>
      <c r="D1714" s="49"/>
      <c r="E1714" s="49"/>
      <c r="F1714" s="98"/>
      <c r="G1714" s="98"/>
      <c r="H1714" s="97"/>
      <c r="I1714" s="99">
        <f t="shared" si="9"/>
        <v>0</v>
      </c>
      <c r="J1714" s="49"/>
      <c r="K1714" s="49"/>
      <c r="L1714" s="49" t="str">
        <f t="shared" si="8"/>
        <v>EN PROCESO</v>
      </c>
      <c r="M1714" s="49"/>
      <c r="N1714" s="49"/>
    </row>
    <row r="1715" ht="22.5" hidden="1" customHeight="1">
      <c r="A1715" s="101"/>
      <c r="B1715" s="102"/>
      <c r="C1715" s="103"/>
      <c r="D1715" s="101"/>
      <c r="E1715" s="101"/>
      <c r="F1715" s="104"/>
      <c r="G1715" s="104"/>
      <c r="H1715" s="103"/>
      <c r="I1715" s="99">
        <f t="shared" si="9"/>
        <v>0</v>
      </c>
      <c r="J1715" s="101"/>
      <c r="K1715" s="101"/>
      <c r="L1715" s="101" t="str">
        <f t="shared" si="8"/>
        <v>EN PROCESO</v>
      </c>
      <c r="M1715" s="101"/>
      <c r="N1715" s="101"/>
    </row>
    <row r="1716" ht="22.5" hidden="1" customHeight="1">
      <c r="A1716" s="49"/>
      <c r="B1716" s="81"/>
      <c r="C1716" s="97"/>
      <c r="D1716" s="49"/>
      <c r="E1716" s="49"/>
      <c r="F1716" s="98"/>
      <c r="G1716" s="98"/>
      <c r="H1716" s="97"/>
      <c r="I1716" s="99">
        <f t="shared" si="9"/>
        <v>0</v>
      </c>
      <c r="J1716" s="49"/>
      <c r="K1716" s="49"/>
      <c r="L1716" s="49" t="str">
        <f t="shared" si="8"/>
        <v>EN PROCESO</v>
      </c>
      <c r="M1716" s="49"/>
      <c r="N1716" s="49"/>
    </row>
    <row r="1717" ht="22.5" hidden="1" customHeight="1">
      <c r="A1717" s="101"/>
      <c r="B1717" s="102"/>
      <c r="C1717" s="103"/>
      <c r="D1717" s="101"/>
      <c r="E1717" s="101"/>
      <c r="F1717" s="104"/>
      <c r="G1717" s="104"/>
      <c r="H1717" s="103"/>
      <c r="I1717" s="99">
        <f t="shared" si="9"/>
        <v>0</v>
      </c>
      <c r="J1717" s="101"/>
      <c r="K1717" s="101"/>
      <c r="L1717" s="101" t="str">
        <f t="shared" si="8"/>
        <v>EN PROCESO</v>
      </c>
      <c r="M1717" s="101"/>
      <c r="N1717" s="101"/>
    </row>
    <row r="1718" ht="22.5" hidden="1" customHeight="1">
      <c r="A1718" s="49"/>
      <c r="B1718" s="81"/>
      <c r="C1718" s="97"/>
      <c r="D1718" s="49"/>
      <c r="E1718" s="49"/>
      <c r="F1718" s="98"/>
      <c r="G1718" s="98"/>
      <c r="H1718" s="97"/>
      <c r="I1718" s="99">
        <f t="shared" si="9"/>
        <v>0</v>
      </c>
      <c r="J1718" s="49"/>
      <c r="K1718" s="49"/>
      <c r="L1718" s="49" t="str">
        <f t="shared" si="8"/>
        <v>EN PROCESO</v>
      </c>
      <c r="M1718" s="49"/>
      <c r="N1718" s="49"/>
    </row>
    <row r="1719" ht="22.5" hidden="1" customHeight="1">
      <c r="A1719" s="101"/>
      <c r="B1719" s="102"/>
      <c r="C1719" s="103"/>
      <c r="D1719" s="101"/>
      <c r="E1719" s="101"/>
      <c r="F1719" s="104"/>
      <c r="G1719" s="104"/>
      <c r="H1719" s="103"/>
      <c r="I1719" s="99">
        <f t="shared" si="9"/>
        <v>0</v>
      </c>
      <c r="J1719" s="101"/>
      <c r="K1719" s="101"/>
      <c r="L1719" s="101" t="str">
        <f t="shared" si="8"/>
        <v>EN PROCESO</v>
      </c>
      <c r="M1719" s="101"/>
      <c r="N1719" s="101"/>
    </row>
    <row r="1720" ht="22.5" hidden="1" customHeight="1">
      <c r="A1720" s="49"/>
      <c r="B1720" s="81"/>
      <c r="C1720" s="97"/>
      <c r="D1720" s="49"/>
      <c r="E1720" s="49"/>
      <c r="F1720" s="98"/>
      <c r="G1720" s="98"/>
      <c r="H1720" s="97"/>
      <c r="I1720" s="99">
        <f t="shared" si="9"/>
        <v>0</v>
      </c>
      <c r="J1720" s="49"/>
      <c r="K1720" s="49"/>
      <c r="L1720" s="49" t="str">
        <f t="shared" si="8"/>
        <v>EN PROCESO</v>
      </c>
      <c r="M1720" s="49"/>
      <c r="N1720" s="49"/>
    </row>
    <row r="1721" ht="22.5" hidden="1" customHeight="1">
      <c r="A1721" s="101"/>
      <c r="B1721" s="102"/>
      <c r="C1721" s="103"/>
      <c r="D1721" s="101"/>
      <c r="E1721" s="101"/>
      <c r="F1721" s="104"/>
      <c r="G1721" s="104"/>
      <c r="H1721" s="103"/>
      <c r="I1721" s="99">
        <f t="shared" si="9"/>
        <v>0</v>
      </c>
      <c r="J1721" s="101"/>
      <c r="K1721" s="101"/>
      <c r="L1721" s="101" t="str">
        <f t="shared" si="8"/>
        <v>EN PROCESO</v>
      </c>
      <c r="M1721" s="101"/>
      <c r="N1721" s="101"/>
    </row>
    <row r="1722" ht="22.5" hidden="1" customHeight="1">
      <c r="A1722" s="49"/>
      <c r="B1722" s="81"/>
      <c r="C1722" s="97"/>
      <c r="D1722" s="49"/>
      <c r="E1722" s="49"/>
      <c r="F1722" s="98"/>
      <c r="G1722" s="98"/>
      <c r="H1722" s="97"/>
      <c r="I1722" s="99">
        <f t="shared" si="9"/>
        <v>0</v>
      </c>
      <c r="J1722" s="49"/>
      <c r="K1722" s="49"/>
      <c r="L1722" s="49" t="str">
        <f t="shared" si="8"/>
        <v>EN PROCESO</v>
      </c>
      <c r="M1722" s="49"/>
      <c r="N1722" s="49"/>
    </row>
    <row r="1723" ht="22.5" hidden="1" customHeight="1">
      <c r="A1723" s="101"/>
      <c r="B1723" s="102"/>
      <c r="C1723" s="103"/>
      <c r="D1723" s="101"/>
      <c r="E1723" s="101"/>
      <c r="F1723" s="104"/>
      <c r="G1723" s="104"/>
      <c r="H1723" s="103"/>
      <c r="I1723" s="99">
        <f t="shared" si="9"/>
        <v>0</v>
      </c>
      <c r="J1723" s="101"/>
      <c r="K1723" s="101"/>
      <c r="L1723" s="101" t="str">
        <f t="shared" si="8"/>
        <v>EN PROCESO</v>
      </c>
      <c r="M1723" s="101"/>
      <c r="N1723" s="101"/>
    </row>
    <row r="1724" ht="22.5" hidden="1" customHeight="1">
      <c r="A1724" s="49"/>
      <c r="B1724" s="81"/>
      <c r="C1724" s="97"/>
      <c r="D1724" s="49"/>
      <c r="E1724" s="49"/>
      <c r="F1724" s="98"/>
      <c r="G1724" s="98"/>
      <c r="H1724" s="97"/>
      <c r="I1724" s="99">
        <f t="shared" si="9"/>
        <v>0</v>
      </c>
      <c r="J1724" s="49"/>
      <c r="K1724" s="49"/>
      <c r="L1724" s="49" t="str">
        <f t="shared" si="8"/>
        <v>EN PROCESO</v>
      </c>
      <c r="M1724" s="49"/>
      <c r="N1724" s="49"/>
    </row>
    <row r="1725" ht="22.5" hidden="1" customHeight="1">
      <c r="A1725" s="101"/>
      <c r="B1725" s="102"/>
      <c r="C1725" s="103"/>
      <c r="D1725" s="101"/>
      <c r="E1725" s="101"/>
      <c r="F1725" s="104"/>
      <c r="G1725" s="104"/>
      <c r="H1725" s="103"/>
      <c r="I1725" s="99">
        <f t="shared" si="9"/>
        <v>0</v>
      </c>
      <c r="J1725" s="101"/>
      <c r="K1725" s="101"/>
      <c r="L1725" s="101" t="str">
        <f t="shared" si="8"/>
        <v>EN PROCESO</v>
      </c>
      <c r="M1725" s="101"/>
      <c r="N1725" s="101"/>
    </row>
    <row r="1726" ht="22.5" hidden="1" customHeight="1">
      <c r="A1726" s="49"/>
      <c r="B1726" s="81"/>
      <c r="C1726" s="97"/>
      <c r="D1726" s="49"/>
      <c r="E1726" s="49"/>
      <c r="F1726" s="98"/>
      <c r="G1726" s="98"/>
      <c r="H1726" s="97"/>
      <c r="I1726" s="99">
        <f t="shared" si="9"/>
        <v>0</v>
      </c>
      <c r="J1726" s="49"/>
      <c r="K1726" s="49"/>
      <c r="L1726" s="49" t="str">
        <f t="shared" si="8"/>
        <v>EN PROCESO</v>
      </c>
      <c r="M1726" s="49"/>
      <c r="N1726" s="49"/>
    </row>
    <row r="1727" ht="22.5" hidden="1" customHeight="1">
      <c r="A1727" s="101"/>
      <c r="B1727" s="102"/>
      <c r="C1727" s="103"/>
      <c r="D1727" s="101"/>
      <c r="E1727" s="101"/>
      <c r="F1727" s="104"/>
      <c r="G1727" s="104"/>
      <c r="H1727" s="103"/>
      <c r="I1727" s="99">
        <f t="shared" si="9"/>
        <v>0</v>
      </c>
      <c r="J1727" s="101"/>
      <c r="K1727" s="101"/>
      <c r="L1727" s="101" t="str">
        <f t="shared" si="8"/>
        <v>EN PROCESO</v>
      </c>
      <c r="M1727" s="101"/>
      <c r="N1727" s="101"/>
    </row>
    <row r="1728" ht="22.5" hidden="1" customHeight="1">
      <c r="A1728" s="49"/>
      <c r="B1728" s="81"/>
      <c r="C1728" s="97"/>
      <c r="D1728" s="49"/>
      <c r="E1728" s="49"/>
      <c r="F1728" s="98"/>
      <c r="G1728" s="98"/>
      <c r="H1728" s="97"/>
      <c r="I1728" s="99">
        <f t="shared" si="9"/>
        <v>0</v>
      </c>
      <c r="J1728" s="49"/>
      <c r="K1728" s="49"/>
      <c r="L1728" s="49" t="str">
        <f t="shared" si="8"/>
        <v>EN PROCESO</v>
      </c>
      <c r="M1728" s="49"/>
      <c r="N1728" s="49"/>
    </row>
    <row r="1729" ht="22.5" hidden="1" customHeight="1">
      <c r="A1729" s="101"/>
      <c r="B1729" s="102"/>
      <c r="C1729" s="103"/>
      <c r="D1729" s="101"/>
      <c r="E1729" s="101"/>
      <c r="F1729" s="104"/>
      <c r="G1729" s="104"/>
      <c r="H1729" s="103"/>
      <c r="I1729" s="99">
        <f t="shared" si="9"/>
        <v>0</v>
      </c>
      <c r="J1729" s="101"/>
      <c r="K1729" s="101"/>
      <c r="L1729" s="101" t="str">
        <f t="shared" si="8"/>
        <v>EN PROCESO</v>
      </c>
      <c r="M1729" s="101"/>
      <c r="N1729" s="101"/>
    </row>
    <row r="1730" ht="22.5" hidden="1" customHeight="1">
      <c r="A1730" s="49"/>
      <c r="B1730" s="81"/>
      <c r="C1730" s="97"/>
      <c r="D1730" s="49"/>
      <c r="E1730" s="49"/>
      <c r="F1730" s="98"/>
      <c r="G1730" s="98"/>
      <c r="H1730" s="97"/>
      <c r="I1730" s="99">
        <f t="shared" si="9"/>
        <v>0</v>
      </c>
      <c r="J1730" s="49"/>
      <c r="K1730" s="49"/>
      <c r="L1730" s="49" t="str">
        <f t="shared" si="8"/>
        <v>EN PROCESO</v>
      </c>
      <c r="M1730" s="49"/>
      <c r="N1730" s="49"/>
    </row>
    <row r="1731" ht="22.5" hidden="1" customHeight="1">
      <c r="A1731" s="101"/>
      <c r="B1731" s="102"/>
      <c r="C1731" s="103"/>
      <c r="D1731" s="101"/>
      <c r="E1731" s="101"/>
      <c r="F1731" s="104"/>
      <c r="G1731" s="104"/>
      <c r="H1731" s="103"/>
      <c r="I1731" s="99">
        <f t="shared" si="9"/>
        <v>0</v>
      </c>
      <c r="J1731" s="101"/>
      <c r="K1731" s="101"/>
      <c r="L1731" s="101" t="str">
        <f t="shared" si="8"/>
        <v>EN PROCESO</v>
      </c>
      <c r="M1731" s="101"/>
      <c r="N1731" s="101"/>
    </row>
    <row r="1732" ht="22.5" hidden="1" customHeight="1">
      <c r="A1732" s="49"/>
      <c r="B1732" s="81"/>
      <c r="C1732" s="97"/>
      <c r="D1732" s="49"/>
      <c r="E1732" s="49"/>
      <c r="F1732" s="98"/>
      <c r="G1732" s="98"/>
      <c r="H1732" s="97"/>
      <c r="I1732" s="99">
        <f t="shared" si="9"/>
        <v>0</v>
      </c>
      <c r="J1732" s="49"/>
      <c r="K1732" s="49"/>
      <c r="L1732" s="49" t="str">
        <f t="shared" si="8"/>
        <v>EN PROCESO</v>
      </c>
      <c r="M1732" s="49"/>
      <c r="N1732" s="49"/>
    </row>
    <row r="1733" ht="22.5" hidden="1" customHeight="1">
      <c r="A1733" s="101"/>
      <c r="B1733" s="102"/>
      <c r="C1733" s="103"/>
      <c r="D1733" s="101"/>
      <c r="E1733" s="101"/>
      <c r="F1733" s="104"/>
      <c r="G1733" s="104"/>
      <c r="H1733" s="103"/>
      <c r="I1733" s="99">
        <f t="shared" si="9"/>
        <v>0</v>
      </c>
      <c r="J1733" s="101"/>
      <c r="K1733" s="101"/>
      <c r="L1733" s="101" t="str">
        <f t="shared" si="8"/>
        <v>EN PROCESO</v>
      </c>
      <c r="M1733" s="101"/>
      <c r="N1733" s="101"/>
    </row>
    <row r="1734" ht="22.5" hidden="1" customHeight="1">
      <c r="A1734" s="49"/>
      <c r="B1734" s="81"/>
      <c r="C1734" s="97"/>
      <c r="D1734" s="49"/>
      <c r="E1734" s="49"/>
      <c r="F1734" s="98"/>
      <c r="G1734" s="98"/>
      <c r="H1734" s="97"/>
      <c r="I1734" s="99">
        <f t="shared" si="9"/>
        <v>0</v>
      </c>
      <c r="J1734" s="49"/>
      <c r="K1734" s="49"/>
      <c r="L1734" s="49" t="str">
        <f t="shared" si="8"/>
        <v>EN PROCESO</v>
      </c>
      <c r="M1734" s="49"/>
      <c r="N1734" s="49"/>
    </row>
    <row r="1735" ht="22.5" hidden="1" customHeight="1">
      <c r="A1735" s="101"/>
      <c r="B1735" s="102"/>
      <c r="C1735" s="103"/>
      <c r="D1735" s="101"/>
      <c r="E1735" s="101"/>
      <c r="F1735" s="104"/>
      <c r="G1735" s="104"/>
      <c r="H1735" s="103"/>
      <c r="I1735" s="99">
        <f t="shared" si="9"/>
        <v>0</v>
      </c>
      <c r="J1735" s="101"/>
      <c r="K1735" s="101"/>
      <c r="L1735" s="101" t="str">
        <f t="shared" si="8"/>
        <v>EN PROCESO</v>
      </c>
      <c r="M1735" s="101"/>
      <c r="N1735" s="101"/>
    </row>
    <row r="1736" ht="22.5" hidden="1" customHeight="1">
      <c r="A1736" s="49"/>
      <c r="B1736" s="81"/>
      <c r="C1736" s="97"/>
      <c r="D1736" s="49"/>
      <c r="E1736" s="49"/>
      <c r="F1736" s="98"/>
      <c r="G1736" s="98"/>
      <c r="H1736" s="97"/>
      <c r="I1736" s="99">
        <f t="shared" si="9"/>
        <v>0</v>
      </c>
      <c r="J1736" s="49"/>
      <c r="K1736" s="49"/>
      <c r="L1736" s="49" t="str">
        <f t="shared" si="8"/>
        <v>EN PROCESO</v>
      </c>
      <c r="M1736" s="49"/>
      <c r="N1736" s="49"/>
    </row>
    <row r="1737" ht="22.5" hidden="1" customHeight="1">
      <c r="A1737" s="101"/>
      <c r="B1737" s="102"/>
      <c r="C1737" s="103"/>
      <c r="D1737" s="101"/>
      <c r="E1737" s="101"/>
      <c r="F1737" s="104"/>
      <c r="G1737" s="104"/>
      <c r="H1737" s="103"/>
      <c r="I1737" s="99">
        <f t="shared" si="9"/>
        <v>0</v>
      </c>
      <c r="J1737" s="101"/>
      <c r="K1737" s="101"/>
      <c r="L1737" s="101" t="str">
        <f t="shared" si="8"/>
        <v>EN PROCESO</v>
      </c>
      <c r="M1737" s="101"/>
      <c r="N1737" s="101"/>
    </row>
    <row r="1738" ht="22.5" hidden="1" customHeight="1">
      <c r="A1738" s="49"/>
      <c r="B1738" s="81"/>
      <c r="C1738" s="97"/>
      <c r="D1738" s="49"/>
      <c r="E1738" s="49"/>
      <c r="F1738" s="98"/>
      <c r="G1738" s="98"/>
      <c r="H1738" s="97"/>
      <c r="I1738" s="99">
        <f t="shared" si="9"/>
        <v>0</v>
      </c>
      <c r="J1738" s="49"/>
      <c r="K1738" s="49"/>
      <c r="L1738" s="49" t="str">
        <f t="shared" si="8"/>
        <v>EN PROCESO</v>
      </c>
      <c r="M1738" s="49"/>
      <c r="N1738" s="49"/>
    </row>
    <row r="1739" ht="22.5" hidden="1" customHeight="1">
      <c r="A1739" s="101"/>
      <c r="B1739" s="102"/>
      <c r="C1739" s="103"/>
      <c r="D1739" s="101"/>
      <c r="E1739" s="101"/>
      <c r="F1739" s="104"/>
      <c r="G1739" s="104"/>
      <c r="H1739" s="103"/>
      <c r="I1739" s="99">
        <f t="shared" si="9"/>
        <v>0</v>
      </c>
      <c r="J1739" s="101"/>
      <c r="K1739" s="101"/>
      <c r="L1739" s="101" t="str">
        <f t="shared" si="8"/>
        <v>EN PROCESO</v>
      </c>
      <c r="M1739" s="101"/>
      <c r="N1739" s="101"/>
    </row>
    <row r="1740" ht="22.5" hidden="1" customHeight="1">
      <c r="A1740" s="49"/>
      <c r="B1740" s="81"/>
      <c r="C1740" s="97"/>
      <c r="D1740" s="49"/>
      <c r="E1740" s="49"/>
      <c r="F1740" s="98"/>
      <c r="G1740" s="98"/>
      <c r="H1740" s="97"/>
      <c r="I1740" s="99">
        <f t="shared" si="9"/>
        <v>0</v>
      </c>
      <c r="J1740" s="49"/>
      <c r="K1740" s="49"/>
      <c r="L1740" s="49" t="str">
        <f t="shared" si="8"/>
        <v>EN PROCESO</v>
      </c>
      <c r="M1740" s="49"/>
      <c r="N1740" s="49"/>
    </row>
    <row r="1741" ht="22.5" hidden="1" customHeight="1">
      <c r="A1741" s="101"/>
      <c r="B1741" s="102"/>
      <c r="C1741" s="103"/>
      <c r="D1741" s="101"/>
      <c r="E1741" s="101"/>
      <c r="F1741" s="104"/>
      <c r="G1741" s="104"/>
      <c r="H1741" s="103"/>
      <c r="I1741" s="99">
        <f t="shared" si="9"/>
        <v>0</v>
      </c>
      <c r="J1741" s="101"/>
      <c r="K1741" s="101"/>
      <c r="L1741" s="101" t="str">
        <f t="shared" si="8"/>
        <v>EN PROCESO</v>
      </c>
      <c r="M1741" s="101"/>
      <c r="N1741" s="101"/>
    </row>
    <row r="1742" ht="22.5" hidden="1" customHeight="1">
      <c r="A1742" s="49"/>
      <c r="B1742" s="81"/>
      <c r="C1742" s="97"/>
      <c r="D1742" s="49"/>
      <c r="E1742" s="49"/>
      <c r="F1742" s="98"/>
      <c r="G1742" s="98"/>
      <c r="H1742" s="97"/>
      <c r="I1742" s="99">
        <f t="shared" si="9"/>
        <v>0</v>
      </c>
      <c r="J1742" s="49"/>
      <c r="K1742" s="49"/>
      <c r="L1742" s="49" t="str">
        <f t="shared" si="8"/>
        <v>EN PROCESO</v>
      </c>
      <c r="M1742" s="49"/>
      <c r="N1742" s="49"/>
    </row>
    <row r="1743" ht="22.5" hidden="1" customHeight="1">
      <c r="A1743" s="101"/>
      <c r="B1743" s="102"/>
      <c r="C1743" s="103"/>
      <c r="D1743" s="101"/>
      <c r="E1743" s="101"/>
      <c r="F1743" s="104"/>
      <c r="G1743" s="104"/>
      <c r="H1743" s="103"/>
      <c r="I1743" s="99">
        <f t="shared" si="9"/>
        <v>0</v>
      </c>
      <c r="J1743" s="101"/>
      <c r="K1743" s="101"/>
      <c r="L1743" s="101" t="str">
        <f t="shared" si="8"/>
        <v>EN PROCESO</v>
      </c>
      <c r="M1743" s="101"/>
      <c r="N1743" s="101"/>
    </row>
    <row r="1744" ht="22.5" hidden="1" customHeight="1">
      <c r="A1744" s="49"/>
      <c r="B1744" s="81"/>
      <c r="C1744" s="97"/>
      <c r="D1744" s="49"/>
      <c r="E1744" s="49"/>
      <c r="F1744" s="98"/>
      <c r="G1744" s="98"/>
      <c r="H1744" s="97"/>
      <c r="I1744" s="99">
        <f t="shared" si="9"/>
        <v>0</v>
      </c>
      <c r="J1744" s="49"/>
      <c r="K1744" s="49"/>
      <c r="L1744" s="49" t="str">
        <f t="shared" si="8"/>
        <v>EN PROCESO</v>
      </c>
      <c r="M1744" s="49"/>
      <c r="N1744" s="49"/>
    </row>
    <row r="1745" ht="22.5" hidden="1" customHeight="1">
      <c r="A1745" s="101"/>
      <c r="B1745" s="102"/>
      <c r="C1745" s="103"/>
      <c r="D1745" s="101"/>
      <c r="E1745" s="101"/>
      <c r="F1745" s="104"/>
      <c r="G1745" s="104"/>
      <c r="H1745" s="103"/>
      <c r="I1745" s="99">
        <f t="shared" si="9"/>
        <v>0</v>
      </c>
      <c r="J1745" s="101"/>
      <c r="K1745" s="101"/>
      <c r="L1745" s="101" t="str">
        <f t="shared" si="8"/>
        <v>EN PROCESO</v>
      </c>
      <c r="M1745" s="101"/>
      <c r="N1745" s="101"/>
    </row>
    <row r="1746" ht="22.5" hidden="1" customHeight="1">
      <c r="A1746" s="49"/>
      <c r="B1746" s="81"/>
      <c r="C1746" s="97"/>
      <c r="D1746" s="49"/>
      <c r="E1746" s="49"/>
      <c r="F1746" s="98"/>
      <c r="G1746" s="98"/>
      <c r="H1746" s="97"/>
      <c r="I1746" s="99">
        <f t="shared" si="9"/>
        <v>0</v>
      </c>
      <c r="J1746" s="49"/>
      <c r="K1746" s="49"/>
      <c r="L1746" s="49" t="str">
        <f t="shared" si="8"/>
        <v>EN PROCESO</v>
      </c>
      <c r="M1746" s="49"/>
      <c r="N1746" s="49"/>
    </row>
    <row r="1747" ht="22.5" hidden="1" customHeight="1">
      <c r="A1747" s="101"/>
      <c r="B1747" s="102"/>
      <c r="C1747" s="103"/>
      <c r="D1747" s="101"/>
      <c r="E1747" s="101"/>
      <c r="F1747" s="104"/>
      <c r="G1747" s="104"/>
      <c r="H1747" s="103"/>
      <c r="I1747" s="99">
        <f t="shared" si="9"/>
        <v>0</v>
      </c>
      <c r="J1747" s="101"/>
      <c r="K1747" s="101"/>
      <c r="L1747" s="101" t="str">
        <f t="shared" si="8"/>
        <v>EN PROCESO</v>
      </c>
      <c r="M1747" s="101"/>
      <c r="N1747" s="101"/>
    </row>
    <row r="1748" ht="22.5" hidden="1" customHeight="1">
      <c r="A1748" s="49"/>
      <c r="B1748" s="81"/>
      <c r="C1748" s="97"/>
      <c r="D1748" s="49"/>
      <c r="E1748" s="49"/>
      <c r="F1748" s="98"/>
      <c r="G1748" s="98"/>
      <c r="H1748" s="97"/>
      <c r="I1748" s="99">
        <f t="shared" si="9"/>
        <v>0</v>
      </c>
      <c r="J1748" s="49"/>
      <c r="K1748" s="49"/>
      <c r="L1748" s="49" t="str">
        <f t="shared" si="8"/>
        <v>EN PROCESO</v>
      </c>
      <c r="M1748" s="49"/>
      <c r="N1748" s="49"/>
    </row>
    <row r="1749" ht="22.5" hidden="1" customHeight="1">
      <c r="A1749" s="101"/>
      <c r="B1749" s="102"/>
      <c r="C1749" s="103"/>
      <c r="D1749" s="101"/>
      <c r="E1749" s="101"/>
      <c r="F1749" s="104"/>
      <c r="G1749" s="104"/>
      <c r="H1749" s="103"/>
      <c r="I1749" s="99">
        <f t="shared" si="9"/>
        <v>0</v>
      </c>
      <c r="J1749" s="101"/>
      <c r="K1749" s="101"/>
      <c r="L1749" s="101" t="str">
        <f t="shared" si="8"/>
        <v>EN PROCESO</v>
      </c>
      <c r="M1749" s="101"/>
      <c r="N1749" s="101"/>
    </row>
    <row r="1750" ht="22.5" hidden="1" customHeight="1">
      <c r="A1750" s="49"/>
      <c r="B1750" s="81"/>
      <c r="C1750" s="97"/>
      <c r="D1750" s="49"/>
      <c r="E1750" s="49"/>
      <c r="F1750" s="98"/>
      <c r="G1750" s="98"/>
      <c r="H1750" s="97"/>
      <c r="I1750" s="99">
        <f t="shared" si="9"/>
        <v>0</v>
      </c>
      <c r="J1750" s="49"/>
      <c r="K1750" s="49"/>
      <c r="L1750" s="49" t="str">
        <f t="shared" si="8"/>
        <v>EN PROCESO</v>
      </c>
      <c r="M1750" s="49"/>
      <c r="N1750" s="49"/>
    </row>
    <row r="1751" ht="22.5" hidden="1" customHeight="1">
      <c r="A1751" s="101"/>
      <c r="B1751" s="102"/>
      <c r="C1751" s="103"/>
      <c r="D1751" s="101"/>
      <c r="E1751" s="101"/>
      <c r="F1751" s="104"/>
      <c r="G1751" s="104"/>
      <c r="H1751" s="103"/>
      <c r="I1751" s="99">
        <f t="shared" si="9"/>
        <v>0</v>
      </c>
      <c r="J1751" s="101"/>
      <c r="K1751" s="101"/>
      <c r="L1751" s="101" t="str">
        <f t="shared" si="8"/>
        <v>EN PROCESO</v>
      </c>
      <c r="M1751" s="101"/>
      <c r="N1751" s="101"/>
    </row>
    <row r="1752" ht="22.5" hidden="1" customHeight="1">
      <c r="A1752" s="49"/>
      <c r="B1752" s="81"/>
      <c r="C1752" s="97"/>
      <c r="D1752" s="49"/>
      <c r="E1752" s="49"/>
      <c r="F1752" s="98"/>
      <c r="G1752" s="98"/>
      <c r="H1752" s="97"/>
      <c r="I1752" s="99">
        <f t="shared" si="9"/>
        <v>0</v>
      </c>
      <c r="J1752" s="49"/>
      <c r="K1752" s="49"/>
      <c r="L1752" s="49" t="str">
        <f t="shared" si="8"/>
        <v>EN PROCESO</v>
      </c>
      <c r="M1752" s="49"/>
      <c r="N1752" s="49"/>
    </row>
    <row r="1753" ht="22.5" hidden="1" customHeight="1">
      <c r="A1753" s="101"/>
      <c r="B1753" s="102"/>
      <c r="C1753" s="103"/>
      <c r="D1753" s="101"/>
      <c r="E1753" s="101"/>
      <c r="F1753" s="104"/>
      <c r="G1753" s="104"/>
      <c r="H1753" s="103"/>
      <c r="I1753" s="99">
        <f t="shared" si="9"/>
        <v>0</v>
      </c>
      <c r="J1753" s="101"/>
      <c r="K1753" s="101"/>
      <c r="L1753" s="101" t="str">
        <f t="shared" si="8"/>
        <v>EN PROCESO</v>
      </c>
      <c r="M1753" s="101"/>
      <c r="N1753" s="101"/>
    </row>
    <row r="1754" ht="22.5" hidden="1" customHeight="1">
      <c r="A1754" s="49"/>
      <c r="B1754" s="81"/>
      <c r="C1754" s="97"/>
      <c r="D1754" s="49"/>
      <c r="E1754" s="49"/>
      <c r="F1754" s="98"/>
      <c r="G1754" s="98"/>
      <c r="H1754" s="97"/>
      <c r="I1754" s="99">
        <f t="shared" si="9"/>
        <v>0</v>
      </c>
      <c r="J1754" s="49"/>
      <c r="K1754" s="49"/>
      <c r="L1754" s="49" t="str">
        <f t="shared" si="8"/>
        <v>EN PROCESO</v>
      </c>
      <c r="M1754" s="49"/>
      <c r="N1754" s="49"/>
    </row>
    <row r="1755" ht="22.5" hidden="1" customHeight="1">
      <c r="A1755" s="101"/>
      <c r="B1755" s="102"/>
      <c r="C1755" s="103"/>
      <c r="D1755" s="101"/>
      <c r="E1755" s="101"/>
      <c r="F1755" s="104"/>
      <c r="G1755" s="104"/>
      <c r="H1755" s="103"/>
      <c r="I1755" s="99">
        <f t="shared" si="9"/>
        <v>0</v>
      </c>
      <c r="J1755" s="101"/>
      <c r="K1755" s="101"/>
      <c r="L1755" s="101" t="str">
        <f t="shared" si="8"/>
        <v>EN PROCESO</v>
      </c>
      <c r="M1755" s="101"/>
      <c r="N1755" s="101"/>
    </row>
    <row r="1756" ht="22.5" hidden="1" customHeight="1">
      <c r="A1756" s="49"/>
      <c r="B1756" s="81"/>
      <c r="C1756" s="97"/>
      <c r="D1756" s="49"/>
      <c r="E1756" s="49"/>
      <c r="F1756" s="98"/>
      <c r="G1756" s="98"/>
      <c r="H1756" s="97"/>
      <c r="I1756" s="99">
        <f t="shared" si="9"/>
        <v>0</v>
      </c>
      <c r="J1756" s="49"/>
      <c r="K1756" s="49"/>
      <c r="L1756" s="49" t="str">
        <f t="shared" si="8"/>
        <v>EN PROCESO</v>
      </c>
      <c r="M1756" s="49"/>
      <c r="N1756" s="49"/>
    </row>
    <row r="1757" ht="22.5" hidden="1" customHeight="1">
      <c r="A1757" s="101"/>
      <c r="B1757" s="102"/>
      <c r="C1757" s="103"/>
      <c r="D1757" s="101"/>
      <c r="E1757" s="101"/>
      <c r="F1757" s="104"/>
      <c r="G1757" s="104"/>
      <c r="H1757" s="103"/>
      <c r="I1757" s="99">
        <f t="shared" si="9"/>
        <v>0</v>
      </c>
      <c r="J1757" s="101"/>
      <c r="K1757" s="101"/>
      <c r="L1757" s="101" t="str">
        <f t="shared" si="8"/>
        <v>EN PROCESO</v>
      </c>
      <c r="M1757" s="101"/>
      <c r="N1757" s="101"/>
    </row>
    <row r="1758" ht="22.5" hidden="1" customHeight="1">
      <c r="A1758" s="49"/>
      <c r="B1758" s="81"/>
      <c r="C1758" s="97"/>
      <c r="D1758" s="49"/>
      <c r="E1758" s="49"/>
      <c r="F1758" s="98"/>
      <c r="G1758" s="98"/>
      <c r="H1758" s="97"/>
      <c r="I1758" s="99">
        <f t="shared" si="9"/>
        <v>0</v>
      </c>
      <c r="J1758" s="49"/>
      <c r="K1758" s="49"/>
      <c r="L1758" s="49" t="str">
        <f t="shared" si="8"/>
        <v>EN PROCESO</v>
      </c>
      <c r="M1758" s="49"/>
      <c r="N1758" s="49"/>
    </row>
    <row r="1759" ht="22.5" hidden="1" customHeight="1">
      <c r="A1759" s="101"/>
      <c r="B1759" s="102"/>
      <c r="C1759" s="103"/>
      <c r="D1759" s="101"/>
      <c r="E1759" s="101"/>
      <c r="F1759" s="104"/>
      <c r="G1759" s="104"/>
      <c r="H1759" s="103"/>
      <c r="I1759" s="99">
        <f t="shared" si="9"/>
        <v>0</v>
      </c>
      <c r="J1759" s="101"/>
      <c r="K1759" s="101"/>
      <c r="L1759" s="101" t="str">
        <f t="shared" si="8"/>
        <v>EN PROCESO</v>
      </c>
      <c r="M1759" s="101"/>
      <c r="N1759" s="101"/>
    </row>
    <row r="1760" ht="22.5" hidden="1" customHeight="1">
      <c r="A1760" s="49"/>
      <c r="B1760" s="81"/>
      <c r="C1760" s="97"/>
      <c r="D1760" s="49"/>
      <c r="E1760" s="49"/>
      <c r="F1760" s="98"/>
      <c r="G1760" s="98"/>
      <c r="H1760" s="97"/>
      <c r="I1760" s="99">
        <f t="shared" si="9"/>
        <v>0</v>
      </c>
      <c r="J1760" s="49"/>
      <c r="K1760" s="49"/>
      <c r="L1760" s="49" t="str">
        <f t="shared" si="8"/>
        <v>EN PROCESO</v>
      </c>
      <c r="M1760" s="49"/>
      <c r="N1760" s="49"/>
    </row>
    <row r="1761" ht="22.5" hidden="1" customHeight="1">
      <c r="A1761" s="101"/>
      <c r="B1761" s="102"/>
      <c r="C1761" s="103"/>
      <c r="D1761" s="101"/>
      <c r="E1761" s="101"/>
      <c r="F1761" s="104"/>
      <c r="G1761" s="104"/>
      <c r="H1761" s="103"/>
      <c r="I1761" s="99">
        <f t="shared" si="9"/>
        <v>0</v>
      </c>
      <c r="J1761" s="101"/>
      <c r="K1761" s="101"/>
      <c r="L1761" s="101" t="str">
        <f t="shared" si="8"/>
        <v>EN PROCESO</v>
      </c>
      <c r="M1761" s="101"/>
      <c r="N1761" s="101"/>
    </row>
    <row r="1762" ht="22.5" hidden="1" customHeight="1">
      <c r="A1762" s="49"/>
      <c r="B1762" s="81"/>
      <c r="C1762" s="97"/>
      <c r="D1762" s="49"/>
      <c r="E1762" s="49"/>
      <c r="F1762" s="98"/>
      <c r="G1762" s="98"/>
      <c r="H1762" s="97"/>
      <c r="I1762" s="99">
        <f t="shared" si="9"/>
        <v>0</v>
      </c>
      <c r="J1762" s="49"/>
      <c r="K1762" s="49"/>
      <c r="L1762" s="49" t="str">
        <f t="shared" si="8"/>
        <v>EN PROCESO</v>
      </c>
      <c r="M1762" s="49"/>
      <c r="N1762" s="49"/>
    </row>
    <row r="1763" ht="22.5" hidden="1" customHeight="1">
      <c r="A1763" s="101"/>
      <c r="B1763" s="102"/>
      <c r="C1763" s="103"/>
      <c r="D1763" s="101"/>
      <c r="E1763" s="101"/>
      <c r="F1763" s="104"/>
      <c r="G1763" s="104"/>
      <c r="H1763" s="103"/>
      <c r="I1763" s="99">
        <f t="shared" si="9"/>
        <v>0</v>
      </c>
      <c r="J1763" s="101"/>
      <c r="K1763" s="101"/>
      <c r="L1763" s="101" t="str">
        <f t="shared" si="8"/>
        <v>EN PROCESO</v>
      </c>
      <c r="M1763" s="101"/>
      <c r="N1763" s="101"/>
    </row>
    <row r="1764" ht="22.5" hidden="1" customHeight="1">
      <c r="A1764" s="49"/>
      <c r="B1764" s="81"/>
      <c r="C1764" s="97"/>
      <c r="D1764" s="49"/>
      <c r="E1764" s="49"/>
      <c r="F1764" s="98"/>
      <c r="G1764" s="98"/>
      <c r="H1764" s="97"/>
      <c r="I1764" s="99">
        <f t="shared" si="9"/>
        <v>0</v>
      </c>
      <c r="J1764" s="49"/>
      <c r="K1764" s="49"/>
      <c r="L1764" s="49" t="str">
        <f t="shared" si="8"/>
        <v>EN PROCESO</v>
      </c>
      <c r="M1764" s="49"/>
      <c r="N1764" s="49"/>
    </row>
    <row r="1765" ht="22.5" hidden="1" customHeight="1">
      <c r="A1765" s="101"/>
      <c r="B1765" s="102"/>
      <c r="C1765" s="103"/>
      <c r="D1765" s="101"/>
      <c r="E1765" s="101"/>
      <c r="F1765" s="104"/>
      <c r="G1765" s="104"/>
      <c r="H1765" s="103"/>
      <c r="I1765" s="99">
        <f t="shared" si="9"/>
        <v>0</v>
      </c>
      <c r="J1765" s="101"/>
      <c r="K1765" s="101"/>
      <c r="L1765" s="101" t="str">
        <f t="shared" si="8"/>
        <v>EN PROCESO</v>
      </c>
      <c r="M1765" s="101"/>
      <c r="N1765" s="101"/>
    </row>
    <row r="1766" ht="22.5" hidden="1" customHeight="1">
      <c r="A1766" s="49"/>
      <c r="B1766" s="81"/>
      <c r="C1766" s="97"/>
      <c r="D1766" s="49"/>
      <c r="E1766" s="49"/>
      <c r="F1766" s="98"/>
      <c r="G1766" s="98"/>
      <c r="H1766" s="97"/>
      <c r="I1766" s="99">
        <f t="shared" si="9"/>
        <v>0</v>
      </c>
      <c r="J1766" s="49"/>
      <c r="K1766" s="49"/>
      <c r="L1766" s="49" t="str">
        <f t="shared" si="8"/>
        <v>EN PROCESO</v>
      </c>
      <c r="M1766" s="49"/>
      <c r="N1766" s="49"/>
    </row>
    <row r="1767" ht="22.5" hidden="1" customHeight="1">
      <c r="A1767" s="101"/>
      <c r="B1767" s="102"/>
      <c r="C1767" s="103"/>
      <c r="D1767" s="101"/>
      <c r="E1767" s="101"/>
      <c r="F1767" s="104"/>
      <c r="G1767" s="104"/>
      <c r="H1767" s="103"/>
      <c r="I1767" s="99">
        <f t="shared" si="9"/>
        <v>0</v>
      </c>
      <c r="J1767" s="101"/>
      <c r="K1767" s="101"/>
      <c r="L1767" s="101" t="str">
        <f t="shared" si="8"/>
        <v>EN PROCESO</v>
      </c>
      <c r="M1767" s="101"/>
      <c r="N1767" s="101"/>
    </row>
    <row r="1768" ht="22.5" hidden="1" customHeight="1">
      <c r="A1768" s="49"/>
      <c r="B1768" s="81"/>
      <c r="C1768" s="97"/>
      <c r="D1768" s="49"/>
      <c r="E1768" s="49"/>
      <c r="F1768" s="98"/>
      <c r="G1768" s="98"/>
      <c r="H1768" s="97"/>
      <c r="I1768" s="99">
        <f t="shared" si="9"/>
        <v>0</v>
      </c>
      <c r="J1768" s="49"/>
      <c r="K1768" s="49"/>
      <c r="L1768" s="49" t="str">
        <f t="shared" si="8"/>
        <v>EN PROCESO</v>
      </c>
      <c r="M1768" s="49"/>
      <c r="N1768" s="49"/>
    </row>
    <row r="1769" ht="22.5" hidden="1" customHeight="1">
      <c r="A1769" s="101"/>
      <c r="B1769" s="102"/>
      <c r="C1769" s="103"/>
      <c r="D1769" s="101"/>
      <c r="E1769" s="101"/>
      <c r="F1769" s="104"/>
      <c r="G1769" s="104"/>
      <c r="H1769" s="103"/>
      <c r="I1769" s="99">
        <f t="shared" si="9"/>
        <v>0</v>
      </c>
      <c r="J1769" s="101"/>
      <c r="K1769" s="101"/>
      <c r="L1769" s="101" t="str">
        <f t="shared" si="8"/>
        <v>EN PROCESO</v>
      </c>
      <c r="M1769" s="101"/>
      <c r="N1769" s="101"/>
    </row>
    <row r="1770" ht="22.5" hidden="1" customHeight="1">
      <c r="A1770" s="49"/>
      <c r="B1770" s="81"/>
      <c r="C1770" s="97"/>
      <c r="D1770" s="49"/>
      <c r="E1770" s="49"/>
      <c r="F1770" s="98"/>
      <c r="G1770" s="98"/>
      <c r="H1770" s="97"/>
      <c r="I1770" s="99">
        <f t="shared" si="9"/>
        <v>0</v>
      </c>
      <c r="J1770" s="49"/>
      <c r="K1770" s="49"/>
      <c r="L1770" s="49" t="str">
        <f t="shared" si="8"/>
        <v>EN PROCESO</v>
      </c>
      <c r="M1770" s="49"/>
      <c r="N1770" s="49"/>
    </row>
    <row r="1771" ht="22.5" hidden="1" customHeight="1">
      <c r="A1771" s="101"/>
      <c r="B1771" s="102"/>
      <c r="C1771" s="103"/>
      <c r="D1771" s="101"/>
      <c r="E1771" s="101"/>
      <c r="F1771" s="104"/>
      <c r="G1771" s="104"/>
      <c r="H1771" s="103"/>
      <c r="I1771" s="99">
        <f t="shared" si="9"/>
        <v>0</v>
      </c>
      <c r="J1771" s="101"/>
      <c r="K1771" s="101"/>
      <c r="L1771" s="101" t="str">
        <f t="shared" si="8"/>
        <v>EN PROCESO</v>
      </c>
      <c r="M1771" s="101"/>
      <c r="N1771" s="101"/>
    </row>
    <row r="1772" ht="22.5" hidden="1" customHeight="1">
      <c r="A1772" s="49"/>
      <c r="B1772" s="81"/>
      <c r="C1772" s="97"/>
      <c r="D1772" s="49"/>
      <c r="E1772" s="49"/>
      <c r="F1772" s="98"/>
      <c r="G1772" s="98"/>
      <c r="H1772" s="97"/>
      <c r="I1772" s="99">
        <f t="shared" si="9"/>
        <v>0</v>
      </c>
      <c r="J1772" s="49"/>
      <c r="K1772" s="49"/>
      <c r="L1772" s="49" t="str">
        <f t="shared" si="8"/>
        <v>EN PROCESO</v>
      </c>
      <c r="M1772" s="49"/>
      <c r="N1772" s="49"/>
    </row>
    <row r="1773" ht="22.5" hidden="1" customHeight="1">
      <c r="A1773" s="101"/>
      <c r="B1773" s="102"/>
      <c r="C1773" s="103"/>
      <c r="D1773" s="101"/>
      <c r="E1773" s="101"/>
      <c r="F1773" s="104"/>
      <c r="G1773" s="104"/>
      <c r="H1773" s="103"/>
      <c r="I1773" s="99">
        <f t="shared" si="9"/>
        <v>0</v>
      </c>
      <c r="J1773" s="101"/>
      <c r="K1773" s="101"/>
      <c r="L1773" s="101" t="str">
        <f t="shared" si="8"/>
        <v>EN PROCESO</v>
      </c>
      <c r="M1773" s="101"/>
      <c r="N1773" s="101"/>
    </row>
    <row r="1774" ht="22.5" hidden="1" customHeight="1">
      <c r="A1774" s="49"/>
      <c r="B1774" s="81"/>
      <c r="C1774" s="97"/>
      <c r="D1774" s="49"/>
      <c r="E1774" s="49"/>
      <c r="F1774" s="98"/>
      <c r="G1774" s="98"/>
      <c r="H1774" s="97"/>
      <c r="I1774" s="99">
        <f t="shared" si="9"/>
        <v>0</v>
      </c>
      <c r="J1774" s="49"/>
      <c r="K1774" s="49"/>
      <c r="L1774" s="49" t="str">
        <f t="shared" si="8"/>
        <v>EN PROCESO</v>
      </c>
      <c r="M1774" s="49"/>
      <c r="N1774" s="49"/>
    </row>
    <row r="1775" ht="22.5" hidden="1" customHeight="1">
      <c r="A1775" s="101"/>
      <c r="B1775" s="102"/>
      <c r="C1775" s="103"/>
      <c r="D1775" s="101"/>
      <c r="E1775" s="101"/>
      <c r="F1775" s="104"/>
      <c r="G1775" s="104"/>
      <c r="H1775" s="103"/>
      <c r="I1775" s="99">
        <f t="shared" si="9"/>
        <v>0</v>
      </c>
      <c r="J1775" s="101"/>
      <c r="K1775" s="101"/>
      <c r="L1775" s="101" t="str">
        <f t="shared" si="8"/>
        <v>EN PROCESO</v>
      </c>
      <c r="M1775" s="101"/>
      <c r="N1775" s="101"/>
    </row>
    <row r="1776" ht="22.5" hidden="1" customHeight="1">
      <c r="A1776" s="49"/>
      <c r="B1776" s="81"/>
      <c r="C1776" s="97"/>
      <c r="D1776" s="49"/>
      <c r="E1776" s="49"/>
      <c r="F1776" s="98"/>
      <c r="G1776" s="98"/>
      <c r="H1776" s="97"/>
      <c r="I1776" s="99">
        <f t="shared" si="9"/>
        <v>0</v>
      </c>
      <c r="J1776" s="49"/>
      <c r="K1776" s="49"/>
      <c r="L1776" s="49" t="str">
        <f t="shared" si="8"/>
        <v>EN PROCESO</v>
      </c>
      <c r="M1776" s="49"/>
      <c r="N1776" s="49"/>
    </row>
    <row r="1777" ht="22.5" hidden="1" customHeight="1">
      <c r="A1777" s="101"/>
      <c r="B1777" s="102"/>
      <c r="C1777" s="103"/>
      <c r="D1777" s="101"/>
      <c r="E1777" s="101"/>
      <c r="F1777" s="104"/>
      <c r="G1777" s="104"/>
      <c r="H1777" s="103"/>
      <c r="I1777" s="99">
        <f t="shared" si="9"/>
        <v>0</v>
      </c>
      <c r="J1777" s="101"/>
      <c r="K1777" s="101"/>
      <c r="L1777" s="101" t="str">
        <f t="shared" si="8"/>
        <v>EN PROCESO</v>
      </c>
      <c r="M1777" s="101"/>
      <c r="N1777" s="101"/>
    </row>
    <row r="1778" ht="22.5" hidden="1" customHeight="1">
      <c r="A1778" s="49"/>
      <c r="B1778" s="81"/>
      <c r="C1778" s="97"/>
      <c r="D1778" s="49"/>
      <c r="E1778" s="49"/>
      <c r="F1778" s="98"/>
      <c r="G1778" s="98"/>
      <c r="H1778" s="97"/>
      <c r="I1778" s="99">
        <f t="shared" si="9"/>
        <v>0</v>
      </c>
      <c r="J1778" s="49"/>
      <c r="K1778" s="49"/>
      <c r="L1778" s="49" t="str">
        <f t="shared" si="8"/>
        <v>EN PROCESO</v>
      </c>
      <c r="M1778" s="49"/>
      <c r="N1778" s="49"/>
    </row>
    <row r="1779" ht="22.5" hidden="1" customHeight="1">
      <c r="A1779" s="101"/>
      <c r="B1779" s="102"/>
      <c r="C1779" s="103"/>
      <c r="D1779" s="101"/>
      <c r="E1779" s="101"/>
      <c r="F1779" s="104"/>
      <c r="G1779" s="104"/>
      <c r="H1779" s="103"/>
      <c r="I1779" s="99">
        <f t="shared" si="9"/>
        <v>0</v>
      </c>
      <c r="J1779" s="101"/>
      <c r="K1779" s="101"/>
      <c r="L1779" s="101" t="str">
        <f t="shared" si="8"/>
        <v>EN PROCESO</v>
      </c>
      <c r="M1779" s="101"/>
      <c r="N1779" s="101"/>
    </row>
    <row r="1780" ht="22.5" hidden="1" customHeight="1">
      <c r="A1780" s="49"/>
      <c r="B1780" s="81"/>
      <c r="C1780" s="97"/>
      <c r="D1780" s="49"/>
      <c r="E1780" s="49"/>
      <c r="F1780" s="98"/>
      <c r="G1780" s="98"/>
      <c r="H1780" s="97"/>
      <c r="I1780" s="99">
        <f t="shared" si="9"/>
        <v>0</v>
      </c>
      <c r="J1780" s="49"/>
      <c r="K1780" s="49"/>
      <c r="L1780" s="49" t="str">
        <f t="shared" si="8"/>
        <v>EN PROCESO</v>
      </c>
      <c r="M1780" s="49"/>
      <c r="N1780" s="49"/>
    </row>
    <row r="1781" ht="22.5" hidden="1" customHeight="1">
      <c r="A1781" s="101"/>
      <c r="B1781" s="102"/>
      <c r="C1781" s="103"/>
      <c r="D1781" s="101"/>
      <c r="E1781" s="101"/>
      <c r="F1781" s="104"/>
      <c r="G1781" s="104"/>
      <c r="H1781" s="103"/>
      <c r="I1781" s="99">
        <f t="shared" si="9"/>
        <v>0</v>
      </c>
      <c r="J1781" s="101"/>
      <c r="K1781" s="101"/>
      <c r="L1781" s="101" t="str">
        <f t="shared" si="8"/>
        <v>EN PROCESO</v>
      </c>
      <c r="M1781" s="101"/>
      <c r="N1781" s="101"/>
    </row>
    <row r="1782" ht="22.5" hidden="1" customHeight="1">
      <c r="A1782" s="49"/>
      <c r="B1782" s="81"/>
      <c r="C1782" s="97"/>
      <c r="D1782" s="49"/>
      <c r="E1782" s="49"/>
      <c r="F1782" s="98"/>
      <c r="G1782" s="98"/>
      <c r="H1782" s="97"/>
      <c r="I1782" s="99">
        <f t="shared" si="9"/>
        <v>0</v>
      </c>
      <c r="J1782" s="49"/>
      <c r="K1782" s="49"/>
      <c r="L1782" s="49" t="str">
        <f t="shared" si="8"/>
        <v>EN PROCESO</v>
      </c>
      <c r="M1782" s="49"/>
      <c r="N1782" s="49"/>
    </row>
    <row r="1783" ht="22.5" hidden="1" customHeight="1">
      <c r="A1783" s="101"/>
      <c r="B1783" s="102"/>
      <c r="C1783" s="103"/>
      <c r="D1783" s="101"/>
      <c r="E1783" s="101"/>
      <c r="F1783" s="104"/>
      <c r="G1783" s="104"/>
      <c r="H1783" s="103"/>
      <c r="I1783" s="99">
        <f t="shared" si="9"/>
        <v>0</v>
      </c>
      <c r="J1783" s="101"/>
      <c r="K1783" s="101"/>
      <c r="L1783" s="101" t="str">
        <f t="shared" si="8"/>
        <v>EN PROCESO</v>
      </c>
      <c r="M1783" s="101"/>
      <c r="N1783" s="101"/>
    </row>
    <row r="1784" ht="22.5" hidden="1" customHeight="1">
      <c r="A1784" s="49"/>
      <c r="B1784" s="81"/>
      <c r="C1784" s="97"/>
      <c r="D1784" s="49"/>
      <c r="E1784" s="49"/>
      <c r="F1784" s="98"/>
      <c r="G1784" s="98"/>
      <c r="H1784" s="97"/>
      <c r="I1784" s="99">
        <f t="shared" si="9"/>
        <v>0</v>
      </c>
      <c r="J1784" s="49"/>
      <c r="K1784" s="49"/>
      <c r="L1784" s="49" t="str">
        <f t="shared" si="8"/>
        <v>EN PROCESO</v>
      </c>
      <c r="M1784" s="49"/>
      <c r="N1784" s="49"/>
    </row>
    <row r="1785" ht="22.5" hidden="1" customHeight="1">
      <c r="A1785" s="101"/>
      <c r="B1785" s="102"/>
      <c r="C1785" s="103"/>
      <c r="D1785" s="101"/>
      <c r="E1785" s="101"/>
      <c r="F1785" s="104"/>
      <c r="G1785" s="104"/>
      <c r="H1785" s="103"/>
      <c r="I1785" s="99">
        <f t="shared" si="9"/>
        <v>0</v>
      </c>
      <c r="J1785" s="101"/>
      <c r="K1785" s="101"/>
      <c r="L1785" s="101" t="str">
        <f t="shared" si="8"/>
        <v>EN PROCESO</v>
      </c>
      <c r="M1785" s="101"/>
      <c r="N1785" s="101"/>
    </row>
    <row r="1786" ht="22.5" hidden="1" customHeight="1">
      <c r="A1786" s="49"/>
      <c r="B1786" s="81"/>
      <c r="C1786" s="97"/>
      <c r="D1786" s="49"/>
      <c r="E1786" s="49"/>
      <c r="F1786" s="98"/>
      <c r="G1786" s="98"/>
      <c r="H1786" s="97"/>
      <c r="I1786" s="99">
        <f t="shared" si="9"/>
        <v>0</v>
      </c>
      <c r="J1786" s="49"/>
      <c r="K1786" s="49"/>
      <c r="L1786" s="49" t="str">
        <f t="shared" si="8"/>
        <v>EN PROCESO</v>
      </c>
      <c r="M1786" s="49"/>
      <c r="N1786" s="49"/>
    </row>
    <row r="1787" ht="22.5" hidden="1" customHeight="1">
      <c r="A1787" s="101"/>
      <c r="B1787" s="102"/>
      <c r="C1787" s="103"/>
      <c r="D1787" s="101"/>
      <c r="E1787" s="101"/>
      <c r="F1787" s="104"/>
      <c r="G1787" s="104"/>
      <c r="H1787" s="103"/>
      <c r="I1787" s="99">
        <f t="shared" si="9"/>
        <v>0</v>
      </c>
      <c r="J1787" s="101"/>
      <c r="K1787" s="101"/>
      <c r="L1787" s="101" t="str">
        <f t="shared" si="8"/>
        <v>EN PROCESO</v>
      </c>
      <c r="M1787" s="101"/>
      <c r="N1787" s="101"/>
    </row>
    <row r="1788" ht="22.5" hidden="1" customHeight="1">
      <c r="A1788" s="49"/>
      <c r="B1788" s="81"/>
      <c r="C1788" s="97"/>
      <c r="D1788" s="49"/>
      <c r="E1788" s="49"/>
      <c r="F1788" s="98"/>
      <c r="G1788" s="98"/>
      <c r="H1788" s="97"/>
      <c r="I1788" s="99">
        <f t="shared" si="9"/>
        <v>0</v>
      </c>
      <c r="J1788" s="49"/>
      <c r="K1788" s="49"/>
      <c r="L1788" s="49" t="str">
        <f t="shared" si="8"/>
        <v>EN PROCESO</v>
      </c>
      <c r="M1788" s="49"/>
      <c r="N1788" s="49"/>
    </row>
    <row r="1789" ht="22.5" hidden="1" customHeight="1">
      <c r="A1789" s="101"/>
      <c r="B1789" s="102"/>
      <c r="C1789" s="103"/>
      <c r="D1789" s="101"/>
      <c r="E1789" s="101"/>
      <c r="F1789" s="104"/>
      <c r="G1789" s="104"/>
      <c r="H1789" s="103"/>
      <c r="I1789" s="99">
        <f t="shared" si="9"/>
        <v>0</v>
      </c>
      <c r="J1789" s="101"/>
      <c r="K1789" s="101"/>
      <c r="L1789" s="101" t="str">
        <f t="shared" si="8"/>
        <v>EN PROCESO</v>
      </c>
      <c r="M1789" s="101"/>
      <c r="N1789" s="101"/>
    </row>
    <row r="1790" ht="22.5" hidden="1" customHeight="1">
      <c r="A1790" s="49"/>
      <c r="B1790" s="81"/>
      <c r="C1790" s="97"/>
      <c r="D1790" s="49"/>
      <c r="E1790" s="49"/>
      <c r="F1790" s="98"/>
      <c r="G1790" s="98"/>
      <c r="H1790" s="97"/>
      <c r="I1790" s="99">
        <f t="shared" si="9"/>
        <v>0</v>
      </c>
      <c r="J1790" s="49"/>
      <c r="K1790" s="49"/>
      <c r="L1790" s="49" t="str">
        <f t="shared" si="8"/>
        <v>EN PROCESO</v>
      </c>
      <c r="M1790" s="49"/>
      <c r="N1790" s="49"/>
    </row>
    <row r="1791" ht="22.5" hidden="1" customHeight="1">
      <c r="A1791" s="101"/>
      <c r="B1791" s="102"/>
      <c r="C1791" s="103"/>
      <c r="D1791" s="101"/>
      <c r="E1791" s="101"/>
      <c r="F1791" s="104"/>
      <c r="G1791" s="104"/>
      <c r="H1791" s="103"/>
      <c r="I1791" s="99">
        <f t="shared" si="9"/>
        <v>0</v>
      </c>
      <c r="J1791" s="101"/>
      <c r="K1791" s="101"/>
      <c r="L1791" s="101" t="str">
        <f t="shared" si="8"/>
        <v>EN PROCESO</v>
      </c>
      <c r="M1791" s="101"/>
      <c r="N1791" s="101"/>
    </row>
    <row r="1792" ht="22.5" hidden="1" customHeight="1">
      <c r="A1792" s="49"/>
      <c r="B1792" s="81"/>
      <c r="C1792" s="97"/>
      <c r="D1792" s="49"/>
      <c r="E1792" s="49"/>
      <c r="F1792" s="98"/>
      <c r="G1792" s="98"/>
      <c r="H1792" s="97"/>
      <c r="I1792" s="99">
        <f t="shared" si="9"/>
        <v>0</v>
      </c>
      <c r="J1792" s="49"/>
      <c r="K1792" s="49"/>
      <c r="L1792" s="49" t="str">
        <f t="shared" si="8"/>
        <v>EN PROCESO</v>
      </c>
      <c r="M1792" s="49"/>
      <c r="N1792" s="49"/>
    </row>
    <row r="1793" ht="22.5" hidden="1" customHeight="1">
      <c r="A1793" s="101"/>
      <c r="B1793" s="102"/>
      <c r="C1793" s="103"/>
      <c r="D1793" s="101"/>
      <c r="E1793" s="101"/>
      <c r="F1793" s="104"/>
      <c r="G1793" s="104"/>
      <c r="H1793" s="103"/>
      <c r="I1793" s="99">
        <f t="shared" si="9"/>
        <v>0</v>
      </c>
      <c r="J1793" s="101"/>
      <c r="K1793" s="101"/>
      <c r="L1793" s="101" t="str">
        <f t="shared" si="8"/>
        <v>EN PROCESO</v>
      </c>
      <c r="M1793" s="101"/>
      <c r="N1793" s="101"/>
    </row>
    <row r="1794" ht="22.5" hidden="1" customHeight="1">
      <c r="A1794" s="49"/>
      <c r="B1794" s="81"/>
      <c r="C1794" s="97"/>
      <c r="D1794" s="49"/>
      <c r="E1794" s="49"/>
      <c r="F1794" s="98"/>
      <c r="G1794" s="98"/>
      <c r="H1794" s="97"/>
      <c r="I1794" s="99">
        <f t="shared" si="9"/>
        <v>0</v>
      </c>
      <c r="J1794" s="49"/>
      <c r="K1794" s="49"/>
      <c r="L1794" s="49" t="str">
        <f t="shared" si="8"/>
        <v>EN PROCESO</v>
      </c>
      <c r="M1794" s="49"/>
      <c r="N1794" s="49"/>
    </row>
    <row r="1795" ht="22.5" hidden="1" customHeight="1">
      <c r="A1795" s="101"/>
      <c r="B1795" s="102"/>
      <c r="C1795" s="103"/>
      <c r="D1795" s="101"/>
      <c r="E1795" s="101"/>
      <c r="F1795" s="104"/>
      <c r="G1795" s="104"/>
      <c r="H1795" s="103"/>
      <c r="I1795" s="99">
        <f t="shared" si="9"/>
        <v>0</v>
      </c>
      <c r="J1795" s="101"/>
      <c r="K1795" s="101"/>
      <c r="L1795" s="101" t="str">
        <f t="shared" si="8"/>
        <v>EN PROCESO</v>
      </c>
      <c r="M1795" s="101"/>
      <c r="N1795" s="101"/>
    </row>
    <row r="1796" ht="22.5" hidden="1" customHeight="1">
      <c r="A1796" s="49"/>
      <c r="B1796" s="81"/>
      <c r="C1796" s="97"/>
      <c r="D1796" s="49"/>
      <c r="E1796" s="49"/>
      <c r="F1796" s="98"/>
      <c r="G1796" s="98"/>
      <c r="H1796" s="97"/>
      <c r="I1796" s="99">
        <f t="shared" si="9"/>
        <v>0</v>
      </c>
      <c r="J1796" s="49"/>
      <c r="K1796" s="49"/>
      <c r="L1796" s="49" t="str">
        <f t="shared" si="8"/>
        <v>EN PROCESO</v>
      </c>
      <c r="M1796" s="49"/>
      <c r="N1796" s="49"/>
    </row>
    <row r="1797" ht="22.5" hidden="1" customHeight="1">
      <c r="A1797" s="101"/>
      <c r="B1797" s="102"/>
      <c r="C1797" s="103"/>
      <c r="D1797" s="101"/>
      <c r="E1797" s="101"/>
      <c r="F1797" s="104"/>
      <c r="G1797" s="104"/>
      <c r="H1797" s="103"/>
      <c r="I1797" s="99">
        <f t="shared" si="9"/>
        <v>0</v>
      </c>
      <c r="J1797" s="101"/>
      <c r="K1797" s="101"/>
      <c r="L1797" s="101" t="str">
        <f t="shared" si="8"/>
        <v>EN PROCESO</v>
      </c>
      <c r="M1797" s="101"/>
      <c r="N1797" s="101"/>
    </row>
    <row r="1798" ht="22.5" hidden="1" customHeight="1">
      <c r="A1798" s="49"/>
      <c r="B1798" s="81"/>
      <c r="C1798" s="97"/>
      <c r="D1798" s="49"/>
      <c r="E1798" s="49"/>
      <c r="F1798" s="98"/>
      <c r="G1798" s="98"/>
      <c r="H1798" s="97"/>
      <c r="I1798" s="99">
        <f t="shared" si="9"/>
        <v>0</v>
      </c>
      <c r="J1798" s="49"/>
      <c r="K1798" s="49"/>
      <c r="L1798" s="49" t="str">
        <f t="shared" si="8"/>
        <v>EN PROCESO</v>
      </c>
      <c r="M1798" s="49"/>
      <c r="N1798" s="49"/>
    </row>
    <row r="1799" ht="22.5" hidden="1" customHeight="1">
      <c r="A1799" s="101"/>
      <c r="B1799" s="102"/>
      <c r="C1799" s="103"/>
      <c r="D1799" s="101"/>
      <c r="E1799" s="101"/>
      <c r="F1799" s="104"/>
      <c r="G1799" s="104"/>
      <c r="H1799" s="103"/>
      <c r="I1799" s="99">
        <f t="shared" si="9"/>
        <v>0</v>
      </c>
      <c r="J1799" s="101"/>
      <c r="K1799" s="101"/>
      <c r="L1799" s="101" t="str">
        <f t="shared" si="8"/>
        <v>EN PROCESO</v>
      </c>
      <c r="M1799" s="101"/>
      <c r="N1799" s="101"/>
    </row>
    <row r="1800" ht="22.5" hidden="1" customHeight="1">
      <c r="A1800" s="49"/>
      <c r="B1800" s="81"/>
      <c r="C1800" s="97"/>
      <c r="D1800" s="49"/>
      <c r="E1800" s="49"/>
      <c r="F1800" s="98"/>
      <c r="G1800" s="98"/>
      <c r="H1800" s="97"/>
      <c r="I1800" s="99">
        <f t="shared" si="9"/>
        <v>0</v>
      </c>
      <c r="J1800" s="49"/>
      <c r="K1800" s="49"/>
      <c r="L1800" s="49" t="str">
        <f t="shared" si="8"/>
        <v>EN PROCESO</v>
      </c>
      <c r="M1800" s="49"/>
      <c r="N1800" s="49"/>
    </row>
    <row r="1801" ht="22.5" hidden="1" customHeight="1">
      <c r="A1801" s="101"/>
      <c r="B1801" s="102"/>
      <c r="C1801" s="103"/>
      <c r="D1801" s="101"/>
      <c r="E1801" s="101"/>
      <c r="F1801" s="104"/>
      <c r="G1801" s="104"/>
      <c r="H1801" s="103"/>
      <c r="I1801" s="99">
        <f t="shared" si="9"/>
        <v>0</v>
      </c>
      <c r="J1801" s="101"/>
      <c r="K1801" s="101"/>
      <c r="L1801" s="101" t="str">
        <f t="shared" si="8"/>
        <v>EN PROCESO</v>
      </c>
      <c r="M1801" s="101"/>
      <c r="N1801" s="101"/>
    </row>
    <row r="1802" ht="22.5" hidden="1" customHeight="1">
      <c r="A1802" s="49"/>
      <c r="B1802" s="81"/>
      <c r="C1802" s="97"/>
      <c r="D1802" s="49"/>
      <c r="E1802" s="49"/>
      <c r="F1802" s="98"/>
      <c r="G1802" s="98"/>
      <c r="H1802" s="97"/>
      <c r="I1802" s="99">
        <f t="shared" si="9"/>
        <v>0</v>
      </c>
      <c r="J1802" s="49"/>
      <c r="K1802" s="49"/>
      <c r="L1802" s="49" t="str">
        <f t="shared" si="8"/>
        <v>EN PROCESO</v>
      </c>
      <c r="M1802" s="49"/>
      <c r="N1802" s="49"/>
    </row>
    <row r="1803" ht="22.5" hidden="1" customHeight="1">
      <c r="A1803" s="101"/>
      <c r="B1803" s="102"/>
      <c r="C1803" s="103"/>
      <c r="D1803" s="101"/>
      <c r="E1803" s="101"/>
      <c r="F1803" s="104"/>
      <c r="G1803" s="104"/>
      <c r="H1803" s="103"/>
      <c r="I1803" s="99">
        <f t="shared" si="9"/>
        <v>0</v>
      </c>
      <c r="J1803" s="101"/>
      <c r="K1803" s="101"/>
      <c r="L1803" s="101" t="str">
        <f t="shared" si="8"/>
        <v>EN PROCESO</v>
      </c>
      <c r="M1803" s="101"/>
      <c r="N1803" s="101"/>
    </row>
    <row r="1804" ht="22.5" hidden="1" customHeight="1">
      <c r="A1804" s="49"/>
      <c r="B1804" s="81"/>
      <c r="C1804" s="97"/>
      <c r="D1804" s="49"/>
      <c r="E1804" s="49"/>
      <c r="F1804" s="98"/>
      <c r="G1804" s="98"/>
      <c r="H1804" s="97"/>
      <c r="I1804" s="99">
        <f t="shared" si="9"/>
        <v>0</v>
      </c>
      <c r="J1804" s="49"/>
      <c r="K1804" s="49"/>
      <c r="L1804" s="49" t="str">
        <f t="shared" si="8"/>
        <v>EN PROCESO</v>
      </c>
      <c r="M1804" s="49"/>
      <c r="N1804" s="49"/>
    </row>
    <row r="1805" ht="22.5" hidden="1" customHeight="1">
      <c r="A1805" s="101"/>
      <c r="B1805" s="102"/>
      <c r="C1805" s="103"/>
      <c r="D1805" s="101"/>
      <c r="E1805" s="101"/>
      <c r="F1805" s="104"/>
      <c r="G1805" s="104"/>
      <c r="H1805" s="103"/>
      <c r="I1805" s="99">
        <f t="shared" si="9"/>
        <v>0</v>
      </c>
      <c r="J1805" s="101"/>
      <c r="K1805" s="101"/>
      <c r="L1805" s="101" t="str">
        <f t="shared" si="8"/>
        <v>EN PROCESO</v>
      </c>
      <c r="M1805" s="101"/>
      <c r="N1805" s="101"/>
    </row>
    <row r="1806" ht="22.5" hidden="1" customHeight="1">
      <c r="A1806" s="49"/>
      <c r="B1806" s="81"/>
      <c r="C1806" s="97"/>
      <c r="D1806" s="49"/>
      <c r="E1806" s="49"/>
      <c r="F1806" s="98"/>
      <c r="G1806" s="98"/>
      <c r="H1806" s="97"/>
      <c r="I1806" s="99">
        <f t="shared" si="9"/>
        <v>0</v>
      </c>
      <c r="J1806" s="49"/>
      <c r="K1806" s="49"/>
      <c r="L1806" s="49" t="str">
        <f t="shared" si="8"/>
        <v>EN PROCESO</v>
      </c>
      <c r="M1806" s="49"/>
      <c r="N1806" s="49"/>
    </row>
    <row r="1807" ht="22.5" hidden="1" customHeight="1">
      <c r="A1807" s="101"/>
      <c r="B1807" s="102"/>
      <c r="C1807" s="103"/>
      <c r="D1807" s="101"/>
      <c r="E1807" s="101"/>
      <c r="F1807" s="104"/>
      <c r="G1807" s="104"/>
      <c r="H1807" s="103"/>
      <c r="I1807" s="99">
        <f t="shared" si="9"/>
        <v>0</v>
      </c>
      <c r="J1807" s="101"/>
      <c r="K1807" s="101"/>
      <c r="L1807" s="101" t="str">
        <f t="shared" si="8"/>
        <v>EN PROCESO</v>
      </c>
      <c r="M1807" s="101"/>
      <c r="N1807" s="101"/>
    </row>
    <row r="1808" ht="22.5" hidden="1" customHeight="1">
      <c r="A1808" s="49"/>
      <c r="B1808" s="81"/>
      <c r="C1808" s="97"/>
      <c r="D1808" s="49"/>
      <c r="E1808" s="49"/>
      <c r="F1808" s="98"/>
      <c r="G1808" s="98"/>
      <c r="H1808" s="97"/>
      <c r="I1808" s="99">
        <f t="shared" si="9"/>
        <v>0</v>
      </c>
      <c r="J1808" s="49"/>
      <c r="K1808" s="49"/>
      <c r="L1808" s="49" t="str">
        <f t="shared" si="8"/>
        <v>EN PROCESO</v>
      </c>
      <c r="M1808" s="49"/>
      <c r="N1808" s="49"/>
    </row>
    <row r="1809" ht="22.5" hidden="1" customHeight="1">
      <c r="A1809" s="101"/>
      <c r="B1809" s="102"/>
      <c r="C1809" s="103"/>
      <c r="D1809" s="101"/>
      <c r="E1809" s="101"/>
      <c r="F1809" s="104"/>
      <c r="G1809" s="104"/>
      <c r="H1809" s="103"/>
      <c r="I1809" s="99">
        <f t="shared" si="9"/>
        <v>0</v>
      </c>
      <c r="J1809" s="101"/>
      <c r="K1809" s="101"/>
      <c r="L1809" s="101" t="str">
        <f t="shared" si="8"/>
        <v>EN PROCESO</v>
      </c>
      <c r="M1809" s="101"/>
      <c r="N1809" s="101"/>
    </row>
    <row r="1810" ht="22.5" hidden="1" customHeight="1">
      <c r="A1810" s="49"/>
      <c r="B1810" s="81"/>
      <c r="C1810" s="97"/>
      <c r="D1810" s="49"/>
      <c r="E1810" s="49"/>
      <c r="F1810" s="98"/>
      <c r="G1810" s="98"/>
      <c r="H1810" s="97"/>
      <c r="I1810" s="99">
        <f t="shared" si="9"/>
        <v>0</v>
      </c>
      <c r="J1810" s="49"/>
      <c r="K1810" s="49"/>
      <c r="L1810" s="49" t="str">
        <f t="shared" si="8"/>
        <v>EN PROCESO</v>
      </c>
      <c r="M1810" s="49"/>
      <c r="N1810" s="49"/>
    </row>
    <row r="1811" ht="22.5" hidden="1" customHeight="1">
      <c r="A1811" s="101"/>
      <c r="B1811" s="102"/>
      <c r="C1811" s="103"/>
      <c r="D1811" s="101"/>
      <c r="E1811" s="101"/>
      <c r="F1811" s="104"/>
      <c r="G1811" s="104"/>
      <c r="H1811" s="103"/>
      <c r="I1811" s="99">
        <f t="shared" si="9"/>
        <v>0</v>
      </c>
      <c r="J1811" s="101"/>
      <c r="K1811" s="101"/>
      <c r="L1811" s="101" t="str">
        <f t="shared" si="8"/>
        <v>EN PROCESO</v>
      </c>
      <c r="M1811" s="101"/>
      <c r="N1811" s="101"/>
    </row>
    <row r="1812" ht="22.5" hidden="1" customHeight="1">
      <c r="A1812" s="49"/>
      <c r="B1812" s="81"/>
      <c r="C1812" s="97"/>
      <c r="D1812" s="49"/>
      <c r="E1812" s="49"/>
      <c r="F1812" s="98"/>
      <c r="G1812" s="98"/>
      <c r="H1812" s="97"/>
      <c r="I1812" s="99">
        <f t="shared" si="9"/>
        <v>0</v>
      </c>
      <c r="J1812" s="49"/>
      <c r="K1812" s="49"/>
      <c r="L1812" s="49" t="str">
        <f t="shared" si="8"/>
        <v>EN PROCESO</v>
      </c>
      <c r="M1812" s="49"/>
      <c r="N1812" s="49"/>
    </row>
    <row r="1813" ht="22.5" hidden="1" customHeight="1">
      <c r="A1813" s="101"/>
      <c r="B1813" s="102"/>
      <c r="C1813" s="103"/>
      <c r="D1813" s="101"/>
      <c r="E1813" s="101"/>
      <c r="F1813" s="104"/>
      <c r="G1813" s="104"/>
      <c r="H1813" s="103"/>
      <c r="I1813" s="99">
        <f t="shared" si="9"/>
        <v>0</v>
      </c>
      <c r="J1813" s="101"/>
      <c r="K1813" s="101"/>
      <c r="L1813" s="101" t="str">
        <f t="shared" si="8"/>
        <v>EN PROCESO</v>
      </c>
      <c r="M1813" s="101"/>
      <c r="N1813" s="101"/>
    </row>
    <row r="1814" ht="22.5" hidden="1" customHeight="1">
      <c r="A1814" s="49"/>
      <c r="B1814" s="81"/>
      <c r="C1814" s="97"/>
      <c r="D1814" s="49"/>
      <c r="E1814" s="49"/>
      <c r="F1814" s="98"/>
      <c r="G1814" s="98"/>
      <c r="H1814" s="97"/>
      <c r="I1814" s="99">
        <f t="shared" si="9"/>
        <v>0</v>
      </c>
      <c r="J1814" s="49"/>
      <c r="K1814" s="49"/>
      <c r="L1814" s="49" t="str">
        <f t="shared" si="8"/>
        <v>EN PROCESO</v>
      </c>
      <c r="M1814" s="49"/>
      <c r="N1814" s="49"/>
    </row>
    <row r="1815" ht="22.5" hidden="1" customHeight="1">
      <c r="A1815" s="101"/>
      <c r="B1815" s="102"/>
      <c r="C1815" s="103"/>
      <c r="D1815" s="101"/>
      <c r="E1815" s="101"/>
      <c r="F1815" s="104"/>
      <c r="G1815" s="104"/>
      <c r="H1815" s="103"/>
      <c r="I1815" s="99">
        <f t="shared" si="9"/>
        <v>0</v>
      </c>
      <c r="J1815" s="101"/>
      <c r="K1815" s="101"/>
      <c r="L1815" s="101" t="str">
        <f t="shared" si="8"/>
        <v>EN PROCESO</v>
      </c>
      <c r="M1815" s="101"/>
      <c r="N1815" s="101"/>
    </row>
    <row r="1816" ht="22.5" hidden="1" customHeight="1">
      <c r="A1816" s="49"/>
      <c r="B1816" s="81"/>
      <c r="C1816" s="97"/>
      <c r="D1816" s="49"/>
      <c r="E1816" s="49"/>
      <c r="F1816" s="98"/>
      <c r="G1816" s="98"/>
      <c r="H1816" s="97"/>
      <c r="I1816" s="99">
        <f t="shared" si="9"/>
        <v>0</v>
      </c>
      <c r="J1816" s="49"/>
      <c r="K1816" s="49"/>
      <c r="L1816" s="49" t="str">
        <f t="shared" si="8"/>
        <v>EN PROCESO</v>
      </c>
      <c r="M1816" s="49"/>
      <c r="N1816" s="49"/>
    </row>
    <row r="1817" ht="22.5" hidden="1" customHeight="1">
      <c r="A1817" s="101"/>
      <c r="B1817" s="102"/>
      <c r="C1817" s="103"/>
      <c r="D1817" s="101"/>
      <c r="E1817" s="101"/>
      <c r="F1817" s="104"/>
      <c r="G1817" s="104"/>
      <c r="H1817" s="103"/>
      <c r="I1817" s="99">
        <f t="shared" si="9"/>
        <v>0</v>
      </c>
      <c r="J1817" s="101"/>
      <c r="K1817" s="101"/>
      <c r="L1817" s="101" t="str">
        <f t="shared" si="8"/>
        <v>EN PROCESO</v>
      </c>
      <c r="M1817" s="101"/>
      <c r="N1817" s="101"/>
    </row>
    <row r="1818" ht="22.5" hidden="1" customHeight="1">
      <c r="A1818" s="49"/>
      <c r="B1818" s="81"/>
      <c r="C1818" s="97"/>
      <c r="D1818" s="49"/>
      <c r="E1818" s="49"/>
      <c r="F1818" s="98"/>
      <c r="G1818" s="98"/>
      <c r="H1818" s="97"/>
      <c r="I1818" s="99">
        <f t="shared" si="9"/>
        <v>0</v>
      </c>
      <c r="J1818" s="49"/>
      <c r="K1818" s="49"/>
      <c r="L1818" s="49" t="str">
        <f t="shared" si="8"/>
        <v>EN PROCESO</v>
      </c>
      <c r="M1818" s="49"/>
      <c r="N1818" s="49"/>
    </row>
    <row r="1819" ht="22.5" hidden="1" customHeight="1">
      <c r="A1819" s="101"/>
      <c r="B1819" s="102"/>
      <c r="C1819" s="103"/>
      <c r="D1819" s="101"/>
      <c r="E1819" s="101"/>
      <c r="F1819" s="104"/>
      <c r="G1819" s="104"/>
      <c r="H1819" s="103"/>
      <c r="I1819" s="99">
        <f t="shared" si="9"/>
        <v>0</v>
      </c>
      <c r="J1819" s="101"/>
      <c r="K1819" s="101"/>
      <c r="L1819" s="101" t="str">
        <f t="shared" si="8"/>
        <v>EN PROCESO</v>
      </c>
      <c r="M1819" s="101"/>
      <c r="N1819" s="101"/>
    </row>
    <row r="1820" ht="22.5" hidden="1" customHeight="1">
      <c r="A1820" s="49"/>
      <c r="B1820" s="81"/>
      <c r="C1820" s="97"/>
      <c r="D1820" s="49"/>
      <c r="E1820" s="49"/>
      <c r="F1820" s="98"/>
      <c r="G1820" s="98"/>
      <c r="H1820" s="97"/>
      <c r="I1820" s="99">
        <f t="shared" si="9"/>
        <v>0</v>
      </c>
      <c r="J1820" s="49"/>
      <c r="K1820" s="49"/>
      <c r="L1820" s="49" t="str">
        <f t="shared" si="8"/>
        <v>EN PROCESO</v>
      </c>
      <c r="M1820" s="49"/>
      <c r="N1820" s="49"/>
    </row>
    <row r="1821" ht="22.5" hidden="1" customHeight="1">
      <c r="A1821" s="101"/>
      <c r="B1821" s="102"/>
      <c r="C1821" s="103"/>
      <c r="D1821" s="101"/>
      <c r="E1821" s="101"/>
      <c r="F1821" s="104"/>
      <c r="G1821" s="104"/>
      <c r="H1821" s="103"/>
      <c r="I1821" s="99">
        <f t="shared" si="9"/>
        <v>0</v>
      </c>
      <c r="J1821" s="101"/>
      <c r="K1821" s="101"/>
      <c r="L1821" s="101" t="str">
        <f t="shared" si="8"/>
        <v>EN PROCESO</v>
      </c>
      <c r="M1821" s="101"/>
      <c r="N1821" s="101"/>
    </row>
    <row r="1822" ht="22.5" hidden="1" customHeight="1">
      <c r="A1822" s="49"/>
      <c r="B1822" s="81"/>
      <c r="C1822" s="97"/>
      <c r="D1822" s="49"/>
      <c r="E1822" s="49"/>
      <c r="F1822" s="98"/>
      <c r="G1822" s="98"/>
      <c r="H1822" s="97"/>
      <c r="I1822" s="99">
        <f t="shared" si="9"/>
        <v>0</v>
      </c>
      <c r="J1822" s="49"/>
      <c r="K1822" s="49"/>
      <c r="L1822" s="49" t="str">
        <f t="shared" si="8"/>
        <v>EN PROCESO</v>
      </c>
      <c r="M1822" s="49"/>
      <c r="N1822" s="49"/>
    </row>
    <row r="1823" ht="22.5" hidden="1" customHeight="1">
      <c r="A1823" s="101"/>
      <c r="B1823" s="102"/>
      <c r="C1823" s="103"/>
      <c r="D1823" s="101"/>
      <c r="E1823" s="101"/>
      <c r="F1823" s="104"/>
      <c r="G1823" s="104"/>
      <c r="H1823" s="103"/>
      <c r="I1823" s="99">
        <f t="shared" si="9"/>
        <v>0</v>
      </c>
      <c r="J1823" s="101"/>
      <c r="K1823" s="101"/>
      <c r="L1823" s="101" t="str">
        <f t="shared" si="8"/>
        <v>EN PROCESO</v>
      </c>
      <c r="M1823" s="101"/>
      <c r="N1823" s="101"/>
    </row>
    <row r="1824" ht="22.5" hidden="1" customHeight="1">
      <c r="A1824" s="49"/>
      <c r="B1824" s="81"/>
      <c r="C1824" s="97"/>
      <c r="D1824" s="49"/>
      <c r="E1824" s="49"/>
      <c r="F1824" s="98"/>
      <c r="G1824" s="98"/>
      <c r="H1824" s="97"/>
      <c r="I1824" s="99">
        <f t="shared" si="9"/>
        <v>0</v>
      </c>
      <c r="J1824" s="49"/>
      <c r="K1824" s="49"/>
      <c r="L1824" s="49" t="str">
        <f t="shared" si="8"/>
        <v>EN PROCESO</v>
      </c>
      <c r="M1824" s="49"/>
      <c r="N1824" s="49"/>
    </row>
    <row r="1825" ht="22.5" hidden="1" customHeight="1">
      <c r="A1825" s="101"/>
      <c r="B1825" s="102"/>
      <c r="C1825" s="103"/>
      <c r="D1825" s="101"/>
      <c r="E1825" s="101"/>
      <c r="F1825" s="104"/>
      <c r="G1825" s="104"/>
      <c r="H1825" s="103"/>
      <c r="I1825" s="99">
        <f t="shared" si="9"/>
        <v>0</v>
      </c>
      <c r="J1825" s="101"/>
      <c r="K1825" s="101"/>
      <c r="L1825" s="101" t="str">
        <f t="shared" si="8"/>
        <v>EN PROCESO</v>
      </c>
      <c r="M1825" s="101"/>
      <c r="N1825" s="101"/>
    </row>
    <row r="1826" ht="22.5" hidden="1" customHeight="1">
      <c r="A1826" s="49"/>
      <c r="B1826" s="81"/>
      <c r="C1826" s="97"/>
      <c r="D1826" s="49"/>
      <c r="E1826" s="49"/>
      <c r="F1826" s="98"/>
      <c r="G1826" s="98"/>
      <c r="H1826" s="97"/>
      <c r="I1826" s="99">
        <f t="shared" si="9"/>
        <v>0</v>
      </c>
      <c r="J1826" s="49"/>
      <c r="K1826" s="49"/>
      <c r="L1826" s="49" t="str">
        <f t="shared" si="8"/>
        <v>EN PROCESO</v>
      </c>
      <c r="M1826" s="49"/>
      <c r="N1826" s="49"/>
    </row>
    <row r="1827" ht="22.5" hidden="1" customHeight="1">
      <c r="A1827" s="101"/>
      <c r="B1827" s="102"/>
      <c r="C1827" s="103"/>
      <c r="D1827" s="101"/>
      <c r="E1827" s="101"/>
      <c r="F1827" s="104"/>
      <c r="G1827" s="104"/>
      <c r="H1827" s="103"/>
      <c r="I1827" s="99">
        <f t="shared" si="9"/>
        <v>0</v>
      </c>
      <c r="J1827" s="101"/>
      <c r="K1827" s="101"/>
      <c r="L1827" s="101" t="str">
        <f t="shared" si="8"/>
        <v>EN PROCESO</v>
      </c>
      <c r="M1827" s="101"/>
      <c r="N1827" s="101"/>
    </row>
    <row r="1828" ht="22.5" hidden="1" customHeight="1">
      <c r="A1828" s="49"/>
      <c r="B1828" s="81"/>
      <c r="C1828" s="97"/>
      <c r="D1828" s="49"/>
      <c r="E1828" s="49"/>
      <c r="F1828" s="98"/>
      <c r="G1828" s="98"/>
      <c r="H1828" s="97"/>
      <c r="I1828" s="99">
        <f t="shared" si="9"/>
        <v>0</v>
      </c>
      <c r="J1828" s="49"/>
      <c r="K1828" s="49"/>
      <c r="L1828" s="49" t="str">
        <f t="shared" si="8"/>
        <v>EN PROCESO</v>
      </c>
      <c r="M1828" s="49"/>
      <c r="N1828" s="49"/>
    </row>
    <row r="1829" ht="22.5" hidden="1" customHeight="1">
      <c r="A1829" s="101"/>
      <c r="B1829" s="102"/>
      <c r="C1829" s="103"/>
      <c r="D1829" s="101"/>
      <c r="E1829" s="101"/>
      <c r="F1829" s="104"/>
      <c r="G1829" s="104"/>
      <c r="H1829" s="103"/>
      <c r="I1829" s="99">
        <f t="shared" si="9"/>
        <v>0</v>
      </c>
      <c r="J1829" s="101"/>
      <c r="K1829" s="101"/>
      <c r="L1829" s="101" t="str">
        <f t="shared" si="8"/>
        <v>EN PROCESO</v>
      </c>
      <c r="M1829" s="101"/>
      <c r="N1829" s="101"/>
    </row>
    <row r="1830" ht="22.5" hidden="1" customHeight="1">
      <c r="A1830" s="49"/>
      <c r="B1830" s="81"/>
      <c r="C1830" s="97"/>
      <c r="D1830" s="49"/>
      <c r="E1830" s="49"/>
      <c r="F1830" s="98"/>
      <c r="G1830" s="98"/>
      <c r="H1830" s="97"/>
      <c r="I1830" s="99">
        <f t="shared" si="9"/>
        <v>0</v>
      </c>
      <c r="J1830" s="49"/>
      <c r="K1830" s="49"/>
      <c r="L1830" s="49" t="str">
        <f t="shared" si="8"/>
        <v>EN PROCESO</v>
      </c>
      <c r="M1830" s="49"/>
      <c r="N1830" s="49"/>
    </row>
    <row r="1831" ht="22.5" hidden="1" customHeight="1">
      <c r="A1831" s="101"/>
      <c r="B1831" s="102"/>
      <c r="C1831" s="103"/>
      <c r="D1831" s="101"/>
      <c r="E1831" s="101"/>
      <c r="F1831" s="104"/>
      <c r="G1831" s="104"/>
      <c r="H1831" s="103"/>
      <c r="I1831" s="99">
        <f t="shared" si="9"/>
        <v>0</v>
      </c>
      <c r="J1831" s="101"/>
      <c r="K1831" s="101"/>
      <c r="L1831" s="101" t="str">
        <f t="shared" si="8"/>
        <v>EN PROCESO</v>
      </c>
      <c r="M1831" s="101"/>
      <c r="N1831" s="101"/>
    </row>
    <row r="1832" ht="22.5" hidden="1" customHeight="1">
      <c r="A1832" s="49"/>
      <c r="B1832" s="81"/>
      <c r="C1832" s="97"/>
      <c r="D1832" s="49"/>
      <c r="E1832" s="49"/>
      <c r="F1832" s="98"/>
      <c r="G1832" s="98"/>
      <c r="H1832" s="97"/>
      <c r="I1832" s="99">
        <f t="shared" si="9"/>
        <v>0</v>
      </c>
      <c r="J1832" s="49"/>
      <c r="K1832" s="49"/>
      <c r="L1832" s="49" t="str">
        <f t="shared" si="8"/>
        <v>EN PROCESO</v>
      </c>
      <c r="M1832" s="49"/>
      <c r="N1832" s="49"/>
    </row>
    <row r="1833" ht="22.5" hidden="1" customHeight="1">
      <c r="A1833" s="101"/>
      <c r="B1833" s="102"/>
      <c r="C1833" s="103"/>
      <c r="D1833" s="101"/>
      <c r="E1833" s="101"/>
      <c r="F1833" s="104"/>
      <c r="G1833" s="104"/>
      <c r="H1833" s="103"/>
      <c r="I1833" s="99">
        <f t="shared" si="9"/>
        <v>0</v>
      </c>
      <c r="J1833" s="101"/>
      <c r="K1833" s="101"/>
      <c r="L1833" s="101" t="str">
        <f t="shared" si="8"/>
        <v>EN PROCESO</v>
      </c>
      <c r="M1833" s="101"/>
      <c r="N1833" s="101"/>
    </row>
    <row r="1834" ht="22.5" hidden="1" customHeight="1">
      <c r="A1834" s="49"/>
      <c r="B1834" s="81"/>
      <c r="C1834" s="97"/>
      <c r="D1834" s="49"/>
      <c r="E1834" s="49"/>
      <c r="F1834" s="98"/>
      <c r="G1834" s="98"/>
      <c r="H1834" s="97"/>
      <c r="I1834" s="99">
        <f t="shared" si="9"/>
        <v>0</v>
      </c>
      <c r="J1834" s="49"/>
      <c r="K1834" s="49"/>
      <c r="L1834" s="49" t="str">
        <f t="shared" si="8"/>
        <v>EN PROCESO</v>
      </c>
      <c r="M1834" s="49"/>
      <c r="N1834" s="49"/>
    </row>
    <row r="1835" ht="22.5" hidden="1" customHeight="1">
      <c r="A1835" s="101"/>
      <c r="B1835" s="102"/>
      <c r="C1835" s="103"/>
      <c r="D1835" s="101"/>
      <c r="E1835" s="101"/>
      <c r="F1835" s="104"/>
      <c r="G1835" s="104"/>
      <c r="H1835" s="103"/>
      <c r="I1835" s="99">
        <f t="shared" si="9"/>
        <v>0</v>
      </c>
      <c r="J1835" s="101"/>
      <c r="K1835" s="101"/>
      <c r="L1835" s="101" t="str">
        <f t="shared" si="8"/>
        <v>EN PROCESO</v>
      </c>
      <c r="M1835" s="101"/>
      <c r="N1835" s="101"/>
    </row>
    <row r="1836" ht="22.5" hidden="1" customHeight="1">
      <c r="A1836" s="49"/>
      <c r="B1836" s="81"/>
      <c r="C1836" s="97"/>
      <c r="D1836" s="49"/>
      <c r="E1836" s="49"/>
      <c r="F1836" s="98"/>
      <c r="G1836" s="98"/>
      <c r="H1836" s="97"/>
      <c r="I1836" s="99">
        <f t="shared" si="9"/>
        <v>0</v>
      </c>
      <c r="J1836" s="49"/>
      <c r="K1836" s="49"/>
      <c r="L1836" s="49" t="str">
        <f t="shared" si="8"/>
        <v>EN PROCESO</v>
      </c>
      <c r="M1836" s="49"/>
      <c r="N1836" s="49"/>
    </row>
    <row r="1837" ht="22.5" hidden="1" customHeight="1">
      <c r="A1837" s="101"/>
      <c r="B1837" s="102"/>
      <c r="C1837" s="103"/>
      <c r="D1837" s="101"/>
      <c r="E1837" s="101"/>
      <c r="F1837" s="104"/>
      <c r="G1837" s="104"/>
      <c r="H1837" s="103"/>
      <c r="I1837" s="99">
        <f t="shared" si="9"/>
        <v>0</v>
      </c>
      <c r="J1837" s="101"/>
      <c r="K1837" s="101"/>
      <c r="L1837" s="101" t="str">
        <f t="shared" si="8"/>
        <v>EN PROCESO</v>
      </c>
      <c r="M1837" s="101"/>
      <c r="N1837" s="101"/>
    </row>
    <row r="1838" ht="22.5" hidden="1" customHeight="1">
      <c r="A1838" s="49"/>
      <c r="B1838" s="81"/>
      <c r="C1838" s="97"/>
      <c r="D1838" s="49"/>
      <c r="E1838" s="49"/>
      <c r="F1838" s="98"/>
      <c r="G1838" s="98"/>
      <c r="H1838" s="97"/>
      <c r="I1838" s="99">
        <f t="shared" si="9"/>
        <v>0</v>
      </c>
      <c r="J1838" s="49"/>
      <c r="K1838" s="49"/>
      <c r="L1838" s="49" t="str">
        <f t="shared" si="8"/>
        <v>EN PROCESO</v>
      </c>
      <c r="M1838" s="49"/>
      <c r="N1838" s="49"/>
    </row>
    <row r="1839" ht="22.5" hidden="1" customHeight="1">
      <c r="A1839" s="101"/>
      <c r="B1839" s="102"/>
      <c r="C1839" s="103"/>
      <c r="D1839" s="101"/>
      <c r="E1839" s="101"/>
      <c r="F1839" s="104"/>
      <c r="G1839" s="104"/>
      <c r="H1839" s="103"/>
      <c r="I1839" s="99">
        <f t="shared" si="9"/>
        <v>0</v>
      </c>
      <c r="J1839" s="101"/>
      <c r="K1839" s="101"/>
      <c r="L1839" s="101" t="str">
        <f t="shared" si="8"/>
        <v>EN PROCESO</v>
      </c>
      <c r="M1839" s="101"/>
      <c r="N1839" s="101"/>
    </row>
    <row r="1840" ht="22.5" hidden="1" customHeight="1">
      <c r="A1840" s="49"/>
      <c r="B1840" s="81"/>
      <c r="C1840" s="97"/>
      <c r="D1840" s="49"/>
      <c r="E1840" s="49"/>
      <c r="F1840" s="98"/>
      <c r="G1840" s="98"/>
      <c r="H1840" s="97"/>
      <c r="I1840" s="99">
        <f t="shared" si="9"/>
        <v>0</v>
      </c>
      <c r="J1840" s="49"/>
      <c r="K1840" s="49"/>
      <c r="L1840" s="49" t="str">
        <f t="shared" si="8"/>
        <v>EN PROCESO</v>
      </c>
      <c r="M1840" s="49"/>
      <c r="N1840" s="49"/>
    </row>
    <row r="1841" ht="22.5" hidden="1" customHeight="1">
      <c r="A1841" s="101"/>
      <c r="B1841" s="102"/>
      <c r="C1841" s="103"/>
      <c r="D1841" s="101"/>
      <c r="E1841" s="101"/>
      <c r="F1841" s="104"/>
      <c r="G1841" s="104"/>
      <c r="H1841" s="103"/>
      <c r="I1841" s="99">
        <f t="shared" si="9"/>
        <v>0</v>
      </c>
      <c r="J1841" s="101"/>
      <c r="K1841" s="101"/>
      <c r="L1841" s="101" t="str">
        <f t="shared" si="8"/>
        <v>EN PROCESO</v>
      </c>
      <c r="M1841" s="101"/>
      <c r="N1841" s="101"/>
    </row>
    <row r="1842" ht="22.5" hidden="1" customHeight="1">
      <c r="A1842" s="49"/>
      <c r="B1842" s="81"/>
      <c r="C1842" s="97"/>
      <c r="D1842" s="49"/>
      <c r="E1842" s="49"/>
      <c r="F1842" s="98"/>
      <c r="G1842" s="98"/>
      <c r="H1842" s="97"/>
      <c r="I1842" s="99">
        <f t="shared" si="9"/>
        <v>0</v>
      </c>
      <c r="J1842" s="49"/>
      <c r="K1842" s="49"/>
      <c r="L1842" s="49" t="str">
        <f t="shared" si="8"/>
        <v>EN PROCESO</v>
      </c>
      <c r="M1842" s="49"/>
      <c r="N1842" s="49"/>
    </row>
    <row r="1843" ht="22.5" hidden="1" customHeight="1">
      <c r="A1843" s="101"/>
      <c r="B1843" s="102"/>
      <c r="C1843" s="103"/>
      <c r="D1843" s="101"/>
      <c r="E1843" s="101"/>
      <c r="F1843" s="104"/>
      <c r="G1843" s="104"/>
      <c r="H1843" s="103"/>
      <c r="I1843" s="99">
        <f t="shared" si="9"/>
        <v>0</v>
      </c>
      <c r="J1843" s="101"/>
      <c r="K1843" s="101"/>
      <c r="L1843" s="101" t="str">
        <f t="shared" si="8"/>
        <v>EN PROCESO</v>
      </c>
      <c r="M1843" s="101"/>
      <c r="N1843" s="101"/>
    </row>
    <row r="1844" ht="22.5" hidden="1" customHeight="1">
      <c r="A1844" s="49"/>
      <c r="B1844" s="81"/>
      <c r="C1844" s="97"/>
      <c r="D1844" s="49"/>
      <c r="E1844" s="49"/>
      <c r="F1844" s="98"/>
      <c r="G1844" s="98"/>
      <c r="H1844" s="97"/>
      <c r="I1844" s="99">
        <f t="shared" si="9"/>
        <v>0</v>
      </c>
      <c r="J1844" s="49"/>
      <c r="K1844" s="49"/>
      <c r="L1844" s="49" t="str">
        <f t="shared" si="8"/>
        <v>EN PROCESO</v>
      </c>
      <c r="M1844" s="49"/>
      <c r="N1844" s="49"/>
    </row>
    <row r="1845" ht="22.5" hidden="1" customHeight="1">
      <c r="A1845" s="101"/>
      <c r="B1845" s="102"/>
      <c r="C1845" s="103"/>
      <c r="D1845" s="101"/>
      <c r="E1845" s="101"/>
      <c r="F1845" s="104"/>
      <c r="G1845" s="104"/>
      <c r="H1845" s="103"/>
      <c r="I1845" s="99">
        <f t="shared" si="9"/>
        <v>0</v>
      </c>
      <c r="J1845" s="101"/>
      <c r="K1845" s="101"/>
      <c r="L1845" s="101" t="str">
        <f t="shared" si="8"/>
        <v>EN PROCESO</v>
      </c>
      <c r="M1845" s="101"/>
      <c r="N1845" s="101"/>
    </row>
    <row r="1846" ht="22.5" hidden="1" customHeight="1">
      <c r="A1846" s="49"/>
      <c r="B1846" s="81"/>
      <c r="C1846" s="97"/>
      <c r="D1846" s="49"/>
      <c r="E1846" s="49"/>
      <c r="F1846" s="98"/>
      <c r="G1846" s="98"/>
      <c r="H1846" s="97"/>
      <c r="I1846" s="99">
        <f t="shared" si="9"/>
        <v>0</v>
      </c>
      <c r="J1846" s="49"/>
      <c r="K1846" s="49"/>
      <c r="L1846" s="49" t="str">
        <f t="shared" si="8"/>
        <v>EN PROCESO</v>
      </c>
      <c r="M1846" s="49"/>
      <c r="N1846" s="49"/>
    </row>
    <row r="1847" ht="22.5" hidden="1" customHeight="1">
      <c r="A1847" s="101"/>
      <c r="B1847" s="102"/>
      <c r="C1847" s="103"/>
      <c r="D1847" s="101"/>
      <c r="E1847" s="101"/>
      <c r="F1847" s="104"/>
      <c r="G1847" s="104"/>
      <c r="H1847" s="103"/>
      <c r="I1847" s="99">
        <f t="shared" si="9"/>
        <v>0</v>
      </c>
      <c r="J1847" s="101"/>
      <c r="K1847" s="101"/>
      <c r="L1847" s="101" t="str">
        <f t="shared" si="8"/>
        <v>EN PROCESO</v>
      </c>
      <c r="M1847" s="101"/>
      <c r="N1847" s="101"/>
    </row>
    <row r="1848" ht="22.5" hidden="1" customHeight="1">
      <c r="A1848" s="49"/>
      <c r="B1848" s="81"/>
      <c r="C1848" s="97"/>
      <c r="D1848" s="49"/>
      <c r="E1848" s="49"/>
      <c r="F1848" s="98"/>
      <c r="G1848" s="98"/>
      <c r="H1848" s="97"/>
      <c r="I1848" s="99">
        <f t="shared" si="9"/>
        <v>0</v>
      </c>
      <c r="J1848" s="49"/>
      <c r="K1848" s="49"/>
      <c r="L1848" s="49" t="str">
        <f t="shared" si="8"/>
        <v>EN PROCESO</v>
      </c>
      <c r="M1848" s="49"/>
      <c r="N1848" s="49"/>
    </row>
    <row r="1849" ht="22.5" hidden="1" customHeight="1">
      <c r="A1849" s="101"/>
      <c r="B1849" s="102"/>
      <c r="C1849" s="103"/>
      <c r="D1849" s="101"/>
      <c r="E1849" s="101"/>
      <c r="F1849" s="104"/>
      <c r="G1849" s="104"/>
      <c r="H1849" s="103"/>
      <c r="I1849" s="99">
        <f t="shared" si="9"/>
        <v>0</v>
      </c>
      <c r="J1849" s="101"/>
      <c r="K1849" s="101"/>
      <c r="L1849" s="101" t="str">
        <f t="shared" si="8"/>
        <v>EN PROCESO</v>
      </c>
      <c r="M1849" s="101"/>
      <c r="N1849" s="101"/>
    </row>
    <row r="1850" ht="22.5" hidden="1" customHeight="1">
      <c r="A1850" s="49"/>
      <c r="B1850" s="81"/>
      <c r="C1850" s="97"/>
      <c r="D1850" s="49"/>
      <c r="E1850" s="49"/>
      <c r="F1850" s="98"/>
      <c r="G1850" s="98"/>
      <c r="H1850" s="97"/>
      <c r="I1850" s="99">
        <f t="shared" si="9"/>
        <v>0</v>
      </c>
      <c r="J1850" s="49"/>
      <c r="K1850" s="49"/>
      <c r="L1850" s="49" t="str">
        <f t="shared" si="8"/>
        <v>EN PROCESO</v>
      </c>
      <c r="M1850" s="49"/>
      <c r="N1850" s="49"/>
    </row>
    <row r="1851" ht="22.5" hidden="1" customHeight="1">
      <c r="A1851" s="101"/>
      <c r="B1851" s="102"/>
      <c r="C1851" s="103"/>
      <c r="D1851" s="101"/>
      <c r="E1851" s="101"/>
      <c r="F1851" s="104"/>
      <c r="G1851" s="104"/>
      <c r="H1851" s="103"/>
      <c r="I1851" s="99">
        <f t="shared" si="9"/>
        <v>0</v>
      </c>
      <c r="J1851" s="101"/>
      <c r="K1851" s="101"/>
      <c r="L1851" s="101" t="str">
        <f t="shared" si="8"/>
        <v>EN PROCESO</v>
      </c>
      <c r="M1851" s="101"/>
      <c r="N1851" s="101"/>
    </row>
    <row r="1852" ht="22.5" hidden="1" customHeight="1">
      <c r="A1852" s="49"/>
      <c r="B1852" s="81"/>
      <c r="C1852" s="97"/>
      <c r="D1852" s="49"/>
      <c r="E1852" s="49"/>
      <c r="F1852" s="98"/>
      <c r="G1852" s="98"/>
      <c r="H1852" s="97"/>
      <c r="I1852" s="99">
        <f t="shared" si="9"/>
        <v>0</v>
      </c>
      <c r="J1852" s="49"/>
      <c r="K1852" s="49"/>
      <c r="L1852" s="49" t="str">
        <f t="shared" si="8"/>
        <v>EN PROCESO</v>
      </c>
      <c r="M1852" s="49"/>
      <c r="N1852" s="49"/>
    </row>
    <row r="1853" ht="22.5" hidden="1" customHeight="1">
      <c r="A1853" s="101"/>
      <c r="B1853" s="102"/>
      <c r="C1853" s="103"/>
      <c r="D1853" s="101"/>
      <c r="E1853" s="101"/>
      <c r="F1853" s="104"/>
      <c r="G1853" s="104"/>
      <c r="H1853" s="103"/>
      <c r="I1853" s="99">
        <f t="shared" si="9"/>
        <v>0</v>
      </c>
      <c r="J1853" s="101"/>
      <c r="K1853" s="101"/>
      <c r="L1853" s="101" t="str">
        <f t="shared" si="8"/>
        <v>EN PROCESO</v>
      </c>
      <c r="M1853" s="101"/>
      <c r="N1853" s="101"/>
    </row>
    <row r="1854" ht="22.5" hidden="1" customHeight="1">
      <c r="A1854" s="49"/>
      <c r="B1854" s="81"/>
      <c r="C1854" s="97"/>
      <c r="D1854" s="49"/>
      <c r="E1854" s="49"/>
      <c r="F1854" s="98"/>
      <c r="G1854" s="98"/>
      <c r="H1854" s="97"/>
      <c r="I1854" s="99">
        <f t="shared" si="9"/>
        <v>0</v>
      </c>
      <c r="J1854" s="49"/>
      <c r="K1854" s="49"/>
      <c r="L1854" s="49" t="str">
        <f t="shared" si="8"/>
        <v>EN PROCESO</v>
      </c>
      <c r="M1854" s="49"/>
      <c r="N1854" s="49"/>
    </row>
    <row r="1855" ht="22.5" hidden="1" customHeight="1">
      <c r="A1855" s="101"/>
      <c r="B1855" s="102"/>
      <c r="C1855" s="103"/>
      <c r="D1855" s="101"/>
      <c r="E1855" s="101"/>
      <c r="F1855" s="104"/>
      <c r="G1855" s="104"/>
      <c r="H1855" s="103"/>
      <c r="I1855" s="99">
        <f t="shared" si="9"/>
        <v>0</v>
      </c>
      <c r="J1855" s="101"/>
      <c r="K1855" s="101"/>
      <c r="L1855" s="101" t="str">
        <f t="shared" si="8"/>
        <v>EN PROCESO</v>
      </c>
      <c r="M1855" s="101"/>
      <c r="N1855" s="101"/>
    </row>
    <row r="1856" ht="22.5" hidden="1" customHeight="1">
      <c r="A1856" s="49"/>
      <c r="B1856" s="81"/>
      <c r="C1856" s="97"/>
      <c r="D1856" s="49"/>
      <c r="E1856" s="49"/>
      <c r="F1856" s="98"/>
      <c r="G1856" s="98"/>
      <c r="H1856" s="97"/>
      <c r="I1856" s="99">
        <f t="shared" si="9"/>
        <v>0</v>
      </c>
      <c r="J1856" s="49"/>
      <c r="K1856" s="49"/>
      <c r="L1856" s="49" t="str">
        <f t="shared" si="8"/>
        <v>EN PROCESO</v>
      </c>
      <c r="M1856" s="49"/>
      <c r="N1856" s="49"/>
    </row>
    <row r="1857" ht="22.5" hidden="1" customHeight="1">
      <c r="A1857" s="101"/>
      <c r="B1857" s="102"/>
      <c r="C1857" s="103"/>
      <c r="D1857" s="101"/>
      <c r="E1857" s="101"/>
      <c r="F1857" s="104"/>
      <c r="G1857" s="104"/>
      <c r="H1857" s="103"/>
      <c r="I1857" s="99">
        <f t="shared" si="9"/>
        <v>0</v>
      </c>
      <c r="J1857" s="101"/>
      <c r="K1857" s="101"/>
      <c r="L1857" s="101" t="str">
        <f t="shared" si="8"/>
        <v>EN PROCESO</v>
      </c>
      <c r="M1857" s="101"/>
      <c r="N1857" s="101"/>
    </row>
    <row r="1858" ht="22.5" hidden="1" customHeight="1">
      <c r="A1858" s="49"/>
      <c r="B1858" s="81"/>
      <c r="C1858" s="97"/>
      <c r="D1858" s="49"/>
      <c r="E1858" s="49"/>
      <c r="F1858" s="98"/>
      <c r="G1858" s="98"/>
      <c r="H1858" s="97"/>
      <c r="I1858" s="99">
        <f t="shared" si="9"/>
        <v>0</v>
      </c>
      <c r="J1858" s="49"/>
      <c r="K1858" s="49"/>
      <c r="L1858" s="49" t="str">
        <f t="shared" si="8"/>
        <v>EN PROCESO</v>
      </c>
      <c r="M1858" s="49"/>
      <c r="N1858" s="49"/>
    </row>
    <row r="1859" ht="22.5" hidden="1" customHeight="1">
      <c r="A1859" s="101"/>
      <c r="B1859" s="102"/>
      <c r="C1859" s="103"/>
      <c r="D1859" s="101"/>
      <c r="E1859" s="101"/>
      <c r="F1859" s="104"/>
      <c r="G1859" s="104"/>
      <c r="H1859" s="103"/>
      <c r="I1859" s="99">
        <f t="shared" si="9"/>
        <v>0</v>
      </c>
      <c r="J1859" s="101"/>
      <c r="K1859" s="101"/>
      <c r="L1859" s="101" t="str">
        <f t="shared" si="8"/>
        <v>EN PROCESO</v>
      </c>
      <c r="M1859" s="101"/>
      <c r="N1859" s="101"/>
    </row>
    <row r="1860" ht="22.5" hidden="1" customHeight="1">
      <c r="A1860" s="49"/>
      <c r="B1860" s="81"/>
      <c r="C1860" s="97"/>
      <c r="D1860" s="49"/>
      <c r="E1860" s="49"/>
      <c r="F1860" s="98"/>
      <c r="G1860" s="98"/>
      <c r="H1860" s="97"/>
      <c r="I1860" s="99">
        <f t="shared" si="9"/>
        <v>0</v>
      </c>
      <c r="J1860" s="49"/>
      <c r="K1860" s="49"/>
      <c r="L1860" s="49" t="str">
        <f t="shared" si="8"/>
        <v>EN PROCESO</v>
      </c>
      <c r="M1860" s="49"/>
      <c r="N1860" s="49"/>
    </row>
    <row r="1861" ht="22.5" hidden="1" customHeight="1">
      <c r="A1861" s="101"/>
      <c r="B1861" s="102"/>
      <c r="C1861" s="103"/>
      <c r="D1861" s="101"/>
      <c r="E1861" s="101"/>
      <c r="F1861" s="104"/>
      <c r="G1861" s="104"/>
      <c r="H1861" s="103"/>
      <c r="I1861" s="99">
        <f t="shared" si="9"/>
        <v>0</v>
      </c>
      <c r="J1861" s="101"/>
      <c r="K1861" s="101"/>
      <c r="L1861" s="101" t="str">
        <f t="shared" si="8"/>
        <v>EN PROCESO</v>
      </c>
      <c r="M1861" s="101"/>
      <c r="N1861" s="101"/>
    </row>
    <row r="1862" ht="22.5" hidden="1" customHeight="1">
      <c r="A1862" s="49"/>
      <c r="B1862" s="81"/>
      <c r="C1862" s="97"/>
      <c r="D1862" s="49"/>
      <c r="E1862" s="49"/>
      <c r="F1862" s="98"/>
      <c r="G1862" s="98"/>
      <c r="H1862" s="97"/>
      <c r="I1862" s="99">
        <f t="shared" si="9"/>
        <v>0</v>
      </c>
      <c r="J1862" s="49"/>
      <c r="K1862" s="49"/>
      <c r="L1862" s="49" t="str">
        <f t="shared" si="8"/>
        <v>EN PROCESO</v>
      </c>
      <c r="M1862" s="49"/>
      <c r="N1862" s="49"/>
    </row>
    <row r="1863" ht="22.5" hidden="1" customHeight="1">
      <c r="A1863" s="101"/>
      <c r="B1863" s="102"/>
      <c r="C1863" s="103"/>
      <c r="D1863" s="101"/>
      <c r="E1863" s="101"/>
      <c r="F1863" s="104"/>
      <c r="G1863" s="104"/>
      <c r="H1863" s="103"/>
      <c r="I1863" s="99">
        <f t="shared" si="9"/>
        <v>0</v>
      </c>
      <c r="J1863" s="101"/>
      <c r="K1863" s="101"/>
      <c r="L1863" s="101" t="str">
        <f t="shared" si="8"/>
        <v>EN PROCESO</v>
      </c>
      <c r="M1863" s="101"/>
      <c r="N1863" s="101"/>
    </row>
    <row r="1864" ht="22.5" hidden="1" customHeight="1">
      <c r="A1864" s="49"/>
      <c r="B1864" s="81"/>
      <c r="C1864" s="97"/>
      <c r="D1864" s="49"/>
      <c r="E1864" s="49"/>
      <c r="F1864" s="98"/>
      <c r="G1864" s="98"/>
      <c r="H1864" s="97"/>
      <c r="I1864" s="99">
        <f t="shared" si="9"/>
        <v>0</v>
      </c>
      <c r="J1864" s="49"/>
      <c r="K1864" s="49"/>
      <c r="L1864" s="49" t="str">
        <f t="shared" si="8"/>
        <v>EN PROCESO</v>
      </c>
      <c r="M1864" s="49"/>
      <c r="N1864" s="49"/>
    </row>
    <row r="1865" ht="22.5" hidden="1" customHeight="1">
      <c r="A1865" s="101"/>
      <c r="B1865" s="102"/>
      <c r="C1865" s="103"/>
      <c r="D1865" s="101"/>
      <c r="E1865" s="101"/>
      <c r="F1865" s="104"/>
      <c r="G1865" s="104"/>
      <c r="H1865" s="103"/>
      <c r="I1865" s="99">
        <f t="shared" si="9"/>
        <v>0</v>
      </c>
      <c r="J1865" s="101"/>
      <c r="K1865" s="101"/>
      <c r="L1865" s="101" t="str">
        <f t="shared" si="8"/>
        <v>EN PROCESO</v>
      </c>
      <c r="M1865" s="101"/>
      <c r="N1865" s="101"/>
    </row>
    <row r="1866" ht="22.5" hidden="1" customHeight="1">
      <c r="A1866" s="49"/>
      <c r="B1866" s="81"/>
      <c r="C1866" s="97"/>
      <c r="D1866" s="49"/>
      <c r="E1866" s="49"/>
      <c r="F1866" s="98"/>
      <c r="G1866" s="98"/>
      <c r="H1866" s="97"/>
      <c r="I1866" s="99">
        <f t="shared" si="9"/>
        <v>0</v>
      </c>
      <c r="J1866" s="49"/>
      <c r="K1866" s="49"/>
      <c r="L1866" s="49" t="str">
        <f t="shared" si="8"/>
        <v>EN PROCESO</v>
      </c>
      <c r="M1866" s="49"/>
      <c r="N1866" s="49"/>
    </row>
    <row r="1867" ht="22.5" hidden="1" customHeight="1">
      <c r="A1867" s="101"/>
      <c r="B1867" s="102"/>
      <c r="C1867" s="103"/>
      <c r="D1867" s="101"/>
      <c r="E1867" s="101"/>
      <c r="F1867" s="104"/>
      <c r="G1867" s="104"/>
      <c r="H1867" s="103"/>
      <c r="I1867" s="99">
        <f t="shared" si="9"/>
        <v>0</v>
      </c>
      <c r="J1867" s="101"/>
      <c r="K1867" s="101"/>
      <c r="L1867" s="101" t="str">
        <f t="shared" si="8"/>
        <v>EN PROCESO</v>
      </c>
      <c r="M1867" s="101"/>
      <c r="N1867" s="101"/>
    </row>
    <row r="1868" ht="22.5" hidden="1" customHeight="1">
      <c r="A1868" s="49"/>
      <c r="B1868" s="81"/>
      <c r="C1868" s="97"/>
      <c r="D1868" s="49"/>
      <c r="E1868" s="49"/>
      <c r="F1868" s="98"/>
      <c r="G1868" s="98"/>
      <c r="H1868" s="97"/>
      <c r="I1868" s="99">
        <f t="shared" si="9"/>
        <v>0</v>
      </c>
      <c r="J1868" s="49"/>
      <c r="K1868" s="49"/>
      <c r="L1868" s="49" t="str">
        <f t="shared" si="8"/>
        <v>EN PROCESO</v>
      </c>
      <c r="M1868" s="49"/>
      <c r="N1868" s="49"/>
    </row>
    <row r="1869" ht="22.5" hidden="1" customHeight="1">
      <c r="A1869" s="101"/>
      <c r="B1869" s="102"/>
      <c r="C1869" s="103"/>
      <c r="D1869" s="101"/>
      <c r="E1869" s="101"/>
      <c r="F1869" s="104"/>
      <c r="G1869" s="104"/>
      <c r="H1869" s="103"/>
      <c r="I1869" s="99">
        <f t="shared" si="9"/>
        <v>0</v>
      </c>
      <c r="J1869" s="101"/>
      <c r="K1869" s="101"/>
      <c r="L1869" s="101" t="str">
        <f t="shared" si="8"/>
        <v>EN PROCESO</v>
      </c>
      <c r="M1869" s="101"/>
      <c r="N1869" s="101"/>
    </row>
    <row r="1870" ht="22.5" hidden="1" customHeight="1">
      <c r="A1870" s="49"/>
      <c r="B1870" s="81"/>
      <c r="C1870" s="97"/>
      <c r="D1870" s="49"/>
      <c r="E1870" s="49"/>
      <c r="F1870" s="98"/>
      <c r="G1870" s="98"/>
      <c r="H1870" s="97"/>
      <c r="I1870" s="99">
        <f t="shared" si="9"/>
        <v>0</v>
      </c>
      <c r="J1870" s="49"/>
      <c r="K1870" s="49"/>
      <c r="L1870" s="49" t="str">
        <f t="shared" si="8"/>
        <v>EN PROCESO</v>
      </c>
      <c r="M1870" s="49"/>
      <c r="N1870" s="49"/>
    </row>
    <row r="1871" ht="22.5" hidden="1" customHeight="1">
      <c r="A1871" s="101"/>
      <c r="B1871" s="102"/>
      <c r="C1871" s="103"/>
      <c r="D1871" s="101"/>
      <c r="E1871" s="101"/>
      <c r="F1871" s="104"/>
      <c r="G1871" s="104"/>
      <c r="H1871" s="103"/>
      <c r="I1871" s="99">
        <f t="shared" si="9"/>
        <v>0</v>
      </c>
      <c r="J1871" s="101"/>
      <c r="K1871" s="101"/>
      <c r="L1871" s="101" t="str">
        <f t="shared" si="8"/>
        <v>EN PROCESO</v>
      </c>
      <c r="M1871" s="101"/>
      <c r="N1871" s="101"/>
    </row>
    <row r="1872" ht="22.5" hidden="1" customHeight="1">
      <c r="A1872" s="49"/>
      <c r="B1872" s="81"/>
      <c r="C1872" s="97"/>
      <c r="D1872" s="49"/>
      <c r="E1872" s="49"/>
      <c r="F1872" s="98"/>
      <c r="G1872" s="98"/>
      <c r="H1872" s="97"/>
      <c r="I1872" s="99">
        <f t="shared" si="9"/>
        <v>0</v>
      </c>
      <c r="J1872" s="49"/>
      <c r="K1872" s="49"/>
      <c r="L1872" s="49" t="str">
        <f t="shared" si="8"/>
        <v>EN PROCESO</v>
      </c>
      <c r="M1872" s="49"/>
      <c r="N1872" s="49"/>
    </row>
    <row r="1873" ht="22.5" hidden="1" customHeight="1">
      <c r="A1873" s="101"/>
      <c r="B1873" s="102"/>
      <c r="C1873" s="103"/>
      <c r="D1873" s="101"/>
      <c r="E1873" s="101"/>
      <c r="F1873" s="104"/>
      <c r="G1873" s="104"/>
      <c r="H1873" s="103"/>
      <c r="I1873" s="99">
        <f t="shared" si="9"/>
        <v>0</v>
      </c>
      <c r="J1873" s="101"/>
      <c r="K1873" s="101"/>
      <c r="L1873" s="101" t="str">
        <f t="shared" si="8"/>
        <v>EN PROCESO</v>
      </c>
      <c r="M1873" s="101"/>
      <c r="N1873" s="101"/>
    </row>
    <row r="1874" ht="22.5" hidden="1" customHeight="1">
      <c r="A1874" s="49"/>
      <c r="B1874" s="81"/>
      <c r="C1874" s="97"/>
      <c r="D1874" s="49"/>
      <c r="E1874" s="49"/>
      <c r="F1874" s="98"/>
      <c r="G1874" s="98"/>
      <c r="H1874" s="97"/>
      <c r="I1874" s="99">
        <f t="shared" si="9"/>
        <v>0</v>
      </c>
      <c r="J1874" s="49"/>
      <c r="K1874" s="49"/>
      <c r="L1874" s="49" t="str">
        <f t="shared" si="8"/>
        <v>EN PROCESO</v>
      </c>
      <c r="M1874" s="49"/>
      <c r="N1874" s="49"/>
    </row>
    <row r="1875" ht="22.5" hidden="1" customHeight="1">
      <c r="A1875" s="101"/>
      <c r="B1875" s="102"/>
      <c r="C1875" s="103"/>
      <c r="D1875" s="101"/>
      <c r="E1875" s="101"/>
      <c r="F1875" s="104"/>
      <c r="G1875" s="104"/>
      <c r="H1875" s="103"/>
      <c r="I1875" s="99">
        <f t="shared" si="9"/>
        <v>0</v>
      </c>
      <c r="J1875" s="101"/>
      <c r="K1875" s="101"/>
      <c r="L1875" s="101" t="str">
        <f t="shared" si="8"/>
        <v>EN PROCESO</v>
      </c>
      <c r="M1875" s="101"/>
      <c r="N1875" s="101"/>
    </row>
    <row r="1876" ht="22.5" hidden="1" customHeight="1">
      <c r="A1876" s="49"/>
      <c r="B1876" s="81"/>
      <c r="C1876" s="97"/>
      <c r="D1876" s="49"/>
      <c r="E1876" s="49"/>
      <c r="F1876" s="98"/>
      <c r="G1876" s="98"/>
      <c r="H1876" s="97"/>
      <c r="I1876" s="99">
        <f t="shared" si="9"/>
        <v>0</v>
      </c>
      <c r="J1876" s="49"/>
      <c r="K1876" s="49"/>
      <c r="L1876" s="49" t="str">
        <f t="shared" si="8"/>
        <v>EN PROCESO</v>
      </c>
      <c r="M1876" s="49"/>
      <c r="N1876" s="49"/>
    </row>
    <row r="1877" ht="22.5" hidden="1" customHeight="1">
      <c r="A1877" s="101"/>
      <c r="B1877" s="102"/>
      <c r="C1877" s="103"/>
      <c r="D1877" s="101"/>
      <c r="E1877" s="101"/>
      <c r="F1877" s="104"/>
      <c r="G1877" s="104"/>
      <c r="H1877" s="103"/>
      <c r="I1877" s="99">
        <f t="shared" si="9"/>
        <v>0</v>
      </c>
      <c r="J1877" s="101"/>
      <c r="K1877" s="101"/>
      <c r="L1877" s="101" t="str">
        <f t="shared" si="8"/>
        <v>EN PROCESO</v>
      </c>
      <c r="M1877" s="101"/>
      <c r="N1877" s="101"/>
    </row>
    <row r="1878" ht="22.5" hidden="1" customHeight="1">
      <c r="A1878" s="49"/>
      <c r="B1878" s="81"/>
      <c r="C1878" s="97"/>
      <c r="D1878" s="49"/>
      <c r="E1878" s="49"/>
      <c r="F1878" s="98"/>
      <c r="G1878" s="98"/>
      <c r="H1878" s="97"/>
      <c r="I1878" s="99">
        <f t="shared" si="9"/>
        <v>0</v>
      </c>
      <c r="J1878" s="49"/>
      <c r="K1878" s="49"/>
      <c r="L1878" s="49" t="str">
        <f t="shared" si="8"/>
        <v>EN PROCESO</v>
      </c>
      <c r="M1878" s="49"/>
      <c r="N1878" s="49"/>
    </row>
    <row r="1879" ht="22.5" hidden="1" customHeight="1">
      <c r="A1879" s="101"/>
      <c r="B1879" s="102"/>
      <c r="C1879" s="103"/>
      <c r="D1879" s="101"/>
      <c r="E1879" s="101"/>
      <c r="F1879" s="104"/>
      <c r="G1879" s="104"/>
      <c r="H1879" s="103"/>
      <c r="I1879" s="99">
        <f t="shared" si="9"/>
        <v>0</v>
      </c>
      <c r="J1879" s="101"/>
      <c r="K1879" s="101"/>
      <c r="L1879" s="101" t="str">
        <f t="shared" si="8"/>
        <v>EN PROCESO</v>
      </c>
      <c r="M1879" s="101"/>
      <c r="N1879" s="101"/>
    </row>
    <row r="1880" ht="22.5" hidden="1" customHeight="1">
      <c r="A1880" s="49"/>
      <c r="B1880" s="81"/>
      <c r="C1880" s="97"/>
      <c r="D1880" s="49"/>
      <c r="E1880" s="49"/>
      <c r="F1880" s="98"/>
      <c r="G1880" s="98"/>
      <c r="H1880" s="97"/>
      <c r="I1880" s="99">
        <f t="shared" si="9"/>
        <v>0</v>
      </c>
      <c r="J1880" s="49"/>
      <c r="K1880" s="49"/>
      <c r="L1880" s="49" t="str">
        <f t="shared" si="8"/>
        <v>EN PROCESO</v>
      </c>
      <c r="M1880" s="49"/>
      <c r="N1880" s="49"/>
    </row>
    <row r="1881" ht="22.5" hidden="1" customHeight="1">
      <c r="A1881" s="101"/>
      <c r="B1881" s="102"/>
      <c r="C1881" s="103"/>
      <c r="D1881" s="101"/>
      <c r="E1881" s="101"/>
      <c r="F1881" s="104"/>
      <c r="G1881" s="104"/>
      <c r="H1881" s="103"/>
      <c r="I1881" s="99">
        <f t="shared" si="9"/>
        <v>0</v>
      </c>
      <c r="J1881" s="101"/>
      <c r="K1881" s="101"/>
      <c r="L1881" s="101" t="str">
        <f t="shared" si="8"/>
        <v>EN PROCESO</v>
      </c>
      <c r="M1881" s="101"/>
      <c r="N1881" s="101"/>
    </row>
    <row r="1882" ht="22.5" hidden="1" customHeight="1">
      <c r="A1882" s="49"/>
      <c r="B1882" s="81"/>
      <c r="C1882" s="97"/>
      <c r="D1882" s="49"/>
      <c r="E1882" s="49"/>
      <c r="F1882" s="98"/>
      <c r="G1882" s="98"/>
      <c r="H1882" s="97"/>
      <c r="I1882" s="99">
        <f t="shared" si="9"/>
        <v>0</v>
      </c>
      <c r="J1882" s="49"/>
      <c r="K1882" s="49"/>
      <c r="L1882" s="49" t="str">
        <f t="shared" si="8"/>
        <v>EN PROCESO</v>
      </c>
      <c r="M1882" s="49"/>
      <c r="N1882" s="49"/>
    </row>
    <row r="1883" ht="22.5" hidden="1" customHeight="1">
      <c r="A1883" s="101"/>
      <c r="B1883" s="102"/>
      <c r="C1883" s="103"/>
      <c r="D1883" s="101"/>
      <c r="E1883" s="101"/>
      <c r="F1883" s="104"/>
      <c r="G1883" s="104"/>
      <c r="H1883" s="103"/>
      <c r="I1883" s="99">
        <f t="shared" si="9"/>
        <v>0</v>
      </c>
      <c r="J1883" s="101"/>
      <c r="K1883" s="101"/>
      <c r="L1883" s="101" t="str">
        <f t="shared" si="8"/>
        <v>EN PROCESO</v>
      </c>
      <c r="M1883" s="101"/>
      <c r="N1883" s="101"/>
    </row>
    <row r="1884" ht="22.5" hidden="1" customHeight="1">
      <c r="A1884" s="49"/>
      <c r="B1884" s="81"/>
      <c r="C1884" s="97"/>
      <c r="D1884" s="49"/>
      <c r="E1884" s="49"/>
      <c r="F1884" s="98"/>
      <c r="G1884" s="98"/>
      <c r="H1884" s="97"/>
      <c r="I1884" s="99">
        <f t="shared" si="9"/>
        <v>0</v>
      </c>
      <c r="J1884" s="49"/>
      <c r="K1884" s="49"/>
      <c r="L1884" s="49" t="str">
        <f t="shared" si="8"/>
        <v>EN PROCESO</v>
      </c>
      <c r="M1884" s="49"/>
      <c r="N1884" s="49"/>
    </row>
    <row r="1885" ht="22.5" hidden="1" customHeight="1">
      <c r="A1885" s="101"/>
      <c r="B1885" s="102"/>
      <c r="C1885" s="103"/>
      <c r="D1885" s="101"/>
      <c r="E1885" s="101"/>
      <c r="F1885" s="104"/>
      <c r="G1885" s="104"/>
      <c r="H1885" s="103"/>
      <c r="I1885" s="99">
        <f t="shared" si="9"/>
        <v>0</v>
      </c>
      <c r="J1885" s="101"/>
      <c r="K1885" s="101"/>
      <c r="L1885" s="101" t="str">
        <f t="shared" si="8"/>
        <v>EN PROCESO</v>
      </c>
      <c r="M1885" s="101"/>
      <c r="N1885" s="101"/>
    </row>
    <row r="1886" ht="22.5" hidden="1" customHeight="1">
      <c r="A1886" s="49"/>
      <c r="B1886" s="81"/>
      <c r="C1886" s="97"/>
      <c r="D1886" s="49"/>
      <c r="E1886" s="49"/>
      <c r="F1886" s="98"/>
      <c r="G1886" s="98"/>
      <c r="H1886" s="97"/>
      <c r="I1886" s="99">
        <f t="shared" si="9"/>
        <v>0</v>
      </c>
      <c r="J1886" s="49"/>
      <c r="K1886" s="49"/>
      <c r="L1886" s="49" t="str">
        <f t="shared" si="8"/>
        <v>EN PROCESO</v>
      </c>
      <c r="M1886" s="49"/>
      <c r="N1886" s="49"/>
    </row>
    <row r="1887" ht="22.5" hidden="1" customHeight="1">
      <c r="A1887" s="101"/>
      <c r="B1887" s="102"/>
      <c r="C1887" s="103"/>
      <c r="D1887" s="101"/>
      <c r="E1887" s="101"/>
      <c r="F1887" s="104"/>
      <c r="G1887" s="104"/>
      <c r="H1887" s="103"/>
      <c r="I1887" s="99">
        <f t="shared" si="9"/>
        <v>0</v>
      </c>
      <c r="J1887" s="101"/>
      <c r="K1887" s="101"/>
      <c r="L1887" s="101" t="str">
        <f t="shared" si="8"/>
        <v>EN PROCESO</v>
      </c>
      <c r="M1887" s="101"/>
      <c r="N1887" s="101"/>
    </row>
    <row r="1888" ht="22.5" hidden="1" customHeight="1">
      <c r="A1888" s="49"/>
      <c r="B1888" s="81"/>
      <c r="C1888" s="97"/>
      <c r="D1888" s="49"/>
      <c r="E1888" s="49"/>
      <c r="F1888" s="98"/>
      <c r="G1888" s="98"/>
      <c r="H1888" s="97"/>
      <c r="I1888" s="99">
        <f t="shared" si="9"/>
        <v>0</v>
      </c>
      <c r="J1888" s="49"/>
      <c r="K1888" s="49"/>
      <c r="L1888" s="49" t="str">
        <f t="shared" si="8"/>
        <v>EN PROCESO</v>
      </c>
      <c r="M1888" s="49"/>
      <c r="N1888" s="49"/>
    </row>
    <row r="1889" ht="22.5" hidden="1" customHeight="1">
      <c r="A1889" s="101"/>
      <c r="B1889" s="102"/>
      <c r="C1889" s="103"/>
      <c r="D1889" s="101"/>
      <c r="E1889" s="101"/>
      <c r="F1889" s="104"/>
      <c r="G1889" s="104"/>
      <c r="H1889" s="103"/>
      <c r="I1889" s="99">
        <f t="shared" si="9"/>
        <v>0</v>
      </c>
      <c r="J1889" s="101"/>
      <c r="K1889" s="101"/>
      <c r="L1889" s="101" t="str">
        <f t="shared" si="8"/>
        <v>EN PROCESO</v>
      </c>
      <c r="M1889" s="101"/>
      <c r="N1889" s="101"/>
    </row>
    <row r="1890" ht="22.5" hidden="1" customHeight="1">
      <c r="A1890" s="49"/>
      <c r="B1890" s="81"/>
      <c r="C1890" s="97"/>
      <c r="D1890" s="49"/>
      <c r="E1890" s="49"/>
      <c r="F1890" s="98"/>
      <c r="G1890" s="98"/>
      <c r="H1890" s="97"/>
      <c r="I1890" s="99">
        <f t="shared" si="9"/>
        <v>0</v>
      </c>
      <c r="J1890" s="49"/>
      <c r="K1890" s="49"/>
      <c r="L1890" s="49" t="str">
        <f t="shared" si="8"/>
        <v>EN PROCESO</v>
      </c>
      <c r="M1890" s="49"/>
      <c r="N1890" s="49"/>
    </row>
    <row r="1891" ht="22.5" hidden="1" customHeight="1">
      <c r="A1891" s="101"/>
      <c r="B1891" s="102"/>
      <c r="C1891" s="103"/>
      <c r="D1891" s="101"/>
      <c r="E1891" s="101"/>
      <c r="F1891" s="104"/>
      <c r="G1891" s="104"/>
      <c r="H1891" s="103"/>
      <c r="I1891" s="99">
        <f t="shared" si="9"/>
        <v>0</v>
      </c>
      <c r="J1891" s="101"/>
      <c r="K1891" s="101"/>
      <c r="L1891" s="101" t="str">
        <f t="shared" si="8"/>
        <v>EN PROCESO</v>
      </c>
      <c r="M1891" s="101"/>
      <c r="N1891" s="101"/>
    </row>
    <row r="1892" ht="22.5" hidden="1" customHeight="1">
      <c r="A1892" s="49"/>
      <c r="B1892" s="81"/>
      <c r="C1892" s="97"/>
      <c r="D1892" s="49"/>
      <c r="E1892" s="49"/>
      <c r="F1892" s="98"/>
      <c r="G1892" s="98"/>
      <c r="H1892" s="97"/>
      <c r="I1892" s="99">
        <f t="shared" si="9"/>
        <v>0</v>
      </c>
      <c r="J1892" s="49"/>
      <c r="K1892" s="49"/>
      <c r="L1892" s="49" t="str">
        <f t="shared" si="8"/>
        <v>EN PROCESO</v>
      </c>
      <c r="M1892" s="49"/>
      <c r="N1892" s="49"/>
    </row>
    <row r="1893" ht="22.5" hidden="1" customHeight="1">
      <c r="A1893" s="101"/>
      <c r="B1893" s="102"/>
      <c r="C1893" s="103"/>
      <c r="D1893" s="101"/>
      <c r="E1893" s="101"/>
      <c r="F1893" s="104"/>
      <c r="G1893" s="104"/>
      <c r="H1893" s="103"/>
      <c r="I1893" s="99">
        <f t="shared" si="9"/>
        <v>0</v>
      </c>
      <c r="J1893" s="101"/>
      <c r="K1893" s="101"/>
      <c r="L1893" s="101" t="str">
        <f t="shared" si="8"/>
        <v>EN PROCESO</v>
      </c>
      <c r="M1893" s="101"/>
      <c r="N1893" s="101"/>
    </row>
    <row r="1894" ht="22.5" hidden="1" customHeight="1">
      <c r="A1894" s="49"/>
      <c r="B1894" s="81"/>
      <c r="C1894" s="97"/>
      <c r="D1894" s="49"/>
      <c r="E1894" s="49"/>
      <c r="F1894" s="98"/>
      <c r="G1894" s="98"/>
      <c r="H1894" s="97"/>
      <c r="I1894" s="99">
        <f t="shared" si="9"/>
        <v>0</v>
      </c>
      <c r="J1894" s="49"/>
      <c r="K1894" s="49"/>
      <c r="L1894" s="49" t="str">
        <f t="shared" si="8"/>
        <v>EN PROCESO</v>
      </c>
      <c r="M1894" s="49"/>
      <c r="N1894" s="49"/>
    </row>
    <row r="1895" ht="22.5" hidden="1" customHeight="1">
      <c r="A1895" s="101"/>
      <c r="B1895" s="102"/>
      <c r="C1895" s="103"/>
      <c r="D1895" s="101"/>
      <c r="E1895" s="101"/>
      <c r="F1895" s="104"/>
      <c r="G1895" s="104"/>
      <c r="H1895" s="103"/>
      <c r="I1895" s="99">
        <f t="shared" si="9"/>
        <v>0</v>
      </c>
      <c r="J1895" s="101"/>
      <c r="K1895" s="101"/>
      <c r="L1895" s="101" t="str">
        <f t="shared" si="8"/>
        <v>EN PROCESO</v>
      </c>
      <c r="M1895" s="101"/>
      <c r="N1895" s="101"/>
    </row>
    <row r="1896" ht="22.5" hidden="1" customHeight="1">
      <c r="A1896" s="49"/>
      <c r="B1896" s="81"/>
      <c r="C1896" s="97"/>
      <c r="D1896" s="49"/>
      <c r="E1896" s="49"/>
      <c r="F1896" s="98"/>
      <c r="G1896" s="98"/>
      <c r="H1896" s="97"/>
      <c r="I1896" s="99">
        <f t="shared" si="9"/>
        <v>0</v>
      </c>
      <c r="J1896" s="49"/>
      <c r="K1896" s="49"/>
      <c r="L1896" s="49" t="str">
        <f t="shared" si="8"/>
        <v>EN PROCESO</v>
      </c>
      <c r="M1896" s="49"/>
      <c r="N1896" s="49"/>
    </row>
    <row r="1897" ht="22.5" hidden="1" customHeight="1">
      <c r="A1897" s="101"/>
      <c r="B1897" s="102"/>
      <c r="C1897" s="103"/>
      <c r="D1897" s="101"/>
      <c r="E1897" s="101"/>
      <c r="F1897" s="104"/>
      <c r="G1897" s="104"/>
      <c r="H1897" s="103"/>
      <c r="I1897" s="99">
        <f t="shared" si="9"/>
        <v>0</v>
      </c>
      <c r="J1897" s="101"/>
      <c r="K1897" s="101"/>
      <c r="L1897" s="101" t="str">
        <f t="shared" si="8"/>
        <v>EN PROCESO</v>
      </c>
      <c r="M1897" s="101"/>
      <c r="N1897" s="101"/>
    </row>
    <row r="1898" ht="22.5" hidden="1" customHeight="1">
      <c r="A1898" s="49"/>
      <c r="B1898" s="81"/>
      <c r="C1898" s="97"/>
      <c r="D1898" s="49"/>
      <c r="E1898" s="49"/>
      <c r="F1898" s="98"/>
      <c r="G1898" s="98"/>
      <c r="H1898" s="97"/>
      <c r="I1898" s="99">
        <f t="shared" si="9"/>
        <v>0</v>
      </c>
      <c r="J1898" s="49"/>
      <c r="K1898" s="49"/>
      <c r="L1898" s="49" t="str">
        <f t="shared" si="8"/>
        <v>EN PROCESO</v>
      </c>
      <c r="M1898" s="49"/>
      <c r="N1898" s="49"/>
    </row>
    <row r="1899" ht="22.5" hidden="1" customHeight="1">
      <c r="A1899" s="101"/>
      <c r="B1899" s="102"/>
      <c r="C1899" s="103"/>
      <c r="D1899" s="101"/>
      <c r="E1899" s="101"/>
      <c r="F1899" s="104"/>
      <c r="G1899" s="104"/>
      <c r="H1899" s="103"/>
      <c r="I1899" s="99">
        <f t="shared" si="9"/>
        <v>0</v>
      </c>
      <c r="J1899" s="101"/>
      <c r="K1899" s="101"/>
      <c r="L1899" s="101" t="str">
        <f t="shared" si="8"/>
        <v>EN PROCESO</v>
      </c>
      <c r="M1899" s="101"/>
      <c r="N1899" s="101"/>
    </row>
    <row r="1900" ht="22.5" hidden="1" customHeight="1">
      <c r="A1900" s="49"/>
      <c r="B1900" s="81"/>
      <c r="C1900" s="97"/>
      <c r="D1900" s="49"/>
      <c r="E1900" s="49"/>
      <c r="F1900" s="98"/>
      <c r="G1900" s="98"/>
      <c r="H1900" s="97"/>
      <c r="I1900" s="99">
        <f t="shared" si="9"/>
        <v>0</v>
      </c>
      <c r="J1900" s="49"/>
      <c r="K1900" s="49"/>
      <c r="L1900" s="49" t="str">
        <f t="shared" si="8"/>
        <v>EN PROCESO</v>
      </c>
      <c r="M1900" s="49"/>
      <c r="N1900" s="49"/>
    </row>
    <row r="1901" ht="22.5" hidden="1" customHeight="1">
      <c r="A1901" s="101"/>
      <c r="B1901" s="102"/>
      <c r="C1901" s="103"/>
      <c r="D1901" s="101"/>
      <c r="E1901" s="101"/>
      <c r="F1901" s="104"/>
      <c r="G1901" s="104"/>
      <c r="H1901" s="103"/>
      <c r="I1901" s="99">
        <f t="shared" si="9"/>
        <v>0</v>
      </c>
      <c r="J1901" s="101"/>
      <c r="K1901" s="101"/>
      <c r="L1901" s="101" t="str">
        <f t="shared" si="8"/>
        <v>EN PROCESO</v>
      </c>
      <c r="M1901" s="101"/>
      <c r="N1901" s="101"/>
    </row>
    <row r="1902" ht="22.5" hidden="1" customHeight="1">
      <c r="A1902" s="49"/>
      <c r="B1902" s="81"/>
      <c r="C1902" s="97"/>
      <c r="D1902" s="49"/>
      <c r="E1902" s="49"/>
      <c r="F1902" s="98"/>
      <c r="G1902" s="98"/>
      <c r="H1902" s="97"/>
      <c r="I1902" s="99">
        <f t="shared" si="9"/>
        <v>0</v>
      </c>
      <c r="J1902" s="49"/>
      <c r="K1902" s="49"/>
      <c r="L1902" s="49" t="str">
        <f t="shared" si="8"/>
        <v>EN PROCESO</v>
      </c>
      <c r="M1902" s="49"/>
      <c r="N1902" s="49"/>
    </row>
    <row r="1903" ht="22.5" hidden="1" customHeight="1">
      <c r="A1903" s="101"/>
      <c r="B1903" s="102"/>
      <c r="C1903" s="103"/>
      <c r="D1903" s="101"/>
      <c r="E1903" s="101"/>
      <c r="F1903" s="104"/>
      <c r="G1903" s="104"/>
      <c r="H1903" s="103"/>
      <c r="I1903" s="99">
        <f t="shared" si="9"/>
        <v>0</v>
      </c>
      <c r="J1903" s="101"/>
      <c r="K1903" s="101"/>
      <c r="L1903" s="101" t="str">
        <f t="shared" si="8"/>
        <v>EN PROCESO</v>
      </c>
      <c r="M1903" s="101"/>
      <c r="N1903" s="101"/>
    </row>
    <row r="1904" ht="22.5" hidden="1" customHeight="1">
      <c r="A1904" s="49"/>
      <c r="B1904" s="81"/>
      <c r="C1904" s="97"/>
      <c r="D1904" s="49"/>
      <c r="E1904" s="49"/>
      <c r="F1904" s="98"/>
      <c r="G1904" s="98"/>
      <c r="H1904" s="97"/>
      <c r="I1904" s="99">
        <f t="shared" si="9"/>
        <v>0</v>
      </c>
      <c r="J1904" s="49"/>
      <c r="K1904" s="49"/>
      <c r="L1904" s="49" t="str">
        <f t="shared" si="8"/>
        <v>EN PROCESO</v>
      </c>
      <c r="M1904" s="49"/>
      <c r="N1904" s="49"/>
    </row>
    <row r="1905" ht="22.5" hidden="1" customHeight="1">
      <c r="A1905" s="101"/>
      <c r="B1905" s="102"/>
      <c r="C1905" s="103"/>
      <c r="D1905" s="101"/>
      <c r="E1905" s="101"/>
      <c r="F1905" s="104"/>
      <c r="G1905" s="104"/>
      <c r="H1905" s="103"/>
      <c r="I1905" s="99">
        <f t="shared" si="9"/>
        <v>0</v>
      </c>
      <c r="J1905" s="101"/>
      <c r="K1905" s="101"/>
      <c r="L1905" s="101" t="str">
        <f t="shared" si="8"/>
        <v>EN PROCESO</v>
      </c>
      <c r="M1905" s="101"/>
      <c r="N1905" s="101"/>
    </row>
    <row r="1906" ht="22.5" hidden="1" customHeight="1">
      <c r="A1906" s="49"/>
      <c r="B1906" s="81"/>
      <c r="C1906" s="97"/>
      <c r="D1906" s="49"/>
      <c r="E1906" s="49"/>
      <c r="F1906" s="98"/>
      <c r="G1906" s="98"/>
      <c r="H1906" s="97"/>
      <c r="I1906" s="99">
        <f t="shared" si="9"/>
        <v>0</v>
      </c>
      <c r="J1906" s="49"/>
      <c r="K1906" s="49"/>
      <c r="L1906" s="49" t="str">
        <f t="shared" si="8"/>
        <v>EN PROCESO</v>
      </c>
      <c r="M1906" s="49"/>
      <c r="N1906" s="49"/>
    </row>
    <row r="1907" ht="22.5" hidden="1" customHeight="1">
      <c r="A1907" s="101"/>
      <c r="B1907" s="102"/>
      <c r="C1907" s="103"/>
      <c r="D1907" s="101"/>
      <c r="E1907" s="101"/>
      <c r="F1907" s="104"/>
      <c r="G1907" s="104"/>
      <c r="H1907" s="103"/>
      <c r="I1907" s="99">
        <f t="shared" si="9"/>
        <v>0</v>
      </c>
      <c r="J1907" s="101"/>
      <c r="K1907" s="101"/>
      <c r="L1907" s="101" t="str">
        <f t="shared" si="8"/>
        <v>EN PROCESO</v>
      </c>
      <c r="M1907" s="101"/>
      <c r="N1907" s="101"/>
    </row>
    <row r="1908" ht="22.5" hidden="1" customHeight="1">
      <c r="A1908" s="49"/>
      <c r="B1908" s="81"/>
      <c r="C1908" s="97"/>
      <c r="D1908" s="49"/>
      <c r="E1908" s="49"/>
      <c r="F1908" s="98"/>
      <c r="G1908" s="98"/>
      <c r="H1908" s="97"/>
      <c r="I1908" s="99">
        <f t="shared" si="9"/>
        <v>0</v>
      </c>
      <c r="J1908" s="49"/>
      <c r="K1908" s="49"/>
      <c r="L1908" s="49" t="str">
        <f t="shared" si="8"/>
        <v>EN PROCESO</v>
      </c>
      <c r="M1908" s="49"/>
      <c r="N1908" s="49"/>
    </row>
    <row r="1909" ht="22.5" hidden="1" customHeight="1">
      <c r="A1909" s="101"/>
      <c r="B1909" s="102"/>
      <c r="C1909" s="103"/>
      <c r="D1909" s="101"/>
      <c r="E1909" s="101"/>
      <c r="F1909" s="104"/>
      <c r="G1909" s="104"/>
      <c r="H1909" s="103"/>
      <c r="I1909" s="99">
        <f t="shared" si="9"/>
        <v>0</v>
      </c>
      <c r="J1909" s="101"/>
      <c r="K1909" s="101"/>
      <c r="L1909" s="101" t="str">
        <f t="shared" si="8"/>
        <v>EN PROCESO</v>
      </c>
      <c r="M1909" s="101"/>
      <c r="N1909" s="101"/>
    </row>
    <row r="1910" ht="22.5" hidden="1" customHeight="1">
      <c r="A1910" s="49"/>
      <c r="B1910" s="81"/>
      <c r="C1910" s="97"/>
      <c r="D1910" s="49"/>
      <c r="E1910" s="49"/>
      <c r="F1910" s="98"/>
      <c r="G1910" s="98"/>
      <c r="H1910" s="97"/>
      <c r="I1910" s="99">
        <f t="shared" si="9"/>
        <v>0</v>
      </c>
      <c r="J1910" s="49"/>
      <c r="K1910" s="49"/>
      <c r="L1910" s="49" t="str">
        <f t="shared" si="8"/>
        <v>EN PROCESO</v>
      </c>
      <c r="M1910" s="49"/>
      <c r="N1910" s="49"/>
    </row>
    <row r="1911" ht="22.5" hidden="1" customHeight="1">
      <c r="A1911" s="101"/>
      <c r="B1911" s="102"/>
      <c r="C1911" s="103"/>
      <c r="D1911" s="101"/>
      <c r="E1911" s="101"/>
      <c r="F1911" s="104"/>
      <c r="G1911" s="104"/>
      <c r="H1911" s="103"/>
      <c r="I1911" s="99">
        <f t="shared" si="9"/>
        <v>0</v>
      </c>
      <c r="J1911" s="101"/>
      <c r="K1911" s="101"/>
      <c r="L1911" s="101" t="str">
        <f t="shared" si="8"/>
        <v>EN PROCESO</v>
      </c>
      <c r="M1911" s="101"/>
      <c r="N1911" s="101"/>
    </row>
    <row r="1912" ht="22.5" hidden="1" customHeight="1">
      <c r="A1912" s="49"/>
      <c r="B1912" s="81"/>
      <c r="C1912" s="97"/>
      <c r="D1912" s="49"/>
      <c r="E1912" s="49"/>
      <c r="F1912" s="98"/>
      <c r="G1912" s="98"/>
      <c r="H1912" s="97"/>
      <c r="I1912" s="99">
        <f t="shared" si="9"/>
        <v>0</v>
      </c>
      <c r="J1912" s="49"/>
      <c r="K1912" s="49"/>
      <c r="L1912" s="49" t="str">
        <f t="shared" si="8"/>
        <v>EN PROCESO</v>
      </c>
      <c r="M1912" s="49"/>
      <c r="N1912" s="49"/>
    </row>
    <row r="1913" ht="22.5" hidden="1" customHeight="1">
      <c r="A1913" s="101"/>
      <c r="B1913" s="102"/>
      <c r="C1913" s="103"/>
      <c r="D1913" s="101"/>
      <c r="E1913" s="101"/>
      <c r="F1913" s="104"/>
      <c r="G1913" s="104"/>
      <c r="H1913" s="103"/>
      <c r="I1913" s="99">
        <f t="shared" si="9"/>
        <v>0</v>
      </c>
      <c r="J1913" s="101"/>
      <c r="K1913" s="101"/>
      <c r="L1913" s="101" t="str">
        <f t="shared" si="8"/>
        <v>EN PROCESO</v>
      </c>
      <c r="M1913" s="101"/>
      <c r="N1913" s="101"/>
    </row>
    <row r="1914" ht="22.5" hidden="1" customHeight="1">
      <c r="A1914" s="49"/>
      <c r="B1914" s="81"/>
      <c r="C1914" s="97"/>
      <c r="D1914" s="49"/>
      <c r="E1914" s="49"/>
      <c r="F1914" s="98"/>
      <c r="G1914" s="98"/>
      <c r="H1914" s="97"/>
      <c r="I1914" s="99">
        <f t="shared" si="9"/>
        <v>0</v>
      </c>
      <c r="J1914" s="49"/>
      <c r="K1914" s="49"/>
      <c r="L1914" s="49" t="str">
        <f t="shared" si="8"/>
        <v>EN PROCESO</v>
      </c>
      <c r="M1914" s="49"/>
      <c r="N1914" s="49"/>
    </row>
    <row r="1915" ht="22.5" hidden="1" customHeight="1">
      <c r="A1915" s="101"/>
      <c r="B1915" s="102"/>
      <c r="C1915" s="103"/>
      <c r="D1915" s="101"/>
      <c r="E1915" s="101"/>
      <c r="F1915" s="104"/>
      <c r="G1915" s="104"/>
      <c r="H1915" s="103"/>
      <c r="I1915" s="99">
        <f t="shared" si="9"/>
        <v>0</v>
      </c>
      <c r="J1915" s="101"/>
      <c r="K1915" s="101"/>
      <c r="L1915" s="101" t="str">
        <f t="shared" si="8"/>
        <v>EN PROCESO</v>
      </c>
      <c r="M1915" s="101"/>
      <c r="N1915" s="101"/>
    </row>
    <row r="1916" ht="22.5" hidden="1" customHeight="1">
      <c r="A1916" s="49"/>
      <c r="B1916" s="81"/>
      <c r="C1916" s="97"/>
      <c r="D1916" s="49"/>
      <c r="E1916" s="49"/>
      <c r="F1916" s="98"/>
      <c r="G1916" s="98"/>
      <c r="H1916" s="97"/>
      <c r="I1916" s="99">
        <f t="shared" si="9"/>
        <v>0</v>
      </c>
      <c r="J1916" s="49"/>
      <c r="K1916" s="49"/>
      <c r="L1916" s="49" t="str">
        <f t="shared" si="8"/>
        <v>EN PROCESO</v>
      </c>
      <c r="M1916" s="49"/>
      <c r="N1916" s="49"/>
    </row>
    <row r="1917" ht="22.5" hidden="1" customHeight="1">
      <c r="A1917" s="101"/>
      <c r="B1917" s="102"/>
      <c r="C1917" s="103"/>
      <c r="D1917" s="101"/>
      <c r="E1917" s="101"/>
      <c r="F1917" s="104"/>
      <c r="G1917" s="104"/>
      <c r="H1917" s="103"/>
      <c r="I1917" s="99">
        <f t="shared" si="9"/>
        <v>0</v>
      </c>
      <c r="J1917" s="101"/>
      <c r="K1917" s="101"/>
      <c r="L1917" s="101" t="str">
        <f t="shared" si="8"/>
        <v>EN PROCESO</v>
      </c>
      <c r="M1917" s="101"/>
      <c r="N1917" s="101"/>
    </row>
    <row r="1918" ht="22.5" hidden="1" customHeight="1">
      <c r="A1918" s="49"/>
      <c r="B1918" s="81"/>
      <c r="C1918" s="97"/>
      <c r="D1918" s="49"/>
      <c r="E1918" s="49"/>
      <c r="F1918" s="98"/>
      <c r="G1918" s="98"/>
      <c r="H1918" s="97"/>
      <c r="I1918" s="99">
        <f t="shared" si="9"/>
        <v>0</v>
      </c>
      <c r="J1918" s="49"/>
      <c r="K1918" s="49"/>
      <c r="L1918" s="49" t="str">
        <f t="shared" si="8"/>
        <v>EN PROCESO</v>
      </c>
      <c r="M1918" s="49"/>
      <c r="N1918" s="49"/>
    </row>
    <row r="1919" ht="22.5" hidden="1" customHeight="1">
      <c r="A1919" s="101"/>
      <c r="B1919" s="102"/>
      <c r="C1919" s="103"/>
      <c r="D1919" s="101"/>
      <c r="E1919" s="101"/>
      <c r="F1919" s="104"/>
      <c r="G1919" s="104"/>
      <c r="H1919" s="103"/>
      <c r="I1919" s="99">
        <f t="shared" si="9"/>
        <v>0</v>
      </c>
      <c r="J1919" s="101"/>
      <c r="K1919" s="101"/>
      <c r="L1919" s="101" t="str">
        <f t="shared" si="8"/>
        <v>EN PROCESO</v>
      </c>
      <c r="M1919" s="101"/>
      <c r="N1919" s="101"/>
    </row>
    <row r="1920" ht="22.5" hidden="1" customHeight="1">
      <c r="A1920" s="49"/>
      <c r="B1920" s="81"/>
      <c r="C1920" s="97"/>
      <c r="D1920" s="49"/>
      <c r="E1920" s="49"/>
      <c r="F1920" s="98"/>
      <c r="G1920" s="98"/>
      <c r="H1920" s="97"/>
      <c r="I1920" s="99">
        <f t="shared" si="9"/>
        <v>0</v>
      </c>
      <c r="J1920" s="49"/>
      <c r="K1920" s="49"/>
      <c r="L1920" s="49" t="str">
        <f t="shared" si="8"/>
        <v>EN PROCESO</v>
      </c>
      <c r="M1920" s="49"/>
      <c r="N1920" s="49"/>
    </row>
    <row r="1921" ht="22.5" hidden="1" customHeight="1">
      <c r="A1921" s="101"/>
      <c r="B1921" s="102"/>
      <c r="C1921" s="103"/>
      <c r="D1921" s="101"/>
      <c r="E1921" s="101"/>
      <c r="F1921" s="104"/>
      <c r="G1921" s="104"/>
      <c r="H1921" s="103"/>
      <c r="I1921" s="99">
        <f t="shared" si="9"/>
        <v>0</v>
      </c>
      <c r="J1921" s="101"/>
      <c r="K1921" s="101"/>
      <c r="L1921" s="101" t="str">
        <f t="shared" si="8"/>
        <v>EN PROCESO</v>
      </c>
      <c r="M1921" s="101"/>
      <c r="N1921" s="101"/>
    </row>
    <row r="1922" ht="22.5" hidden="1" customHeight="1">
      <c r="A1922" s="49"/>
      <c r="B1922" s="81"/>
      <c r="C1922" s="97"/>
      <c r="D1922" s="49"/>
      <c r="E1922" s="49"/>
      <c r="F1922" s="98"/>
      <c r="G1922" s="98"/>
      <c r="H1922" s="97"/>
      <c r="I1922" s="99">
        <f t="shared" si="9"/>
        <v>0</v>
      </c>
      <c r="J1922" s="49"/>
      <c r="K1922" s="49"/>
      <c r="L1922" s="49" t="str">
        <f t="shared" si="8"/>
        <v>EN PROCESO</v>
      </c>
      <c r="M1922" s="49"/>
      <c r="N1922" s="49"/>
    </row>
    <row r="1923" ht="22.5" hidden="1" customHeight="1">
      <c r="A1923" s="101"/>
      <c r="B1923" s="102"/>
      <c r="C1923" s="103"/>
      <c r="D1923" s="101"/>
      <c r="E1923" s="101"/>
      <c r="F1923" s="104"/>
      <c r="G1923" s="104"/>
      <c r="H1923" s="103"/>
      <c r="I1923" s="99">
        <f t="shared" si="9"/>
        <v>0</v>
      </c>
      <c r="J1923" s="101"/>
      <c r="K1923" s="101"/>
      <c r="L1923" s="101" t="str">
        <f t="shared" si="8"/>
        <v>EN PROCESO</v>
      </c>
      <c r="M1923" s="101"/>
      <c r="N1923" s="101"/>
    </row>
    <row r="1924" ht="22.5" hidden="1" customHeight="1">
      <c r="A1924" s="49"/>
      <c r="B1924" s="81"/>
      <c r="C1924" s="97"/>
      <c r="D1924" s="49"/>
      <c r="E1924" s="49"/>
      <c r="F1924" s="98"/>
      <c r="G1924" s="98"/>
      <c r="H1924" s="97"/>
      <c r="I1924" s="99">
        <f t="shared" si="9"/>
        <v>0</v>
      </c>
      <c r="J1924" s="49"/>
      <c r="K1924" s="49"/>
      <c r="L1924" s="49" t="str">
        <f t="shared" si="8"/>
        <v>EN PROCESO</v>
      </c>
      <c r="M1924" s="49"/>
      <c r="N1924" s="49"/>
    </row>
    <row r="1925" ht="22.5" hidden="1" customHeight="1">
      <c r="A1925" s="101"/>
      <c r="B1925" s="102"/>
      <c r="C1925" s="103"/>
      <c r="D1925" s="101"/>
      <c r="E1925" s="101"/>
      <c r="F1925" s="104"/>
      <c r="G1925" s="104"/>
      <c r="H1925" s="103"/>
      <c r="I1925" s="99">
        <f t="shared" si="9"/>
        <v>0</v>
      </c>
      <c r="J1925" s="101"/>
      <c r="K1925" s="101"/>
      <c r="L1925" s="101" t="str">
        <f t="shared" si="8"/>
        <v>EN PROCESO</v>
      </c>
      <c r="M1925" s="101"/>
      <c r="N1925" s="101"/>
    </row>
    <row r="1926" ht="22.5" hidden="1" customHeight="1">
      <c r="A1926" s="49"/>
      <c r="B1926" s="81"/>
      <c r="C1926" s="97"/>
      <c r="D1926" s="49"/>
      <c r="E1926" s="49"/>
      <c r="F1926" s="98"/>
      <c r="G1926" s="98"/>
      <c r="H1926" s="97"/>
      <c r="I1926" s="99">
        <f t="shared" si="9"/>
        <v>0</v>
      </c>
      <c r="J1926" s="49"/>
      <c r="K1926" s="49"/>
      <c r="L1926" s="49" t="str">
        <f t="shared" si="8"/>
        <v>EN PROCESO</v>
      </c>
      <c r="M1926" s="49"/>
      <c r="N1926" s="49"/>
    </row>
    <row r="1927" ht="22.5" hidden="1" customHeight="1">
      <c r="A1927" s="101"/>
      <c r="B1927" s="102"/>
      <c r="C1927" s="103"/>
      <c r="D1927" s="101"/>
      <c r="E1927" s="101"/>
      <c r="F1927" s="104"/>
      <c r="G1927" s="104"/>
      <c r="H1927" s="103"/>
      <c r="I1927" s="99">
        <f t="shared" si="9"/>
        <v>0</v>
      </c>
      <c r="J1927" s="101"/>
      <c r="K1927" s="101"/>
      <c r="L1927" s="101" t="str">
        <f t="shared" si="8"/>
        <v>EN PROCESO</v>
      </c>
      <c r="M1927" s="101"/>
      <c r="N1927" s="101"/>
    </row>
    <row r="1928" ht="22.5" hidden="1" customHeight="1">
      <c r="A1928" s="49"/>
      <c r="B1928" s="81"/>
      <c r="C1928" s="97"/>
      <c r="D1928" s="49"/>
      <c r="E1928" s="49"/>
      <c r="F1928" s="98"/>
      <c r="G1928" s="98"/>
      <c r="H1928" s="97"/>
      <c r="I1928" s="99">
        <f t="shared" si="9"/>
        <v>0</v>
      </c>
      <c r="J1928" s="49"/>
      <c r="K1928" s="49"/>
      <c r="L1928" s="49" t="str">
        <f t="shared" si="8"/>
        <v>EN PROCESO</v>
      </c>
      <c r="M1928" s="49"/>
      <c r="N1928" s="49"/>
    </row>
    <row r="1929" ht="22.5" hidden="1" customHeight="1">
      <c r="A1929" s="101"/>
      <c r="B1929" s="102"/>
      <c r="C1929" s="103"/>
      <c r="D1929" s="101"/>
      <c r="E1929" s="101"/>
      <c r="F1929" s="104"/>
      <c r="G1929" s="104"/>
      <c r="H1929" s="103"/>
      <c r="I1929" s="99">
        <f t="shared" si="9"/>
        <v>0</v>
      </c>
      <c r="J1929" s="101"/>
      <c r="K1929" s="101"/>
      <c r="L1929" s="101" t="str">
        <f t="shared" si="8"/>
        <v>EN PROCESO</v>
      </c>
      <c r="M1929" s="101"/>
      <c r="N1929" s="101"/>
    </row>
    <row r="1930" ht="22.5" hidden="1" customHeight="1">
      <c r="A1930" s="49"/>
      <c r="B1930" s="81"/>
      <c r="C1930" s="97"/>
      <c r="D1930" s="49"/>
      <c r="E1930" s="49"/>
      <c r="F1930" s="98"/>
      <c r="G1930" s="98"/>
      <c r="H1930" s="97"/>
      <c r="I1930" s="99">
        <f t="shared" si="9"/>
        <v>0</v>
      </c>
      <c r="J1930" s="49"/>
      <c r="K1930" s="49"/>
      <c r="L1930" s="49" t="str">
        <f t="shared" si="8"/>
        <v>EN PROCESO</v>
      </c>
      <c r="M1930" s="49"/>
      <c r="N1930" s="49"/>
    </row>
    <row r="1931" ht="22.5" hidden="1" customHeight="1">
      <c r="A1931" s="101"/>
      <c r="B1931" s="102"/>
      <c r="C1931" s="103"/>
      <c r="D1931" s="101"/>
      <c r="E1931" s="101"/>
      <c r="F1931" s="104"/>
      <c r="G1931" s="104"/>
      <c r="H1931" s="103"/>
      <c r="I1931" s="99">
        <f t="shared" si="9"/>
        <v>0</v>
      </c>
      <c r="J1931" s="101"/>
      <c r="K1931" s="101"/>
      <c r="L1931" s="101" t="str">
        <f t="shared" si="8"/>
        <v>EN PROCESO</v>
      </c>
      <c r="M1931" s="101"/>
      <c r="N1931" s="101"/>
    </row>
    <row r="1932" ht="22.5" hidden="1" customHeight="1">
      <c r="A1932" s="49"/>
      <c r="B1932" s="81"/>
      <c r="C1932" s="97"/>
      <c r="D1932" s="49"/>
      <c r="E1932" s="49"/>
      <c r="F1932" s="98"/>
      <c r="G1932" s="98"/>
      <c r="H1932" s="97"/>
      <c r="I1932" s="99">
        <f t="shared" si="9"/>
        <v>0</v>
      </c>
      <c r="J1932" s="49"/>
      <c r="K1932" s="49"/>
      <c r="L1932" s="49" t="str">
        <f t="shared" si="8"/>
        <v>EN PROCESO</v>
      </c>
      <c r="M1932" s="49"/>
      <c r="N1932" s="49"/>
    </row>
    <row r="1933" ht="22.5" hidden="1" customHeight="1">
      <c r="A1933" s="101"/>
      <c r="B1933" s="102"/>
      <c r="C1933" s="103"/>
      <c r="D1933" s="101"/>
      <c r="E1933" s="101"/>
      <c r="F1933" s="104"/>
      <c r="G1933" s="104"/>
      <c r="H1933" s="103"/>
      <c r="I1933" s="99">
        <f t="shared" si="9"/>
        <v>0</v>
      </c>
      <c r="J1933" s="101"/>
      <c r="K1933" s="101"/>
      <c r="L1933" s="101" t="str">
        <f t="shared" si="8"/>
        <v>EN PROCESO</v>
      </c>
      <c r="M1933" s="101"/>
      <c r="N1933" s="101"/>
    </row>
    <row r="1934" ht="22.5" hidden="1" customHeight="1">
      <c r="A1934" s="49"/>
      <c r="B1934" s="81"/>
      <c r="C1934" s="97"/>
      <c r="D1934" s="49"/>
      <c r="E1934" s="49"/>
      <c r="F1934" s="98"/>
      <c r="G1934" s="98"/>
      <c r="H1934" s="97"/>
      <c r="I1934" s="99">
        <f t="shared" si="9"/>
        <v>0</v>
      </c>
      <c r="J1934" s="49"/>
      <c r="K1934" s="49"/>
      <c r="L1934" s="49" t="str">
        <f t="shared" si="8"/>
        <v>EN PROCESO</v>
      </c>
      <c r="M1934" s="49"/>
      <c r="N1934" s="49"/>
    </row>
    <row r="1935" ht="22.5" hidden="1" customHeight="1">
      <c r="A1935" s="101"/>
      <c r="B1935" s="102"/>
      <c r="C1935" s="103"/>
      <c r="D1935" s="101"/>
      <c r="E1935" s="101"/>
      <c r="F1935" s="104"/>
      <c r="G1935" s="104"/>
      <c r="H1935" s="103"/>
      <c r="I1935" s="99">
        <f t="shared" si="9"/>
        <v>0</v>
      </c>
      <c r="J1935" s="101"/>
      <c r="K1935" s="101"/>
      <c r="L1935" s="101" t="str">
        <f t="shared" si="8"/>
        <v>EN PROCESO</v>
      </c>
      <c r="M1935" s="101"/>
      <c r="N1935" s="101"/>
    </row>
    <row r="1936" ht="22.5" hidden="1" customHeight="1">
      <c r="A1936" s="49"/>
      <c r="B1936" s="81"/>
      <c r="C1936" s="97"/>
      <c r="D1936" s="49"/>
      <c r="E1936" s="49"/>
      <c r="F1936" s="98"/>
      <c r="G1936" s="98"/>
      <c r="H1936" s="97"/>
      <c r="I1936" s="99">
        <f t="shared" si="9"/>
        <v>0</v>
      </c>
      <c r="J1936" s="49"/>
      <c r="K1936" s="49"/>
      <c r="L1936" s="49" t="str">
        <f t="shared" si="8"/>
        <v>EN PROCESO</v>
      </c>
      <c r="M1936" s="49"/>
      <c r="N1936" s="49"/>
    </row>
    <row r="1937" ht="22.5" hidden="1" customHeight="1">
      <c r="A1937" s="101"/>
      <c r="B1937" s="102"/>
      <c r="C1937" s="103"/>
      <c r="D1937" s="101"/>
      <c r="E1937" s="101"/>
      <c r="F1937" s="104"/>
      <c r="G1937" s="104"/>
      <c r="H1937" s="103"/>
      <c r="I1937" s="99">
        <f t="shared" si="9"/>
        <v>0</v>
      </c>
      <c r="J1937" s="101"/>
      <c r="K1937" s="101"/>
      <c r="L1937" s="101" t="str">
        <f t="shared" si="8"/>
        <v>EN PROCESO</v>
      </c>
      <c r="M1937" s="101"/>
      <c r="N1937" s="101"/>
    </row>
    <row r="1938" ht="22.5" hidden="1" customHeight="1">
      <c r="A1938" s="49"/>
      <c r="B1938" s="81"/>
      <c r="C1938" s="97"/>
      <c r="D1938" s="49"/>
      <c r="E1938" s="49"/>
      <c r="F1938" s="98"/>
      <c r="G1938" s="98"/>
      <c r="H1938" s="97"/>
      <c r="I1938" s="99">
        <f t="shared" si="9"/>
        <v>0</v>
      </c>
      <c r="J1938" s="49"/>
      <c r="K1938" s="49"/>
      <c r="L1938" s="49" t="str">
        <f t="shared" si="8"/>
        <v>EN PROCESO</v>
      </c>
      <c r="M1938" s="49"/>
      <c r="N1938" s="49"/>
    </row>
    <row r="1939" ht="22.5" hidden="1" customHeight="1">
      <c r="A1939" s="101"/>
      <c r="B1939" s="102"/>
      <c r="C1939" s="103"/>
      <c r="D1939" s="101"/>
      <c r="E1939" s="101"/>
      <c r="F1939" s="104"/>
      <c r="G1939" s="104"/>
      <c r="H1939" s="103"/>
      <c r="I1939" s="99">
        <f t="shared" si="9"/>
        <v>0</v>
      </c>
      <c r="J1939" s="101"/>
      <c r="K1939" s="101"/>
      <c r="L1939" s="101" t="str">
        <f t="shared" si="8"/>
        <v>EN PROCESO</v>
      </c>
      <c r="M1939" s="101"/>
      <c r="N1939" s="101"/>
    </row>
    <row r="1940" ht="22.5" hidden="1" customHeight="1">
      <c r="A1940" s="49"/>
      <c r="B1940" s="81"/>
      <c r="C1940" s="97"/>
      <c r="D1940" s="49"/>
      <c r="E1940" s="49"/>
      <c r="F1940" s="98"/>
      <c r="G1940" s="98"/>
      <c r="H1940" s="97"/>
      <c r="I1940" s="99">
        <f t="shared" si="9"/>
        <v>0</v>
      </c>
      <c r="J1940" s="49"/>
      <c r="K1940" s="49"/>
      <c r="L1940" s="49" t="str">
        <f t="shared" si="8"/>
        <v>EN PROCESO</v>
      </c>
      <c r="M1940" s="49"/>
      <c r="N1940" s="49"/>
    </row>
    <row r="1941" ht="22.5" hidden="1" customHeight="1">
      <c r="A1941" s="101"/>
      <c r="B1941" s="102"/>
      <c r="C1941" s="103"/>
      <c r="D1941" s="101"/>
      <c r="E1941" s="101"/>
      <c r="F1941" s="104"/>
      <c r="G1941" s="104"/>
      <c r="H1941" s="103"/>
      <c r="I1941" s="99">
        <f t="shared" si="9"/>
        <v>0</v>
      </c>
      <c r="J1941" s="101"/>
      <c r="K1941" s="101"/>
      <c r="L1941" s="101" t="str">
        <f t="shared" si="8"/>
        <v>EN PROCESO</v>
      </c>
      <c r="M1941" s="101"/>
      <c r="N1941" s="101"/>
    </row>
    <row r="1942" ht="22.5" hidden="1" customHeight="1">
      <c r="A1942" s="49"/>
      <c r="B1942" s="81"/>
      <c r="C1942" s="97"/>
      <c r="D1942" s="49"/>
      <c r="E1942" s="49"/>
      <c r="F1942" s="98"/>
      <c r="G1942" s="98"/>
      <c r="H1942" s="97"/>
      <c r="I1942" s="99">
        <f t="shared" si="9"/>
        <v>0</v>
      </c>
      <c r="J1942" s="49"/>
      <c r="K1942" s="49"/>
      <c r="L1942" s="49" t="str">
        <f t="shared" si="8"/>
        <v>EN PROCESO</v>
      </c>
      <c r="M1942" s="49"/>
      <c r="N1942" s="49"/>
    </row>
    <row r="1943" ht="22.5" hidden="1" customHeight="1">
      <c r="A1943" s="101"/>
      <c r="B1943" s="102"/>
      <c r="C1943" s="103"/>
      <c r="D1943" s="101"/>
      <c r="E1943" s="101"/>
      <c r="F1943" s="104"/>
      <c r="G1943" s="104"/>
      <c r="H1943" s="103"/>
      <c r="I1943" s="99">
        <f t="shared" si="9"/>
        <v>0</v>
      </c>
      <c r="J1943" s="101"/>
      <c r="K1943" s="101"/>
      <c r="L1943" s="101" t="str">
        <f t="shared" si="8"/>
        <v>EN PROCESO</v>
      </c>
      <c r="M1943" s="101"/>
      <c r="N1943" s="101"/>
    </row>
    <row r="1944" ht="22.5" hidden="1" customHeight="1">
      <c r="A1944" s="49"/>
      <c r="B1944" s="81"/>
      <c r="C1944" s="97"/>
      <c r="D1944" s="49"/>
      <c r="E1944" s="49"/>
      <c r="F1944" s="98"/>
      <c r="G1944" s="98"/>
      <c r="H1944" s="97"/>
      <c r="I1944" s="99">
        <f t="shared" si="9"/>
        <v>0</v>
      </c>
      <c r="J1944" s="49"/>
      <c r="K1944" s="49"/>
      <c r="L1944" s="49" t="str">
        <f t="shared" si="8"/>
        <v>EN PROCESO</v>
      </c>
      <c r="M1944" s="49"/>
      <c r="N1944" s="49"/>
    </row>
    <row r="1945" ht="22.5" hidden="1" customHeight="1">
      <c r="A1945" s="101"/>
      <c r="B1945" s="102"/>
      <c r="C1945" s="103"/>
      <c r="D1945" s="101"/>
      <c r="E1945" s="101"/>
      <c r="F1945" s="104"/>
      <c r="G1945" s="104"/>
      <c r="H1945" s="103"/>
      <c r="I1945" s="99">
        <f t="shared" si="9"/>
        <v>0</v>
      </c>
      <c r="J1945" s="101"/>
      <c r="K1945" s="101"/>
      <c r="L1945" s="101" t="str">
        <f t="shared" si="8"/>
        <v>EN PROCESO</v>
      </c>
      <c r="M1945" s="101"/>
      <c r="N1945" s="101"/>
    </row>
    <row r="1946" ht="22.5" hidden="1" customHeight="1">
      <c r="A1946" s="49"/>
      <c r="B1946" s="81"/>
      <c r="C1946" s="97"/>
      <c r="D1946" s="49"/>
      <c r="E1946" s="49"/>
      <c r="F1946" s="98"/>
      <c r="G1946" s="98"/>
      <c r="H1946" s="97"/>
      <c r="I1946" s="99">
        <f t="shared" si="9"/>
        <v>0</v>
      </c>
      <c r="J1946" s="49"/>
      <c r="K1946" s="49"/>
      <c r="L1946" s="49" t="str">
        <f t="shared" si="8"/>
        <v>EN PROCESO</v>
      </c>
      <c r="M1946" s="49"/>
      <c r="N1946" s="49"/>
    </row>
    <row r="1947" ht="22.5" hidden="1" customHeight="1">
      <c r="A1947" s="101"/>
      <c r="B1947" s="102"/>
      <c r="C1947" s="103"/>
      <c r="D1947" s="101"/>
      <c r="E1947" s="101"/>
      <c r="F1947" s="104"/>
      <c r="G1947" s="104"/>
      <c r="H1947" s="103"/>
      <c r="I1947" s="99">
        <f t="shared" si="9"/>
        <v>0</v>
      </c>
      <c r="J1947" s="101"/>
      <c r="K1947" s="101"/>
      <c r="L1947" s="101" t="str">
        <f t="shared" si="8"/>
        <v>EN PROCESO</v>
      </c>
      <c r="M1947" s="101"/>
      <c r="N1947" s="101"/>
    </row>
    <row r="1948" ht="22.5" hidden="1" customHeight="1">
      <c r="A1948" s="49"/>
      <c r="B1948" s="81"/>
      <c r="C1948" s="97"/>
      <c r="D1948" s="49"/>
      <c r="E1948" s="49"/>
      <c r="F1948" s="98"/>
      <c r="G1948" s="98"/>
      <c r="H1948" s="97"/>
      <c r="I1948" s="99">
        <f t="shared" si="9"/>
        <v>0</v>
      </c>
      <c r="J1948" s="49"/>
      <c r="K1948" s="49"/>
      <c r="L1948" s="49" t="str">
        <f t="shared" si="8"/>
        <v>EN PROCESO</v>
      </c>
      <c r="M1948" s="49"/>
      <c r="N1948" s="49"/>
    </row>
    <row r="1949" ht="22.5" hidden="1" customHeight="1">
      <c r="A1949" s="101"/>
      <c r="B1949" s="102"/>
      <c r="C1949" s="103"/>
      <c r="D1949" s="101"/>
      <c r="E1949" s="101"/>
      <c r="F1949" s="104"/>
      <c r="G1949" s="104"/>
      <c r="H1949" s="103"/>
      <c r="I1949" s="99">
        <f t="shared" si="9"/>
        <v>0</v>
      </c>
      <c r="J1949" s="101"/>
      <c r="K1949" s="101"/>
      <c r="L1949" s="101" t="str">
        <f t="shared" si="8"/>
        <v>EN PROCESO</v>
      </c>
      <c r="M1949" s="101"/>
      <c r="N1949" s="101"/>
    </row>
    <row r="1950" ht="22.5" hidden="1" customHeight="1">
      <c r="A1950" s="49"/>
      <c r="B1950" s="81"/>
      <c r="C1950" s="97"/>
      <c r="D1950" s="49"/>
      <c r="E1950" s="49"/>
      <c r="F1950" s="98"/>
      <c r="G1950" s="98"/>
      <c r="H1950" s="97"/>
      <c r="I1950" s="99">
        <f t="shared" si="9"/>
        <v>0</v>
      </c>
      <c r="J1950" s="49"/>
      <c r="K1950" s="49"/>
      <c r="L1950" s="49" t="str">
        <f t="shared" si="8"/>
        <v>EN PROCESO</v>
      </c>
      <c r="M1950" s="49"/>
      <c r="N1950" s="49"/>
    </row>
    <row r="1951" ht="22.5" hidden="1" customHeight="1">
      <c r="A1951" s="101"/>
      <c r="B1951" s="102"/>
      <c r="C1951" s="103"/>
      <c r="D1951" s="101"/>
      <c r="E1951" s="101"/>
      <c r="F1951" s="104"/>
      <c r="G1951" s="104"/>
      <c r="H1951" s="103"/>
      <c r="I1951" s="99">
        <f t="shared" si="9"/>
        <v>0</v>
      </c>
      <c r="J1951" s="101"/>
      <c r="K1951" s="101"/>
      <c r="L1951" s="101" t="str">
        <f t="shared" si="8"/>
        <v>EN PROCESO</v>
      </c>
      <c r="M1951" s="101"/>
      <c r="N1951" s="101"/>
    </row>
    <row r="1952" ht="22.5" hidden="1" customHeight="1">
      <c r="A1952" s="49"/>
      <c r="B1952" s="81"/>
      <c r="C1952" s="97"/>
      <c r="D1952" s="49"/>
      <c r="E1952" s="49"/>
      <c r="F1952" s="98"/>
      <c r="G1952" s="98"/>
      <c r="H1952" s="97"/>
      <c r="I1952" s="99">
        <f t="shared" si="9"/>
        <v>0</v>
      </c>
      <c r="J1952" s="49"/>
      <c r="K1952" s="49"/>
      <c r="L1952" s="49" t="str">
        <f t="shared" si="8"/>
        <v>EN PROCESO</v>
      </c>
      <c r="M1952" s="49"/>
      <c r="N1952" s="49"/>
    </row>
    <row r="1953" ht="22.5" hidden="1" customHeight="1">
      <c r="A1953" s="101"/>
      <c r="B1953" s="102"/>
      <c r="C1953" s="103"/>
      <c r="D1953" s="101"/>
      <c r="E1953" s="101"/>
      <c r="F1953" s="104"/>
      <c r="G1953" s="104"/>
      <c r="H1953" s="103"/>
      <c r="I1953" s="99">
        <f t="shared" si="9"/>
        <v>0</v>
      </c>
      <c r="J1953" s="101"/>
      <c r="K1953" s="101"/>
      <c r="L1953" s="101" t="str">
        <f t="shared" si="8"/>
        <v>EN PROCESO</v>
      </c>
      <c r="M1953" s="101"/>
      <c r="N1953" s="101"/>
    </row>
    <row r="1954" ht="22.5" hidden="1" customHeight="1">
      <c r="A1954" s="49"/>
      <c r="B1954" s="81"/>
      <c r="C1954" s="97"/>
      <c r="D1954" s="49"/>
      <c r="E1954" s="49"/>
      <c r="F1954" s="98"/>
      <c r="G1954" s="98"/>
      <c r="H1954" s="97"/>
      <c r="I1954" s="99">
        <f t="shared" si="9"/>
        <v>0</v>
      </c>
      <c r="J1954" s="49"/>
      <c r="K1954" s="49"/>
      <c r="L1954" s="49" t="str">
        <f t="shared" si="8"/>
        <v>EN PROCESO</v>
      </c>
      <c r="M1954" s="49"/>
      <c r="N1954" s="49"/>
    </row>
    <row r="1955" ht="22.5" hidden="1" customHeight="1">
      <c r="A1955" s="101"/>
      <c r="B1955" s="102"/>
      <c r="C1955" s="103"/>
      <c r="D1955" s="101"/>
      <c r="E1955" s="101"/>
      <c r="F1955" s="104"/>
      <c r="G1955" s="104"/>
      <c r="H1955" s="103"/>
      <c r="I1955" s="99">
        <f t="shared" si="9"/>
        <v>0</v>
      </c>
      <c r="J1955" s="101"/>
      <c r="K1955" s="101"/>
      <c r="L1955" s="101" t="str">
        <f t="shared" si="8"/>
        <v>EN PROCESO</v>
      </c>
      <c r="M1955" s="101"/>
      <c r="N1955" s="101"/>
    </row>
    <row r="1956" ht="22.5" hidden="1" customHeight="1">
      <c r="A1956" s="49"/>
      <c r="B1956" s="81"/>
      <c r="C1956" s="97"/>
      <c r="D1956" s="49"/>
      <c r="E1956" s="49"/>
      <c r="F1956" s="98"/>
      <c r="G1956" s="98"/>
      <c r="H1956" s="97"/>
      <c r="I1956" s="99">
        <f t="shared" si="9"/>
        <v>0</v>
      </c>
      <c r="J1956" s="49"/>
      <c r="K1956" s="49"/>
      <c r="L1956" s="49" t="str">
        <f t="shared" si="8"/>
        <v>EN PROCESO</v>
      </c>
      <c r="M1956" s="49"/>
      <c r="N1956" s="49"/>
    </row>
    <row r="1957" ht="22.5" hidden="1" customHeight="1">
      <c r="A1957" s="101"/>
      <c r="B1957" s="102"/>
      <c r="C1957" s="103"/>
      <c r="D1957" s="101"/>
      <c r="E1957" s="101"/>
      <c r="F1957" s="104"/>
      <c r="G1957" s="104"/>
      <c r="H1957" s="103"/>
      <c r="I1957" s="99">
        <f t="shared" si="9"/>
        <v>0</v>
      </c>
      <c r="J1957" s="101"/>
      <c r="K1957" s="101"/>
      <c r="L1957" s="101" t="str">
        <f t="shared" si="8"/>
        <v>EN PROCESO</v>
      </c>
      <c r="M1957" s="101"/>
      <c r="N1957" s="101"/>
    </row>
    <row r="1958" ht="22.5" hidden="1" customHeight="1">
      <c r="A1958" s="49"/>
      <c r="B1958" s="81"/>
      <c r="C1958" s="97"/>
      <c r="D1958" s="49"/>
      <c r="E1958" s="49"/>
      <c r="F1958" s="98"/>
      <c r="G1958" s="98"/>
      <c r="H1958" s="97"/>
      <c r="I1958" s="99">
        <f t="shared" si="9"/>
        <v>0</v>
      </c>
      <c r="J1958" s="49"/>
      <c r="K1958" s="49"/>
      <c r="L1958" s="49" t="str">
        <f t="shared" si="8"/>
        <v>EN PROCESO</v>
      </c>
      <c r="M1958" s="49"/>
      <c r="N1958" s="49"/>
    </row>
    <row r="1959" ht="22.5" hidden="1" customHeight="1">
      <c r="A1959" s="101"/>
      <c r="B1959" s="102"/>
      <c r="C1959" s="103"/>
      <c r="D1959" s="101"/>
      <c r="E1959" s="101"/>
      <c r="F1959" s="104"/>
      <c r="G1959" s="104"/>
      <c r="H1959" s="103"/>
      <c r="I1959" s="99">
        <f t="shared" si="9"/>
        <v>0</v>
      </c>
      <c r="J1959" s="101"/>
      <c r="K1959" s="101"/>
      <c r="L1959" s="101" t="str">
        <f t="shared" si="8"/>
        <v>EN PROCESO</v>
      </c>
      <c r="M1959" s="101"/>
      <c r="N1959" s="101"/>
    </row>
    <row r="1960" ht="22.5" hidden="1" customHeight="1">
      <c r="A1960" s="49"/>
      <c r="B1960" s="81"/>
      <c r="C1960" s="97"/>
      <c r="D1960" s="49"/>
      <c r="E1960" s="49"/>
      <c r="F1960" s="98"/>
      <c r="G1960" s="98"/>
      <c r="H1960" s="97"/>
      <c r="I1960" s="99">
        <f t="shared" si="9"/>
        <v>0</v>
      </c>
      <c r="J1960" s="49"/>
      <c r="K1960" s="49"/>
      <c r="L1960" s="49" t="str">
        <f t="shared" si="8"/>
        <v>EN PROCESO</v>
      </c>
      <c r="M1960" s="49"/>
      <c r="N1960" s="49"/>
    </row>
    <row r="1961" ht="22.5" hidden="1" customHeight="1">
      <c r="A1961" s="101"/>
      <c r="B1961" s="102"/>
      <c r="C1961" s="103"/>
      <c r="D1961" s="101"/>
      <c r="E1961" s="101"/>
      <c r="F1961" s="104"/>
      <c r="G1961" s="104"/>
      <c r="H1961" s="103"/>
      <c r="I1961" s="99">
        <f t="shared" si="9"/>
        <v>0</v>
      </c>
      <c r="J1961" s="101"/>
      <c r="K1961" s="101"/>
      <c r="L1961" s="101" t="str">
        <f t="shared" si="8"/>
        <v>EN PROCESO</v>
      </c>
      <c r="M1961" s="101"/>
      <c r="N1961" s="101"/>
    </row>
    <row r="1962" ht="22.5" hidden="1" customHeight="1">
      <c r="A1962" s="49"/>
      <c r="B1962" s="81"/>
      <c r="C1962" s="97"/>
      <c r="D1962" s="49"/>
      <c r="E1962" s="49"/>
      <c r="F1962" s="98"/>
      <c r="G1962" s="98"/>
      <c r="H1962" s="97"/>
      <c r="I1962" s="99">
        <f t="shared" si="9"/>
        <v>0</v>
      </c>
      <c r="J1962" s="49"/>
      <c r="K1962" s="49"/>
      <c r="L1962" s="49" t="str">
        <f t="shared" si="8"/>
        <v>EN PROCESO</v>
      </c>
      <c r="M1962" s="49"/>
      <c r="N1962" s="49"/>
    </row>
    <row r="1963" ht="22.5" hidden="1" customHeight="1">
      <c r="A1963" s="101"/>
      <c r="B1963" s="102"/>
      <c r="C1963" s="103"/>
      <c r="D1963" s="101"/>
      <c r="E1963" s="101"/>
      <c r="F1963" s="104"/>
      <c r="G1963" s="104"/>
      <c r="H1963" s="103"/>
      <c r="I1963" s="99">
        <f t="shared" si="9"/>
        <v>0</v>
      </c>
      <c r="J1963" s="101"/>
      <c r="K1963" s="101"/>
      <c r="L1963" s="101" t="str">
        <f t="shared" si="8"/>
        <v>EN PROCESO</v>
      </c>
      <c r="M1963" s="101"/>
      <c r="N1963" s="101"/>
    </row>
    <row r="1964" ht="22.5" hidden="1" customHeight="1">
      <c r="A1964" s="49"/>
      <c r="B1964" s="81"/>
      <c r="C1964" s="97"/>
      <c r="D1964" s="49"/>
      <c r="E1964" s="49"/>
      <c r="F1964" s="98"/>
      <c r="G1964" s="98"/>
      <c r="H1964" s="97"/>
      <c r="I1964" s="99">
        <f t="shared" si="9"/>
        <v>0</v>
      </c>
      <c r="J1964" s="49"/>
      <c r="K1964" s="49"/>
      <c r="L1964" s="49" t="str">
        <f t="shared" si="8"/>
        <v>EN PROCESO</v>
      </c>
      <c r="M1964" s="49"/>
      <c r="N1964" s="49"/>
    </row>
    <row r="1965" ht="22.5" hidden="1" customHeight="1">
      <c r="A1965" s="101"/>
      <c r="B1965" s="102"/>
      <c r="C1965" s="103"/>
      <c r="D1965" s="101"/>
      <c r="E1965" s="101"/>
      <c r="F1965" s="104"/>
      <c r="G1965" s="104"/>
      <c r="H1965" s="103"/>
      <c r="I1965" s="99">
        <f t="shared" si="9"/>
        <v>0</v>
      </c>
      <c r="J1965" s="101"/>
      <c r="K1965" s="101"/>
      <c r="L1965" s="101" t="str">
        <f t="shared" si="8"/>
        <v>EN PROCESO</v>
      </c>
      <c r="M1965" s="101"/>
      <c r="N1965" s="101"/>
    </row>
    <row r="1966" ht="22.5" hidden="1" customHeight="1">
      <c r="A1966" s="49"/>
      <c r="B1966" s="81"/>
      <c r="C1966" s="97"/>
      <c r="D1966" s="49"/>
      <c r="E1966" s="49"/>
      <c r="F1966" s="98"/>
      <c r="G1966" s="98"/>
      <c r="H1966" s="97"/>
      <c r="I1966" s="99">
        <f t="shared" si="9"/>
        <v>0</v>
      </c>
      <c r="J1966" s="49"/>
      <c r="K1966" s="49"/>
      <c r="L1966" s="49" t="str">
        <f t="shared" si="8"/>
        <v>EN PROCESO</v>
      </c>
      <c r="M1966" s="49"/>
      <c r="N1966" s="49"/>
    </row>
    <row r="1967" ht="22.5" hidden="1" customHeight="1">
      <c r="A1967" s="101"/>
      <c r="B1967" s="102"/>
      <c r="C1967" s="103"/>
      <c r="D1967" s="101"/>
      <c r="E1967" s="101"/>
      <c r="F1967" s="104"/>
      <c r="G1967" s="104"/>
      <c r="H1967" s="103"/>
      <c r="I1967" s="99">
        <f t="shared" si="9"/>
        <v>0</v>
      </c>
      <c r="J1967" s="101"/>
      <c r="K1967" s="101"/>
      <c r="L1967" s="101" t="str">
        <f t="shared" si="8"/>
        <v>EN PROCESO</v>
      </c>
      <c r="M1967" s="101"/>
      <c r="N1967" s="101"/>
    </row>
    <row r="1968" ht="22.5" hidden="1" customHeight="1">
      <c r="A1968" s="49"/>
      <c r="B1968" s="81"/>
      <c r="C1968" s="97"/>
      <c r="D1968" s="49"/>
      <c r="E1968" s="49"/>
      <c r="F1968" s="98"/>
      <c r="G1968" s="98"/>
      <c r="H1968" s="97"/>
      <c r="I1968" s="99">
        <f t="shared" si="9"/>
        <v>0</v>
      </c>
      <c r="J1968" s="49"/>
      <c r="K1968" s="49"/>
      <c r="L1968" s="49" t="str">
        <f t="shared" si="8"/>
        <v>EN PROCESO</v>
      </c>
      <c r="M1968" s="49"/>
      <c r="N1968" s="49"/>
    </row>
    <row r="1969" ht="22.5" hidden="1" customHeight="1">
      <c r="A1969" s="101"/>
      <c r="B1969" s="102"/>
      <c r="C1969" s="103"/>
      <c r="D1969" s="101"/>
      <c r="E1969" s="101"/>
      <c r="F1969" s="104"/>
      <c r="G1969" s="104"/>
      <c r="H1969" s="103"/>
      <c r="I1969" s="99">
        <f t="shared" si="9"/>
        <v>0</v>
      </c>
      <c r="J1969" s="101"/>
      <c r="K1969" s="101"/>
      <c r="L1969" s="101" t="str">
        <f t="shared" si="8"/>
        <v>EN PROCESO</v>
      </c>
      <c r="M1969" s="101"/>
      <c r="N1969" s="101"/>
    </row>
    <row r="1970" ht="22.5" hidden="1" customHeight="1">
      <c r="A1970" s="49"/>
      <c r="B1970" s="81"/>
      <c r="C1970" s="97"/>
      <c r="D1970" s="49"/>
      <c r="E1970" s="49"/>
      <c r="F1970" s="98"/>
      <c r="G1970" s="98"/>
      <c r="H1970" s="97"/>
      <c r="I1970" s="99">
        <f t="shared" si="9"/>
        <v>0</v>
      </c>
      <c r="J1970" s="49"/>
      <c r="K1970" s="49"/>
      <c r="L1970" s="49" t="str">
        <f t="shared" si="8"/>
        <v>EN PROCESO</v>
      </c>
      <c r="M1970" s="49"/>
      <c r="N1970" s="49"/>
    </row>
    <row r="1971" ht="22.5" hidden="1" customHeight="1">
      <c r="A1971" s="101"/>
      <c r="B1971" s="102"/>
      <c r="C1971" s="103"/>
      <c r="D1971" s="101"/>
      <c r="E1971" s="101"/>
      <c r="F1971" s="104"/>
      <c r="G1971" s="104"/>
      <c r="H1971" s="103"/>
      <c r="I1971" s="99">
        <f t="shared" si="9"/>
        <v>0</v>
      </c>
      <c r="J1971" s="101"/>
      <c r="K1971" s="101"/>
      <c r="L1971" s="101" t="str">
        <f t="shared" si="8"/>
        <v>EN PROCESO</v>
      </c>
      <c r="M1971" s="101"/>
      <c r="N1971" s="101"/>
    </row>
    <row r="1972" ht="22.5" hidden="1" customHeight="1">
      <c r="A1972" s="49"/>
      <c r="B1972" s="81"/>
      <c r="C1972" s="97"/>
      <c r="D1972" s="49"/>
      <c r="E1972" s="49"/>
      <c r="F1972" s="98"/>
      <c r="G1972" s="98"/>
      <c r="H1972" s="97"/>
      <c r="I1972" s="99">
        <f t="shared" si="9"/>
        <v>0</v>
      </c>
      <c r="J1972" s="49"/>
      <c r="K1972" s="49"/>
      <c r="L1972" s="49" t="str">
        <f t="shared" si="8"/>
        <v>EN PROCESO</v>
      </c>
      <c r="M1972" s="49"/>
      <c r="N1972" s="49"/>
    </row>
    <row r="1973" ht="22.5" hidden="1" customHeight="1">
      <c r="A1973" s="101"/>
      <c r="B1973" s="102"/>
      <c r="C1973" s="103"/>
      <c r="D1973" s="101"/>
      <c r="E1973" s="101"/>
      <c r="F1973" s="104"/>
      <c r="G1973" s="104"/>
      <c r="H1973" s="103"/>
      <c r="I1973" s="99">
        <f t="shared" si="9"/>
        <v>0</v>
      </c>
      <c r="J1973" s="101"/>
      <c r="K1973" s="101"/>
      <c r="L1973" s="101" t="str">
        <f t="shared" si="8"/>
        <v>EN PROCESO</v>
      </c>
      <c r="M1973" s="101"/>
      <c r="N1973" s="101"/>
    </row>
    <row r="1974" ht="22.5" hidden="1" customHeight="1">
      <c r="A1974" s="49"/>
      <c r="B1974" s="81"/>
      <c r="C1974" s="97"/>
      <c r="D1974" s="49"/>
      <c r="E1974" s="49"/>
      <c r="F1974" s="98"/>
      <c r="G1974" s="98"/>
      <c r="H1974" s="97"/>
      <c r="I1974" s="99">
        <f t="shared" si="9"/>
        <v>0</v>
      </c>
      <c r="J1974" s="49"/>
      <c r="K1974" s="49"/>
      <c r="L1974" s="49" t="str">
        <f t="shared" si="8"/>
        <v>EN PROCESO</v>
      </c>
      <c r="M1974" s="49"/>
      <c r="N1974" s="49"/>
    </row>
    <row r="1975" ht="22.5" hidden="1" customHeight="1">
      <c r="A1975" s="101"/>
      <c r="B1975" s="102"/>
      <c r="C1975" s="103"/>
      <c r="D1975" s="101"/>
      <c r="E1975" s="101"/>
      <c r="F1975" s="104"/>
      <c r="G1975" s="104"/>
      <c r="H1975" s="103"/>
      <c r="I1975" s="99">
        <f t="shared" si="9"/>
        <v>0</v>
      </c>
      <c r="J1975" s="101"/>
      <c r="K1975" s="101"/>
      <c r="L1975" s="101" t="str">
        <f t="shared" si="8"/>
        <v>EN PROCESO</v>
      </c>
      <c r="M1975" s="101"/>
      <c r="N1975" s="101"/>
    </row>
    <row r="1976" ht="22.5" hidden="1" customHeight="1">
      <c r="A1976" s="49"/>
      <c r="B1976" s="81"/>
      <c r="C1976" s="97"/>
      <c r="D1976" s="49"/>
      <c r="E1976" s="49"/>
      <c r="F1976" s="98"/>
      <c r="G1976" s="98"/>
      <c r="H1976" s="97"/>
      <c r="I1976" s="99">
        <f t="shared" si="9"/>
        <v>0</v>
      </c>
      <c r="J1976" s="49"/>
      <c r="K1976" s="49"/>
      <c r="L1976" s="49" t="str">
        <f t="shared" si="8"/>
        <v>EN PROCESO</v>
      </c>
      <c r="M1976" s="49"/>
      <c r="N1976" s="49"/>
    </row>
    <row r="1977" ht="22.5" hidden="1" customHeight="1">
      <c r="A1977" s="101"/>
      <c r="B1977" s="102"/>
      <c r="C1977" s="103"/>
      <c r="D1977" s="101"/>
      <c r="E1977" s="101"/>
      <c r="F1977" s="104"/>
      <c r="G1977" s="104"/>
      <c r="H1977" s="103"/>
      <c r="I1977" s="99">
        <f t="shared" si="9"/>
        <v>0</v>
      </c>
      <c r="J1977" s="101"/>
      <c r="K1977" s="101"/>
      <c r="L1977" s="101" t="str">
        <f t="shared" si="8"/>
        <v>EN PROCESO</v>
      </c>
      <c r="M1977" s="101"/>
      <c r="N1977" s="101"/>
    </row>
    <row r="1978" ht="22.5" customHeight="1">
      <c r="A1978" s="49"/>
      <c r="B1978" s="81"/>
      <c r="C1978" s="97"/>
      <c r="D1978" s="49"/>
      <c r="E1978" s="49"/>
      <c r="F1978" s="98"/>
      <c r="G1978" s="98"/>
      <c r="H1978" s="97"/>
      <c r="I1978" s="99"/>
      <c r="J1978" s="49"/>
      <c r="K1978" s="49"/>
      <c r="L1978" s="49"/>
      <c r="M1978" s="49"/>
      <c r="N1978" s="49"/>
    </row>
    <row r="1979" ht="22.5" customHeight="1">
      <c r="A1979" s="101"/>
      <c r="B1979" s="102"/>
      <c r="C1979" s="103"/>
      <c r="D1979" s="101"/>
      <c r="E1979" s="101"/>
      <c r="F1979" s="104"/>
      <c r="G1979" s="104"/>
      <c r="H1979" s="103"/>
      <c r="I1979" s="99"/>
      <c r="J1979" s="101"/>
      <c r="K1979" s="101"/>
      <c r="L1979" s="101"/>
      <c r="M1979" s="101"/>
      <c r="N1979" s="101"/>
    </row>
    <row r="1980" ht="22.5" customHeight="1">
      <c r="A1980" s="49"/>
      <c r="B1980" s="81"/>
      <c r="C1980" s="97"/>
      <c r="D1980" s="49"/>
      <c r="E1980" s="49"/>
      <c r="F1980" s="98"/>
      <c r="G1980" s="98"/>
      <c r="H1980" s="97"/>
      <c r="I1980" s="99"/>
      <c r="J1980" s="49"/>
      <c r="K1980" s="49"/>
      <c r="L1980" s="49"/>
      <c r="M1980" s="49"/>
      <c r="N1980" s="49"/>
    </row>
    <row r="1981" ht="22.5" customHeight="1">
      <c r="A1981" s="101"/>
      <c r="B1981" s="102"/>
      <c r="C1981" s="103"/>
      <c r="D1981" s="101"/>
      <c r="E1981" s="101"/>
      <c r="F1981" s="104"/>
      <c r="G1981" s="104"/>
      <c r="H1981" s="103"/>
      <c r="I1981" s="99"/>
      <c r="J1981" s="101"/>
      <c r="K1981" s="101"/>
      <c r="L1981" s="101"/>
      <c r="M1981" s="101"/>
      <c r="N1981" s="101"/>
    </row>
    <row r="1982" ht="22.5" customHeight="1">
      <c r="A1982" s="49"/>
      <c r="B1982" s="81"/>
      <c r="C1982" s="97"/>
      <c r="D1982" s="49"/>
      <c r="E1982" s="49"/>
      <c r="F1982" s="98"/>
      <c r="G1982" s="98"/>
      <c r="H1982" s="97"/>
      <c r="I1982" s="99"/>
      <c r="J1982" s="49"/>
      <c r="K1982" s="49"/>
      <c r="L1982" s="49"/>
      <c r="M1982" s="49"/>
      <c r="N1982" s="49"/>
    </row>
    <row r="1983" ht="22.5" customHeight="1">
      <c r="A1983" s="101"/>
      <c r="B1983" s="102"/>
      <c r="C1983" s="103"/>
      <c r="D1983" s="101"/>
      <c r="E1983" s="101"/>
      <c r="F1983" s="104"/>
      <c r="G1983" s="104"/>
      <c r="H1983" s="103"/>
      <c r="I1983" s="99"/>
      <c r="J1983" s="101"/>
      <c r="K1983" s="101"/>
      <c r="L1983" s="101"/>
      <c r="M1983" s="101"/>
      <c r="N1983" s="101"/>
    </row>
    <row r="1984" ht="22.5" customHeight="1">
      <c r="A1984" s="49"/>
      <c r="B1984" s="81"/>
      <c r="C1984" s="97"/>
      <c r="D1984" s="49"/>
      <c r="E1984" s="49"/>
      <c r="F1984" s="98"/>
      <c r="G1984" s="98"/>
      <c r="H1984" s="97"/>
      <c r="I1984" s="99"/>
      <c r="J1984" s="49"/>
      <c r="K1984" s="49"/>
      <c r="L1984" s="49"/>
      <c r="M1984" s="49"/>
      <c r="N1984" s="49"/>
    </row>
    <row r="1985" ht="22.5" customHeight="1">
      <c r="A1985" s="101"/>
      <c r="B1985" s="102"/>
      <c r="C1985" s="103"/>
      <c r="D1985" s="101"/>
      <c r="E1985" s="101"/>
      <c r="F1985" s="104"/>
      <c r="G1985" s="104"/>
      <c r="H1985" s="103"/>
      <c r="I1985" s="99"/>
      <c r="J1985" s="101"/>
      <c r="K1985" s="101"/>
      <c r="L1985" s="101"/>
      <c r="M1985" s="101"/>
      <c r="N1985" s="101"/>
    </row>
    <row r="1986" ht="22.5" customHeight="1">
      <c r="A1986" s="49"/>
      <c r="B1986" s="81"/>
      <c r="C1986" s="97"/>
      <c r="D1986" s="49"/>
      <c r="E1986" s="49"/>
      <c r="F1986" s="98"/>
      <c r="G1986" s="98"/>
      <c r="H1986" s="97"/>
      <c r="I1986" s="99"/>
      <c r="J1986" s="49"/>
      <c r="K1986" s="49"/>
      <c r="L1986" s="49"/>
      <c r="M1986" s="49"/>
      <c r="N1986" s="49"/>
    </row>
    <row r="1987" ht="22.5" customHeight="1">
      <c r="A1987" s="101"/>
      <c r="B1987" s="102"/>
      <c r="C1987" s="103"/>
      <c r="D1987" s="101"/>
      <c r="E1987" s="101"/>
      <c r="F1987" s="104"/>
      <c r="G1987" s="104"/>
      <c r="H1987" s="103"/>
      <c r="I1987" s="99"/>
      <c r="J1987" s="101"/>
      <c r="K1987" s="101"/>
      <c r="L1987" s="101"/>
      <c r="M1987" s="101"/>
      <c r="N1987" s="101"/>
    </row>
    <row r="1988" ht="22.5" customHeight="1">
      <c r="A1988" s="49"/>
      <c r="B1988" s="81"/>
      <c r="C1988" s="97"/>
      <c r="D1988" s="49"/>
      <c r="E1988" s="49"/>
      <c r="F1988" s="98"/>
      <c r="G1988" s="98"/>
      <c r="H1988" s="97"/>
      <c r="I1988" s="99"/>
      <c r="J1988" s="49"/>
      <c r="K1988" s="49"/>
      <c r="L1988" s="49"/>
      <c r="M1988" s="49"/>
      <c r="N1988" s="49"/>
    </row>
    <row r="1989" ht="22.5" customHeight="1">
      <c r="A1989" s="101"/>
      <c r="B1989" s="102"/>
      <c r="C1989" s="103"/>
      <c r="D1989" s="101"/>
      <c r="E1989" s="101"/>
      <c r="F1989" s="104"/>
      <c r="G1989" s="104"/>
      <c r="H1989" s="103"/>
      <c r="I1989" s="99"/>
      <c r="J1989" s="101"/>
      <c r="L1989" s="101"/>
      <c r="M1989" s="101"/>
      <c r="N1989" s="101"/>
    </row>
    <row r="1990" ht="22.5" customHeight="1">
      <c r="A1990" s="49"/>
      <c r="B1990" s="81"/>
      <c r="C1990" s="97"/>
      <c r="D1990" s="49"/>
      <c r="E1990" s="49"/>
      <c r="F1990" s="98"/>
      <c r="G1990" s="98"/>
      <c r="H1990" s="97"/>
      <c r="I1990" s="99"/>
      <c r="J1990" s="49"/>
      <c r="K1990" s="49"/>
      <c r="L1990" s="49"/>
      <c r="M1990" s="49"/>
      <c r="N1990" s="49"/>
    </row>
    <row r="1991" ht="22.5" customHeight="1">
      <c r="A1991" s="101"/>
      <c r="B1991" s="102"/>
      <c r="C1991" s="103"/>
      <c r="D1991" s="101"/>
      <c r="E1991" s="101"/>
      <c r="F1991" s="104"/>
      <c r="G1991" s="104"/>
      <c r="H1991" s="103"/>
      <c r="I1991" s="99"/>
      <c r="J1991" s="101"/>
      <c r="K1991" s="101"/>
      <c r="L1991" s="101"/>
      <c r="M1991" s="101"/>
      <c r="N1991" s="101"/>
    </row>
    <row r="1992" ht="22.5" customHeight="1">
      <c r="A1992" s="49"/>
      <c r="B1992" s="81"/>
      <c r="C1992" s="97"/>
      <c r="D1992" s="49"/>
      <c r="E1992" s="49"/>
      <c r="F1992" s="98"/>
      <c r="G1992" s="98"/>
      <c r="H1992" s="97"/>
      <c r="I1992" s="99"/>
      <c r="J1992" s="49"/>
      <c r="K1992" s="49"/>
      <c r="L1992" s="49"/>
      <c r="M1992" s="49"/>
      <c r="N1992" s="49"/>
    </row>
    <row r="1993" ht="22.5" customHeight="1">
      <c r="A1993" s="101"/>
      <c r="B1993" s="102"/>
      <c r="C1993" s="103"/>
      <c r="D1993" s="101"/>
      <c r="E1993" s="101"/>
      <c r="F1993" s="104"/>
      <c r="G1993" s="104"/>
      <c r="H1993" s="103"/>
      <c r="I1993" s="99"/>
      <c r="J1993" s="101"/>
      <c r="K1993" s="101"/>
      <c r="L1993" s="101"/>
      <c r="M1993" s="101"/>
      <c r="N1993" s="101"/>
    </row>
    <row r="1994" ht="22.5" customHeight="1">
      <c r="A1994" s="49"/>
      <c r="B1994" s="81"/>
      <c r="C1994" s="97"/>
      <c r="D1994" s="49"/>
      <c r="E1994" s="49"/>
      <c r="F1994" s="98"/>
      <c r="G1994" s="98"/>
      <c r="H1994" s="97"/>
      <c r="I1994" s="99"/>
      <c r="J1994" s="49"/>
      <c r="K1994" s="49"/>
      <c r="L1994" s="49"/>
      <c r="M1994" s="49"/>
      <c r="N1994" s="49"/>
    </row>
    <row r="1995" ht="22.5" customHeight="1">
      <c r="A1995" s="101"/>
      <c r="B1995" s="102"/>
      <c r="C1995" s="103"/>
      <c r="D1995" s="101"/>
      <c r="E1995" s="101"/>
      <c r="F1995" s="104"/>
      <c r="G1995" s="104"/>
      <c r="H1995" s="103"/>
      <c r="I1995" s="99"/>
      <c r="J1995" s="101"/>
      <c r="K1995" s="101"/>
      <c r="L1995" s="101"/>
      <c r="M1995" s="101"/>
      <c r="N1995" s="101"/>
    </row>
    <row r="1996" ht="22.5" customHeight="1">
      <c r="A1996" s="49"/>
      <c r="B1996" s="81"/>
      <c r="C1996" s="97"/>
      <c r="D1996" s="49"/>
      <c r="E1996" s="49"/>
      <c r="F1996" s="98"/>
      <c r="G1996" s="98"/>
      <c r="H1996" s="97"/>
      <c r="I1996" s="99"/>
      <c r="J1996" s="49"/>
      <c r="K1996" s="49"/>
      <c r="L1996" s="49"/>
      <c r="M1996" s="49"/>
      <c r="N1996" s="49"/>
    </row>
    <row r="1997" ht="22.5" customHeight="1">
      <c r="A1997" s="101"/>
      <c r="B1997" s="102"/>
      <c r="C1997" s="103"/>
      <c r="D1997" s="101"/>
      <c r="E1997" s="101"/>
      <c r="F1997" s="104"/>
      <c r="G1997" s="104"/>
      <c r="H1997" s="103"/>
      <c r="I1997" s="99"/>
      <c r="J1997" s="101"/>
      <c r="K1997" s="101"/>
      <c r="L1997" s="101"/>
      <c r="M1997" s="101"/>
      <c r="N1997" s="101"/>
    </row>
    <row r="1998" ht="22.5" customHeight="1">
      <c r="A1998" s="49"/>
      <c r="B1998" s="81"/>
      <c r="C1998" s="97"/>
      <c r="D1998" s="49"/>
      <c r="E1998" s="49"/>
      <c r="F1998" s="98"/>
      <c r="G1998" s="98"/>
      <c r="H1998" s="97"/>
      <c r="I1998" s="99"/>
      <c r="J1998" s="49"/>
      <c r="K1998" s="49"/>
      <c r="L1998" s="49"/>
      <c r="M1998" s="49"/>
      <c r="N1998" s="49"/>
    </row>
    <row r="1999" ht="22.5" customHeight="1">
      <c r="A1999" s="101"/>
      <c r="B1999" s="102"/>
      <c r="C1999" s="103"/>
      <c r="D1999" s="101"/>
      <c r="E1999" s="101"/>
      <c r="F1999" s="104"/>
      <c r="G1999" s="104"/>
      <c r="H1999" s="103"/>
      <c r="I1999" s="99"/>
      <c r="J1999" s="101"/>
      <c r="K1999" s="101"/>
      <c r="L1999" s="101"/>
      <c r="M1999" s="101"/>
      <c r="N1999" s="101"/>
    </row>
    <row r="2000" ht="22.5" customHeight="1">
      <c r="A2000" s="49"/>
      <c r="B2000" s="81"/>
      <c r="C2000" s="97"/>
      <c r="D2000" s="49"/>
      <c r="E2000" s="49"/>
      <c r="F2000" s="98"/>
      <c r="G2000" s="98"/>
      <c r="H2000" s="97"/>
      <c r="I2000" s="99"/>
      <c r="J2000" s="49"/>
      <c r="K2000" s="49"/>
      <c r="L2000" s="49"/>
      <c r="M2000" s="49"/>
      <c r="N2000" s="49"/>
    </row>
    <row r="2001" ht="22.5" customHeight="1">
      <c r="A2001" s="101"/>
      <c r="B2001" s="102"/>
      <c r="C2001" s="103"/>
      <c r="D2001" s="101"/>
      <c r="E2001" s="101"/>
      <c r="F2001" s="104"/>
      <c r="G2001" s="104"/>
      <c r="H2001" s="103"/>
      <c r="I2001" s="99"/>
      <c r="J2001" s="101"/>
      <c r="K2001" s="101"/>
      <c r="L2001" s="101"/>
      <c r="M2001" s="101"/>
      <c r="N2001" s="101"/>
    </row>
    <row r="2002" ht="22.5" customHeight="1">
      <c r="A2002" s="49"/>
      <c r="B2002" s="81"/>
      <c r="C2002" s="97"/>
      <c r="D2002" s="49"/>
      <c r="E2002" s="49"/>
      <c r="F2002" s="98"/>
      <c r="G2002" s="98"/>
      <c r="H2002" s="97"/>
      <c r="I2002" s="99"/>
      <c r="J2002" s="49"/>
      <c r="K2002" s="49"/>
      <c r="L2002" s="49"/>
      <c r="M2002" s="49"/>
      <c r="N2002" s="49"/>
    </row>
    <row r="2003" ht="22.5" customHeight="1">
      <c r="A2003" s="101"/>
      <c r="B2003" s="102"/>
      <c r="C2003" s="103"/>
      <c r="D2003" s="101"/>
      <c r="E2003" s="101"/>
      <c r="F2003" s="104"/>
      <c r="G2003" s="104"/>
      <c r="H2003" s="103"/>
      <c r="I2003" s="99"/>
      <c r="J2003" s="101"/>
      <c r="K2003" s="101"/>
      <c r="L2003" s="101"/>
      <c r="M2003" s="101"/>
      <c r="N2003" s="101"/>
    </row>
    <row r="2004" ht="22.5" customHeight="1">
      <c r="A2004" s="49"/>
      <c r="B2004" s="81"/>
      <c r="C2004" s="97"/>
      <c r="D2004" s="49"/>
      <c r="E2004" s="49"/>
      <c r="F2004" s="98"/>
      <c r="G2004" s="98"/>
      <c r="H2004" s="97"/>
      <c r="I2004" s="99"/>
      <c r="J2004" s="49"/>
      <c r="K2004" s="49"/>
      <c r="L2004" s="49"/>
      <c r="M2004" s="49"/>
      <c r="N2004" s="49"/>
    </row>
    <row r="2005" ht="22.5" customHeight="1">
      <c r="A2005" s="101"/>
      <c r="B2005" s="102"/>
      <c r="C2005" s="103"/>
      <c r="D2005" s="101"/>
      <c r="E2005" s="101"/>
      <c r="F2005" s="104"/>
      <c r="G2005" s="104"/>
      <c r="H2005" s="103"/>
      <c r="I2005" s="99"/>
      <c r="J2005" s="101"/>
      <c r="K2005" s="101"/>
      <c r="L2005" s="101"/>
      <c r="M2005" s="101"/>
      <c r="N2005" s="101"/>
    </row>
    <row r="2006" ht="22.5" customHeight="1">
      <c r="A2006" s="49"/>
      <c r="B2006" s="81"/>
      <c r="C2006" s="97"/>
      <c r="D2006" s="49"/>
      <c r="E2006" s="49"/>
      <c r="F2006" s="98"/>
      <c r="G2006" s="98"/>
      <c r="H2006" s="97"/>
      <c r="I2006" s="99"/>
      <c r="J2006" s="49"/>
      <c r="K2006" s="49"/>
      <c r="L2006" s="49"/>
      <c r="M2006" s="49"/>
      <c r="N2006" s="49"/>
    </row>
    <row r="2007" ht="22.5" customHeight="1">
      <c r="A2007" s="101"/>
      <c r="B2007" s="102"/>
      <c r="C2007" s="103"/>
      <c r="D2007" s="101"/>
      <c r="E2007" s="101"/>
      <c r="F2007" s="104"/>
      <c r="G2007" s="104"/>
      <c r="H2007" s="103"/>
      <c r="I2007" s="99"/>
      <c r="J2007" s="101"/>
      <c r="K2007" s="101"/>
      <c r="L2007" s="101"/>
      <c r="M2007" s="101"/>
      <c r="N2007" s="101"/>
    </row>
    <row r="2008" ht="22.5" customHeight="1">
      <c r="A2008" s="49"/>
      <c r="B2008" s="81"/>
      <c r="C2008" s="97"/>
      <c r="D2008" s="49"/>
      <c r="E2008" s="49"/>
      <c r="F2008" s="98"/>
      <c r="G2008" s="98"/>
      <c r="H2008" s="97"/>
      <c r="I2008" s="99"/>
      <c r="J2008" s="49"/>
      <c r="K2008" s="49"/>
      <c r="L2008" s="49"/>
      <c r="M2008" s="49"/>
      <c r="N2008" s="49"/>
    </row>
    <row r="2009" ht="22.5" customHeight="1">
      <c r="A2009" s="101"/>
      <c r="B2009" s="102"/>
      <c r="C2009" s="103"/>
      <c r="D2009" s="101"/>
      <c r="E2009" s="101"/>
      <c r="F2009" s="104"/>
      <c r="G2009" s="104"/>
      <c r="H2009" s="103"/>
      <c r="I2009" s="99"/>
      <c r="J2009" s="101"/>
      <c r="K2009" s="101"/>
      <c r="L2009" s="101"/>
      <c r="M2009" s="101"/>
      <c r="N2009" s="101"/>
    </row>
    <row r="2010" ht="22.5" customHeight="1">
      <c r="A2010" s="49"/>
      <c r="B2010" s="81"/>
      <c r="C2010" s="97"/>
      <c r="D2010" s="49"/>
      <c r="E2010" s="49"/>
      <c r="F2010" s="98"/>
      <c r="G2010" s="98"/>
      <c r="H2010" s="97"/>
      <c r="I2010" s="99"/>
      <c r="J2010" s="49"/>
      <c r="K2010" s="49"/>
      <c r="L2010" s="49"/>
      <c r="M2010" s="49"/>
      <c r="N2010" s="49"/>
    </row>
    <row r="2011" ht="22.5" customHeight="1">
      <c r="A2011" s="101"/>
      <c r="B2011" s="102"/>
      <c r="C2011" s="103"/>
      <c r="D2011" s="101"/>
      <c r="E2011" s="101"/>
      <c r="F2011" s="104"/>
      <c r="G2011" s="104"/>
      <c r="H2011" s="103"/>
      <c r="I2011" s="99"/>
      <c r="J2011" s="101"/>
      <c r="K2011" s="101"/>
      <c r="L2011" s="101"/>
      <c r="M2011" s="101"/>
      <c r="N2011" s="101"/>
    </row>
    <row r="2012" ht="22.5" customHeight="1">
      <c r="A2012" s="49"/>
      <c r="B2012" s="81"/>
      <c r="C2012" s="97"/>
      <c r="D2012" s="49"/>
      <c r="E2012" s="49"/>
      <c r="F2012" s="98"/>
      <c r="G2012" s="98"/>
      <c r="H2012" s="97"/>
      <c r="I2012" s="99"/>
      <c r="J2012" s="49"/>
      <c r="K2012" s="49"/>
      <c r="L2012" s="49"/>
      <c r="M2012" s="49"/>
      <c r="N2012" s="49"/>
    </row>
    <row r="2013" ht="22.5" customHeight="1">
      <c r="A2013" s="101"/>
      <c r="B2013" s="102"/>
      <c r="C2013" s="103"/>
      <c r="D2013" s="101"/>
      <c r="E2013" s="101"/>
      <c r="F2013" s="104"/>
      <c r="G2013" s="104"/>
      <c r="H2013" s="103"/>
      <c r="I2013" s="99"/>
      <c r="J2013" s="101"/>
      <c r="K2013" s="101"/>
      <c r="L2013" s="101"/>
      <c r="M2013" s="101"/>
      <c r="N2013" s="101"/>
    </row>
    <row r="2014" ht="22.5" customHeight="1">
      <c r="A2014" s="49"/>
      <c r="B2014" s="81"/>
      <c r="C2014" s="97"/>
      <c r="D2014" s="49"/>
      <c r="E2014" s="49"/>
      <c r="F2014" s="98"/>
      <c r="G2014" s="98"/>
      <c r="H2014" s="97"/>
      <c r="I2014" s="99"/>
      <c r="J2014" s="49"/>
      <c r="K2014" s="49"/>
      <c r="L2014" s="49"/>
      <c r="M2014" s="49"/>
      <c r="N2014" s="49"/>
    </row>
    <row r="2015" ht="22.5" customHeight="1">
      <c r="A2015" s="101"/>
      <c r="B2015" s="102"/>
      <c r="C2015" s="103"/>
      <c r="D2015" s="101"/>
      <c r="E2015" s="101"/>
      <c r="F2015" s="104"/>
      <c r="G2015" s="104"/>
      <c r="H2015" s="103"/>
      <c r="I2015" s="99"/>
      <c r="J2015" s="101"/>
      <c r="K2015" s="101"/>
      <c r="L2015" s="101"/>
      <c r="M2015" s="101"/>
      <c r="N2015" s="101"/>
    </row>
    <row r="2016" ht="22.5" customHeight="1">
      <c r="A2016" s="49"/>
      <c r="B2016" s="81"/>
      <c r="C2016" s="97"/>
      <c r="D2016" s="49"/>
      <c r="E2016" s="49"/>
      <c r="F2016" s="98"/>
      <c r="G2016" s="98"/>
      <c r="H2016" s="97"/>
      <c r="I2016" s="99"/>
      <c r="J2016" s="49"/>
      <c r="K2016" s="49"/>
      <c r="L2016" s="49"/>
      <c r="M2016" s="49"/>
      <c r="N2016" s="49"/>
    </row>
    <row r="2017" ht="22.5" customHeight="1">
      <c r="A2017" s="101"/>
      <c r="B2017" s="102"/>
      <c r="C2017" s="103"/>
      <c r="D2017" s="101"/>
      <c r="E2017" s="101"/>
      <c r="F2017" s="104"/>
      <c r="G2017" s="104"/>
      <c r="H2017" s="103"/>
      <c r="I2017" s="99"/>
      <c r="J2017" s="101"/>
      <c r="K2017" s="101"/>
      <c r="L2017" s="101"/>
      <c r="M2017" s="101"/>
      <c r="N2017" s="101"/>
    </row>
    <row r="2018" ht="22.5" customHeight="1">
      <c r="A2018" s="49"/>
      <c r="B2018" s="81"/>
      <c r="C2018" s="97"/>
      <c r="D2018" s="49"/>
      <c r="E2018" s="49"/>
      <c r="F2018" s="98"/>
      <c r="G2018" s="98"/>
      <c r="H2018" s="97"/>
      <c r="I2018" s="99"/>
      <c r="J2018" s="49"/>
      <c r="K2018" s="49"/>
      <c r="L2018" s="49"/>
      <c r="M2018" s="49"/>
      <c r="N2018" s="49"/>
    </row>
    <row r="2019" ht="22.5" customHeight="1">
      <c r="A2019" s="101"/>
      <c r="B2019" s="102"/>
      <c r="C2019" s="103"/>
      <c r="D2019" s="101"/>
      <c r="E2019" s="101"/>
      <c r="F2019" s="104"/>
      <c r="G2019" s="104"/>
      <c r="H2019" s="103"/>
      <c r="I2019" s="99"/>
      <c r="J2019" s="101"/>
      <c r="K2019" s="101"/>
      <c r="L2019" s="101"/>
      <c r="M2019" s="101"/>
      <c r="N2019" s="101"/>
    </row>
    <row r="2020" ht="22.5" customHeight="1">
      <c r="A2020" s="49"/>
      <c r="B2020" s="81"/>
      <c r="C2020" s="97"/>
      <c r="D2020" s="49"/>
      <c r="E2020" s="49"/>
      <c r="F2020" s="98"/>
      <c r="G2020" s="98"/>
      <c r="H2020" s="97"/>
      <c r="I2020" s="99"/>
      <c r="J2020" s="49"/>
      <c r="K2020" s="49"/>
      <c r="L2020" s="49"/>
      <c r="M2020" s="49"/>
      <c r="N2020" s="49"/>
    </row>
    <row r="2021" ht="22.5" customHeight="1">
      <c r="A2021" s="101"/>
      <c r="B2021" s="102"/>
      <c r="C2021" s="103"/>
      <c r="D2021" s="101"/>
      <c r="E2021" s="101"/>
      <c r="F2021" s="104"/>
      <c r="G2021" s="104"/>
      <c r="H2021" s="103"/>
      <c r="I2021" s="99"/>
      <c r="J2021" s="101"/>
      <c r="K2021" s="101"/>
      <c r="L2021" s="101"/>
      <c r="M2021" s="101"/>
      <c r="N2021" s="101"/>
    </row>
    <row r="2022" ht="22.5" customHeight="1">
      <c r="A2022" s="49"/>
      <c r="B2022" s="81"/>
      <c r="C2022" s="97"/>
      <c r="D2022" s="49"/>
      <c r="E2022" s="49"/>
      <c r="F2022" s="98"/>
      <c r="G2022" s="98"/>
      <c r="H2022" s="97"/>
      <c r="I2022" s="99"/>
      <c r="J2022" s="49"/>
      <c r="K2022" s="49"/>
      <c r="L2022" s="49"/>
      <c r="M2022" s="49"/>
      <c r="N2022" s="49"/>
    </row>
    <row r="2023" ht="22.5" customHeight="1">
      <c r="A2023" s="101"/>
      <c r="B2023" s="102"/>
      <c r="C2023" s="103"/>
      <c r="D2023" s="101"/>
      <c r="E2023" s="101"/>
      <c r="F2023" s="104"/>
      <c r="G2023" s="104"/>
      <c r="H2023" s="103"/>
      <c r="I2023" s="99"/>
      <c r="J2023" s="101"/>
      <c r="K2023" s="101"/>
      <c r="L2023" s="101"/>
      <c r="M2023" s="101"/>
      <c r="N2023" s="101"/>
    </row>
    <row r="2024" ht="22.5" customHeight="1">
      <c r="A2024" s="49"/>
      <c r="B2024" s="81"/>
      <c r="C2024" s="97"/>
      <c r="D2024" s="49"/>
      <c r="E2024" s="49"/>
      <c r="F2024" s="98"/>
      <c r="G2024" s="98"/>
      <c r="H2024" s="97"/>
      <c r="I2024" s="99"/>
      <c r="J2024" s="49"/>
      <c r="K2024" s="49"/>
      <c r="L2024" s="49"/>
      <c r="M2024" s="49"/>
      <c r="N2024" s="49"/>
    </row>
    <row r="2025" ht="22.5" customHeight="1">
      <c r="A2025" s="101"/>
      <c r="B2025" s="102"/>
      <c r="C2025" s="103"/>
      <c r="D2025" s="101"/>
      <c r="E2025" s="101"/>
      <c r="F2025" s="104"/>
      <c r="G2025" s="104"/>
      <c r="H2025" s="103"/>
      <c r="I2025" s="99"/>
      <c r="J2025" s="101"/>
      <c r="K2025" s="101"/>
      <c r="L2025" s="101"/>
      <c r="M2025" s="101"/>
      <c r="N2025" s="101"/>
    </row>
    <row r="2026" ht="22.5" customHeight="1">
      <c r="A2026" s="49"/>
      <c r="B2026" s="81"/>
      <c r="C2026" s="97"/>
      <c r="D2026" s="49"/>
      <c r="E2026" s="49"/>
      <c r="F2026" s="98"/>
      <c r="G2026" s="98"/>
      <c r="H2026" s="97"/>
      <c r="I2026" s="99"/>
      <c r="J2026" s="49"/>
      <c r="K2026" s="49"/>
      <c r="L2026" s="49"/>
      <c r="M2026" s="49"/>
      <c r="N2026" s="49"/>
    </row>
    <row r="2027" ht="22.5" customHeight="1">
      <c r="A2027" s="101"/>
      <c r="B2027" s="102"/>
      <c r="C2027" s="103"/>
      <c r="D2027" s="101"/>
      <c r="E2027" s="101"/>
      <c r="F2027" s="104"/>
      <c r="G2027" s="104"/>
      <c r="H2027" s="103"/>
      <c r="I2027" s="99"/>
      <c r="J2027" s="101"/>
      <c r="K2027" s="101"/>
      <c r="L2027" s="101"/>
      <c r="M2027" s="101"/>
      <c r="N2027" s="101"/>
    </row>
    <row r="2028" ht="22.5" customHeight="1">
      <c r="A2028" s="49"/>
      <c r="B2028" s="81"/>
      <c r="C2028" s="97"/>
      <c r="D2028" s="49"/>
      <c r="E2028" s="49"/>
      <c r="F2028" s="98"/>
      <c r="G2028" s="98"/>
      <c r="H2028" s="97"/>
      <c r="I2028" s="99"/>
      <c r="J2028" s="49"/>
      <c r="K2028" s="49"/>
      <c r="L2028" s="49"/>
      <c r="M2028" s="49"/>
      <c r="N2028" s="49"/>
    </row>
    <row r="2029" ht="22.5" customHeight="1">
      <c r="A2029" s="101"/>
      <c r="B2029" s="102"/>
      <c r="C2029" s="103"/>
      <c r="D2029" s="101"/>
      <c r="E2029" s="101"/>
      <c r="F2029" s="104"/>
      <c r="G2029" s="104"/>
      <c r="H2029" s="103"/>
      <c r="I2029" s="99"/>
      <c r="J2029" s="101"/>
      <c r="K2029" s="101"/>
      <c r="L2029" s="101"/>
      <c r="M2029" s="101"/>
      <c r="N2029" s="101"/>
    </row>
    <row r="2030" ht="22.5" customHeight="1">
      <c r="A2030" s="49"/>
      <c r="B2030" s="81"/>
      <c r="C2030" s="97"/>
      <c r="D2030" s="49"/>
      <c r="E2030" s="49"/>
      <c r="F2030" s="98"/>
      <c r="G2030" s="98"/>
      <c r="H2030" s="97"/>
      <c r="I2030" s="99"/>
      <c r="J2030" s="49"/>
      <c r="K2030" s="49"/>
      <c r="L2030" s="49"/>
      <c r="M2030" s="49"/>
      <c r="N2030" s="49"/>
    </row>
    <row r="2031" ht="22.5" customHeight="1">
      <c r="A2031" s="101"/>
      <c r="B2031" s="102"/>
      <c r="C2031" s="103"/>
      <c r="D2031" s="101"/>
      <c r="E2031" s="101"/>
      <c r="F2031" s="104"/>
      <c r="G2031" s="104"/>
      <c r="H2031" s="103"/>
      <c r="I2031" s="99"/>
      <c r="J2031" s="101"/>
      <c r="K2031" s="101"/>
      <c r="L2031" s="101"/>
      <c r="M2031" s="101"/>
      <c r="N2031" s="101"/>
    </row>
    <row r="2032" ht="22.5" customHeight="1">
      <c r="A2032" s="49"/>
      <c r="B2032" s="81"/>
      <c r="C2032" s="97"/>
      <c r="D2032" s="49"/>
      <c r="E2032" s="49"/>
      <c r="F2032" s="98"/>
      <c r="G2032" s="98"/>
      <c r="H2032" s="97"/>
      <c r="I2032" s="99"/>
      <c r="J2032" s="49"/>
      <c r="K2032" s="49"/>
      <c r="L2032" s="49"/>
      <c r="M2032" s="49"/>
      <c r="N2032" s="49"/>
    </row>
    <row r="2033" ht="22.5" customHeight="1">
      <c r="A2033" s="101"/>
      <c r="B2033" s="102"/>
      <c r="C2033" s="103"/>
      <c r="D2033" s="101"/>
      <c r="E2033" s="101"/>
      <c r="F2033" s="104"/>
      <c r="G2033" s="104"/>
      <c r="H2033" s="103"/>
      <c r="I2033" s="99"/>
      <c r="J2033" s="101"/>
      <c r="K2033" s="101"/>
      <c r="L2033" s="101"/>
      <c r="M2033" s="101"/>
      <c r="N2033" s="101"/>
    </row>
    <row r="2034" ht="22.5" customHeight="1">
      <c r="A2034" s="49"/>
      <c r="B2034" s="81"/>
      <c r="C2034" s="97"/>
      <c r="D2034" s="49"/>
      <c r="E2034" s="49"/>
      <c r="F2034" s="98"/>
      <c r="G2034" s="98"/>
      <c r="H2034" s="97"/>
      <c r="I2034" s="99"/>
      <c r="J2034" s="49"/>
      <c r="K2034" s="49"/>
      <c r="L2034" s="49"/>
      <c r="M2034" s="49"/>
      <c r="N2034" s="49"/>
    </row>
    <row r="2035" ht="22.5" customHeight="1">
      <c r="A2035" s="101"/>
      <c r="B2035" s="102"/>
      <c r="C2035" s="103"/>
      <c r="D2035" s="101"/>
      <c r="E2035" s="101"/>
      <c r="F2035" s="104"/>
      <c r="G2035" s="104"/>
      <c r="H2035" s="103"/>
      <c r="I2035" s="99"/>
      <c r="J2035" s="101"/>
      <c r="K2035" s="101"/>
      <c r="L2035" s="101"/>
      <c r="M2035" s="101"/>
      <c r="N2035" s="101"/>
    </row>
    <row r="2036" ht="22.5" customHeight="1">
      <c r="A2036" s="49"/>
      <c r="B2036" s="81"/>
      <c r="C2036" s="97"/>
      <c r="D2036" s="49"/>
      <c r="E2036" s="49"/>
      <c r="F2036" s="98"/>
      <c r="G2036" s="98"/>
      <c r="H2036" s="97"/>
      <c r="I2036" s="99"/>
      <c r="J2036" s="49"/>
      <c r="K2036" s="49"/>
      <c r="L2036" s="49"/>
      <c r="M2036" s="49"/>
      <c r="N2036" s="49"/>
    </row>
    <row r="2037" ht="22.5" customHeight="1">
      <c r="A2037" s="101"/>
      <c r="B2037" s="102"/>
      <c r="C2037" s="103"/>
      <c r="D2037" s="101"/>
      <c r="E2037" s="101"/>
      <c r="F2037" s="104"/>
      <c r="G2037" s="104"/>
      <c r="H2037" s="103"/>
      <c r="I2037" s="99"/>
      <c r="J2037" s="101"/>
      <c r="K2037" s="101"/>
      <c r="L2037" s="101"/>
      <c r="M2037" s="101"/>
      <c r="N2037" s="101"/>
    </row>
    <row r="2038" ht="22.5" customHeight="1">
      <c r="A2038" s="49"/>
      <c r="B2038" s="81"/>
      <c r="C2038" s="97"/>
      <c r="D2038" s="49"/>
      <c r="E2038" s="49"/>
      <c r="F2038" s="98"/>
      <c r="G2038" s="98"/>
      <c r="H2038" s="97"/>
      <c r="I2038" s="99"/>
      <c r="J2038" s="49"/>
      <c r="K2038" s="49"/>
      <c r="L2038" s="49"/>
      <c r="M2038" s="49"/>
      <c r="N2038" s="49"/>
    </row>
    <row r="2039" ht="22.5" customHeight="1">
      <c r="A2039" s="101"/>
      <c r="B2039" s="102"/>
      <c r="C2039" s="103"/>
      <c r="D2039" s="101"/>
      <c r="E2039" s="101"/>
      <c r="F2039" s="104"/>
      <c r="G2039" s="104"/>
      <c r="H2039" s="103"/>
      <c r="I2039" s="99"/>
      <c r="J2039" s="101"/>
      <c r="K2039" s="101"/>
      <c r="L2039" s="101"/>
      <c r="M2039" s="101"/>
      <c r="N2039" s="101"/>
    </row>
    <row r="2040" ht="22.5" customHeight="1">
      <c r="A2040" s="49"/>
      <c r="B2040" s="81"/>
      <c r="C2040" s="97"/>
      <c r="D2040" s="49"/>
      <c r="E2040" s="49"/>
      <c r="F2040" s="98"/>
      <c r="G2040" s="98"/>
      <c r="H2040" s="97"/>
      <c r="I2040" s="99"/>
      <c r="J2040" s="49"/>
      <c r="K2040" s="49"/>
      <c r="L2040" s="49"/>
      <c r="M2040" s="49"/>
      <c r="N2040" s="49"/>
    </row>
    <row r="2041" ht="22.5" customHeight="1">
      <c r="A2041" s="101"/>
      <c r="B2041" s="102"/>
      <c r="C2041" s="103"/>
      <c r="D2041" s="101"/>
      <c r="E2041" s="101"/>
      <c r="F2041" s="104"/>
      <c r="G2041" s="104"/>
      <c r="H2041" s="103"/>
      <c r="I2041" s="99"/>
      <c r="J2041" s="101"/>
      <c r="K2041" s="101"/>
      <c r="L2041" s="101"/>
      <c r="M2041" s="101"/>
      <c r="N2041" s="101"/>
    </row>
    <row r="2042" ht="22.5" customHeight="1">
      <c r="A2042" s="49"/>
      <c r="B2042" s="81"/>
      <c r="C2042" s="97"/>
      <c r="D2042" s="49"/>
      <c r="E2042" s="49"/>
      <c r="F2042" s="98"/>
      <c r="G2042" s="98"/>
      <c r="H2042" s="97"/>
      <c r="I2042" s="99"/>
      <c r="J2042" s="49"/>
      <c r="K2042" s="49"/>
      <c r="L2042" s="49"/>
      <c r="M2042" s="49"/>
      <c r="N2042" s="49"/>
    </row>
    <row r="2043" ht="22.5" customHeight="1">
      <c r="A2043" s="101"/>
      <c r="B2043" s="102"/>
      <c r="C2043" s="103"/>
      <c r="D2043" s="101"/>
      <c r="E2043" s="101"/>
      <c r="F2043" s="104"/>
      <c r="G2043" s="104"/>
      <c r="H2043" s="103"/>
      <c r="I2043" s="99"/>
      <c r="J2043" s="101"/>
      <c r="K2043" s="101"/>
      <c r="L2043" s="101"/>
      <c r="M2043" s="101"/>
      <c r="N2043" s="101"/>
    </row>
    <row r="2044" ht="22.5" customHeight="1">
      <c r="A2044" s="49"/>
      <c r="B2044" s="81"/>
      <c r="C2044" s="97"/>
      <c r="D2044" s="49"/>
      <c r="E2044" s="49"/>
      <c r="F2044" s="98"/>
      <c r="G2044" s="98"/>
      <c r="H2044" s="97"/>
      <c r="I2044" s="99"/>
      <c r="J2044" s="49"/>
      <c r="K2044" s="49"/>
      <c r="L2044" s="49"/>
      <c r="M2044" s="49"/>
      <c r="N2044" s="49"/>
    </row>
    <row r="2045" ht="22.5" customHeight="1">
      <c r="A2045" s="101"/>
      <c r="B2045" s="102"/>
      <c r="C2045" s="103"/>
      <c r="D2045" s="101"/>
      <c r="E2045" s="101"/>
      <c r="F2045" s="104"/>
      <c r="G2045" s="104"/>
      <c r="H2045" s="103"/>
      <c r="I2045" s="99"/>
      <c r="J2045" s="101"/>
      <c r="K2045" s="101"/>
      <c r="L2045" s="101"/>
      <c r="M2045" s="101"/>
      <c r="N2045" s="101"/>
    </row>
    <row r="2046" ht="22.5" customHeight="1">
      <c r="A2046" s="49"/>
      <c r="B2046" s="81"/>
      <c r="C2046" s="97"/>
      <c r="D2046" s="49"/>
      <c r="E2046" s="49"/>
      <c r="F2046" s="98"/>
      <c r="G2046" s="98"/>
      <c r="H2046" s="97"/>
      <c r="I2046" s="99"/>
      <c r="J2046" s="49"/>
      <c r="K2046" s="49"/>
      <c r="L2046" s="49"/>
      <c r="M2046" s="49"/>
      <c r="N2046" s="49"/>
    </row>
    <row r="2047" ht="22.5" customHeight="1">
      <c r="A2047" s="101"/>
      <c r="B2047" s="102"/>
      <c r="C2047" s="103"/>
      <c r="D2047" s="101"/>
      <c r="E2047" s="101"/>
      <c r="F2047" s="104"/>
      <c r="G2047" s="104"/>
      <c r="H2047" s="103"/>
      <c r="I2047" s="99"/>
      <c r="J2047" s="101"/>
      <c r="K2047" s="101"/>
      <c r="L2047" s="101"/>
      <c r="M2047" s="101"/>
      <c r="N2047" s="101"/>
    </row>
    <row r="2048" ht="22.5" customHeight="1">
      <c r="A2048" s="49"/>
      <c r="B2048" s="81"/>
      <c r="C2048" s="97"/>
      <c r="D2048" s="49"/>
      <c r="E2048" s="49"/>
      <c r="F2048" s="98"/>
      <c r="G2048" s="98"/>
      <c r="H2048" s="97"/>
      <c r="I2048" s="99"/>
      <c r="J2048" s="49"/>
      <c r="K2048" s="49"/>
      <c r="L2048" s="49"/>
      <c r="M2048" s="49"/>
      <c r="N2048" s="49"/>
    </row>
    <row r="2049" ht="22.5" customHeight="1">
      <c r="A2049" s="101"/>
      <c r="B2049" s="102"/>
      <c r="C2049" s="103"/>
      <c r="D2049" s="101"/>
      <c r="E2049" s="101"/>
      <c r="F2049" s="104"/>
      <c r="G2049" s="104"/>
      <c r="H2049" s="103"/>
      <c r="I2049" s="99"/>
      <c r="J2049" s="101"/>
      <c r="K2049" s="101"/>
      <c r="L2049" s="101"/>
      <c r="M2049" s="101"/>
      <c r="N2049" s="101"/>
    </row>
    <row r="2050" ht="22.5" customHeight="1">
      <c r="A2050" s="49"/>
      <c r="B2050" s="81"/>
      <c r="C2050" s="97"/>
      <c r="D2050" s="49"/>
      <c r="E2050" s="49"/>
      <c r="F2050" s="98"/>
      <c r="G2050" s="98"/>
      <c r="H2050" s="97"/>
      <c r="I2050" s="99"/>
      <c r="J2050" s="49"/>
      <c r="K2050" s="49"/>
      <c r="L2050" s="49"/>
      <c r="M2050" s="49"/>
      <c r="N2050" s="49"/>
    </row>
    <row r="2051" ht="22.5" customHeight="1">
      <c r="A2051" s="101"/>
      <c r="B2051" s="102"/>
      <c r="C2051" s="103"/>
      <c r="D2051" s="101"/>
      <c r="E2051" s="101"/>
      <c r="F2051" s="104"/>
      <c r="G2051" s="104"/>
      <c r="H2051" s="103"/>
      <c r="I2051" s="99"/>
      <c r="J2051" s="101"/>
      <c r="K2051" s="101"/>
      <c r="L2051" s="101"/>
      <c r="M2051" s="101"/>
      <c r="N2051" s="101"/>
    </row>
    <row r="2052" ht="22.5" customHeight="1">
      <c r="A2052" s="49"/>
      <c r="B2052" s="81"/>
      <c r="C2052" s="97"/>
      <c r="D2052" s="49"/>
      <c r="E2052" s="49"/>
      <c r="F2052" s="98"/>
      <c r="G2052" s="98"/>
      <c r="H2052" s="97"/>
      <c r="I2052" s="99"/>
      <c r="J2052" s="49"/>
      <c r="K2052" s="49"/>
      <c r="L2052" s="49"/>
      <c r="M2052" s="49"/>
      <c r="N2052" s="49"/>
    </row>
    <row r="2053" ht="22.5" customHeight="1">
      <c r="A2053" s="101"/>
      <c r="B2053" s="102"/>
      <c r="C2053" s="103"/>
      <c r="D2053" s="101"/>
      <c r="E2053" s="101"/>
      <c r="F2053" s="104"/>
      <c r="G2053" s="104"/>
      <c r="H2053" s="103"/>
      <c r="I2053" s="99"/>
      <c r="J2053" s="101"/>
      <c r="K2053" s="101"/>
      <c r="L2053" s="101"/>
      <c r="M2053" s="101"/>
      <c r="N2053" s="101"/>
    </row>
    <row r="2054" ht="22.5" customHeight="1">
      <c r="A2054" s="49"/>
      <c r="B2054" s="81"/>
      <c r="C2054" s="97"/>
      <c r="D2054" s="49"/>
      <c r="E2054" s="49"/>
      <c r="F2054" s="98"/>
      <c r="G2054" s="98"/>
      <c r="H2054" s="97"/>
      <c r="I2054" s="99"/>
      <c r="J2054" s="49"/>
      <c r="K2054" s="49"/>
      <c r="L2054" s="49"/>
      <c r="M2054" s="49"/>
      <c r="N2054" s="49"/>
    </row>
    <row r="2055" ht="22.5" customHeight="1">
      <c r="A2055" s="101"/>
      <c r="B2055" s="102"/>
      <c r="C2055" s="103"/>
      <c r="D2055" s="101"/>
      <c r="E2055" s="101"/>
      <c r="F2055" s="104"/>
      <c r="G2055" s="104"/>
      <c r="H2055" s="103"/>
      <c r="I2055" s="99"/>
      <c r="J2055" s="101"/>
      <c r="K2055" s="101"/>
      <c r="L2055" s="101"/>
      <c r="M2055" s="101"/>
      <c r="N2055" s="101"/>
    </row>
    <row r="2056" ht="22.5" customHeight="1">
      <c r="A2056" s="49"/>
      <c r="B2056" s="81"/>
      <c r="C2056" s="97"/>
      <c r="D2056" s="49"/>
      <c r="E2056" s="49"/>
      <c r="F2056" s="98"/>
      <c r="G2056" s="98"/>
      <c r="H2056" s="97"/>
      <c r="I2056" s="99"/>
      <c r="J2056" s="49"/>
      <c r="K2056" s="49"/>
      <c r="L2056" s="49"/>
      <c r="M2056" s="49"/>
      <c r="N2056" s="49"/>
    </row>
    <row r="2057" ht="22.5" customHeight="1">
      <c r="A2057" s="101"/>
      <c r="B2057" s="102"/>
      <c r="C2057" s="103"/>
      <c r="D2057" s="101"/>
      <c r="E2057" s="101"/>
      <c r="F2057" s="104"/>
      <c r="G2057" s="104"/>
      <c r="H2057" s="103"/>
      <c r="I2057" s="99"/>
      <c r="J2057" s="101"/>
      <c r="K2057" s="101"/>
      <c r="L2057" s="101"/>
      <c r="M2057" s="101"/>
      <c r="N2057" s="101"/>
    </row>
    <row r="2058" ht="22.5" customHeight="1">
      <c r="A2058" s="49"/>
      <c r="B2058" s="81"/>
      <c r="C2058" s="97"/>
      <c r="D2058" s="49"/>
      <c r="E2058" s="49"/>
      <c r="F2058" s="98"/>
      <c r="G2058" s="98"/>
      <c r="H2058" s="97"/>
      <c r="I2058" s="99"/>
      <c r="J2058" s="49"/>
      <c r="K2058" s="49"/>
      <c r="L2058" s="49"/>
      <c r="M2058" s="49"/>
      <c r="N2058" s="49"/>
    </row>
    <row r="2059" ht="22.5" customHeight="1">
      <c r="A2059" s="101"/>
      <c r="B2059" s="102"/>
      <c r="C2059" s="103"/>
      <c r="D2059" s="101"/>
      <c r="E2059" s="101"/>
      <c r="F2059" s="104"/>
      <c r="G2059" s="104"/>
      <c r="H2059" s="103"/>
      <c r="I2059" s="99"/>
      <c r="J2059" s="101"/>
      <c r="K2059" s="101"/>
      <c r="L2059" s="101"/>
      <c r="M2059" s="101"/>
      <c r="N2059" s="101"/>
    </row>
    <row r="2060" ht="22.5" customHeight="1">
      <c r="A2060" s="49"/>
      <c r="B2060" s="81"/>
      <c r="C2060" s="97"/>
      <c r="D2060" s="49"/>
      <c r="E2060" s="49"/>
      <c r="F2060" s="98"/>
      <c r="G2060" s="98"/>
      <c r="H2060" s="97"/>
      <c r="I2060" s="99"/>
      <c r="J2060" s="49"/>
      <c r="K2060" s="49"/>
      <c r="L2060" s="49"/>
      <c r="M2060" s="49"/>
      <c r="N2060" s="49"/>
    </row>
    <row r="2061" ht="22.5" customHeight="1">
      <c r="A2061" s="101"/>
      <c r="B2061" s="102"/>
      <c r="C2061" s="103"/>
      <c r="D2061" s="101"/>
      <c r="E2061" s="101"/>
      <c r="F2061" s="104"/>
      <c r="G2061" s="104"/>
      <c r="H2061" s="103"/>
      <c r="I2061" s="99"/>
      <c r="J2061" s="101"/>
      <c r="K2061" s="101"/>
      <c r="L2061" s="101"/>
      <c r="M2061" s="101"/>
      <c r="N2061" s="101"/>
    </row>
    <row r="2062" ht="22.5" customHeight="1">
      <c r="A2062" s="49"/>
      <c r="B2062" s="81"/>
      <c r="C2062" s="97"/>
      <c r="D2062" s="49"/>
      <c r="E2062" s="49"/>
      <c r="F2062" s="98"/>
      <c r="G2062" s="98"/>
      <c r="H2062" s="97"/>
      <c r="I2062" s="99"/>
      <c r="J2062" s="49"/>
      <c r="K2062" s="49"/>
      <c r="L2062" s="49"/>
      <c r="M2062" s="49"/>
      <c r="N2062" s="49"/>
    </row>
    <row r="2063" ht="22.5" customHeight="1">
      <c r="A2063" s="101"/>
      <c r="B2063" s="102"/>
      <c r="C2063" s="103"/>
      <c r="D2063" s="101"/>
      <c r="E2063" s="101"/>
      <c r="F2063" s="104"/>
      <c r="G2063" s="104"/>
      <c r="H2063" s="103"/>
      <c r="I2063" s="99"/>
      <c r="J2063" s="101"/>
      <c r="K2063" s="101"/>
      <c r="L2063" s="101"/>
      <c r="M2063" s="101"/>
      <c r="N2063" s="101"/>
    </row>
    <row r="2064" ht="22.5" customHeight="1">
      <c r="A2064" s="49"/>
      <c r="B2064" s="81"/>
      <c r="C2064" s="97"/>
      <c r="D2064" s="49"/>
      <c r="E2064" s="49"/>
      <c r="F2064" s="98"/>
      <c r="G2064" s="98"/>
      <c r="H2064" s="97"/>
      <c r="I2064" s="99"/>
      <c r="J2064" s="49"/>
      <c r="K2064" s="49"/>
      <c r="L2064" s="49"/>
      <c r="M2064" s="49"/>
      <c r="N2064" s="49"/>
    </row>
    <row r="2065" ht="22.5" customHeight="1">
      <c r="A2065" s="101"/>
      <c r="B2065" s="102"/>
      <c r="C2065" s="103"/>
      <c r="D2065" s="101"/>
      <c r="E2065" s="101"/>
      <c r="F2065" s="104"/>
      <c r="G2065" s="104"/>
      <c r="H2065" s="103"/>
      <c r="I2065" s="99"/>
      <c r="J2065" s="101"/>
      <c r="K2065" s="101"/>
      <c r="L2065" s="101"/>
      <c r="M2065" s="101"/>
      <c r="N2065" s="101"/>
    </row>
    <row r="2066" ht="22.5" customHeight="1">
      <c r="A2066" s="49"/>
      <c r="B2066" s="81"/>
      <c r="C2066" s="97"/>
      <c r="D2066" s="49"/>
      <c r="E2066" s="49"/>
      <c r="F2066" s="98"/>
      <c r="G2066" s="98"/>
      <c r="H2066" s="97"/>
      <c r="I2066" s="99"/>
      <c r="J2066" s="49"/>
      <c r="K2066" s="49"/>
      <c r="L2066" s="49"/>
      <c r="M2066" s="49"/>
      <c r="N2066" s="49"/>
    </row>
    <row r="2067" ht="22.5" customHeight="1">
      <c r="A2067" s="101"/>
      <c r="B2067" s="102"/>
      <c r="C2067" s="103"/>
      <c r="D2067" s="101"/>
      <c r="E2067" s="101"/>
      <c r="F2067" s="104"/>
      <c r="G2067" s="104"/>
      <c r="H2067" s="103"/>
      <c r="I2067" s="99"/>
      <c r="J2067" s="101"/>
      <c r="K2067" s="101"/>
      <c r="L2067" s="101"/>
      <c r="M2067" s="101"/>
      <c r="N2067" s="101"/>
    </row>
    <row r="2068" ht="22.5" customHeight="1">
      <c r="A2068" s="49"/>
      <c r="B2068" s="81"/>
      <c r="C2068" s="97"/>
      <c r="D2068" s="49"/>
      <c r="E2068" s="49"/>
      <c r="F2068" s="98"/>
      <c r="G2068" s="98"/>
      <c r="H2068" s="97"/>
      <c r="I2068" s="99"/>
      <c r="J2068" s="49"/>
      <c r="K2068" s="49"/>
      <c r="L2068" s="49"/>
      <c r="M2068" s="49"/>
      <c r="N2068" s="49"/>
    </row>
    <row r="2069" ht="22.5" customHeight="1">
      <c r="A2069" s="101"/>
      <c r="B2069" s="102"/>
      <c r="C2069" s="103"/>
      <c r="D2069" s="101"/>
      <c r="E2069" s="101"/>
      <c r="F2069" s="104"/>
      <c r="G2069" s="104"/>
      <c r="H2069" s="103"/>
      <c r="I2069" s="99"/>
      <c r="J2069" s="101"/>
      <c r="K2069" s="101"/>
      <c r="L2069" s="101"/>
      <c r="M2069" s="101"/>
      <c r="N2069" s="101"/>
    </row>
    <row r="2070" ht="22.5" customHeight="1">
      <c r="A2070" s="49"/>
      <c r="B2070" s="81"/>
      <c r="C2070" s="97"/>
      <c r="D2070" s="49"/>
      <c r="E2070" s="49"/>
      <c r="F2070" s="98"/>
      <c r="G2070" s="98"/>
      <c r="H2070" s="97"/>
      <c r="I2070" s="99"/>
      <c r="J2070" s="49"/>
      <c r="K2070" s="49"/>
      <c r="L2070" s="49" t="s">
        <v>1092</v>
      </c>
      <c r="M2070" s="49"/>
      <c r="N2070" s="49"/>
    </row>
    <row r="2071" ht="22.5" customHeight="1">
      <c r="A2071" s="101"/>
      <c r="B2071" s="102"/>
      <c r="C2071" s="103"/>
      <c r="D2071" s="101"/>
      <c r="E2071" s="101"/>
      <c r="F2071" s="104"/>
      <c r="G2071" s="104"/>
      <c r="H2071" s="103"/>
      <c r="I2071" s="99"/>
      <c r="J2071" s="101"/>
      <c r="K2071" s="101"/>
      <c r="L2071" s="101"/>
      <c r="M2071" s="101"/>
      <c r="N2071" s="101"/>
    </row>
    <row r="2072" ht="22.5" customHeight="1">
      <c r="A2072" s="49"/>
      <c r="B2072" s="81"/>
      <c r="C2072" s="97"/>
      <c r="D2072" s="49"/>
      <c r="E2072" s="49"/>
      <c r="F2072" s="98"/>
      <c r="G2072" s="98"/>
      <c r="H2072" s="97"/>
      <c r="I2072" s="99"/>
      <c r="J2072" s="49"/>
      <c r="K2072" s="49"/>
      <c r="L2072" s="49"/>
      <c r="M2072" s="49"/>
      <c r="N2072" s="49"/>
    </row>
    <row r="2073" ht="22.5" customHeight="1">
      <c r="A2073" s="101"/>
      <c r="B2073" s="102"/>
      <c r="C2073" s="103"/>
      <c r="D2073" s="101"/>
      <c r="E2073" s="101"/>
      <c r="F2073" s="104"/>
      <c r="G2073" s="104"/>
      <c r="H2073" s="103"/>
      <c r="I2073" s="99"/>
      <c r="J2073" s="101"/>
      <c r="K2073" s="101"/>
      <c r="L2073" s="101"/>
      <c r="M2073" s="101"/>
      <c r="N2073" s="101"/>
    </row>
    <row r="2074" ht="22.5" customHeight="1">
      <c r="A2074" s="49"/>
      <c r="B2074" s="81"/>
      <c r="C2074" s="97"/>
      <c r="D2074" s="49"/>
      <c r="E2074" s="49"/>
      <c r="F2074" s="98"/>
      <c r="G2074" s="98"/>
      <c r="H2074" s="97"/>
      <c r="I2074" s="99"/>
      <c r="J2074" s="49"/>
      <c r="K2074" s="49"/>
      <c r="L2074" s="49"/>
      <c r="M2074" s="49"/>
      <c r="N2074" s="49"/>
    </row>
    <row r="2075" ht="22.5" customHeight="1">
      <c r="A2075" s="101"/>
      <c r="B2075" s="102"/>
      <c r="C2075" s="103"/>
      <c r="D2075" s="101"/>
      <c r="E2075" s="101"/>
      <c r="F2075" s="104"/>
      <c r="G2075" s="104"/>
      <c r="H2075" s="103"/>
      <c r="I2075" s="99"/>
      <c r="J2075" s="101"/>
      <c r="K2075" s="101"/>
      <c r="L2075" s="101"/>
      <c r="M2075" s="101"/>
      <c r="N2075" s="101"/>
    </row>
    <row r="2076" ht="22.5" customHeight="1">
      <c r="A2076" s="49"/>
      <c r="B2076" s="81"/>
      <c r="C2076" s="97"/>
      <c r="D2076" s="49"/>
      <c r="E2076" s="49"/>
      <c r="F2076" s="98"/>
      <c r="G2076" s="98"/>
      <c r="H2076" s="97"/>
      <c r="I2076" s="99"/>
      <c r="J2076" s="49"/>
      <c r="K2076" s="49"/>
      <c r="L2076" s="49"/>
      <c r="M2076" s="49"/>
      <c r="N2076" s="49"/>
    </row>
    <row r="2077" ht="22.5" customHeight="1">
      <c r="A2077" s="101"/>
      <c r="B2077" s="102"/>
      <c r="C2077" s="103"/>
      <c r="D2077" s="101"/>
      <c r="E2077" s="101"/>
      <c r="F2077" s="104"/>
      <c r="G2077" s="104"/>
      <c r="H2077" s="103"/>
      <c r="I2077" s="99"/>
      <c r="J2077" s="101"/>
      <c r="K2077" s="101"/>
      <c r="L2077" s="101"/>
      <c r="M2077" s="101"/>
      <c r="N2077" s="101"/>
    </row>
    <row r="2078" ht="22.5" customHeight="1">
      <c r="A2078" s="49"/>
      <c r="B2078" s="81"/>
      <c r="C2078" s="97"/>
      <c r="D2078" s="49"/>
      <c r="E2078" s="49"/>
      <c r="F2078" s="98"/>
      <c r="G2078" s="98"/>
      <c r="H2078" s="97"/>
      <c r="I2078" s="99"/>
      <c r="J2078" s="49"/>
      <c r="K2078" s="49"/>
      <c r="L2078" s="49"/>
      <c r="M2078" s="49"/>
      <c r="N2078" s="49"/>
    </row>
    <row r="2079" ht="22.5" customHeight="1">
      <c r="A2079" s="101"/>
      <c r="B2079" s="102"/>
      <c r="C2079" s="103"/>
      <c r="D2079" s="101"/>
      <c r="E2079" s="101"/>
      <c r="F2079" s="104"/>
      <c r="G2079" s="104"/>
      <c r="H2079" s="103"/>
      <c r="I2079" s="99"/>
      <c r="J2079" s="101"/>
      <c r="K2079" s="101"/>
      <c r="L2079" s="101"/>
      <c r="M2079" s="101"/>
      <c r="N2079" s="101"/>
    </row>
    <row r="2080" ht="22.5" customHeight="1">
      <c r="A2080" s="49"/>
      <c r="B2080" s="81"/>
      <c r="C2080" s="97"/>
      <c r="D2080" s="49"/>
      <c r="E2080" s="49"/>
      <c r="F2080" s="98"/>
      <c r="G2080" s="98"/>
      <c r="H2080" s="97"/>
      <c r="I2080" s="99"/>
      <c r="J2080" s="49"/>
      <c r="K2080" s="49"/>
      <c r="L2080" s="49"/>
      <c r="M2080" s="49"/>
      <c r="N2080" s="49"/>
    </row>
    <row r="2081" ht="22.5" customHeight="1">
      <c r="A2081" s="101"/>
      <c r="B2081" s="102"/>
      <c r="C2081" s="103"/>
      <c r="D2081" s="101"/>
      <c r="E2081" s="101"/>
      <c r="F2081" s="104"/>
      <c r="G2081" s="104"/>
      <c r="H2081" s="103"/>
      <c r="I2081" s="99"/>
      <c r="J2081" s="101"/>
      <c r="K2081" s="101"/>
      <c r="L2081" s="101"/>
      <c r="M2081" s="101"/>
      <c r="N2081" s="101"/>
    </row>
    <row r="2082" ht="22.5" customHeight="1">
      <c r="A2082" s="49"/>
      <c r="B2082" s="81"/>
      <c r="C2082" s="97"/>
      <c r="D2082" s="49"/>
      <c r="E2082" s="49"/>
      <c r="F2082" s="98"/>
      <c r="G2082" s="98"/>
      <c r="H2082" s="97"/>
      <c r="I2082" s="99"/>
      <c r="J2082" s="49"/>
      <c r="K2082" s="49"/>
      <c r="L2082" s="49"/>
      <c r="M2082" s="49"/>
      <c r="N2082" s="49"/>
    </row>
    <row r="2083" ht="22.5" customHeight="1">
      <c r="A2083" s="101"/>
      <c r="B2083" s="102"/>
      <c r="C2083" s="103"/>
      <c r="D2083" s="101"/>
      <c r="E2083" s="101"/>
      <c r="F2083" s="104"/>
      <c r="G2083" s="104"/>
      <c r="H2083" s="103"/>
      <c r="I2083" s="99"/>
      <c r="J2083" s="101"/>
      <c r="K2083" s="101"/>
      <c r="L2083" s="101"/>
      <c r="M2083" s="101"/>
      <c r="N2083" s="101"/>
    </row>
    <row r="2084" ht="22.5" customHeight="1">
      <c r="A2084" s="49"/>
      <c r="B2084" s="81"/>
      <c r="C2084" s="97"/>
      <c r="D2084" s="49"/>
      <c r="E2084" s="49"/>
      <c r="F2084" s="98"/>
      <c r="G2084" s="98"/>
      <c r="H2084" s="97"/>
      <c r="I2084" s="99"/>
      <c r="J2084" s="49"/>
      <c r="K2084" s="49"/>
      <c r="L2084" s="49"/>
      <c r="M2084" s="49"/>
      <c r="N2084" s="49"/>
    </row>
    <row r="2085" ht="22.5" customHeight="1">
      <c r="A2085" s="101"/>
      <c r="B2085" s="102"/>
      <c r="C2085" s="103"/>
      <c r="D2085" s="101"/>
      <c r="E2085" s="101"/>
      <c r="F2085" s="104"/>
      <c r="G2085" s="104"/>
      <c r="H2085" s="103"/>
      <c r="I2085" s="99"/>
      <c r="J2085" s="101"/>
      <c r="K2085" s="101"/>
      <c r="L2085" s="101"/>
      <c r="M2085" s="101"/>
      <c r="N2085" s="101"/>
    </row>
    <row r="2086" ht="22.5" customHeight="1">
      <c r="A2086" s="49"/>
      <c r="B2086" s="81"/>
      <c r="C2086" s="97"/>
      <c r="D2086" s="49"/>
      <c r="E2086" s="49"/>
      <c r="F2086" s="98"/>
      <c r="G2086" s="98"/>
      <c r="H2086" s="97"/>
      <c r="I2086" s="99"/>
      <c r="J2086" s="49"/>
      <c r="K2086" s="49"/>
      <c r="L2086" s="49"/>
      <c r="M2086" s="49"/>
      <c r="N2086" s="49"/>
    </row>
    <row r="2087" ht="22.5" customHeight="1">
      <c r="A2087" s="101"/>
      <c r="B2087" s="102"/>
      <c r="C2087" s="103"/>
      <c r="D2087" s="101"/>
      <c r="E2087" s="101"/>
      <c r="F2087" s="104"/>
      <c r="G2087" s="104"/>
      <c r="H2087" s="103"/>
      <c r="I2087" s="99"/>
      <c r="J2087" s="101"/>
      <c r="K2087" s="101"/>
      <c r="L2087" s="101"/>
      <c r="M2087" s="101"/>
      <c r="N2087" s="101"/>
    </row>
    <row r="2088" ht="22.5" customHeight="1">
      <c r="A2088" s="49"/>
      <c r="B2088" s="81"/>
      <c r="C2088" s="97"/>
      <c r="D2088" s="49"/>
      <c r="E2088" s="49"/>
      <c r="F2088" s="98"/>
      <c r="G2088" s="98"/>
      <c r="H2088" s="97"/>
      <c r="I2088" s="99"/>
      <c r="J2088" s="49"/>
      <c r="K2088" s="49"/>
      <c r="L2088" s="49"/>
      <c r="M2088" s="49"/>
      <c r="N2088" s="49"/>
    </row>
    <row r="2089" ht="22.5" customHeight="1">
      <c r="A2089" s="101"/>
      <c r="B2089" s="102"/>
      <c r="C2089" s="103"/>
      <c r="D2089" s="101"/>
      <c r="E2089" s="101"/>
      <c r="F2089" s="104"/>
      <c r="G2089" s="104"/>
      <c r="H2089" s="103"/>
      <c r="I2089" s="99"/>
      <c r="J2089" s="101"/>
      <c r="K2089" s="101"/>
      <c r="L2089" s="101"/>
      <c r="M2089" s="101"/>
      <c r="N2089" s="101"/>
    </row>
    <row r="2090" ht="22.5" customHeight="1">
      <c r="A2090" s="49"/>
      <c r="B2090" s="81"/>
      <c r="C2090" s="97"/>
      <c r="D2090" s="49"/>
      <c r="E2090" s="49"/>
      <c r="F2090" s="98"/>
      <c r="G2090" s="98"/>
      <c r="H2090" s="97"/>
      <c r="I2090" s="99"/>
      <c r="J2090" s="49"/>
      <c r="K2090" s="49"/>
      <c r="L2090" s="49"/>
      <c r="M2090" s="49"/>
      <c r="N2090" s="49"/>
    </row>
    <row r="2091" ht="22.5" customHeight="1">
      <c r="A2091" s="101"/>
      <c r="B2091" s="102"/>
      <c r="C2091" s="103"/>
      <c r="D2091" s="101"/>
      <c r="E2091" s="101"/>
      <c r="F2091" s="104"/>
      <c r="G2091" s="104"/>
      <c r="H2091" s="103"/>
      <c r="I2091" s="99"/>
      <c r="J2091" s="101"/>
      <c r="K2091" s="101"/>
      <c r="L2091" s="101"/>
      <c r="M2091" s="101"/>
      <c r="N2091" s="101"/>
    </row>
    <row r="2092" ht="22.5" customHeight="1">
      <c r="A2092" s="49"/>
      <c r="B2092" s="81"/>
      <c r="C2092" s="97"/>
      <c r="D2092" s="49"/>
      <c r="E2092" s="49"/>
      <c r="F2092" s="98"/>
      <c r="G2092" s="98"/>
      <c r="H2092" s="97"/>
      <c r="I2092" s="99"/>
      <c r="J2092" s="49"/>
      <c r="K2092" s="49"/>
      <c r="L2092" s="49"/>
      <c r="M2092" s="49"/>
      <c r="N2092" s="49"/>
    </row>
    <row r="2093" ht="22.5" customHeight="1">
      <c r="A2093" s="101"/>
      <c r="B2093" s="102"/>
      <c r="C2093" s="103"/>
      <c r="D2093" s="101"/>
      <c r="E2093" s="101"/>
      <c r="F2093" s="104"/>
      <c r="G2093" s="104"/>
      <c r="H2093" s="103"/>
      <c r="I2093" s="99"/>
      <c r="J2093" s="101"/>
      <c r="K2093" s="101"/>
      <c r="L2093" s="101"/>
      <c r="M2093" s="101"/>
      <c r="N2093" s="101"/>
    </row>
    <row r="2094" ht="22.5" customHeight="1">
      <c r="A2094" s="49"/>
      <c r="B2094" s="81"/>
      <c r="C2094" s="97"/>
      <c r="D2094" s="49"/>
      <c r="E2094" s="49"/>
      <c r="F2094" s="98"/>
      <c r="G2094" s="98"/>
      <c r="H2094" s="97"/>
      <c r="I2094" s="99"/>
      <c r="J2094" s="49"/>
      <c r="K2094" s="49"/>
      <c r="L2094" s="49"/>
      <c r="M2094" s="49"/>
      <c r="N2094" s="49"/>
    </row>
    <row r="2095" ht="22.5" customHeight="1">
      <c r="A2095" s="101"/>
      <c r="B2095" s="102"/>
      <c r="C2095" s="103"/>
      <c r="D2095" s="101"/>
      <c r="E2095" s="101"/>
      <c r="F2095" s="104"/>
      <c r="G2095" s="104"/>
      <c r="H2095" s="103"/>
      <c r="I2095" s="99"/>
      <c r="J2095" s="101"/>
      <c r="K2095" s="101"/>
      <c r="L2095" s="101"/>
      <c r="M2095" s="101"/>
      <c r="N2095" s="101"/>
    </row>
    <row r="2096" ht="22.5" customHeight="1">
      <c r="A2096" s="49"/>
      <c r="B2096" s="81"/>
      <c r="C2096" s="97"/>
      <c r="D2096" s="49"/>
      <c r="E2096" s="49"/>
      <c r="F2096" s="98"/>
      <c r="G2096" s="98"/>
      <c r="H2096" s="97"/>
      <c r="I2096" s="99"/>
      <c r="J2096" s="49"/>
      <c r="K2096" s="49"/>
      <c r="L2096" s="49"/>
      <c r="M2096" s="49"/>
      <c r="N2096" s="49"/>
    </row>
    <row r="2097" ht="22.5" customHeight="1">
      <c r="A2097" s="101"/>
      <c r="B2097" s="102"/>
      <c r="C2097" s="103"/>
      <c r="D2097" s="101"/>
      <c r="E2097" s="101"/>
      <c r="F2097" s="104"/>
      <c r="G2097" s="104"/>
      <c r="H2097" s="103"/>
      <c r="I2097" s="99"/>
      <c r="J2097" s="101"/>
      <c r="K2097" s="101"/>
      <c r="L2097" s="101"/>
      <c r="M2097" s="101"/>
      <c r="N2097" s="101"/>
    </row>
    <row r="2098" ht="22.5" customHeight="1">
      <c r="A2098" s="49"/>
      <c r="B2098" s="81"/>
      <c r="C2098" s="97"/>
      <c r="D2098" s="49"/>
      <c r="E2098" s="49"/>
      <c r="F2098" s="98"/>
      <c r="G2098" s="98"/>
      <c r="H2098" s="97"/>
      <c r="I2098" s="99"/>
      <c r="J2098" s="49"/>
      <c r="K2098" s="49"/>
      <c r="L2098" s="49"/>
      <c r="M2098" s="49"/>
      <c r="N2098" s="49"/>
    </row>
    <row r="2099" ht="22.5" customHeight="1">
      <c r="A2099" s="101"/>
      <c r="B2099" s="102"/>
      <c r="C2099" s="103"/>
      <c r="D2099" s="101"/>
      <c r="E2099" s="101"/>
      <c r="F2099" s="104"/>
      <c r="G2099" s="104"/>
      <c r="H2099" s="103"/>
      <c r="I2099" s="99"/>
      <c r="J2099" s="101"/>
      <c r="K2099" s="101"/>
      <c r="L2099" s="101"/>
      <c r="M2099" s="101"/>
      <c r="N2099" s="101"/>
    </row>
    <row r="2100" ht="22.5" customHeight="1">
      <c r="A2100" s="49"/>
      <c r="B2100" s="81"/>
      <c r="C2100" s="97"/>
      <c r="D2100" s="49"/>
      <c r="E2100" s="49"/>
      <c r="F2100" s="98"/>
      <c r="G2100" s="98"/>
      <c r="H2100" s="97"/>
      <c r="I2100" s="99"/>
      <c r="J2100" s="49"/>
      <c r="K2100" s="49"/>
      <c r="L2100" s="49"/>
      <c r="M2100" s="49"/>
      <c r="N2100" s="49"/>
    </row>
    <row r="2101" ht="22.5" customHeight="1">
      <c r="A2101" s="101"/>
      <c r="B2101" s="102"/>
      <c r="C2101" s="103"/>
      <c r="D2101" s="101"/>
      <c r="E2101" s="101"/>
      <c r="F2101" s="104"/>
      <c r="G2101" s="104"/>
      <c r="H2101" s="103"/>
      <c r="I2101" s="99"/>
      <c r="J2101" s="101"/>
      <c r="K2101" s="101"/>
      <c r="L2101" s="101"/>
      <c r="M2101" s="101"/>
      <c r="N2101" s="101"/>
    </row>
    <row r="2102" ht="22.5" customHeight="1">
      <c r="A2102" s="49"/>
      <c r="B2102" s="81"/>
      <c r="C2102" s="97"/>
      <c r="D2102" s="49"/>
      <c r="E2102" s="49"/>
      <c r="F2102" s="98"/>
      <c r="G2102" s="98"/>
      <c r="H2102" s="97"/>
      <c r="I2102" s="99"/>
      <c r="J2102" s="49"/>
      <c r="K2102" s="49"/>
      <c r="L2102" s="49"/>
      <c r="M2102" s="49"/>
      <c r="N2102" s="49"/>
    </row>
    <row r="2103" ht="22.5" customHeight="1">
      <c r="A2103" s="101"/>
      <c r="B2103" s="102"/>
      <c r="C2103" s="103"/>
      <c r="D2103" s="101"/>
      <c r="E2103" s="101"/>
      <c r="F2103" s="104"/>
      <c r="G2103" s="104"/>
      <c r="H2103" s="103"/>
      <c r="I2103" s="99"/>
      <c r="J2103" s="101"/>
      <c r="K2103" s="101"/>
      <c r="L2103" s="101"/>
      <c r="M2103" s="101"/>
      <c r="N2103" s="101"/>
    </row>
    <row r="2104" ht="22.5" customHeight="1">
      <c r="A2104" s="49"/>
      <c r="B2104" s="81"/>
      <c r="C2104" s="97"/>
      <c r="D2104" s="49"/>
      <c r="E2104" s="49"/>
      <c r="F2104" s="98"/>
      <c r="G2104" s="98"/>
      <c r="H2104" s="97"/>
      <c r="I2104" s="99"/>
      <c r="J2104" s="49"/>
      <c r="K2104" s="49"/>
      <c r="L2104" s="49"/>
      <c r="M2104" s="49"/>
      <c r="N2104" s="49"/>
    </row>
    <row r="2105" ht="22.5" customHeight="1">
      <c r="A2105" s="101"/>
      <c r="B2105" s="102"/>
      <c r="C2105" s="103"/>
      <c r="D2105" s="101"/>
      <c r="E2105" s="101"/>
      <c r="F2105" s="104"/>
      <c r="G2105" s="104"/>
      <c r="H2105" s="103"/>
      <c r="I2105" s="99"/>
      <c r="J2105" s="101"/>
      <c r="K2105" s="101"/>
      <c r="L2105" s="101"/>
      <c r="M2105" s="101"/>
      <c r="N2105" s="101"/>
    </row>
    <row r="2106" ht="22.5" customHeight="1">
      <c r="A2106" s="49"/>
      <c r="B2106" s="81"/>
      <c r="C2106" s="97"/>
      <c r="D2106" s="49"/>
      <c r="E2106" s="49"/>
      <c r="F2106" s="98"/>
      <c r="G2106" s="98"/>
      <c r="H2106" s="97"/>
      <c r="I2106" s="99"/>
      <c r="J2106" s="49"/>
      <c r="K2106" s="49"/>
      <c r="L2106" s="49"/>
      <c r="M2106" s="49"/>
      <c r="N2106" s="49"/>
    </row>
    <row r="2107" ht="22.5" customHeight="1">
      <c r="A2107" s="101"/>
      <c r="B2107" s="102"/>
      <c r="C2107" s="103"/>
      <c r="D2107" s="101"/>
      <c r="E2107" s="101"/>
      <c r="F2107" s="104"/>
      <c r="G2107" s="104"/>
      <c r="H2107" s="103"/>
      <c r="I2107" s="99"/>
      <c r="J2107" s="101"/>
      <c r="K2107" s="101"/>
      <c r="L2107" s="101"/>
      <c r="M2107" s="101"/>
      <c r="N2107" s="101"/>
    </row>
    <row r="2108" ht="22.5" customHeight="1">
      <c r="A2108" s="49"/>
      <c r="B2108" s="81"/>
      <c r="C2108" s="97"/>
      <c r="D2108" s="49"/>
      <c r="E2108" s="49"/>
      <c r="F2108" s="98"/>
      <c r="G2108" s="98"/>
      <c r="H2108" s="97"/>
      <c r="I2108" s="99"/>
      <c r="J2108" s="49"/>
      <c r="K2108" s="49"/>
      <c r="L2108" s="49"/>
      <c r="M2108" s="49"/>
      <c r="N2108" s="49"/>
    </row>
    <row r="2109" ht="22.5" customHeight="1">
      <c r="A2109" s="101"/>
      <c r="B2109" s="102"/>
      <c r="C2109" s="103"/>
      <c r="D2109" s="101"/>
      <c r="E2109" s="101"/>
      <c r="F2109" s="104"/>
      <c r="G2109" s="104"/>
      <c r="H2109" s="103"/>
      <c r="I2109" s="99"/>
      <c r="J2109" s="101"/>
      <c r="K2109" s="101"/>
      <c r="L2109" s="101"/>
      <c r="M2109" s="101"/>
      <c r="N2109" s="101"/>
    </row>
    <row r="2110" ht="22.5" customHeight="1">
      <c r="A2110" s="49"/>
      <c r="B2110" s="81"/>
      <c r="C2110" s="97"/>
      <c r="D2110" s="49"/>
      <c r="E2110" s="49"/>
      <c r="F2110" s="98"/>
      <c r="G2110" s="98"/>
      <c r="H2110" s="97"/>
      <c r="I2110" s="99"/>
      <c r="J2110" s="49"/>
      <c r="K2110" s="49"/>
      <c r="L2110" s="49"/>
      <c r="M2110" s="49"/>
      <c r="N2110" s="49"/>
    </row>
    <row r="2111" ht="22.5" customHeight="1">
      <c r="A2111" s="101"/>
      <c r="B2111" s="102"/>
      <c r="C2111" s="103"/>
      <c r="D2111" s="101"/>
      <c r="E2111" s="101"/>
      <c r="F2111" s="104"/>
      <c r="G2111" s="104"/>
      <c r="H2111" s="103"/>
      <c r="I2111" s="99"/>
      <c r="J2111" s="101"/>
      <c r="K2111" s="101"/>
      <c r="L2111" s="101"/>
      <c r="M2111" s="101"/>
      <c r="N2111" s="101"/>
    </row>
    <row r="2112" ht="22.5" customHeight="1">
      <c r="A2112" s="49"/>
      <c r="B2112" s="81"/>
      <c r="C2112" s="97"/>
      <c r="D2112" s="49"/>
      <c r="E2112" s="49"/>
      <c r="F2112" s="98"/>
      <c r="G2112" s="98"/>
      <c r="H2112" s="97"/>
      <c r="I2112" s="99"/>
      <c r="J2112" s="49"/>
      <c r="K2112" s="49"/>
      <c r="L2112" s="49"/>
      <c r="M2112" s="49"/>
      <c r="N2112" s="49"/>
    </row>
    <row r="2113" ht="22.5" customHeight="1">
      <c r="A2113" s="101"/>
      <c r="B2113" s="102"/>
      <c r="C2113" s="103"/>
      <c r="D2113" s="101"/>
      <c r="E2113" s="101"/>
      <c r="F2113" s="104"/>
      <c r="G2113" s="104"/>
      <c r="H2113" s="103"/>
      <c r="I2113" s="99"/>
      <c r="J2113" s="101"/>
      <c r="K2113" s="101"/>
      <c r="L2113" s="101"/>
      <c r="M2113" s="101"/>
      <c r="N2113" s="101"/>
    </row>
    <row r="2114" ht="22.5" customHeight="1">
      <c r="A2114" s="49"/>
      <c r="B2114" s="81"/>
      <c r="C2114" s="97"/>
      <c r="D2114" s="49"/>
      <c r="E2114" s="49"/>
      <c r="F2114" s="98"/>
      <c r="G2114" s="98"/>
      <c r="H2114" s="97"/>
      <c r="I2114" s="99"/>
      <c r="J2114" s="49"/>
      <c r="K2114" s="49"/>
      <c r="L2114" s="49"/>
      <c r="M2114" s="49"/>
      <c r="N2114" s="49"/>
    </row>
    <row r="2115" ht="22.5" customHeight="1">
      <c r="A2115" s="101"/>
      <c r="B2115" s="102"/>
      <c r="C2115" s="103"/>
      <c r="D2115" s="101"/>
      <c r="E2115" s="101"/>
      <c r="F2115" s="104"/>
      <c r="G2115" s="104"/>
      <c r="H2115" s="103"/>
      <c r="I2115" s="99"/>
      <c r="J2115" s="101"/>
      <c r="K2115" s="101"/>
      <c r="L2115" s="101"/>
      <c r="M2115" s="101"/>
      <c r="N2115" s="101"/>
    </row>
    <row r="2116" ht="22.5" customHeight="1">
      <c r="A2116" s="49"/>
      <c r="B2116" s="81"/>
      <c r="C2116" s="97"/>
      <c r="D2116" s="49"/>
      <c r="E2116" s="49"/>
      <c r="F2116" s="98"/>
      <c r="G2116" s="98"/>
      <c r="H2116" s="97"/>
      <c r="I2116" s="99"/>
      <c r="J2116" s="49"/>
      <c r="K2116" s="49"/>
      <c r="L2116" s="49"/>
      <c r="M2116" s="49"/>
      <c r="N2116" s="49"/>
    </row>
    <row r="2117" ht="22.5" customHeight="1">
      <c r="A2117" s="101"/>
      <c r="B2117" s="102"/>
      <c r="C2117" s="103"/>
      <c r="D2117" s="101"/>
      <c r="E2117" s="101"/>
      <c r="F2117" s="104"/>
      <c r="G2117" s="104"/>
      <c r="H2117" s="103"/>
      <c r="I2117" s="99"/>
      <c r="J2117" s="101"/>
      <c r="K2117" s="101"/>
      <c r="L2117" s="101"/>
      <c r="M2117" s="101"/>
      <c r="N2117" s="101"/>
    </row>
    <row r="2118" ht="22.5" customHeight="1">
      <c r="A2118" s="49"/>
      <c r="B2118" s="81"/>
      <c r="C2118" s="97"/>
      <c r="D2118" s="49"/>
      <c r="E2118" s="49"/>
      <c r="F2118" s="98"/>
      <c r="G2118" s="98"/>
      <c r="H2118" s="97"/>
      <c r="I2118" s="99"/>
      <c r="J2118" s="49"/>
      <c r="K2118" s="49"/>
      <c r="L2118" s="49"/>
      <c r="M2118" s="49"/>
      <c r="N2118" s="49"/>
    </row>
    <row r="2119" ht="22.5" customHeight="1">
      <c r="A2119" s="101"/>
      <c r="B2119" s="102"/>
      <c r="C2119" s="103"/>
      <c r="D2119" s="101"/>
      <c r="E2119" s="101"/>
      <c r="F2119" s="104"/>
      <c r="G2119" s="104"/>
      <c r="H2119" s="103"/>
      <c r="I2119" s="99"/>
      <c r="J2119" s="101"/>
      <c r="K2119" s="101"/>
      <c r="L2119" s="101"/>
      <c r="M2119" s="101"/>
      <c r="N2119" s="101"/>
    </row>
    <row r="2120" ht="22.5" customHeight="1">
      <c r="A2120" s="49"/>
      <c r="B2120" s="81"/>
      <c r="C2120" s="97"/>
      <c r="D2120" s="49"/>
      <c r="E2120" s="49"/>
      <c r="F2120" s="98"/>
      <c r="G2120" s="98"/>
      <c r="H2120" s="97"/>
      <c r="I2120" s="99"/>
      <c r="J2120" s="49"/>
      <c r="K2120" s="49"/>
      <c r="L2120" s="49"/>
      <c r="M2120" s="49"/>
      <c r="N2120" s="49"/>
    </row>
    <row r="2121" ht="22.5" customHeight="1">
      <c r="A2121" s="101"/>
      <c r="B2121" s="102"/>
      <c r="C2121" s="103"/>
      <c r="D2121" s="101"/>
      <c r="E2121" s="101"/>
      <c r="F2121" s="104"/>
      <c r="G2121" s="104"/>
      <c r="H2121" s="103"/>
      <c r="I2121" s="99"/>
      <c r="J2121" s="101"/>
      <c r="K2121" s="101"/>
      <c r="L2121" s="101"/>
      <c r="M2121" s="101"/>
      <c r="N2121" s="101"/>
    </row>
    <row r="2122" ht="22.5" customHeight="1">
      <c r="A2122" s="49"/>
      <c r="B2122" s="81"/>
      <c r="C2122" s="97"/>
      <c r="D2122" s="49"/>
      <c r="E2122" s="49"/>
      <c r="F2122" s="98"/>
      <c r="G2122" s="98"/>
      <c r="H2122" s="97"/>
      <c r="I2122" s="99"/>
      <c r="J2122" s="49"/>
      <c r="K2122" s="49"/>
      <c r="L2122" s="49"/>
      <c r="M2122" s="49"/>
      <c r="N2122" s="49"/>
    </row>
    <row r="2123" ht="22.5" customHeight="1">
      <c r="A2123" s="101"/>
      <c r="B2123" s="102"/>
      <c r="C2123" s="103"/>
      <c r="D2123" s="101"/>
      <c r="E2123" s="101"/>
      <c r="F2123" s="104"/>
      <c r="G2123" s="104"/>
      <c r="H2123" s="103"/>
      <c r="I2123" s="99"/>
      <c r="J2123" s="101"/>
      <c r="K2123" s="101"/>
      <c r="L2123" s="101"/>
      <c r="M2123" s="101"/>
      <c r="N2123" s="101"/>
    </row>
    <row r="2124" ht="22.5" customHeight="1">
      <c r="A2124" s="49"/>
      <c r="B2124" s="81"/>
      <c r="C2124" s="97"/>
      <c r="D2124" s="49"/>
      <c r="E2124" s="49"/>
      <c r="F2124" s="98"/>
      <c r="G2124" s="98"/>
      <c r="H2124" s="97"/>
      <c r="I2124" s="99"/>
      <c r="J2124" s="49"/>
      <c r="K2124" s="49"/>
      <c r="L2124" s="49"/>
      <c r="M2124" s="49"/>
      <c r="N2124" s="49"/>
    </row>
    <row r="2125" ht="22.5" customHeight="1">
      <c r="A2125" s="101"/>
      <c r="B2125" s="102"/>
      <c r="C2125" s="103"/>
      <c r="D2125" s="101"/>
      <c r="E2125" s="101"/>
      <c r="F2125" s="104"/>
      <c r="G2125" s="104"/>
      <c r="H2125" s="103"/>
      <c r="I2125" s="99"/>
      <c r="J2125" s="101"/>
      <c r="K2125" s="101"/>
      <c r="L2125" s="101"/>
      <c r="M2125" s="101"/>
      <c r="N2125" s="101"/>
    </row>
    <row r="2126" ht="22.5" customHeight="1">
      <c r="A2126" s="49"/>
      <c r="B2126" s="81"/>
      <c r="C2126" s="97"/>
      <c r="D2126" s="49"/>
      <c r="E2126" s="49"/>
      <c r="F2126" s="98"/>
      <c r="G2126" s="98"/>
      <c r="H2126" s="97"/>
      <c r="I2126" s="99"/>
      <c r="J2126" s="49"/>
      <c r="K2126" s="49"/>
      <c r="L2126" s="49"/>
      <c r="M2126" s="49"/>
      <c r="N2126" s="49"/>
    </row>
    <row r="2127" ht="22.5" customHeight="1">
      <c r="A2127" s="101"/>
      <c r="B2127" s="102"/>
      <c r="C2127" s="103"/>
      <c r="D2127" s="101"/>
      <c r="E2127" s="101"/>
      <c r="F2127" s="104"/>
      <c r="G2127" s="104"/>
      <c r="H2127" s="103"/>
      <c r="I2127" s="99"/>
      <c r="J2127" s="101"/>
      <c r="K2127" s="101"/>
      <c r="L2127" s="101"/>
      <c r="M2127" s="101"/>
      <c r="N2127" s="101"/>
    </row>
    <row r="2128" ht="22.5" customHeight="1">
      <c r="A2128" s="49"/>
      <c r="B2128" s="81"/>
      <c r="C2128" s="97"/>
      <c r="D2128" s="49"/>
      <c r="E2128" s="49"/>
      <c r="F2128" s="98"/>
      <c r="G2128" s="98"/>
      <c r="H2128" s="97"/>
      <c r="I2128" s="99"/>
      <c r="J2128" s="49"/>
      <c r="K2128" s="49"/>
      <c r="L2128" s="49"/>
      <c r="M2128" s="49"/>
      <c r="N2128" s="49"/>
    </row>
    <row r="2129" ht="22.5" customHeight="1">
      <c r="A2129" s="101"/>
      <c r="B2129" s="102"/>
      <c r="C2129" s="103"/>
      <c r="D2129" s="101"/>
      <c r="E2129" s="101"/>
      <c r="F2129" s="104"/>
      <c r="G2129" s="104"/>
      <c r="H2129" s="103"/>
      <c r="I2129" s="99"/>
      <c r="J2129" s="101"/>
      <c r="K2129" s="101"/>
      <c r="L2129" s="101"/>
      <c r="M2129" s="101"/>
      <c r="N2129" s="101"/>
    </row>
    <row r="2130" ht="22.5" customHeight="1">
      <c r="A2130" s="49"/>
      <c r="B2130" s="81"/>
      <c r="C2130" s="97"/>
      <c r="D2130" s="49"/>
      <c r="E2130" s="49"/>
      <c r="F2130" s="98"/>
      <c r="G2130" s="98"/>
      <c r="H2130" s="97"/>
      <c r="I2130" s="99"/>
      <c r="J2130" s="49"/>
      <c r="K2130" s="49"/>
      <c r="L2130" s="49"/>
      <c r="M2130" s="49"/>
      <c r="N2130" s="49"/>
    </row>
    <row r="2131" ht="22.5" customHeight="1">
      <c r="A2131" s="101"/>
      <c r="B2131" s="102"/>
      <c r="C2131" s="103"/>
      <c r="D2131" s="101"/>
      <c r="E2131" s="101"/>
      <c r="F2131" s="104"/>
      <c r="G2131" s="104"/>
      <c r="H2131" s="103"/>
      <c r="I2131" s="99"/>
      <c r="J2131" s="101"/>
      <c r="K2131" s="101"/>
      <c r="L2131" s="101"/>
      <c r="M2131" s="101"/>
      <c r="N2131" s="101"/>
    </row>
    <row r="2132" ht="22.5" customHeight="1">
      <c r="A2132" s="49"/>
      <c r="B2132" s="81"/>
      <c r="C2132" s="97"/>
      <c r="D2132" s="49"/>
      <c r="E2132" s="49"/>
      <c r="F2132" s="98"/>
      <c r="G2132" s="98"/>
      <c r="H2132" s="97"/>
      <c r="I2132" s="99"/>
      <c r="J2132" s="49"/>
      <c r="K2132" s="49"/>
      <c r="L2132" s="49"/>
      <c r="M2132" s="49"/>
      <c r="N2132" s="49"/>
    </row>
    <row r="2133" ht="22.5" customHeight="1">
      <c r="A2133" s="101"/>
      <c r="B2133" s="102"/>
      <c r="C2133" s="103"/>
      <c r="D2133" s="101"/>
      <c r="E2133" s="101"/>
      <c r="F2133" s="104"/>
      <c r="G2133" s="104"/>
      <c r="H2133" s="103"/>
      <c r="I2133" s="99"/>
      <c r="J2133" s="101"/>
      <c r="K2133" s="101"/>
      <c r="L2133" s="101"/>
      <c r="M2133" s="101"/>
      <c r="N2133" s="101"/>
    </row>
    <row r="2134" ht="22.5" customHeight="1">
      <c r="A2134" s="49"/>
      <c r="B2134" s="81"/>
      <c r="C2134" s="97"/>
      <c r="D2134" s="49"/>
      <c r="E2134" s="49"/>
      <c r="F2134" s="98"/>
      <c r="G2134" s="98"/>
      <c r="H2134" s="97"/>
      <c r="I2134" s="99"/>
      <c r="J2134" s="49"/>
      <c r="K2134" s="49"/>
      <c r="L2134" s="49"/>
      <c r="M2134" s="49"/>
      <c r="N2134" s="49"/>
    </row>
    <row r="2135" ht="22.5" customHeight="1">
      <c r="A2135" s="101"/>
      <c r="B2135" s="102"/>
      <c r="C2135" s="103"/>
      <c r="D2135" s="101"/>
      <c r="E2135" s="101"/>
      <c r="F2135" s="104"/>
      <c r="G2135" s="104"/>
      <c r="H2135" s="103"/>
      <c r="I2135" s="99"/>
      <c r="J2135" s="101"/>
      <c r="K2135" s="101"/>
      <c r="L2135" s="101"/>
      <c r="M2135" s="101"/>
      <c r="N2135" s="101"/>
    </row>
    <row r="2136" ht="22.5" customHeight="1">
      <c r="A2136" s="49"/>
      <c r="B2136" s="81"/>
      <c r="C2136" s="97"/>
      <c r="D2136" s="49"/>
      <c r="E2136" s="49"/>
      <c r="F2136" s="98"/>
      <c r="G2136" s="98"/>
      <c r="H2136" s="97"/>
      <c r="I2136" s="99"/>
      <c r="J2136" s="49"/>
      <c r="K2136" s="49"/>
      <c r="L2136" s="49"/>
      <c r="M2136" s="49"/>
      <c r="N2136" s="49"/>
    </row>
    <row r="2137" ht="22.5" customHeight="1">
      <c r="A2137" s="101"/>
      <c r="B2137" s="102"/>
      <c r="C2137" s="103"/>
      <c r="D2137" s="101"/>
      <c r="E2137" s="101"/>
      <c r="F2137" s="104"/>
      <c r="G2137" s="104"/>
      <c r="H2137" s="103"/>
      <c r="I2137" s="99"/>
      <c r="J2137" s="101"/>
      <c r="K2137" s="101"/>
      <c r="L2137" s="101"/>
      <c r="M2137" s="101"/>
      <c r="N2137" s="101"/>
    </row>
    <row r="2138" ht="22.5" customHeight="1">
      <c r="A2138" s="49"/>
      <c r="B2138" s="81"/>
      <c r="C2138" s="97"/>
      <c r="D2138" s="49"/>
      <c r="E2138" s="49"/>
      <c r="F2138" s="98"/>
      <c r="G2138" s="98"/>
      <c r="H2138" s="97"/>
      <c r="I2138" s="99"/>
      <c r="J2138" s="49"/>
      <c r="K2138" s="49"/>
      <c r="L2138" s="49"/>
      <c r="M2138" s="49"/>
      <c r="N2138" s="49"/>
    </row>
    <row r="2139" ht="22.5" customHeight="1">
      <c r="A2139" s="101"/>
      <c r="B2139" s="102"/>
      <c r="C2139" s="103"/>
      <c r="D2139" s="101"/>
      <c r="E2139" s="101"/>
      <c r="F2139" s="104"/>
      <c r="G2139" s="104"/>
      <c r="H2139" s="103"/>
      <c r="I2139" s="99"/>
      <c r="J2139" s="101"/>
      <c r="K2139" s="101"/>
      <c r="L2139" s="101"/>
      <c r="M2139" s="101"/>
      <c r="N2139" s="101"/>
    </row>
    <row r="2140" ht="22.5" customHeight="1">
      <c r="A2140" s="49"/>
      <c r="B2140" s="81"/>
      <c r="C2140" s="97"/>
      <c r="D2140" s="49"/>
      <c r="E2140" s="49"/>
      <c r="F2140" s="98"/>
      <c r="G2140" s="98"/>
      <c r="H2140" s="97"/>
      <c r="I2140" s="99"/>
      <c r="J2140" s="49"/>
      <c r="K2140" s="49"/>
      <c r="L2140" s="49"/>
      <c r="M2140" s="49"/>
      <c r="N2140" s="49"/>
    </row>
    <row r="2141" ht="22.5" customHeight="1">
      <c r="A2141" s="101"/>
      <c r="B2141" s="102"/>
      <c r="C2141" s="103"/>
      <c r="D2141" s="101"/>
      <c r="E2141" s="101"/>
      <c r="F2141" s="104"/>
      <c r="G2141" s="104"/>
      <c r="H2141" s="103"/>
      <c r="I2141" s="99"/>
      <c r="J2141" s="101"/>
      <c r="K2141" s="101"/>
      <c r="L2141" s="101"/>
      <c r="M2141" s="101"/>
      <c r="N2141" s="101"/>
    </row>
    <row r="2142" ht="22.5" customHeight="1">
      <c r="A2142" s="49"/>
      <c r="B2142" s="81"/>
      <c r="C2142" s="97"/>
      <c r="D2142" s="49"/>
      <c r="E2142" s="49"/>
      <c r="F2142" s="98"/>
      <c r="G2142" s="98"/>
      <c r="H2142" s="97"/>
      <c r="I2142" s="99"/>
      <c r="J2142" s="49"/>
      <c r="K2142" s="49"/>
      <c r="L2142" s="49"/>
      <c r="M2142" s="49"/>
      <c r="N2142" s="49"/>
    </row>
    <row r="2143" ht="22.5" customHeight="1">
      <c r="A2143" s="101"/>
      <c r="B2143" s="102"/>
      <c r="C2143" s="103"/>
      <c r="D2143" s="101"/>
      <c r="E2143" s="101"/>
      <c r="F2143" s="104"/>
      <c r="G2143" s="104"/>
      <c r="H2143" s="103"/>
      <c r="I2143" s="99"/>
      <c r="J2143" s="101"/>
      <c r="K2143" s="101"/>
      <c r="L2143" s="101"/>
      <c r="M2143" s="101"/>
      <c r="N2143" s="101"/>
    </row>
    <row r="2144" ht="22.5" customHeight="1">
      <c r="A2144" s="49"/>
      <c r="B2144" s="81"/>
      <c r="C2144" s="97"/>
      <c r="D2144" s="49"/>
      <c r="E2144" s="49"/>
      <c r="F2144" s="98"/>
      <c r="G2144" s="98"/>
      <c r="H2144" s="97"/>
      <c r="I2144" s="99"/>
      <c r="J2144" s="49"/>
      <c r="K2144" s="49"/>
      <c r="L2144" s="49"/>
      <c r="M2144" s="49"/>
      <c r="N2144" s="49"/>
    </row>
    <row r="2145" ht="22.5" customHeight="1">
      <c r="A2145" s="101"/>
      <c r="B2145" s="102"/>
      <c r="C2145" s="103"/>
      <c r="D2145" s="101"/>
      <c r="E2145" s="101"/>
      <c r="F2145" s="104"/>
      <c r="G2145" s="104"/>
      <c r="H2145" s="103"/>
      <c r="I2145" s="99"/>
      <c r="J2145" s="101"/>
      <c r="K2145" s="101"/>
      <c r="L2145" s="101"/>
      <c r="M2145" s="101"/>
      <c r="N2145" s="101"/>
    </row>
    <row r="2146" ht="22.5" customHeight="1">
      <c r="A2146" s="49"/>
      <c r="B2146" s="81"/>
      <c r="C2146" s="97"/>
      <c r="D2146" s="49"/>
      <c r="E2146" s="49"/>
      <c r="F2146" s="98"/>
      <c r="G2146" s="98"/>
      <c r="H2146" s="97"/>
      <c r="I2146" s="99"/>
      <c r="J2146" s="49"/>
      <c r="K2146" s="49"/>
      <c r="L2146" s="49"/>
      <c r="M2146" s="49"/>
      <c r="N2146" s="49"/>
    </row>
    <row r="2147" ht="22.5" customHeight="1">
      <c r="A2147" s="101"/>
      <c r="B2147" s="102"/>
      <c r="C2147" s="103"/>
      <c r="D2147" s="101"/>
      <c r="E2147" s="101"/>
      <c r="F2147" s="104"/>
      <c r="G2147" s="104"/>
      <c r="H2147" s="103"/>
      <c r="I2147" s="99"/>
      <c r="J2147" s="101"/>
      <c r="K2147" s="101"/>
      <c r="L2147" s="101"/>
      <c r="M2147" s="101"/>
      <c r="N2147" s="101"/>
    </row>
    <row r="2148" ht="22.5" customHeight="1">
      <c r="A2148" s="49"/>
      <c r="B2148" s="81"/>
      <c r="C2148" s="97"/>
      <c r="D2148" s="49"/>
      <c r="E2148" s="49"/>
      <c r="F2148" s="98"/>
      <c r="G2148" s="98"/>
      <c r="H2148" s="97"/>
      <c r="I2148" s="99"/>
      <c r="J2148" s="49"/>
      <c r="K2148" s="49"/>
      <c r="L2148" s="49"/>
      <c r="M2148" s="49"/>
      <c r="N2148" s="49"/>
    </row>
    <row r="2149" ht="22.5" customHeight="1">
      <c r="A2149" s="101"/>
      <c r="B2149" s="102"/>
      <c r="C2149" s="103"/>
      <c r="D2149" s="101"/>
      <c r="E2149" s="101"/>
      <c r="F2149" s="104"/>
      <c r="G2149" s="104"/>
      <c r="H2149" s="103"/>
      <c r="I2149" s="99"/>
      <c r="J2149" s="101"/>
      <c r="K2149" s="101"/>
      <c r="L2149" s="101"/>
      <c r="M2149" s="101"/>
      <c r="N2149" s="101"/>
    </row>
    <row r="2150" ht="22.5" customHeight="1">
      <c r="A2150" s="49"/>
      <c r="B2150" s="81"/>
      <c r="C2150" s="97"/>
      <c r="D2150" s="49"/>
      <c r="E2150" s="49"/>
      <c r="F2150" s="98"/>
      <c r="G2150" s="98"/>
      <c r="H2150" s="97"/>
      <c r="I2150" s="99"/>
      <c r="J2150" s="49"/>
      <c r="K2150" s="49"/>
      <c r="L2150" s="49"/>
      <c r="M2150" s="49"/>
      <c r="N2150" s="49"/>
    </row>
    <row r="2151" ht="22.5" customHeight="1">
      <c r="A2151" s="101"/>
      <c r="B2151" s="102"/>
      <c r="C2151" s="103"/>
      <c r="D2151" s="101"/>
      <c r="E2151" s="101"/>
      <c r="F2151" s="104"/>
      <c r="G2151" s="104"/>
      <c r="H2151" s="103"/>
      <c r="I2151" s="99"/>
      <c r="J2151" s="101"/>
      <c r="K2151" s="101"/>
      <c r="L2151" s="101"/>
      <c r="M2151" s="101"/>
      <c r="N2151" s="101"/>
    </row>
    <row r="2152" ht="22.5" customHeight="1">
      <c r="A2152" s="49"/>
      <c r="B2152" s="81"/>
      <c r="C2152" s="97"/>
      <c r="D2152" s="49"/>
      <c r="E2152" s="49"/>
      <c r="F2152" s="98"/>
      <c r="G2152" s="98"/>
      <c r="H2152" s="97"/>
      <c r="I2152" s="99"/>
      <c r="J2152" s="49"/>
      <c r="K2152" s="49"/>
      <c r="L2152" s="49"/>
      <c r="M2152" s="49"/>
      <c r="N2152" s="49"/>
    </row>
    <row r="2153" ht="22.5" customHeight="1">
      <c r="A2153" s="101"/>
      <c r="B2153" s="102"/>
      <c r="C2153" s="103"/>
      <c r="D2153" s="101"/>
      <c r="E2153" s="101"/>
      <c r="F2153" s="104"/>
      <c r="G2153" s="104"/>
      <c r="H2153" s="103"/>
      <c r="I2153" s="99"/>
      <c r="J2153" s="101"/>
      <c r="K2153" s="101"/>
      <c r="L2153" s="101"/>
      <c r="M2153" s="101"/>
      <c r="N2153" s="101"/>
    </row>
    <row r="2154" ht="22.5" customHeight="1">
      <c r="A2154" s="49"/>
      <c r="B2154" s="81"/>
      <c r="C2154" s="97"/>
      <c r="D2154" s="49"/>
      <c r="E2154" s="49"/>
      <c r="F2154" s="98"/>
      <c r="G2154" s="98"/>
      <c r="H2154" s="97"/>
      <c r="I2154" s="99"/>
      <c r="J2154" s="49"/>
      <c r="K2154" s="49"/>
      <c r="L2154" s="49"/>
      <c r="M2154" s="49"/>
      <c r="N2154" s="49"/>
    </row>
    <row r="2155" ht="22.5" customHeight="1">
      <c r="A2155" s="101"/>
      <c r="B2155" s="102"/>
      <c r="C2155" s="103"/>
      <c r="D2155" s="101"/>
      <c r="E2155" s="101"/>
      <c r="F2155" s="104"/>
      <c r="G2155" s="104"/>
      <c r="H2155" s="103"/>
      <c r="I2155" s="99"/>
      <c r="J2155" s="101"/>
      <c r="K2155" s="101"/>
      <c r="L2155" s="101"/>
      <c r="M2155" s="101"/>
      <c r="N2155" s="101"/>
    </row>
    <row r="2156" ht="22.5" customHeight="1">
      <c r="A2156" s="49"/>
      <c r="B2156" s="81"/>
      <c r="C2156" s="97"/>
      <c r="D2156" s="49"/>
      <c r="E2156" s="49"/>
      <c r="F2156" s="98"/>
      <c r="G2156" s="98"/>
      <c r="H2156" s="97"/>
      <c r="I2156" s="99"/>
      <c r="J2156" s="49"/>
      <c r="K2156" s="49"/>
      <c r="L2156" s="49"/>
      <c r="M2156" s="49"/>
      <c r="N2156" s="49"/>
    </row>
    <row r="2157" ht="22.5" customHeight="1">
      <c r="A2157" s="101"/>
      <c r="B2157" s="102"/>
      <c r="C2157" s="103"/>
      <c r="D2157" s="101"/>
      <c r="E2157" s="101"/>
      <c r="F2157" s="104"/>
      <c r="G2157" s="104"/>
      <c r="H2157" s="103"/>
      <c r="I2157" s="99"/>
      <c r="J2157" s="101"/>
      <c r="K2157" s="101"/>
      <c r="L2157" s="101"/>
      <c r="M2157" s="101"/>
      <c r="N2157" s="101"/>
    </row>
    <row r="2158" ht="22.5" customHeight="1">
      <c r="A2158" s="49"/>
      <c r="B2158" s="81"/>
      <c r="C2158" s="97"/>
      <c r="D2158" s="49"/>
      <c r="E2158" s="49"/>
      <c r="F2158" s="98"/>
      <c r="G2158" s="98"/>
      <c r="H2158" s="97"/>
      <c r="I2158" s="99"/>
      <c r="J2158" s="49"/>
      <c r="K2158" s="49"/>
      <c r="L2158" s="49"/>
      <c r="M2158" s="49"/>
      <c r="N2158" s="49"/>
    </row>
    <row r="2159" ht="22.5" customHeight="1">
      <c r="A2159" s="101"/>
      <c r="B2159" s="102"/>
      <c r="C2159" s="103"/>
      <c r="D2159" s="101"/>
      <c r="E2159" s="101"/>
      <c r="F2159" s="104"/>
      <c r="G2159" s="104"/>
      <c r="H2159" s="103"/>
      <c r="I2159" s="99"/>
      <c r="J2159" s="101"/>
      <c r="K2159" s="101"/>
      <c r="L2159" s="101"/>
      <c r="M2159" s="101"/>
      <c r="N2159" s="101"/>
    </row>
    <row r="2160" ht="22.5" customHeight="1">
      <c r="A2160" s="49"/>
      <c r="B2160" s="81"/>
      <c r="C2160" s="97"/>
      <c r="D2160" s="49"/>
      <c r="E2160" s="49"/>
      <c r="F2160" s="98"/>
      <c r="G2160" s="98"/>
      <c r="H2160" s="97"/>
      <c r="I2160" s="99"/>
      <c r="J2160" s="49"/>
      <c r="K2160" s="49"/>
      <c r="L2160" s="49"/>
      <c r="M2160" s="49"/>
      <c r="N2160" s="49"/>
    </row>
    <row r="2161" ht="22.5" customHeight="1">
      <c r="A2161" s="101"/>
      <c r="B2161" s="102"/>
      <c r="C2161" s="103"/>
      <c r="D2161" s="101"/>
      <c r="E2161" s="101"/>
      <c r="F2161" s="104"/>
      <c r="G2161" s="104"/>
      <c r="H2161" s="103"/>
      <c r="I2161" s="99"/>
      <c r="J2161" s="101"/>
      <c r="K2161" s="101"/>
      <c r="L2161" s="101"/>
      <c r="M2161" s="101"/>
      <c r="N2161" s="101"/>
    </row>
    <row r="2162" ht="22.5" customHeight="1">
      <c r="A2162" s="49"/>
      <c r="B2162" s="81"/>
      <c r="C2162" s="97"/>
      <c r="D2162" s="49"/>
      <c r="E2162" s="49"/>
      <c r="F2162" s="98"/>
      <c r="G2162" s="98"/>
      <c r="H2162" s="97"/>
      <c r="I2162" s="99"/>
      <c r="J2162" s="49"/>
      <c r="K2162" s="49"/>
      <c r="L2162" s="49"/>
      <c r="M2162" s="49"/>
      <c r="N2162" s="49"/>
    </row>
    <row r="2163" ht="22.5" customHeight="1">
      <c r="A2163" s="101"/>
      <c r="B2163" s="102"/>
      <c r="C2163" s="103"/>
      <c r="D2163" s="101"/>
      <c r="E2163" s="101"/>
      <c r="F2163" s="104"/>
      <c r="G2163" s="104"/>
      <c r="H2163" s="103"/>
      <c r="I2163" s="99"/>
      <c r="J2163" s="101"/>
      <c r="K2163" s="101"/>
      <c r="L2163" s="101"/>
      <c r="M2163" s="101"/>
      <c r="N2163" s="101"/>
    </row>
    <row r="2164" ht="22.5" customHeight="1">
      <c r="A2164" s="49"/>
      <c r="B2164" s="81"/>
      <c r="C2164" s="97"/>
      <c r="D2164" s="49"/>
      <c r="E2164" s="49"/>
      <c r="F2164" s="98"/>
      <c r="G2164" s="98"/>
      <c r="H2164" s="97"/>
      <c r="I2164" s="99"/>
      <c r="J2164" s="49"/>
      <c r="K2164" s="49"/>
      <c r="L2164" s="49"/>
      <c r="M2164" s="49"/>
      <c r="N2164" s="49"/>
    </row>
    <row r="2165" ht="22.5" customHeight="1">
      <c r="A2165" s="101"/>
      <c r="B2165" s="102"/>
      <c r="C2165" s="103"/>
      <c r="D2165" s="101"/>
      <c r="E2165" s="101"/>
      <c r="F2165" s="104"/>
      <c r="G2165" s="104"/>
      <c r="H2165" s="103"/>
      <c r="I2165" s="99"/>
      <c r="J2165" s="101"/>
      <c r="K2165" s="101"/>
      <c r="L2165" s="101"/>
      <c r="M2165" s="101"/>
      <c r="N2165" s="101"/>
    </row>
    <row r="2166" ht="22.5" customHeight="1">
      <c r="A2166" s="49"/>
      <c r="B2166" s="81"/>
      <c r="C2166" s="97"/>
      <c r="D2166" s="49"/>
      <c r="E2166" s="49"/>
      <c r="F2166" s="98"/>
      <c r="G2166" s="98"/>
      <c r="H2166" s="97"/>
      <c r="I2166" s="99"/>
      <c r="J2166" s="49"/>
      <c r="K2166" s="49"/>
      <c r="L2166" s="49"/>
      <c r="M2166" s="49"/>
      <c r="N2166" s="49"/>
    </row>
    <row r="2167" ht="22.5" customHeight="1">
      <c r="A2167" s="101"/>
      <c r="B2167" s="102"/>
      <c r="C2167" s="103"/>
      <c r="D2167" s="101"/>
      <c r="E2167" s="101"/>
      <c r="F2167" s="104"/>
      <c r="G2167" s="104"/>
      <c r="H2167" s="103"/>
      <c r="I2167" s="99"/>
      <c r="J2167" s="101"/>
      <c r="K2167" s="101"/>
      <c r="L2167" s="101"/>
      <c r="M2167" s="101"/>
      <c r="N2167" s="101"/>
    </row>
    <row r="2168" ht="22.5" customHeight="1">
      <c r="A2168" s="49"/>
      <c r="B2168" s="81"/>
      <c r="C2168" s="97"/>
      <c r="D2168" s="49"/>
      <c r="E2168" s="49"/>
      <c r="F2168" s="98"/>
      <c r="G2168" s="98"/>
      <c r="H2168" s="97"/>
      <c r="I2168" s="99"/>
      <c r="J2168" s="49"/>
      <c r="K2168" s="49"/>
      <c r="L2168" s="49"/>
      <c r="M2168" s="49"/>
      <c r="N2168" s="49"/>
    </row>
    <row r="2169" ht="22.5" customHeight="1">
      <c r="A2169" s="101"/>
      <c r="B2169" s="102"/>
      <c r="C2169" s="103"/>
      <c r="D2169" s="101"/>
      <c r="E2169" s="101"/>
      <c r="F2169" s="104"/>
      <c r="G2169" s="104"/>
      <c r="H2169" s="103"/>
      <c r="I2169" s="99"/>
      <c r="J2169" s="101"/>
      <c r="K2169" s="101"/>
      <c r="L2169" s="101"/>
      <c r="M2169" s="101"/>
      <c r="N2169" s="101"/>
    </row>
    <row r="2170" ht="22.5" customHeight="1">
      <c r="A2170" s="49"/>
      <c r="B2170" s="81"/>
      <c r="C2170" s="97"/>
      <c r="D2170" s="49"/>
      <c r="E2170" s="49"/>
      <c r="F2170" s="98"/>
      <c r="G2170" s="98"/>
      <c r="H2170" s="97"/>
      <c r="I2170" s="99"/>
      <c r="J2170" s="49"/>
      <c r="K2170" s="49"/>
      <c r="L2170" s="49"/>
      <c r="M2170" s="49"/>
      <c r="N2170" s="49"/>
    </row>
    <row r="2171" ht="22.5" customHeight="1">
      <c r="A2171" s="101"/>
      <c r="B2171" s="102"/>
      <c r="C2171" s="103"/>
      <c r="D2171" s="101"/>
      <c r="E2171" s="101"/>
      <c r="F2171" s="104"/>
      <c r="G2171" s="104"/>
      <c r="H2171" s="103"/>
      <c r="I2171" s="99"/>
      <c r="J2171" s="101"/>
      <c r="K2171" s="101"/>
      <c r="L2171" s="101"/>
      <c r="M2171" s="101"/>
      <c r="N2171" s="101"/>
    </row>
    <row r="2172" ht="22.5" customHeight="1">
      <c r="A2172" s="49"/>
      <c r="B2172" s="81"/>
      <c r="C2172" s="97"/>
      <c r="D2172" s="49"/>
      <c r="E2172" s="49"/>
      <c r="F2172" s="98"/>
      <c r="G2172" s="98"/>
      <c r="H2172" s="97"/>
      <c r="I2172" s="99"/>
      <c r="J2172" s="49"/>
      <c r="K2172" s="49"/>
      <c r="L2172" s="49"/>
      <c r="M2172" s="49"/>
      <c r="N2172" s="49"/>
    </row>
    <row r="2173" ht="22.5" customHeight="1">
      <c r="A2173" s="101"/>
      <c r="B2173" s="102"/>
      <c r="C2173" s="103"/>
      <c r="D2173" s="101"/>
      <c r="E2173" s="101"/>
      <c r="F2173" s="104"/>
      <c r="G2173" s="104"/>
      <c r="H2173" s="103"/>
      <c r="I2173" s="99"/>
      <c r="J2173" s="101"/>
      <c r="K2173" s="101"/>
      <c r="L2173" s="101"/>
      <c r="M2173" s="101"/>
      <c r="N2173" s="101"/>
    </row>
    <row r="2174" ht="22.5" customHeight="1">
      <c r="A2174" s="49"/>
      <c r="B2174" s="81"/>
      <c r="C2174" s="97"/>
      <c r="D2174" s="49"/>
      <c r="E2174" s="49"/>
      <c r="F2174" s="98"/>
      <c r="G2174" s="98"/>
      <c r="H2174" s="97"/>
      <c r="I2174" s="99"/>
      <c r="J2174" s="49"/>
      <c r="K2174" s="49"/>
      <c r="L2174" s="49"/>
      <c r="M2174" s="49"/>
      <c r="N2174" s="49"/>
    </row>
    <row r="2175" ht="22.5" customHeight="1">
      <c r="A2175" s="101"/>
      <c r="B2175" s="102"/>
      <c r="C2175" s="103"/>
      <c r="D2175" s="101"/>
      <c r="E2175" s="101"/>
      <c r="F2175" s="104"/>
      <c r="G2175" s="104"/>
      <c r="H2175" s="103"/>
      <c r="I2175" s="99"/>
      <c r="J2175" s="101"/>
      <c r="K2175" s="101"/>
      <c r="L2175" s="101"/>
      <c r="M2175" s="101"/>
      <c r="N2175" s="101"/>
    </row>
    <row r="2176" ht="22.5" customHeight="1">
      <c r="A2176" s="49"/>
      <c r="B2176" s="81"/>
      <c r="C2176" s="97"/>
      <c r="D2176" s="49"/>
      <c r="E2176" s="49"/>
      <c r="F2176" s="98"/>
      <c r="G2176" s="98"/>
      <c r="H2176" s="97"/>
      <c r="I2176" s="99"/>
      <c r="J2176" s="49"/>
      <c r="K2176" s="49"/>
      <c r="L2176" s="49"/>
      <c r="M2176" s="49"/>
      <c r="N2176" s="49"/>
    </row>
    <row r="2177" ht="22.5" customHeight="1">
      <c r="A2177" s="101"/>
      <c r="B2177" s="102"/>
      <c r="C2177" s="103"/>
      <c r="D2177" s="101"/>
      <c r="E2177" s="101"/>
      <c r="F2177" s="104"/>
      <c r="G2177" s="104"/>
      <c r="H2177" s="103"/>
      <c r="I2177" s="99"/>
      <c r="J2177" s="101"/>
      <c r="K2177" s="101"/>
      <c r="L2177" s="101"/>
      <c r="M2177" s="101"/>
      <c r="N2177" s="101"/>
    </row>
    <row r="2178" ht="22.5" customHeight="1">
      <c r="A2178" s="49"/>
      <c r="B2178" s="81"/>
      <c r="C2178" s="97"/>
      <c r="D2178" s="49"/>
      <c r="E2178" s="49"/>
      <c r="F2178" s="98"/>
      <c r="G2178" s="98"/>
      <c r="H2178" s="97"/>
      <c r="I2178" s="99"/>
      <c r="J2178" s="49"/>
      <c r="K2178" s="49"/>
      <c r="L2178" s="49"/>
      <c r="M2178" s="49"/>
      <c r="N2178" s="49"/>
    </row>
    <row r="2179" ht="22.5" customHeight="1">
      <c r="A2179" s="101"/>
      <c r="B2179" s="102"/>
      <c r="C2179" s="103"/>
      <c r="D2179" s="101"/>
      <c r="E2179" s="101"/>
      <c r="F2179" s="104"/>
      <c r="G2179" s="104"/>
      <c r="H2179" s="103"/>
      <c r="I2179" s="99"/>
      <c r="J2179" s="101"/>
      <c r="K2179" s="101"/>
      <c r="L2179" s="101"/>
      <c r="M2179" s="101"/>
      <c r="N2179" s="101"/>
    </row>
    <row r="2180" ht="22.5" customHeight="1">
      <c r="A2180" s="49"/>
      <c r="B2180" s="81"/>
      <c r="C2180" s="97"/>
      <c r="D2180" s="49"/>
      <c r="E2180" s="49"/>
      <c r="F2180" s="98"/>
      <c r="G2180" s="98"/>
      <c r="H2180" s="97"/>
      <c r="I2180" s="99"/>
      <c r="J2180" s="49"/>
      <c r="K2180" s="49"/>
      <c r="L2180" s="49"/>
      <c r="M2180" s="49"/>
      <c r="N2180" s="49"/>
    </row>
    <row r="2181" ht="22.5" customHeight="1">
      <c r="A2181" s="101"/>
      <c r="B2181" s="102"/>
      <c r="C2181" s="103"/>
      <c r="D2181" s="101"/>
      <c r="E2181" s="101"/>
      <c r="F2181" s="104"/>
      <c r="G2181" s="104"/>
      <c r="H2181" s="103"/>
      <c r="I2181" s="99"/>
      <c r="J2181" s="101"/>
      <c r="K2181" s="101"/>
      <c r="L2181" s="101"/>
      <c r="M2181" s="101"/>
      <c r="N2181" s="101"/>
    </row>
    <row r="2182" ht="22.5" customHeight="1">
      <c r="A2182" s="49"/>
      <c r="B2182" s="81"/>
      <c r="C2182" s="97"/>
      <c r="D2182" s="49"/>
      <c r="E2182" s="49"/>
      <c r="F2182" s="98"/>
      <c r="G2182" s="98"/>
      <c r="H2182" s="97"/>
      <c r="I2182" s="99"/>
      <c r="J2182" s="49"/>
      <c r="K2182" s="49"/>
      <c r="L2182" s="49"/>
      <c r="M2182" s="49"/>
      <c r="N2182" s="49"/>
    </row>
    <row r="2183" ht="22.5" customHeight="1">
      <c r="A2183" s="101"/>
      <c r="B2183" s="102"/>
      <c r="C2183" s="103"/>
      <c r="D2183" s="101"/>
      <c r="E2183" s="101"/>
      <c r="F2183" s="104"/>
      <c r="G2183" s="104"/>
      <c r="H2183" s="103"/>
      <c r="I2183" s="99"/>
      <c r="J2183" s="101"/>
      <c r="K2183" s="101"/>
      <c r="L2183" s="101"/>
      <c r="M2183" s="101"/>
      <c r="N2183" s="101"/>
    </row>
    <row r="2184" ht="22.5" customHeight="1">
      <c r="A2184" s="49"/>
      <c r="B2184" s="81"/>
      <c r="C2184" s="97"/>
      <c r="D2184" s="49"/>
      <c r="E2184" s="49"/>
      <c r="F2184" s="98"/>
      <c r="G2184" s="98"/>
      <c r="H2184" s="97"/>
      <c r="I2184" s="99"/>
      <c r="J2184" s="49"/>
      <c r="K2184" s="49"/>
      <c r="L2184" s="49"/>
      <c r="M2184" s="49"/>
      <c r="N2184" s="49"/>
    </row>
    <row r="2185" ht="22.5" customHeight="1">
      <c r="A2185" s="101"/>
      <c r="B2185" s="102"/>
      <c r="C2185" s="103"/>
      <c r="D2185" s="101"/>
      <c r="E2185" s="101"/>
      <c r="F2185" s="104"/>
      <c r="G2185" s="104"/>
      <c r="H2185" s="103"/>
      <c r="I2185" s="99"/>
      <c r="J2185" s="101"/>
      <c r="K2185" s="101"/>
      <c r="L2185" s="101"/>
      <c r="M2185" s="101"/>
      <c r="N2185" s="101"/>
    </row>
    <row r="2186" ht="22.5" customHeight="1">
      <c r="A2186" s="49"/>
      <c r="B2186" s="81"/>
      <c r="C2186" s="97"/>
      <c r="D2186" s="49"/>
      <c r="E2186" s="49"/>
      <c r="F2186" s="98"/>
      <c r="G2186" s="98"/>
      <c r="H2186" s="97"/>
      <c r="I2186" s="99"/>
      <c r="J2186" s="49"/>
      <c r="K2186" s="49"/>
      <c r="L2186" s="49"/>
      <c r="M2186" s="49"/>
      <c r="N2186" s="49"/>
    </row>
    <row r="2187" ht="22.5" customHeight="1">
      <c r="A2187" s="101"/>
      <c r="B2187" s="102"/>
      <c r="C2187" s="103"/>
      <c r="D2187" s="101"/>
      <c r="E2187" s="101"/>
      <c r="F2187" s="104"/>
      <c r="G2187" s="104"/>
      <c r="H2187" s="103"/>
      <c r="I2187" s="99"/>
      <c r="J2187" s="101"/>
      <c r="K2187" s="101"/>
      <c r="L2187" s="101"/>
      <c r="M2187" s="101"/>
      <c r="N2187" s="101"/>
    </row>
    <row r="2188" ht="22.5" customHeight="1">
      <c r="A2188" s="49"/>
      <c r="B2188" s="81"/>
      <c r="C2188" s="97"/>
      <c r="D2188" s="49"/>
      <c r="E2188" s="49"/>
      <c r="F2188" s="98"/>
      <c r="G2188" s="98"/>
      <c r="H2188" s="97"/>
      <c r="I2188" s="99"/>
      <c r="J2188" s="49"/>
      <c r="K2188" s="49"/>
      <c r="L2188" s="49"/>
      <c r="M2188" s="49"/>
      <c r="N2188" s="49"/>
    </row>
    <row r="2189" ht="22.5" customHeight="1">
      <c r="A2189" s="101"/>
      <c r="B2189" s="102"/>
      <c r="C2189" s="103"/>
      <c r="D2189" s="101"/>
      <c r="E2189" s="101"/>
      <c r="F2189" s="104"/>
      <c r="G2189" s="104"/>
      <c r="H2189" s="103"/>
      <c r="I2189" s="99"/>
      <c r="J2189" s="101"/>
      <c r="K2189" s="101"/>
      <c r="L2189" s="101"/>
      <c r="M2189" s="101"/>
      <c r="N2189" s="101"/>
    </row>
    <row r="2190" ht="22.5" customHeight="1">
      <c r="A2190" s="49"/>
      <c r="B2190" s="81"/>
      <c r="C2190" s="97"/>
      <c r="D2190" s="49"/>
      <c r="E2190" s="49"/>
      <c r="F2190" s="98"/>
      <c r="G2190" s="98"/>
      <c r="H2190" s="97"/>
      <c r="I2190" s="99"/>
      <c r="J2190" s="49"/>
      <c r="K2190" s="49"/>
      <c r="L2190" s="49"/>
      <c r="M2190" s="49"/>
      <c r="N2190" s="49"/>
    </row>
    <row r="2191" ht="22.5" customHeight="1">
      <c r="A2191" s="101"/>
      <c r="B2191" s="102"/>
      <c r="C2191" s="103"/>
      <c r="D2191" s="101"/>
      <c r="E2191" s="101"/>
      <c r="F2191" s="104"/>
      <c r="G2191" s="104"/>
      <c r="H2191" s="103"/>
      <c r="I2191" s="99"/>
      <c r="J2191" s="101"/>
      <c r="K2191" s="101"/>
      <c r="L2191" s="101"/>
      <c r="M2191" s="101"/>
      <c r="N2191" s="101"/>
    </row>
    <row r="2192" ht="22.5" customHeight="1">
      <c r="A2192" s="49"/>
      <c r="B2192" s="81"/>
      <c r="C2192" s="97"/>
      <c r="D2192" s="49"/>
      <c r="E2192" s="49"/>
      <c r="F2192" s="98"/>
      <c r="G2192" s="98"/>
      <c r="H2192" s="97"/>
      <c r="I2192" s="99"/>
      <c r="J2192" s="49"/>
      <c r="K2192" s="49"/>
      <c r="L2192" s="49"/>
      <c r="M2192" s="49"/>
      <c r="N2192" s="49"/>
    </row>
    <row r="2193" ht="22.5" customHeight="1">
      <c r="A2193" s="101"/>
      <c r="B2193" s="102"/>
      <c r="C2193" s="103"/>
      <c r="D2193" s="101"/>
      <c r="E2193" s="101"/>
      <c r="F2193" s="104"/>
      <c r="G2193" s="104"/>
      <c r="H2193" s="103"/>
      <c r="I2193" s="99"/>
      <c r="J2193" s="101"/>
      <c r="K2193" s="101"/>
      <c r="L2193" s="101"/>
      <c r="M2193" s="101"/>
      <c r="N2193" s="101"/>
    </row>
    <row r="2194" ht="22.5" customHeight="1">
      <c r="A2194" s="49"/>
      <c r="B2194" s="81"/>
      <c r="C2194" s="97"/>
      <c r="D2194" s="49"/>
      <c r="E2194" s="49"/>
      <c r="F2194" s="98"/>
      <c r="G2194" s="98"/>
      <c r="H2194" s="97"/>
      <c r="I2194" s="99"/>
      <c r="J2194" s="49"/>
      <c r="K2194" s="49"/>
      <c r="L2194" s="49"/>
      <c r="M2194" s="49"/>
      <c r="N2194" s="49"/>
    </row>
    <row r="2195" ht="22.5" customHeight="1">
      <c r="A2195" s="101"/>
      <c r="B2195" s="102"/>
      <c r="C2195" s="103"/>
      <c r="D2195" s="101"/>
      <c r="E2195" s="101"/>
      <c r="F2195" s="104"/>
      <c r="G2195" s="104"/>
      <c r="H2195" s="103"/>
      <c r="I2195" s="99"/>
      <c r="J2195" s="101"/>
      <c r="K2195" s="101"/>
      <c r="L2195" s="101"/>
      <c r="M2195" s="101"/>
      <c r="N2195" s="101"/>
    </row>
    <row r="2196" ht="22.5" customHeight="1">
      <c r="A2196" s="49"/>
      <c r="B2196" s="81"/>
      <c r="C2196" s="97"/>
      <c r="D2196" s="49"/>
      <c r="E2196" s="49"/>
      <c r="F2196" s="98"/>
      <c r="G2196" s="98"/>
      <c r="H2196" s="97"/>
      <c r="I2196" s="99"/>
      <c r="J2196" s="49"/>
      <c r="K2196" s="49"/>
      <c r="L2196" s="49"/>
      <c r="M2196" s="49"/>
      <c r="N2196" s="49"/>
    </row>
    <row r="2197" ht="22.5" customHeight="1">
      <c r="A2197" s="101"/>
      <c r="B2197" s="102"/>
      <c r="C2197" s="103"/>
      <c r="D2197" s="101"/>
      <c r="E2197" s="101"/>
      <c r="F2197" s="104"/>
      <c r="G2197" s="104"/>
      <c r="H2197" s="103"/>
      <c r="I2197" s="99"/>
      <c r="J2197" s="101"/>
      <c r="K2197" s="101"/>
      <c r="L2197" s="101"/>
      <c r="M2197" s="101"/>
      <c r="N2197" s="101"/>
    </row>
    <row r="2198" ht="22.5" customHeight="1">
      <c r="A2198" s="49"/>
      <c r="B2198" s="81"/>
      <c r="C2198" s="97"/>
      <c r="D2198" s="49"/>
      <c r="E2198" s="49"/>
      <c r="F2198" s="98"/>
      <c r="G2198" s="98"/>
      <c r="H2198" s="97"/>
      <c r="I2198" s="99"/>
      <c r="J2198" s="49"/>
      <c r="K2198" s="49"/>
      <c r="L2198" s="49"/>
      <c r="M2198" s="49"/>
      <c r="N2198" s="49"/>
    </row>
    <row r="2199" ht="22.5" customHeight="1">
      <c r="A2199" s="101"/>
      <c r="B2199" s="102"/>
      <c r="C2199" s="103"/>
      <c r="D2199" s="101"/>
      <c r="E2199" s="101"/>
      <c r="F2199" s="104"/>
      <c r="G2199" s="104"/>
      <c r="H2199" s="103"/>
      <c r="I2199" s="99"/>
      <c r="J2199" s="101"/>
      <c r="K2199" s="101"/>
      <c r="L2199" s="101"/>
      <c r="M2199" s="101"/>
      <c r="N2199" s="101"/>
    </row>
    <row r="2200" ht="22.5" customHeight="1">
      <c r="A2200" s="49"/>
      <c r="B2200" s="81"/>
      <c r="C2200" s="97"/>
      <c r="D2200" s="49"/>
      <c r="E2200" s="49"/>
      <c r="F2200" s="98"/>
      <c r="G2200" s="98"/>
      <c r="H2200" s="97"/>
      <c r="I2200" s="99"/>
      <c r="J2200" s="49"/>
      <c r="K2200" s="49"/>
      <c r="L2200" s="49"/>
      <c r="M2200" s="49"/>
      <c r="N2200" s="49"/>
    </row>
    <row r="2201" ht="22.5" customHeight="1">
      <c r="A2201" s="101"/>
      <c r="B2201" s="102"/>
      <c r="C2201" s="103"/>
      <c r="D2201" s="101"/>
      <c r="E2201" s="101"/>
      <c r="F2201" s="104"/>
      <c r="G2201" s="104"/>
      <c r="H2201" s="103"/>
      <c r="I2201" s="99"/>
      <c r="J2201" s="101"/>
      <c r="K2201" s="101"/>
      <c r="L2201" s="101"/>
      <c r="M2201" s="101"/>
      <c r="N2201" s="101"/>
    </row>
    <row r="2202" ht="22.5" customHeight="1">
      <c r="A2202" s="49"/>
      <c r="B2202" s="81"/>
      <c r="C2202" s="97"/>
      <c r="D2202" s="49"/>
      <c r="E2202" s="49"/>
      <c r="F2202" s="98"/>
      <c r="G2202" s="98"/>
      <c r="H2202" s="97"/>
      <c r="I2202" s="99"/>
      <c r="J2202" s="49"/>
      <c r="K2202" s="49"/>
      <c r="L2202" s="49"/>
      <c r="M2202" s="49"/>
      <c r="N2202" s="49"/>
    </row>
    <row r="2203" ht="22.5" customHeight="1">
      <c r="A2203" s="101"/>
      <c r="B2203" s="102"/>
      <c r="C2203" s="103"/>
      <c r="D2203" s="101"/>
      <c r="E2203" s="101"/>
      <c r="F2203" s="104"/>
      <c r="G2203" s="104"/>
      <c r="H2203" s="103"/>
      <c r="I2203" s="99"/>
      <c r="J2203" s="101"/>
      <c r="K2203" s="101"/>
      <c r="L2203" s="101"/>
      <c r="M2203" s="101"/>
      <c r="N2203" s="101"/>
    </row>
    <row r="2204" ht="22.5" customHeight="1">
      <c r="A2204" s="49"/>
      <c r="B2204" s="81"/>
      <c r="C2204" s="97"/>
      <c r="D2204" s="49"/>
      <c r="E2204" s="49"/>
      <c r="F2204" s="98"/>
      <c r="G2204" s="98"/>
      <c r="H2204" s="97"/>
      <c r="I2204" s="99"/>
      <c r="J2204" s="49"/>
      <c r="K2204" s="49"/>
      <c r="L2204" s="49"/>
      <c r="M2204" s="49"/>
      <c r="N2204" s="49"/>
    </row>
    <row r="2205" ht="22.5" customHeight="1">
      <c r="A2205" s="101"/>
      <c r="B2205" s="102"/>
      <c r="C2205" s="103"/>
      <c r="D2205" s="101"/>
      <c r="E2205" s="101"/>
      <c r="F2205" s="104"/>
      <c r="G2205" s="104"/>
      <c r="H2205" s="103"/>
      <c r="I2205" s="99"/>
      <c r="J2205" s="101"/>
      <c r="K2205" s="101"/>
      <c r="L2205" s="101"/>
      <c r="M2205" s="101"/>
      <c r="N2205" s="101"/>
    </row>
    <row r="2206" ht="22.5" customHeight="1">
      <c r="A2206" s="49"/>
      <c r="B2206" s="81"/>
      <c r="C2206" s="97"/>
      <c r="D2206" s="49"/>
      <c r="E2206" s="49"/>
      <c r="F2206" s="98"/>
      <c r="G2206" s="98"/>
      <c r="H2206" s="97"/>
      <c r="I2206" s="99"/>
      <c r="J2206" s="49"/>
      <c r="K2206" s="49"/>
      <c r="L2206" s="49"/>
      <c r="M2206" s="49"/>
      <c r="N2206" s="49"/>
    </row>
    <row r="2207" ht="22.5" customHeight="1">
      <c r="A2207" s="101"/>
      <c r="B2207" s="102"/>
      <c r="C2207" s="103"/>
      <c r="D2207" s="101"/>
      <c r="E2207" s="101"/>
      <c r="F2207" s="104"/>
      <c r="G2207" s="104"/>
      <c r="H2207" s="103"/>
      <c r="I2207" s="99"/>
      <c r="J2207" s="101"/>
      <c r="K2207" s="101"/>
      <c r="L2207" s="101"/>
      <c r="M2207" s="101"/>
      <c r="N2207" s="101"/>
    </row>
    <row r="2208" ht="22.5" customHeight="1">
      <c r="A2208" s="49"/>
      <c r="B2208" s="81"/>
      <c r="C2208" s="97"/>
      <c r="D2208" s="49"/>
      <c r="E2208" s="49"/>
      <c r="F2208" s="98"/>
      <c r="G2208" s="98"/>
      <c r="H2208" s="97"/>
      <c r="I2208" s="99"/>
      <c r="J2208" s="49"/>
      <c r="K2208" s="49"/>
      <c r="L2208" s="49"/>
      <c r="M2208" s="49"/>
      <c r="N2208" s="49"/>
    </row>
    <row r="2209" ht="22.5" customHeight="1">
      <c r="A2209" s="101"/>
      <c r="B2209" s="102"/>
      <c r="C2209" s="103"/>
      <c r="D2209" s="101"/>
      <c r="E2209" s="101"/>
      <c r="F2209" s="104"/>
      <c r="G2209" s="104"/>
      <c r="H2209" s="103"/>
      <c r="I2209" s="99"/>
      <c r="J2209" s="101"/>
      <c r="K2209" s="101"/>
      <c r="L2209" s="101"/>
      <c r="M2209" s="101"/>
      <c r="N2209" s="101"/>
    </row>
    <row r="2210" ht="22.5" customHeight="1">
      <c r="A2210" s="49"/>
      <c r="B2210" s="81"/>
      <c r="C2210" s="97"/>
      <c r="D2210" s="49"/>
      <c r="E2210" s="49"/>
      <c r="F2210" s="98"/>
      <c r="G2210" s="98"/>
      <c r="H2210" s="97"/>
      <c r="I2210" s="99"/>
      <c r="J2210" s="49"/>
      <c r="K2210" s="49"/>
      <c r="L2210" s="49"/>
      <c r="M2210" s="49"/>
      <c r="N2210" s="49"/>
    </row>
    <row r="2211" ht="22.5" customHeight="1">
      <c r="A2211" s="101"/>
      <c r="B2211" s="102"/>
      <c r="C2211" s="103"/>
      <c r="D2211" s="101"/>
      <c r="E2211" s="101"/>
      <c r="F2211" s="104"/>
      <c r="G2211" s="104"/>
      <c r="H2211" s="103"/>
      <c r="I2211" s="99"/>
      <c r="J2211" s="101"/>
      <c r="K2211" s="101"/>
      <c r="L2211" s="101"/>
      <c r="M2211" s="101"/>
      <c r="N2211" s="101"/>
    </row>
    <row r="2212" ht="22.5" customHeight="1">
      <c r="A2212" s="49"/>
      <c r="B2212" s="81"/>
      <c r="C2212" s="97"/>
      <c r="D2212" s="49"/>
      <c r="E2212" s="49"/>
      <c r="F2212" s="98"/>
      <c r="G2212" s="98"/>
      <c r="H2212" s="97"/>
      <c r="I2212" s="99"/>
      <c r="J2212" s="49"/>
      <c r="K2212" s="49"/>
      <c r="L2212" s="49"/>
      <c r="M2212" s="49"/>
      <c r="N2212" s="49"/>
    </row>
    <row r="2213" ht="22.5" customHeight="1">
      <c r="A2213" s="101"/>
      <c r="B2213" s="102"/>
      <c r="C2213" s="103"/>
      <c r="D2213" s="101"/>
      <c r="E2213" s="101"/>
      <c r="F2213" s="104"/>
      <c r="G2213" s="104"/>
      <c r="H2213" s="103"/>
      <c r="I2213" s="99"/>
      <c r="J2213" s="101"/>
      <c r="K2213" s="101"/>
      <c r="L2213" s="101"/>
      <c r="M2213" s="101"/>
      <c r="N2213" s="101"/>
    </row>
    <row r="2214" ht="22.5" customHeight="1">
      <c r="A2214" s="49"/>
      <c r="B2214" s="81"/>
      <c r="C2214" s="97"/>
      <c r="D2214" s="49"/>
      <c r="E2214" s="49"/>
      <c r="F2214" s="98"/>
      <c r="G2214" s="98"/>
      <c r="H2214" s="97"/>
      <c r="I2214" s="99"/>
      <c r="J2214" s="49"/>
      <c r="K2214" s="49"/>
      <c r="L2214" s="49"/>
      <c r="M2214" s="49"/>
      <c r="N2214" s="49"/>
    </row>
    <row r="2215" ht="22.5" customHeight="1">
      <c r="A2215" s="101"/>
      <c r="B2215" s="102"/>
      <c r="C2215" s="103"/>
      <c r="D2215" s="101"/>
      <c r="E2215" s="101"/>
      <c r="F2215" s="104"/>
      <c r="G2215" s="104"/>
      <c r="H2215" s="103"/>
      <c r="I2215" s="99"/>
      <c r="J2215" s="101"/>
      <c r="K2215" s="101"/>
      <c r="L2215" s="101"/>
      <c r="M2215" s="101"/>
      <c r="N2215" s="101"/>
    </row>
    <row r="2216" ht="22.5" customHeight="1">
      <c r="A2216" s="49"/>
      <c r="B2216" s="81"/>
      <c r="C2216" s="97"/>
      <c r="D2216" s="49"/>
      <c r="E2216" s="49"/>
      <c r="F2216" s="98"/>
      <c r="G2216" s="98"/>
      <c r="H2216" s="97"/>
      <c r="I2216" s="99"/>
      <c r="J2216" s="49"/>
      <c r="K2216" s="49"/>
      <c r="L2216" s="49"/>
      <c r="M2216" s="49"/>
      <c r="N2216" s="49"/>
    </row>
    <row r="2217" ht="22.5" customHeight="1">
      <c r="A2217" s="101"/>
      <c r="B2217" s="102"/>
      <c r="C2217" s="103"/>
      <c r="D2217" s="101"/>
      <c r="E2217" s="101"/>
      <c r="F2217" s="104"/>
      <c r="G2217" s="104"/>
      <c r="H2217" s="103"/>
      <c r="I2217" s="99"/>
      <c r="J2217" s="101"/>
      <c r="K2217" s="101"/>
      <c r="L2217" s="101"/>
      <c r="M2217" s="101"/>
      <c r="N2217" s="101"/>
    </row>
    <row r="2218" ht="22.5" customHeight="1">
      <c r="A2218" s="49"/>
      <c r="B2218" s="81"/>
      <c r="C2218" s="97"/>
      <c r="D2218" s="49"/>
      <c r="E2218" s="49"/>
      <c r="F2218" s="98"/>
      <c r="G2218" s="98"/>
      <c r="H2218" s="97"/>
      <c r="I2218" s="99"/>
      <c r="J2218" s="49"/>
      <c r="K2218" s="49"/>
      <c r="L2218" s="49"/>
      <c r="M2218" s="49"/>
      <c r="N2218" s="49"/>
    </row>
    <row r="2219" ht="22.5" customHeight="1">
      <c r="A2219" s="101"/>
      <c r="B2219" s="102"/>
      <c r="C2219" s="103"/>
      <c r="D2219" s="101"/>
      <c r="E2219" s="101"/>
      <c r="F2219" s="104"/>
      <c r="G2219" s="104"/>
      <c r="H2219" s="103"/>
      <c r="I2219" s="99"/>
      <c r="J2219" s="101"/>
      <c r="K2219" s="101"/>
      <c r="L2219" s="101"/>
      <c r="M2219" s="101"/>
      <c r="N2219" s="101"/>
    </row>
    <row r="2220" ht="22.5" customHeight="1">
      <c r="A2220" s="49"/>
      <c r="B2220" s="81"/>
      <c r="C2220" s="97"/>
      <c r="D2220" s="49"/>
      <c r="E2220" s="49"/>
      <c r="F2220" s="98"/>
      <c r="G2220" s="98"/>
      <c r="H2220" s="97"/>
      <c r="I2220" s="99"/>
      <c r="J2220" s="49"/>
      <c r="K2220" s="49"/>
      <c r="L2220" s="49"/>
      <c r="M2220" s="49"/>
      <c r="N2220" s="49"/>
    </row>
    <row r="2221" ht="22.5" customHeight="1">
      <c r="A2221" s="101"/>
      <c r="B2221" s="102"/>
      <c r="C2221" s="103"/>
      <c r="D2221" s="101"/>
      <c r="E2221" s="101"/>
      <c r="F2221" s="104"/>
      <c r="G2221" s="104"/>
      <c r="H2221" s="103"/>
      <c r="I2221" s="99"/>
      <c r="J2221" s="101"/>
      <c r="K2221" s="101"/>
      <c r="L2221" s="101"/>
      <c r="M2221" s="101"/>
      <c r="N2221" s="101"/>
    </row>
    <row r="2222" ht="22.5" customHeight="1">
      <c r="A2222" s="49"/>
      <c r="B2222" s="81"/>
      <c r="C2222" s="97"/>
      <c r="D2222" s="49"/>
      <c r="E2222" s="49"/>
      <c r="F2222" s="98"/>
      <c r="G2222" s="98"/>
      <c r="H2222" s="97"/>
      <c r="I2222" s="99"/>
      <c r="J2222" s="49"/>
      <c r="K2222" s="49"/>
      <c r="L2222" s="49"/>
      <c r="M2222" s="49"/>
      <c r="N2222" s="49"/>
    </row>
    <row r="2223" ht="22.5" customHeight="1">
      <c r="A2223" s="101"/>
      <c r="B2223" s="102"/>
      <c r="C2223" s="103"/>
      <c r="D2223" s="101"/>
      <c r="E2223" s="101"/>
      <c r="F2223" s="104"/>
      <c r="G2223" s="104"/>
      <c r="H2223" s="103"/>
      <c r="I2223" s="99"/>
      <c r="J2223" s="101"/>
      <c r="K2223" s="101"/>
      <c r="L2223" s="101"/>
      <c r="M2223" s="101"/>
      <c r="N2223" s="101"/>
    </row>
    <row r="2224" ht="22.5" customHeight="1">
      <c r="A2224" s="49"/>
      <c r="B2224" s="81"/>
      <c r="C2224" s="97"/>
      <c r="D2224" s="49"/>
      <c r="E2224" s="49"/>
      <c r="F2224" s="98"/>
      <c r="G2224" s="98"/>
      <c r="H2224" s="97"/>
      <c r="I2224" s="99"/>
      <c r="J2224" s="49"/>
      <c r="K2224" s="49"/>
      <c r="L2224" s="49"/>
      <c r="M2224" s="49"/>
      <c r="N2224" s="49"/>
    </row>
    <row r="2225" ht="22.5" customHeight="1">
      <c r="A2225" s="101"/>
      <c r="B2225" s="102"/>
      <c r="C2225" s="103"/>
      <c r="D2225" s="101"/>
      <c r="E2225" s="101"/>
      <c r="F2225" s="104"/>
      <c r="G2225" s="104"/>
      <c r="H2225" s="103"/>
      <c r="I2225" s="99"/>
      <c r="J2225" s="101"/>
      <c r="K2225" s="101"/>
      <c r="L2225" s="101"/>
      <c r="M2225" s="101"/>
      <c r="N2225" s="101"/>
    </row>
    <row r="2226" ht="22.5" customHeight="1">
      <c r="A2226" s="49"/>
      <c r="B2226" s="81"/>
      <c r="C2226" s="97"/>
      <c r="D2226" s="49"/>
      <c r="E2226" s="49"/>
      <c r="F2226" s="98"/>
      <c r="G2226" s="98"/>
      <c r="H2226" s="97"/>
      <c r="I2226" s="99"/>
      <c r="J2226" s="49"/>
      <c r="K2226" s="49"/>
      <c r="L2226" s="49"/>
      <c r="M2226" s="49"/>
      <c r="N2226" s="49"/>
    </row>
    <row r="2227" ht="22.5" customHeight="1">
      <c r="A2227" s="101"/>
      <c r="B2227" s="102"/>
      <c r="C2227" s="103"/>
      <c r="D2227" s="101"/>
      <c r="E2227" s="101"/>
      <c r="F2227" s="104"/>
      <c r="G2227" s="104"/>
      <c r="H2227" s="103"/>
      <c r="I2227" s="99"/>
      <c r="J2227" s="101"/>
      <c r="K2227" s="101"/>
      <c r="L2227" s="101"/>
      <c r="M2227" s="101"/>
      <c r="N2227" s="101"/>
    </row>
    <row r="2228" ht="22.5" customHeight="1">
      <c r="A2228" s="49"/>
      <c r="B2228" s="81"/>
      <c r="C2228" s="97"/>
      <c r="D2228" s="49"/>
      <c r="E2228" s="49"/>
      <c r="F2228" s="98"/>
      <c r="G2228" s="98"/>
      <c r="H2228" s="97"/>
      <c r="I2228" s="99"/>
      <c r="J2228" s="49"/>
      <c r="K2228" s="49"/>
      <c r="L2228" s="49"/>
      <c r="M2228" s="49"/>
      <c r="N2228" s="49"/>
    </row>
    <row r="2229" ht="22.5" customHeight="1">
      <c r="A2229" s="101"/>
      <c r="B2229" s="102"/>
      <c r="C2229" s="103"/>
      <c r="D2229" s="101"/>
      <c r="E2229" s="101"/>
      <c r="F2229" s="104"/>
      <c r="G2229" s="104"/>
      <c r="H2229" s="103"/>
      <c r="I2229" s="99"/>
      <c r="J2229" s="101"/>
      <c r="K2229" s="101"/>
      <c r="L2229" s="101"/>
      <c r="M2229" s="101"/>
      <c r="N2229" s="101"/>
    </row>
    <row r="2230" ht="22.5" customHeight="1">
      <c r="A2230" s="49"/>
      <c r="B2230" s="81"/>
      <c r="C2230" s="97"/>
      <c r="D2230" s="49"/>
      <c r="E2230" s="49"/>
      <c r="F2230" s="98"/>
      <c r="G2230" s="98"/>
      <c r="H2230" s="97"/>
      <c r="I2230" s="99"/>
      <c r="J2230" s="49"/>
      <c r="K2230" s="49"/>
      <c r="L2230" s="49"/>
      <c r="M2230" s="49"/>
      <c r="N2230" s="49"/>
    </row>
    <row r="2231" ht="22.5" customHeight="1">
      <c r="A2231" s="101"/>
      <c r="B2231" s="102"/>
      <c r="C2231" s="103"/>
      <c r="D2231" s="101"/>
      <c r="E2231" s="101"/>
      <c r="F2231" s="104"/>
      <c r="G2231" s="104"/>
      <c r="H2231" s="103"/>
      <c r="I2231" s="99"/>
      <c r="J2231" s="101"/>
      <c r="K2231" s="101"/>
      <c r="L2231" s="101"/>
      <c r="M2231" s="101"/>
      <c r="N2231" s="101"/>
    </row>
    <row r="2232" ht="22.5" customHeight="1">
      <c r="A2232" s="49"/>
      <c r="B2232" s="81"/>
      <c r="C2232" s="97"/>
      <c r="D2232" s="49"/>
      <c r="E2232" s="49"/>
      <c r="F2232" s="98"/>
      <c r="G2232" s="98"/>
      <c r="H2232" s="97"/>
      <c r="I2232" s="99"/>
      <c r="J2232" s="49"/>
      <c r="K2232" s="49"/>
      <c r="L2232" s="49"/>
      <c r="M2232" s="49"/>
      <c r="N2232" s="49"/>
    </row>
    <row r="2233" ht="22.5" customHeight="1">
      <c r="A2233" s="101"/>
      <c r="B2233" s="102"/>
      <c r="C2233" s="103"/>
      <c r="D2233" s="101"/>
      <c r="E2233" s="101"/>
      <c r="F2233" s="104"/>
      <c r="G2233" s="104"/>
      <c r="H2233" s="103"/>
      <c r="I2233" s="99"/>
      <c r="J2233" s="101"/>
      <c r="K2233" s="101"/>
      <c r="L2233" s="101"/>
      <c r="M2233" s="101"/>
      <c r="N2233" s="101"/>
    </row>
    <row r="2234" ht="22.5" customHeight="1">
      <c r="A2234" s="49"/>
      <c r="B2234" s="81"/>
      <c r="C2234" s="97"/>
      <c r="D2234" s="49"/>
      <c r="E2234" s="49"/>
      <c r="F2234" s="98"/>
      <c r="G2234" s="98"/>
      <c r="H2234" s="97"/>
      <c r="I2234" s="99"/>
      <c r="J2234" s="49"/>
      <c r="K2234" s="49"/>
      <c r="L2234" s="49"/>
      <c r="M2234" s="49"/>
      <c r="N2234" s="49"/>
    </row>
    <row r="2235" ht="22.5" customHeight="1">
      <c r="A2235" s="101"/>
      <c r="B2235" s="102"/>
      <c r="C2235" s="103"/>
      <c r="D2235" s="101"/>
      <c r="E2235" s="101"/>
      <c r="F2235" s="104"/>
      <c r="G2235" s="104"/>
      <c r="H2235" s="103"/>
      <c r="I2235" s="99"/>
      <c r="J2235" s="101"/>
      <c r="K2235" s="101"/>
      <c r="L2235" s="101"/>
      <c r="M2235" s="101"/>
      <c r="N2235" s="101"/>
    </row>
    <row r="2236" ht="22.5" customHeight="1">
      <c r="A2236" s="49"/>
      <c r="B2236" s="81"/>
      <c r="C2236" s="97"/>
      <c r="D2236" s="49"/>
      <c r="E2236" s="49"/>
      <c r="F2236" s="98"/>
      <c r="G2236" s="98"/>
      <c r="H2236" s="97"/>
      <c r="I2236" s="99"/>
      <c r="J2236" s="49"/>
      <c r="K2236" s="49"/>
      <c r="L2236" s="49"/>
      <c r="M2236" s="49"/>
      <c r="N2236" s="49"/>
    </row>
    <row r="2237" ht="22.5" customHeight="1">
      <c r="A2237" s="101"/>
      <c r="B2237" s="102"/>
      <c r="C2237" s="103"/>
      <c r="D2237" s="101"/>
      <c r="E2237" s="101"/>
      <c r="F2237" s="104"/>
      <c r="G2237" s="104"/>
      <c r="H2237" s="103"/>
      <c r="I2237" s="99"/>
      <c r="J2237" s="101"/>
      <c r="K2237" s="101"/>
      <c r="L2237" s="101"/>
      <c r="M2237" s="101"/>
      <c r="N2237" s="101"/>
    </row>
    <row r="2238" ht="22.5" customHeight="1">
      <c r="A2238" s="49"/>
      <c r="B2238" s="81"/>
      <c r="C2238" s="97"/>
      <c r="D2238" s="49"/>
      <c r="E2238" s="49"/>
      <c r="F2238" s="98"/>
      <c r="G2238" s="98"/>
      <c r="H2238" s="97"/>
      <c r="I2238" s="99"/>
      <c r="J2238" s="49"/>
      <c r="K2238" s="49"/>
      <c r="L2238" s="49"/>
      <c r="M2238" s="49"/>
      <c r="N2238" s="49"/>
    </row>
    <row r="2239" ht="22.5" customHeight="1">
      <c r="A2239" s="101"/>
      <c r="B2239" s="102"/>
      <c r="C2239" s="103"/>
      <c r="D2239" s="101"/>
      <c r="E2239" s="101"/>
      <c r="F2239" s="104"/>
      <c r="G2239" s="104"/>
      <c r="H2239" s="103"/>
      <c r="I2239" s="99"/>
      <c r="J2239" s="101"/>
      <c r="K2239" s="101"/>
      <c r="L2239" s="101"/>
      <c r="M2239" s="101"/>
      <c r="N2239" s="101"/>
    </row>
    <row r="2240" ht="22.5" customHeight="1">
      <c r="A2240" s="49"/>
      <c r="B2240" s="81"/>
      <c r="C2240" s="97"/>
      <c r="D2240" s="49"/>
      <c r="E2240" s="49"/>
      <c r="F2240" s="98"/>
      <c r="G2240" s="98"/>
      <c r="H2240" s="97"/>
      <c r="I2240" s="99"/>
      <c r="J2240" s="49"/>
      <c r="K2240" s="49"/>
      <c r="L2240" s="49"/>
      <c r="M2240" s="49"/>
      <c r="N2240" s="49"/>
    </row>
    <row r="2241" ht="22.5" customHeight="1">
      <c r="A2241" s="101"/>
      <c r="B2241" s="102"/>
      <c r="C2241" s="103"/>
      <c r="D2241" s="101"/>
      <c r="E2241" s="101"/>
      <c r="F2241" s="104"/>
      <c r="G2241" s="104"/>
      <c r="H2241" s="103"/>
      <c r="I2241" s="99"/>
      <c r="J2241" s="101"/>
      <c r="K2241" s="101"/>
      <c r="L2241" s="101"/>
      <c r="M2241" s="101"/>
      <c r="N2241" s="101"/>
    </row>
    <row r="2242" ht="22.5" customHeight="1">
      <c r="A2242" s="49"/>
      <c r="B2242" s="81"/>
      <c r="C2242" s="97"/>
      <c r="D2242" s="49"/>
      <c r="E2242" s="49"/>
      <c r="F2242" s="98"/>
      <c r="G2242" s="98"/>
      <c r="H2242" s="97"/>
      <c r="I2242" s="99"/>
      <c r="J2242" s="49"/>
      <c r="K2242" s="49"/>
      <c r="L2242" s="49"/>
      <c r="M2242" s="49"/>
      <c r="N2242" s="49"/>
    </row>
    <row r="2243" ht="22.5" customHeight="1">
      <c r="A2243" s="101"/>
      <c r="B2243" s="102"/>
      <c r="C2243" s="103"/>
      <c r="D2243" s="101"/>
      <c r="E2243" s="101"/>
      <c r="F2243" s="104"/>
      <c r="G2243" s="104"/>
      <c r="H2243" s="103"/>
      <c r="I2243" s="99"/>
      <c r="J2243" s="101"/>
      <c r="K2243" s="101"/>
      <c r="L2243" s="101"/>
      <c r="M2243" s="101"/>
      <c r="N2243" s="101"/>
    </row>
    <row r="2244" ht="22.5" customHeight="1">
      <c r="A2244" s="49"/>
      <c r="B2244" s="81"/>
      <c r="C2244" s="97"/>
      <c r="D2244" s="49"/>
      <c r="E2244" s="49"/>
      <c r="F2244" s="98"/>
      <c r="G2244" s="98"/>
      <c r="H2244" s="97"/>
      <c r="I2244" s="99"/>
      <c r="J2244" s="49"/>
      <c r="K2244" s="49"/>
      <c r="L2244" s="49"/>
      <c r="M2244" s="49"/>
      <c r="N2244" s="49"/>
    </row>
    <row r="2245" ht="22.5" customHeight="1">
      <c r="A2245" s="101"/>
      <c r="B2245" s="102"/>
      <c r="C2245" s="103"/>
      <c r="D2245" s="101"/>
      <c r="E2245" s="101"/>
      <c r="F2245" s="104"/>
      <c r="G2245" s="104"/>
      <c r="H2245" s="103"/>
      <c r="I2245" s="99"/>
      <c r="J2245" s="101"/>
      <c r="K2245" s="101"/>
      <c r="L2245" s="101"/>
      <c r="M2245" s="101"/>
      <c r="N2245" s="101"/>
    </row>
    <row r="2246" ht="22.5" customHeight="1">
      <c r="A2246" s="49"/>
      <c r="B2246" s="81"/>
      <c r="C2246" s="97"/>
      <c r="D2246" s="49"/>
      <c r="E2246" s="49"/>
      <c r="F2246" s="98"/>
      <c r="G2246" s="98"/>
      <c r="H2246" s="97"/>
      <c r="I2246" s="99"/>
      <c r="J2246" s="49"/>
      <c r="K2246" s="49"/>
      <c r="L2246" s="49"/>
      <c r="M2246" s="49"/>
      <c r="N2246" s="49"/>
    </row>
    <row r="2247" ht="22.5" customHeight="1">
      <c r="A2247" s="101"/>
      <c r="B2247" s="102"/>
      <c r="C2247" s="103"/>
      <c r="D2247" s="101"/>
      <c r="E2247" s="101"/>
      <c r="F2247" s="104"/>
      <c r="G2247" s="104"/>
      <c r="H2247" s="103"/>
      <c r="I2247" s="99"/>
      <c r="J2247" s="101"/>
      <c r="K2247" s="101"/>
      <c r="L2247" s="101"/>
      <c r="M2247" s="101"/>
      <c r="N2247" s="101"/>
    </row>
    <row r="2248" ht="22.5" customHeight="1">
      <c r="A2248" s="49"/>
      <c r="B2248" s="81"/>
      <c r="C2248" s="97"/>
      <c r="D2248" s="49"/>
      <c r="E2248" s="49"/>
      <c r="F2248" s="98"/>
      <c r="G2248" s="98"/>
      <c r="H2248" s="97"/>
      <c r="I2248" s="99"/>
      <c r="J2248" s="49"/>
      <c r="K2248" s="49"/>
      <c r="L2248" s="49"/>
      <c r="M2248" s="49"/>
      <c r="N2248" s="49"/>
    </row>
    <row r="2249" ht="22.5" customHeight="1">
      <c r="A2249" s="101"/>
      <c r="B2249" s="102"/>
      <c r="C2249" s="103"/>
      <c r="D2249" s="101"/>
      <c r="E2249" s="101"/>
      <c r="F2249" s="104"/>
      <c r="G2249" s="104"/>
      <c r="H2249" s="103"/>
      <c r="I2249" s="99"/>
      <c r="J2249" s="101"/>
      <c r="K2249" s="101"/>
      <c r="L2249" s="101"/>
      <c r="M2249" s="101"/>
      <c r="N2249" s="101"/>
    </row>
    <row r="2250" ht="22.5" customHeight="1">
      <c r="A2250" s="49"/>
      <c r="B2250" s="81"/>
      <c r="C2250" s="97"/>
      <c r="D2250" s="49"/>
      <c r="E2250" s="49"/>
      <c r="F2250" s="98"/>
      <c r="G2250" s="98"/>
      <c r="H2250" s="97"/>
      <c r="I2250" s="99"/>
      <c r="J2250" s="49"/>
      <c r="K2250" s="49"/>
      <c r="L2250" s="49"/>
      <c r="M2250" s="49"/>
      <c r="N2250" s="49"/>
    </row>
    <row r="2251" ht="22.5" customHeight="1">
      <c r="A2251" s="101"/>
      <c r="B2251" s="102"/>
      <c r="C2251" s="103"/>
      <c r="D2251" s="101"/>
      <c r="E2251" s="101"/>
      <c r="F2251" s="104"/>
      <c r="G2251" s="104"/>
      <c r="H2251" s="103"/>
      <c r="I2251" s="99"/>
      <c r="J2251" s="101"/>
      <c r="K2251" s="101"/>
      <c r="L2251" s="101"/>
      <c r="M2251" s="101"/>
      <c r="N2251" s="101"/>
    </row>
    <row r="2252" ht="22.5" customHeight="1">
      <c r="A2252" s="49"/>
      <c r="B2252" s="81"/>
      <c r="C2252" s="97"/>
      <c r="D2252" s="49"/>
      <c r="E2252" s="49"/>
      <c r="F2252" s="98"/>
      <c r="G2252" s="98"/>
      <c r="H2252" s="97"/>
      <c r="I2252" s="99"/>
      <c r="J2252" s="49"/>
      <c r="K2252" s="49"/>
      <c r="L2252" s="49"/>
      <c r="M2252" s="49"/>
      <c r="N2252" s="49"/>
    </row>
    <row r="2253" ht="22.5" customHeight="1">
      <c r="A2253" s="101"/>
      <c r="B2253" s="102"/>
      <c r="C2253" s="103"/>
      <c r="D2253" s="101"/>
      <c r="E2253" s="101"/>
      <c r="F2253" s="104"/>
      <c r="G2253" s="104"/>
      <c r="H2253" s="103"/>
      <c r="I2253" s="99"/>
      <c r="J2253" s="101"/>
      <c r="K2253" s="101"/>
      <c r="L2253" s="101"/>
      <c r="M2253" s="101"/>
      <c r="N2253" s="101"/>
    </row>
    <row r="2254" ht="22.5" customHeight="1">
      <c r="A2254" s="49"/>
      <c r="B2254" s="81"/>
      <c r="C2254" s="97"/>
      <c r="D2254" s="49"/>
      <c r="E2254" s="49"/>
      <c r="F2254" s="98"/>
      <c r="G2254" s="98"/>
      <c r="H2254" s="97"/>
      <c r="I2254" s="99"/>
      <c r="J2254" s="49"/>
      <c r="K2254" s="49"/>
      <c r="L2254" s="49"/>
      <c r="M2254" s="49"/>
      <c r="N2254" s="49"/>
    </row>
    <row r="2255" ht="22.5" customHeight="1">
      <c r="A2255" s="101"/>
      <c r="B2255" s="102"/>
      <c r="C2255" s="103"/>
      <c r="D2255" s="101"/>
      <c r="E2255" s="101"/>
      <c r="F2255" s="104"/>
      <c r="G2255" s="104"/>
      <c r="H2255" s="103"/>
      <c r="I2255" s="99"/>
      <c r="J2255" s="101"/>
      <c r="K2255" s="101"/>
      <c r="L2255" s="101"/>
      <c r="M2255" s="101"/>
      <c r="N2255" s="101"/>
    </row>
    <row r="2256" ht="22.5" customHeight="1">
      <c r="A2256" s="49"/>
      <c r="B2256" s="81"/>
      <c r="C2256" s="97"/>
      <c r="D2256" s="49"/>
      <c r="E2256" s="49"/>
      <c r="F2256" s="98"/>
      <c r="G2256" s="98"/>
      <c r="H2256" s="97"/>
      <c r="I2256" s="99"/>
      <c r="J2256" s="49"/>
      <c r="K2256" s="49"/>
      <c r="L2256" s="49"/>
      <c r="M2256" s="49"/>
      <c r="N2256" s="49"/>
    </row>
    <row r="2257" ht="22.5" customHeight="1">
      <c r="A2257" s="101"/>
      <c r="B2257" s="102"/>
      <c r="C2257" s="103"/>
      <c r="D2257" s="101"/>
      <c r="E2257" s="101"/>
      <c r="F2257" s="104"/>
      <c r="G2257" s="104"/>
      <c r="H2257" s="103"/>
      <c r="I2257" s="99"/>
      <c r="J2257" s="101"/>
      <c r="K2257" s="101"/>
      <c r="L2257" s="101"/>
      <c r="M2257" s="101"/>
      <c r="N2257" s="101"/>
    </row>
    <row r="2258" ht="22.5" customHeight="1">
      <c r="A2258" s="49"/>
      <c r="B2258" s="81"/>
      <c r="C2258" s="97"/>
      <c r="D2258" s="49"/>
      <c r="E2258" s="49"/>
      <c r="F2258" s="98"/>
      <c r="G2258" s="98"/>
      <c r="H2258" s="97"/>
      <c r="I2258" s="99"/>
      <c r="J2258" s="49"/>
      <c r="K2258" s="49"/>
      <c r="L2258" s="49"/>
      <c r="M2258" s="49"/>
      <c r="N2258" s="49"/>
    </row>
    <row r="2259" ht="22.5" customHeight="1">
      <c r="A2259" s="101"/>
      <c r="B2259" s="102"/>
      <c r="C2259" s="103"/>
      <c r="D2259" s="101"/>
      <c r="E2259" s="101"/>
      <c r="F2259" s="104"/>
      <c r="G2259" s="104"/>
      <c r="H2259" s="103"/>
      <c r="I2259" s="99"/>
      <c r="J2259" s="101"/>
      <c r="K2259" s="101"/>
      <c r="L2259" s="101"/>
      <c r="M2259" s="101"/>
      <c r="N2259" s="101"/>
    </row>
    <row r="2260" ht="22.5" customHeight="1">
      <c r="A2260" s="49"/>
      <c r="B2260" s="81"/>
      <c r="C2260" s="97"/>
      <c r="D2260" s="49"/>
      <c r="E2260" s="49"/>
      <c r="F2260" s="98"/>
      <c r="G2260" s="98"/>
      <c r="H2260" s="97"/>
      <c r="I2260" s="99"/>
      <c r="J2260" s="49"/>
      <c r="K2260" s="49"/>
      <c r="L2260" s="49"/>
      <c r="M2260" s="49"/>
      <c r="N2260" s="49"/>
    </row>
    <row r="2261" ht="22.5" customHeight="1">
      <c r="A2261" s="101"/>
      <c r="B2261" s="102"/>
      <c r="C2261" s="103"/>
      <c r="D2261" s="101"/>
      <c r="E2261" s="101"/>
      <c r="F2261" s="104"/>
      <c r="G2261" s="104"/>
      <c r="H2261" s="103"/>
      <c r="I2261" s="99"/>
      <c r="J2261" s="101"/>
      <c r="K2261" s="101"/>
      <c r="L2261" s="101"/>
      <c r="M2261" s="101"/>
      <c r="N2261" s="101"/>
    </row>
    <row r="2262" ht="22.5" customHeight="1">
      <c r="A2262" s="49"/>
      <c r="B2262" s="81"/>
      <c r="C2262" s="97"/>
      <c r="D2262" s="49"/>
      <c r="E2262" s="49"/>
      <c r="F2262" s="98"/>
      <c r="G2262" s="98"/>
      <c r="H2262" s="97"/>
      <c r="I2262" s="99"/>
      <c r="J2262" s="49"/>
      <c r="K2262" s="49"/>
      <c r="L2262" s="49"/>
      <c r="M2262" s="49"/>
      <c r="N2262" s="49"/>
    </row>
    <row r="2263" ht="22.5" customHeight="1">
      <c r="A2263" s="101"/>
      <c r="B2263" s="102"/>
      <c r="C2263" s="103"/>
      <c r="D2263" s="101"/>
      <c r="E2263" s="101"/>
      <c r="F2263" s="104"/>
      <c r="G2263" s="104"/>
      <c r="H2263" s="103"/>
      <c r="I2263" s="99"/>
      <c r="J2263" s="101"/>
      <c r="K2263" s="101"/>
      <c r="L2263" s="101"/>
      <c r="M2263" s="101"/>
      <c r="N2263" s="101"/>
    </row>
    <row r="2264" ht="22.5" customHeight="1">
      <c r="A2264" s="49"/>
      <c r="B2264" s="81"/>
      <c r="C2264" s="97"/>
      <c r="D2264" s="49"/>
      <c r="E2264" s="49"/>
      <c r="F2264" s="98"/>
      <c r="G2264" s="98"/>
      <c r="H2264" s="97"/>
      <c r="I2264" s="99"/>
      <c r="J2264" s="49"/>
      <c r="K2264" s="49"/>
      <c r="L2264" s="49"/>
      <c r="M2264" s="49"/>
      <c r="N2264" s="49"/>
    </row>
    <row r="2265" ht="22.5" customHeight="1">
      <c r="A2265" s="101"/>
      <c r="B2265" s="102"/>
      <c r="C2265" s="103"/>
      <c r="D2265" s="101"/>
      <c r="E2265" s="101"/>
      <c r="F2265" s="104"/>
      <c r="G2265" s="104"/>
      <c r="H2265" s="103"/>
      <c r="I2265" s="99"/>
      <c r="J2265" s="101"/>
      <c r="K2265" s="101"/>
      <c r="L2265" s="101"/>
      <c r="M2265" s="101"/>
      <c r="N2265" s="101"/>
    </row>
    <row r="2266" ht="22.5" customHeight="1">
      <c r="A2266" s="49"/>
      <c r="B2266" s="81"/>
      <c r="C2266" s="97"/>
      <c r="D2266" s="49"/>
      <c r="E2266" s="49"/>
      <c r="F2266" s="98"/>
      <c r="G2266" s="98"/>
      <c r="H2266" s="97"/>
      <c r="I2266" s="99"/>
      <c r="J2266" s="49"/>
      <c r="K2266" s="49"/>
      <c r="L2266" s="49"/>
      <c r="M2266" s="49"/>
      <c r="N2266" s="49"/>
    </row>
    <row r="2267" ht="22.5" customHeight="1">
      <c r="A2267" s="101"/>
      <c r="B2267" s="102"/>
      <c r="C2267" s="103"/>
      <c r="D2267" s="101"/>
      <c r="E2267" s="101"/>
      <c r="F2267" s="104"/>
      <c r="G2267" s="104"/>
      <c r="H2267" s="103"/>
      <c r="I2267" s="99"/>
      <c r="J2267" s="101"/>
      <c r="K2267" s="101"/>
      <c r="L2267" s="101"/>
      <c r="M2267" s="101"/>
      <c r="N2267" s="101"/>
    </row>
    <row r="2268" ht="22.5" customHeight="1">
      <c r="A2268" s="49"/>
      <c r="B2268" s="81"/>
      <c r="C2268" s="97"/>
      <c r="D2268" s="49"/>
      <c r="E2268" s="49"/>
      <c r="F2268" s="98"/>
      <c r="G2268" s="98"/>
      <c r="H2268" s="97"/>
      <c r="I2268" s="99"/>
      <c r="J2268" s="49"/>
      <c r="K2268" s="49"/>
      <c r="L2268" s="49"/>
      <c r="M2268" s="49"/>
      <c r="N2268" s="49"/>
    </row>
    <row r="2269" ht="22.5" customHeight="1">
      <c r="A2269" s="101"/>
      <c r="B2269" s="102"/>
      <c r="C2269" s="103"/>
      <c r="D2269" s="101"/>
      <c r="E2269" s="101"/>
      <c r="F2269" s="104"/>
      <c r="G2269" s="104"/>
      <c r="H2269" s="103"/>
      <c r="I2269" s="99"/>
      <c r="J2269" s="101"/>
      <c r="K2269" s="101"/>
      <c r="L2269" s="101"/>
      <c r="M2269" s="101"/>
      <c r="N2269" s="101"/>
    </row>
    <row r="2270" ht="22.5" customHeight="1">
      <c r="A2270" s="49"/>
      <c r="B2270" s="81"/>
      <c r="C2270" s="97"/>
      <c r="D2270" s="49"/>
      <c r="E2270" s="49"/>
      <c r="F2270" s="98"/>
      <c r="G2270" s="98"/>
      <c r="H2270" s="97"/>
      <c r="I2270" s="99"/>
      <c r="J2270" s="49"/>
      <c r="K2270" s="49"/>
      <c r="L2270" s="49"/>
      <c r="M2270" s="49"/>
      <c r="N2270" s="49"/>
    </row>
  </sheetData>
  <autoFilter ref="$A$1:$O$1977">
    <filterColumn colId="3">
      <filters>
        <filter val="CAV"/>
      </filters>
    </filterColumn>
  </autoFilter>
  <conditionalFormatting sqref="L1:L1988 L1990:L2270">
    <cfRule type="cellIs" dxfId="7" priority="1" operator="equal">
      <formula>"LISTO PARA ENTREGAR"</formula>
    </cfRule>
  </conditionalFormatting>
  <conditionalFormatting sqref="L1:L1988 L1990:L2270">
    <cfRule type="containsText" dxfId="5" priority="2" operator="containsText" text="EN PROCESO">
      <formula>NOT(ISERROR(SEARCH(("EN PROCESO"),(L1))))</formula>
    </cfRule>
  </conditionalFormatting>
  <conditionalFormatting sqref="L1:L1988 L1990:L2270">
    <cfRule type="cellIs" dxfId="8" priority="3" operator="equal">
      <formula>"entregado"</formula>
    </cfRule>
  </conditionalFormatting>
  <conditionalFormatting sqref="H439:H2270">
    <cfRule type="cellIs" dxfId="8" priority="4" operator="lessThanOrEqual">
      <formula>"-10%"</formula>
    </cfRule>
  </conditionalFormatting>
  <conditionalFormatting sqref="H439:H2270">
    <cfRule type="cellIs" dxfId="5" priority="5" operator="between">
      <formula>"-0.10%"</formula>
      <formula>"-10%"</formula>
    </cfRule>
  </conditionalFormatting>
  <conditionalFormatting sqref="H439:H2270">
    <cfRule type="cellIs" dxfId="9" priority="6" operator="greaterThanOrEqual">
      <formula>"0.10%"</formula>
    </cfRule>
  </conditionalFormatting>
  <conditionalFormatting sqref="I1:I2270">
    <cfRule type="cellIs" dxfId="9" priority="7" operator="greaterThan">
      <formula>"97%"</formula>
    </cfRule>
  </conditionalFormatting>
  <conditionalFormatting sqref="I1:I2270">
    <cfRule type="cellIs" dxfId="10" priority="8" operator="between">
      <formula>"97%"</formula>
      <formula>"95%"</formula>
    </cfRule>
  </conditionalFormatting>
  <conditionalFormatting sqref="I1:I2270">
    <cfRule type="cellIs" dxfId="8" priority="9" operator="lessThan">
      <formula>"95%"</formula>
    </cfRule>
  </conditionalFormatting>
  <dataValidations>
    <dataValidation type="custom" allowBlank="1" showDropDown="1" sqref="B439:B2270">
      <formula1>OR(NOT(ISERROR(DATEVALUE(B439))), AND(ISNUMBER(B439), LEFT(CELL("format", B439))="D"))</formula1>
    </dataValidation>
    <dataValidation type="custom" allowBlank="1" showDropDown="1" sqref="I2:I262 I264:I2270">
      <formula1>AND(ISNUMBER(I2),(NOT(OR(NOT(ISERROR(DATEVALUE(I2))), AND(ISNUMBER(I2), LEFT(CELL("format", I2))="D")))))</formula1>
    </dataValidation>
    <dataValidation type="custom" allowBlank="1" showDropDown="1" sqref="I263">
      <formula1>AND(ISNUMBER(#REF!),(NOT(OR(NOT(ISERROR(DATEVALUE(#REF!))), AND(ISNUMBER(#REF!), LEFT(CELL("format", #REF!))="D")))))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10.71"/>
    <col customWidth="1" min="3" max="3" width="22.57"/>
    <col customWidth="1" min="4" max="4" width="58.14"/>
    <col customWidth="1" min="5" max="5" width="10.71"/>
    <col customWidth="1" min="6" max="6" width="1.57"/>
    <col customWidth="1" min="7" max="7" width="0.43"/>
    <col customWidth="1" min="8" max="8" width="15.86"/>
    <col customWidth="1" min="9" max="10" width="15.43"/>
    <col customWidth="1" min="11" max="11" width="16.43"/>
    <col customWidth="1" min="12" max="12" width="64.57"/>
    <col customWidth="1" min="13" max="13" width="10.71"/>
  </cols>
  <sheetData>
    <row r="1">
      <c r="A1" s="125" t="s">
        <v>443</v>
      </c>
      <c r="B1" s="125" t="s">
        <v>1093</v>
      </c>
      <c r="C1" s="125" t="s">
        <v>3</v>
      </c>
      <c r="D1" s="125" t="s">
        <v>4</v>
      </c>
      <c r="E1" s="126" t="s">
        <v>1094</v>
      </c>
      <c r="F1" s="127"/>
      <c r="G1" s="127"/>
      <c r="H1" s="128" t="s">
        <v>1095</v>
      </c>
      <c r="I1" s="129" t="s">
        <v>1096</v>
      </c>
      <c r="J1" s="129" t="s">
        <v>1097</v>
      </c>
      <c r="K1" s="130" t="s">
        <v>1098</v>
      </c>
      <c r="L1" s="130" t="s">
        <v>445</v>
      </c>
      <c r="M1" s="127"/>
    </row>
    <row r="2" ht="15.75" customHeight="1">
      <c r="A2" s="131">
        <f>PEDIDOS!B2</f>
        <v>46035</v>
      </c>
      <c r="B2" s="131">
        <f>PEDIDOS!C2</f>
        <v>163</v>
      </c>
      <c r="C2" s="131" t="str">
        <f>PEDIDOS!D2</f>
        <v>THE MINIMAL CO</v>
      </c>
      <c r="D2" s="131" t="str">
        <f>PEDIDOS!E2</f>
        <v>MILKY TONER</v>
      </c>
      <c r="E2" s="132">
        <f>PEDIDOS!G2</f>
        <v>900</v>
      </c>
      <c r="F2" s="46"/>
      <c r="G2" s="46"/>
      <c r="H2" s="45" t="s">
        <v>1099</v>
      </c>
      <c r="I2" s="133">
        <v>46040.0</v>
      </c>
      <c r="J2" s="45"/>
      <c r="K2" s="46"/>
      <c r="L2" s="46"/>
      <c r="M2" s="46"/>
    </row>
    <row r="3" ht="15.75" customHeight="1">
      <c r="A3" s="134">
        <f>PEDIDOS!B3</f>
        <v>46035</v>
      </c>
      <c r="B3" s="134">
        <f>PEDIDOS!C3</f>
        <v>14297</v>
      </c>
      <c r="C3" s="134" t="str">
        <f>PEDIDOS!D3</f>
        <v>JACTANS</v>
      </c>
      <c r="D3" s="134" t="str">
        <f>PEDIDOS!E3</f>
        <v>JS-941 AGUA MICELAR BIFASCIA</v>
      </c>
      <c r="E3" s="135">
        <f>PEDIDOS!G3</f>
        <v>1000</v>
      </c>
      <c r="F3" s="136"/>
      <c r="G3" s="136"/>
      <c r="H3" s="137" t="s">
        <v>1099</v>
      </c>
      <c r="I3" s="138">
        <v>46038.0</v>
      </c>
      <c r="J3" s="137"/>
      <c r="K3" s="136"/>
      <c r="L3" s="136"/>
      <c r="M3" s="136"/>
    </row>
    <row r="4" ht="15.75" customHeight="1">
      <c r="A4" s="131">
        <f>PEDIDOS!B4</f>
        <v>46035</v>
      </c>
      <c r="B4" s="131">
        <f>PEDIDOS!C4</f>
        <v>15074</v>
      </c>
      <c r="C4" s="131" t="str">
        <f>PEDIDOS!D4</f>
        <v>THELMA Y LOUISE</v>
      </c>
      <c r="D4" s="131" t="str">
        <f>PEDIDOS!E4</f>
        <v>AGUA TERMAL</v>
      </c>
      <c r="E4" s="132">
        <f>PEDIDOS!G4</f>
        <v>2940</v>
      </c>
      <c r="F4" s="46"/>
      <c r="G4" s="46"/>
      <c r="H4" s="45" t="s">
        <v>1099</v>
      </c>
      <c r="I4" s="139">
        <v>46044.0</v>
      </c>
      <c r="J4" s="45"/>
      <c r="K4" s="46"/>
      <c r="L4" s="46"/>
      <c r="M4" s="46"/>
    </row>
    <row r="5" ht="15.75" customHeight="1">
      <c r="A5" s="134">
        <f>PEDIDOS!B5</f>
        <v>46035</v>
      </c>
      <c r="B5" s="134" t="str">
        <f>PEDIDOS!C5</f>
        <v/>
      </c>
      <c r="C5" s="134" t="str">
        <f>PEDIDOS!D5</f>
        <v>LIORA</v>
      </c>
      <c r="D5" s="134" t="str">
        <f>PEDIDOS!E5</f>
        <v>CREMA PARA PEINAR RULOS</v>
      </c>
      <c r="E5" s="135">
        <f>PEDIDOS!G5</f>
        <v>170</v>
      </c>
      <c r="F5" s="136"/>
      <c r="G5" s="136"/>
      <c r="H5" s="137" t="s">
        <v>1099</v>
      </c>
      <c r="I5" s="140" t="s">
        <v>1100</v>
      </c>
      <c r="J5" s="137"/>
      <c r="K5" s="136"/>
      <c r="L5" s="136"/>
      <c r="M5" s="136"/>
    </row>
    <row r="6" ht="15.75" customHeight="1">
      <c r="A6" s="131">
        <f>PEDIDOS!B6</f>
        <v>46042</v>
      </c>
      <c r="B6" s="131" t="str">
        <f>PEDIDOS!C6</f>
        <v>P01203</v>
      </c>
      <c r="C6" s="131" t="str">
        <f>PEDIDOS!D6</f>
        <v>BIOESENCIA</v>
      </c>
      <c r="D6" s="131" t="str">
        <f>PEDIDOS!E6</f>
        <v>SERUM ORIGENES</v>
      </c>
      <c r="E6" s="132">
        <f>PEDIDOS!G6</f>
        <v>1600</v>
      </c>
      <c r="F6" s="46"/>
      <c r="G6" s="46"/>
      <c r="H6" s="45" t="s">
        <v>1099</v>
      </c>
      <c r="I6" s="133">
        <v>46027.0</v>
      </c>
      <c r="J6" s="45"/>
      <c r="K6" s="46"/>
      <c r="L6" s="46"/>
      <c r="M6" s="46"/>
    </row>
    <row r="7" ht="15.75" customHeight="1">
      <c r="A7" s="134">
        <f>PEDIDOS!B7</f>
        <v>46042</v>
      </c>
      <c r="B7" s="134" t="str">
        <f>PEDIDOS!C7</f>
        <v/>
      </c>
      <c r="C7" s="134" t="str">
        <f>PEDIDOS!D7</f>
        <v>WSABI</v>
      </c>
      <c r="D7" s="134" t="str">
        <f>PEDIDOS!E7</f>
        <v>SERUM INTIMO</v>
      </c>
      <c r="E7" s="135">
        <f>PEDIDOS!G7</f>
        <v>300</v>
      </c>
      <c r="F7" s="136"/>
      <c r="G7" s="136"/>
      <c r="H7" s="137" t="s">
        <v>1099</v>
      </c>
      <c r="I7" s="141">
        <v>46071.0</v>
      </c>
      <c r="J7" s="137"/>
      <c r="K7" s="136"/>
      <c r="L7" s="136"/>
      <c r="M7" s="136"/>
    </row>
    <row r="8" ht="15.75" customHeight="1">
      <c r="A8" s="131">
        <f>PEDIDOS!B8</f>
        <v>46042</v>
      </c>
      <c r="B8" s="131" t="str">
        <f>PEDIDOS!C8</f>
        <v/>
      </c>
      <c r="C8" s="131" t="str">
        <f>PEDIDOS!D8</f>
        <v>MERMER</v>
      </c>
      <c r="D8" s="131" t="str">
        <f>PEDIDOS!E8</f>
        <v>ACEITE CORPORAL LAVANDA</v>
      </c>
      <c r="E8" s="132">
        <f>PEDIDOS!G8</f>
        <v>300</v>
      </c>
      <c r="F8" s="46"/>
      <c r="G8" s="46"/>
      <c r="H8" s="45" t="s">
        <v>1099</v>
      </c>
      <c r="I8" s="133">
        <v>46042.0</v>
      </c>
      <c r="J8" s="45"/>
      <c r="K8" s="46"/>
      <c r="L8" s="46"/>
      <c r="M8" s="46"/>
    </row>
    <row r="9" ht="15.75" customHeight="1">
      <c r="A9" s="134">
        <f>PEDIDOS!B9</f>
        <v>46042</v>
      </c>
      <c r="B9" s="134" t="str">
        <f>PEDIDOS!C9</f>
        <v/>
      </c>
      <c r="C9" s="134" t="str">
        <f>PEDIDOS!D9</f>
        <v>MERMER</v>
      </c>
      <c r="D9" s="134" t="str">
        <f>PEDIDOS!E9</f>
        <v>ACEITE CORPORAL ALMENDRA</v>
      </c>
      <c r="E9" s="135">
        <f>PEDIDOS!G9</f>
        <v>300</v>
      </c>
      <c r="F9" s="136"/>
      <c r="G9" s="136"/>
      <c r="H9" s="137" t="s">
        <v>1099</v>
      </c>
      <c r="I9" s="141">
        <v>46042.0</v>
      </c>
      <c r="J9" s="137"/>
      <c r="K9" s="136"/>
      <c r="L9" s="136"/>
      <c r="M9" s="136"/>
    </row>
    <row r="10" ht="15.75" customHeight="1">
      <c r="A10" s="131">
        <f>PEDIDOS!B10</f>
        <v>46042</v>
      </c>
      <c r="B10" s="131" t="str">
        <f>PEDIDOS!C10</f>
        <v/>
      </c>
      <c r="C10" s="131" t="str">
        <f>PEDIDOS!D10</f>
        <v>MERMER</v>
      </c>
      <c r="D10" s="131" t="str">
        <f>PEDIDOS!E10</f>
        <v>ACEITE CORPORAL ROSAS</v>
      </c>
      <c r="E10" s="132">
        <f>PEDIDOS!G10</f>
        <v>300</v>
      </c>
      <c r="F10" s="46"/>
      <c r="G10" s="46"/>
      <c r="H10" s="45" t="s">
        <v>1099</v>
      </c>
      <c r="I10" s="133">
        <v>46042.0</v>
      </c>
      <c r="J10" s="45"/>
      <c r="K10" s="46"/>
      <c r="L10" s="46"/>
      <c r="M10" s="46"/>
    </row>
    <row r="11" ht="15.75" customHeight="1">
      <c r="A11" s="134">
        <f>PEDIDOS!B11</f>
        <v>46042</v>
      </c>
      <c r="B11" s="134" t="str">
        <f>PEDIDOS!C11</f>
        <v/>
      </c>
      <c r="C11" s="134" t="str">
        <f>PEDIDOS!D11</f>
        <v>MERMER</v>
      </c>
      <c r="D11" s="134" t="str">
        <f>PEDIDOS!E11</f>
        <v>ACEITE CORPORAL SESAMO</v>
      </c>
      <c r="E11" s="135">
        <f>PEDIDOS!G11</f>
        <v>300</v>
      </c>
      <c r="F11" s="136"/>
      <c r="G11" s="136"/>
      <c r="H11" s="137" t="s">
        <v>1099</v>
      </c>
      <c r="I11" s="141">
        <v>46042.0</v>
      </c>
      <c r="J11" s="137"/>
      <c r="K11" s="136"/>
      <c r="L11" s="136"/>
      <c r="M11" s="136"/>
    </row>
    <row r="12" ht="15.75" customHeight="1">
      <c r="A12" s="131">
        <f>PEDIDOS!B12</f>
        <v>46042</v>
      </c>
      <c r="B12" s="131" t="str">
        <f>PEDIDOS!C12</f>
        <v/>
      </c>
      <c r="C12" s="131" t="str">
        <f>PEDIDOS!D12</f>
        <v>MERMER</v>
      </c>
      <c r="D12" s="131" t="str">
        <f>PEDIDOS!E12</f>
        <v>ACEITE CORPORAL INCIENSO</v>
      </c>
      <c r="E12" s="132">
        <f>PEDIDOS!G12</f>
        <v>300</v>
      </c>
      <c r="F12" s="46"/>
      <c r="G12" s="46"/>
      <c r="H12" s="45" t="s">
        <v>1099</v>
      </c>
      <c r="I12" s="133">
        <v>46042.0</v>
      </c>
      <c r="J12" s="45"/>
      <c r="K12" s="46"/>
      <c r="L12" s="46"/>
      <c r="M12" s="46"/>
    </row>
    <row r="13" ht="15.75" customHeight="1">
      <c r="A13" s="134">
        <f>PEDIDOS!B13</f>
        <v>46042</v>
      </c>
      <c r="B13" s="134" t="str">
        <f>PEDIDOS!C13</f>
        <v/>
      </c>
      <c r="C13" s="134" t="str">
        <f>PEDIDOS!D13</f>
        <v>MERMER</v>
      </c>
      <c r="D13" s="134" t="str">
        <f>PEDIDOS!E13</f>
        <v>ACEITE CORPORAL ARNICA</v>
      </c>
      <c r="E13" s="135">
        <f>PEDIDOS!G13</f>
        <v>300</v>
      </c>
      <c r="F13" s="136"/>
      <c r="G13" s="136"/>
      <c r="H13" s="137" t="s">
        <v>1099</v>
      </c>
      <c r="I13" s="141">
        <v>46042.0</v>
      </c>
      <c r="J13" s="137"/>
      <c r="K13" s="136"/>
      <c r="L13" s="136"/>
      <c r="M13" s="136"/>
    </row>
    <row r="14" ht="15.75" customHeight="1">
      <c r="A14" s="131">
        <f>PEDIDOS!B14</f>
        <v>46042</v>
      </c>
      <c r="B14" s="131" t="str">
        <f>PEDIDOS!C14</f>
        <v/>
      </c>
      <c r="C14" s="131" t="str">
        <f>PEDIDOS!D14</f>
        <v>MERMER</v>
      </c>
      <c r="D14" s="131" t="str">
        <f>PEDIDOS!E14</f>
        <v>LOCION CAPILAR</v>
      </c>
      <c r="E14" s="132">
        <f>PEDIDOS!G14</f>
        <v>400</v>
      </c>
      <c r="F14" s="46"/>
      <c r="G14" s="46"/>
      <c r="H14" s="45" t="s">
        <v>1099</v>
      </c>
      <c r="I14" s="133">
        <v>46042.0</v>
      </c>
      <c r="J14" s="45"/>
      <c r="K14" s="46"/>
      <c r="L14" s="46"/>
      <c r="M14" s="46"/>
    </row>
    <row r="15" ht="15.75" customHeight="1">
      <c r="A15" s="134">
        <f>PEDIDOS!B15</f>
        <v>46042</v>
      </c>
      <c r="B15" s="134" t="str">
        <f>PEDIDOS!C15</f>
        <v/>
      </c>
      <c r="C15" s="134" t="str">
        <f>PEDIDOS!D15</f>
        <v>MERMER</v>
      </c>
      <c r="D15" s="134" t="str">
        <f>PEDIDOS!E15</f>
        <v>SERUM CAPILAR</v>
      </c>
      <c r="E15" s="135">
        <f>PEDIDOS!G15</f>
        <v>400</v>
      </c>
      <c r="F15" s="136"/>
      <c r="G15" s="136"/>
      <c r="H15" s="137" t="s">
        <v>1099</v>
      </c>
      <c r="I15" s="141">
        <v>46042.0</v>
      </c>
      <c r="J15" s="137"/>
      <c r="K15" s="136"/>
      <c r="L15" s="136"/>
      <c r="M15" s="136"/>
    </row>
    <row r="16" ht="15.75" customHeight="1">
      <c r="A16" s="131">
        <f>PEDIDOS!B16</f>
        <v>46049</v>
      </c>
      <c r="B16" s="131">
        <f>PEDIDOS!C16</f>
        <v>1708</v>
      </c>
      <c r="C16" s="131" t="str">
        <f>PEDIDOS!D16</f>
        <v>LABORATORIO ONCE</v>
      </c>
      <c r="D16" s="131" t="str">
        <f>PEDIDOS!E16</f>
        <v>SERUM ACIDO HIALURONICO + NIACINAMIDA</v>
      </c>
      <c r="E16" s="132">
        <f>PEDIDOS!G16</f>
        <v>1653</v>
      </c>
      <c r="F16" s="46"/>
      <c r="G16" s="46"/>
      <c r="H16" s="45" t="s">
        <v>1099</v>
      </c>
      <c r="I16" s="139">
        <v>46035.0</v>
      </c>
      <c r="J16" s="45"/>
      <c r="K16" s="46"/>
      <c r="L16" s="46"/>
      <c r="M16" s="46"/>
    </row>
    <row r="17" ht="15.75" customHeight="1">
      <c r="A17" s="134">
        <f>PEDIDOS!B17</f>
        <v>46050</v>
      </c>
      <c r="B17" s="134">
        <f>PEDIDOS!C17</f>
        <v>15098</v>
      </c>
      <c r="C17" s="134" t="str">
        <f>PEDIDOS!D17</f>
        <v>THELMA Y LOUISE</v>
      </c>
      <c r="D17" s="134" t="str">
        <f>PEDIDOS!E17</f>
        <v>CREMA BIFASICA CHERRY</v>
      </c>
      <c r="E17" s="135">
        <f>PEDIDOS!G17</f>
        <v>1640</v>
      </c>
      <c r="F17" s="136"/>
      <c r="G17" s="136"/>
      <c r="H17" s="137" t="s">
        <v>1099</v>
      </c>
      <c r="I17" s="138">
        <v>46052.0</v>
      </c>
      <c r="J17" s="137"/>
      <c r="K17" s="136"/>
      <c r="L17" s="136"/>
      <c r="M17" s="136"/>
    </row>
    <row r="18" ht="15.75" customHeight="1">
      <c r="A18" s="131">
        <f>PEDIDOS!B18</f>
        <v>46052</v>
      </c>
      <c r="B18" s="131" t="str">
        <f>PEDIDOS!C18</f>
        <v/>
      </c>
      <c r="C18" s="131" t="str">
        <f>PEDIDOS!D18</f>
        <v>ALL BEAUTY</v>
      </c>
      <c r="D18" s="131" t="str">
        <f>PEDIDOS!E18</f>
        <v>SERUM ACIDO HIALURONICO</v>
      </c>
      <c r="E18" s="132">
        <f>PEDIDOS!G18</f>
        <v>1000</v>
      </c>
      <c r="F18" s="46"/>
      <c r="G18" s="46"/>
      <c r="H18" s="45" t="s">
        <v>1099</v>
      </c>
      <c r="I18" s="45"/>
      <c r="J18" s="45"/>
      <c r="K18" s="46"/>
      <c r="L18" s="46"/>
      <c r="M18" s="46"/>
    </row>
    <row r="19" ht="15.75" customHeight="1">
      <c r="A19" s="134">
        <f>PEDIDOS!B19</f>
        <v>46044</v>
      </c>
      <c r="B19" s="134" t="str">
        <f>PEDIDOS!C19</f>
        <v/>
      </c>
      <c r="C19" s="134" t="str">
        <f>PEDIDOS!D19</f>
        <v>DWUAM</v>
      </c>
      <c r="D19" s="134" t="str">
        <f>PEDIDOS!E19</f>
        <v>BASE DE MAQUILLAJE TONO 1</v>
      </c>
      <c r="E19" s="135">
        <f>PEDIDOS!G19</f>
        <v>500</v>
      </c>
      <c r="F19" s="136"/>
      <c r="G19" s="136"/>
      <c r="H19" s="137" t="s">
        <v>1099</v>
      </c>
      <c r="I19" s="137"/>
      <c r="J19" s="137"/>
      <c r="K19" s="136"/>
      <c r="L19" s="136"/>
      <c r="M19" s="136"/>
    </row>
    <row r="20" ht="15.75" customHeight="1">
      <c r="A20" s="131">
        <f>PEDIDOS!B20</f>
        <v>46071</v>
      </c>
      <c r="B20" s="131">
        <f>PEDIDOS!C20</f>
        <v>6433</v>
      </c>
      <c r="C20" s="131" t="str">
        <f>PEDIDOS!D20</f>
        <v>HEBURN</v>
      </c>
      <c r="D20" s="131" t="str">
        <f>PEDIDOS!E20</f>
        <v>BRUMA FIJADORA de MAQUILLAJE x 125 cc</v>
      </c>
      <c r="E20" s="132">
        <f>PEDIDOS!G20</f>
        <v>600</v>
      </c>
      <c r="F20" s="46"/>
      <c r="G20" s="46"/>
      <c r="H20" s="45" t="s">
        <v>1099</v>
      </c>
      <c r="I20" s="45"/>
      <c r="J20" s="45"/>
      <c r="K20" s="46"/>
      <c r="L20" s="46"/>
      <c r="M20" s="46"/>
    </row>
    <row r="21" ht="15.75" customHeight="1">
      <c r="A21" s="134">
        <f>PEDIDOS!B21</f>
        <v>46052</v>
      </c>
      <c r="B21" s="134" t="str">
        <f>PEDIDOS!C21</f>
        <v/>
      </c>
      <c r="C21" s="134" t="str">
        <f>PEDIDOS!D21</f>
        <v>ALL BEAUTY</v>
      </c>
      <c r="D21" s="134" t="str">
        <f>PEDIDOS!E21</f>
        <v>CREMA FACIAL HIDRATANTE X 50gr (DIA)</v>
      </c>
      <c r="E21" s="135">
        <f>PEDIDOS!G21</f>
        <v>1000</v>
      </c>
      <c r="F21" s="136"/>
      <c r="G21" s="136"/>
      <c r="H21" s="137" t="s">
        <v>1099</v>
      </c>
      <c r="I21" s="137" t="s">
        <v>1100</v>
      </c>
      <c r="J21" s="137"/>
      <c r="K21" s="136"/>
      <c r="L21" s="136"/>
      <c r="M21" s="136"/>
    </row>
    <row r="22" ht="15.75" customHeight="1">
      <c r="A22" s="131">
        <f>PEDIDOS!B22</f>
        <v>46052</v>
      </c>
      <c r="B22" s="131" t="str">
        <f>PEDIDOS!C22</f>
        <v/>
      </c>
      <c r="C22" s="131" t="str">
        <f>PEDIDOS!D22</f>
        <v>ALL BEAUTY</v>
      </c>
      <c r="D22" s="131" t="str">
        <f>PEDIDOS!E22</f>
        <v>UNGÜENTO POMADA OLEO 30 + 1 X 10gr</v>
      </c>
      <c r="E22" s="132">
        <f>PEDIDOS!G22</f>
        <v>1000</v>
      </c>
      <c r="F22" s="46"/>
      <c r="G22" s="46"/>
      <c r="H22" s="45" t="s">
        <v>1099</v>
      </c>
      <c r="I22" s="45" t="s">
        <v>1100</v>
      </c>
      <c r="J22" s="45"/>
      <c r="K22" s="46"/>
      <c r="L22" s="46"/>
      <c r="M22" s="46"/>
    </row>
    <row r="23" ht="15.75" customHeight="1">
      <c r="A23" s="134">
        <f>PEDIDOS!B23</f>
        <v>46052</v>
      </c>
      <c r="B23" s="134" t="str">
        <f>PEDIDOS!C23</f>
        <v/>
      </c>
      <c r="C23" s="134" t="str">
        <f>PEDIDOS!D23</f>
        <v>ALL BEAUTY</v>
      </c>
      <c r="D23" s="134" t="str">
        <f>PEDIDOS!E23</f>
        <v>CREMA DE ORDEÑE X 300gr</v>
      </c>
      <c r="E23" s="135">
        <f>PEDIDOS!G23</f>
        <v>1500</v>
      </c>
      <c r="F23" s="136"/>
      <c r="G23" s="136"/>
      <c r="H23" s="137" t="s">
        <v>1099</v>
      </c>
      <c r="I23" s="137" t="s">
        <v>1100</v>
      </c>
      <c r="J23" s="137"/>
      <c r="K23" s="136"/>
      <c r="L23" s="136"/>
      <c r="M23" s="136"/>
    </row>
    <row r="24" ht="15.75" customHeight="1">
      <c r="A24" s="131">
        <f>PEDIDOS!B24</f>
        <v>46043</v>
      </c>
      <c r="B24" s="131">
        <f>PEDIDOS!C24</f>
        <v>103</v>
      </c>
      <c r="C24" s="131" t="str">
        <f>PEDIDOS!D24</f>
        <v>UNICA</v>
      </c>
      <c r="D24" s="131" t="str">
        <f>PEDIDOS!E24</f>
        <v>CREMA ENEBRO</v>
      </c>
      <c r="E24" s="132">
        <f>PEDIDOS!G24</f>
        <v>500</v>
      </c>
      <c r="F24" s="46"/>
      <c r="G24" s="46"/>
      <c r="H24" s="45" t="s">
        <v>1099</v>
      </c>
      <c r="I24" s="133">
        <v>46055.0</v>
      </c>
      <c r="J24" s="45"/>
      <c r="K24" s="46"/>
      <c r="L24" s="46"/>
      <c r="M24" s="46"/>
    </row>
    <row r="25" ht="15.75" customHeight="1">
      <c r="A25" s="134">
        <f>PEDIDOS!B25</f>
        <v>46066</v>
      </c>
      <c r="B25" s="134">
        <f>PEDIDOS!C25</f>
        <v>15114</v>
      </c>
      <c r="C25" s="134" t="str">
        <f>PEDIDOS!D25</f>
        <v>THELMA Y LOUISE</v>
      </c>
      <c r="D25" s="134" t="str">
        <f>PEDIDOS!E25</f>
        <v>SERUM BIFASICO JOJOBA-POMELO</v>
      </c>
      <c r="E25" s="135">
        <f>PEDIDOS!G25</f>
        <v>3024</v>
      </c>
      <c r="F25" s="136"/>
      <c r="G25" s="136"/>
      <c r="H25" s="137" t="s">
        <v>1099</v>
      </c>
      <c r="I25" s="138">
        <v>46084.0</v>
      </c>
      <c r="J25" s="137"/>
      <c r="K25" s="136"/>
      <c r="L25" s="136"/>
      <c r="M25" s="136"/>
    </row>
    <row r="26" ht="15.75" customHeight="1">
      <c r="A26" s="131">
        <f>PEDIDOS!B26</f>
        <v>46066</v>
      </c>
      <c r="B26" s="131">
        <f>PEDIDOS!C26</f>
        <v>15114</v>
      </c>
      <c r="C26" s="131" t="str">
        <f>PEDIDOS!D26</f>
        <v>THELMA Y LOUISE</v>
      </c>
      <c r="D26" s="131" t="str">
        <f>PEDIDOS!E26</f>
        <v>SERUM BIFASICO PEPINO-HAMAMELIS</v>
      </c>
      <c r="E26" s="132">
        <f>PEDIDOS!G26</f>
        <v>3024</v>
      </c>
      <c r="F26" s="46"/>
      <c r="G26" s="46"/>
      <c r="H26" s="45" t="s">
        <v>1099</v>
      </c>
      <c r="I26" s="139">
        <v>46084.0</v>
      </c>
      <c r="J26" s="45"/>
      <c r="K26" s="46"/>
      <c r="L26" s="46"/>
      <c r="M26" s="46"/>
    </row>
    <row r="27" ht="15.75" customHeight="1">
      <c r="A27" s="134">
        <f>PEDIDOS!B27</f>
        <v>46066</v>
      </c>
      <c r="B27" s="134">
        <f>PEDIDOS!C27</f>
        <v>15114</v>
      </c>
      <c r="C27" s="134" t="str">
        <f>PEDIDOS!D27</f>
        <v>THELMA Y LOUISE</v>
      </c>
      <c r="D27" s="134" t="str">
        <f>PEDIDOS!E27</f>
        <v>SERUM BIFASICO LAVANDA-BLUEBERRY</v>
      </c>
      <c r="E27" s="135">
        <f>PEDIDOS!G27</f>
        <v>3024</v>
      </c>
      <c r="F27" s="136"/>
      <c r="G27" s="136"/>
      <c r="H27" s="137" t="s">
        <v>1099</v>
      </c>
      <c r="I27" s="138">
        <v>46084.0</v>
      </c>
      <c r="J27" s="137"/>
      <c r="K27" s="136"/>
      <c r="L27" s="136"/>
      <c r="M27" s="136"/>
    </row>
    <row r="28" ht="15.75" customHeight="1">
      <c r="A28" s="131">
        <f>PEDIDOS!B28</f>
        <v>46066</v>
      </c>
      <c r="B28" s="131">
        <f>PEDIDOS!C28</f>
        <v>15114</v>
      </c>
      <c r="C28" s="131" t="str">
        <f>PEDIDOS!D28</f>
        <v>THELMA Y LOUISE</v>
      </c>
      <c r="D28" s="131" t="str">
        <f>PEDIDOS!E28</f>
        <v>SERUM BIFASICO ROSA MOSQUETA-ROSAS</v>
      </c>
      <c r="E28" s="132">
        <f>PEDIDOS!G28</f>
        <v>3024</v>
      </c>
      <c r="F28" s="46"/>
      <c r="G28" s="46"/>
      <c r="H28" s="45" t="s">
        <v>1099</v>
      </c>
      <c r="I28" s="139">
        <v>46084.0</v>
      </c>
      <c r="J28" s="45"/>
      <c r="K28" s="46"/>
      <c r="L28" s="46"/>
      <c r="M28" s="46"/>
    </row>
    <row r="29" ht="15.75" customHeight="1">
      <c r="A29" s="134">
        <f>PEDIDOS!B29</f>
        <v>46071</v>
      </c>
      <c r="B29" s="134">
        <f>PEDIDOS!C29</f>
        <v>772</v>
      </c>
      <c r="C29" s="134" t="str">
        <f>PEDIDOS!D29</f>
        <v>CAV</v>
      </c>
      <c r="D29" s="134" t="str">
        <f>PEDIDOS!E29</f>
        <v>SHAMPOO BIO MOLECULAR X400ML VITAMIN SHOCK</v>
      </c>
      <c r="E29" s="135">
        <f>PEDIDOS!G29</f>
        <v>700</v>
      </c>
      <c r="F29" s="136"/>
      <c r="G29" s="136"/>
      <c r="H29" s="137"/>
      <c r="I29" s="137"/>
      <c r="J29" s="137"/>
      <c r="K29" s="136"/>
      <c r="L29" s="136"/>
      <c r="M29" s="136"/>
    </row>
    <row r="30" ht="15.75" customHeight="1">
      <c r="A30" s="131">
        <f>PEDIDOS!B30</f>
        <v>46071</v>
      </c>
      <c r="B30" s="131">
        <f>PEDIDOS!C30</f>
        <v>772</v>
      </c>
      <c r="C30" s="131" t="str">
        <f>PEDIDOS!D30</f>
        <v>CAV</v>
      </c>
      <c r="D30" s="131" t="str">
        <f>PEDIDOS!E30</f>
        <v>SERUM BIO MOLUECULAR X30ML VITAMIN SHOCK</v>
      </c>
      <c r="E30" s="132">
        <f>PEDIDOS!G30</f>
        <v>300</v>
      </c>
      <c r="F30" s="46"/>
      <c r="G30" s="46"/>
      <c r="H30" s="45"/>
      <c r="I30" s="45"/>
      <c r="J30" s="45"/>
      <c r="K30" s="46"/>
      <c r="L30" s="46"/>
      <c r="M30" s="46"/>
    </row>
    <row r="31" ht="15.75" customHeight="1">
      <c r="A31" s="134">
        <f>PEDIDOS!B31</f>
        <v>46071</v>
      </c>
      <c r="B31" s="134">
        <f>PEDIDOS!C31</f>
        <v>772</v>
      </c>
      <c r="C31" s="134" t="str">
        <f>PEDIDOS!D31</f>
        <v>CAV</v>
      </c>
      <c r="D31" s="134" t="str">
        <f>PEDIDOS!E31</f>
        <v>BALSAMO X400ML BIOMIC C/ ACIDO HIAL + CAPIMAX</v>
      </c>
      <c r="E31" s="135">
        <f>PEDIDOS!G31</f>
        <v>400</v>
      </c>
      <c r="F31" s="136"/>
      <c r="G31" s="136"/>
      <c r="H31" s="137"/>
      <c r="I31" s="137"/>
      <c r="J31" s="137"/>
      <c r="K31" s="136"/>
      <c r="L31" s="136"/>
      <c r="M31" s="136"/>
    </row>
    <row r="32" ht="15.75" customHeight="1">
      <c r="A32" s="131">
        <f>PEDIDOS!B32</f>
        <v>46071</v>
      </c>
      <c r="B32" s="131">
        <f>PEDIDOS!C32</f>
        <v>772</v>
      </c>
      <c r="C32" s="131" t="str">
        <f>PEDIDOS!D32</f>
        <v>CAV</v>
      </c>
      <c r="D32" s="131" t="str">
        <f>PEDIDOS!E32</f>
        <v>MASCARA BIO MOLECULAR VITAMIN SHOCK X300ML</v>
      </c>
      <c r="E32" s="132">
        <f>PEDIDOS!G32</f>
        <v>700</v>
      </c>
      <c r="F32" s="46"/>
      <c r="G32" s="46"/>
      <c r="H32" s="45"/>
      <c r="I32" s="45"/>
      <c r="J32" s="45"/>
      <c r="K32" s="46"/>
      <c r="L32" s="46"/>
      <c r="M32" s="46"/>
    </row>
    <row r="33" ht="15.75" customHeight="1">
      <c r="A33" s="134">
        <f>PEDIDOS!B33</f>
        <v>46071</v>
      </c>
      <c r="B33" s="134">
        <f>PEDIDOS!C33</f>
        <v>14329</v>
      </c>
      <c r="C33" s="134" t="str">
        <f>PEDIDOS!D33</f>
        <v>JACTANS - DISNEY</v>
      </c>
      <c r="D33" s="134" t="str">
        <f>PEDIDOS!E33</f>
        <v>DSH-41823-Shampoo infantil fco pvc x45ml</v>
      </c>
      <c r="E33" s="135">
        <f>PEDIDOS!G33</f>
        <v>3000</v>
      </c>
      <c r="F33" s="136"/>
      <c r="G33" s="136"/>
      <c r="H33" s="137"/>
      <c r="I33" s="137"/>
      <c r="J33" s="137"/>
      <c r="K33" s="136"/>
      <c r="L33" s="136"/>
      <c r="M33" s="136"/>
    </row>
    <row r="34" ht="15.75" customHeight="1">
      <c r="A34" s="131">
        <f>PEDIDOS!B34</f>
        <v>46071</v>
      </c>
      <c r="B34" s="131">
        <f>PEDIDOS!C34</f>
        <v>14329</v>
      </c>
      <c r="C34" s="131" t="str">
        <f>PEDIDOS!D34</f>
        <v>JACTANS - DISNEY</v>
      </c>
      <c r="D34" s="131" t="str">
        <f>PEDIDOS!E34</f>
        <v>DES-41823-Espuma de Baño infantil fco pvc x45ml</v>
      </c>
      <c r="E34" s="132">
        <f>PEDIDOS!G34</f>
        <v>3000</v>
      </c>
      <c r="F34" s="46"/>
      <c r="G34" s="46"/>
      <c r="H34" s="45"/>
      <c r="I34" s="45"/>
      <c r="J34" s="45"/>
      <c r="K34" s="46"/>
      <c r="L34" s="46"/>
      <c r="M34" s="46"/>
    </row>
    <row r="35" ht="15.75" customHeight="1">
      <c r="A35" s="134">
        <f>PEDIDOS!B35</f>
        <v>46071</v>
      </c>
      <c r="B35" s="134" t="str">
        <f>PEDIDOS!C35</f>
        <v/>
      </c>
      <c r="C35" s="134" t="str">
        <f>PEDIDOS!D35</f>
        <v>BL COSMETICS</v>
      </c>
      <c r="D35" s="134" t="str">
        <f>PEDIDOS!E35</f>
        <v>ALISADO EXPERT</v>
      </c>
      <c r="E35" s="135">
        <f>PEDIDOS!G35</f>
        <v>500</v>
      </c>
      <c r="F35" s="136"/>
      <c r="G35" s="136"/>
      <c r="H35" s="137" t="s">
        <v>1101</v>
      </c>
      <c r="I35" s="138">
        <v>46076.0</v>
      </c>
      <c r="J35" s="137"/>
      <c r="K35" s="136"/>
      <c r="L35" s="136"/>
      <c r="M35" s="136"/>
    </row>
    <row r="36" ht="15.75" customHeight="1">
      <c r="A36" s="131">
        <f>PEDIDOS!B36</f>
        <v>46071</v>
      </c>
      <c r="B36" s="131" t="str">
        <f>PEDIDOS!C36</f>
        <v/>
      </c>
      <c r="C36" s="131" t="str">
        <f>PEDIDOS!D36</f>
        <v>BL COSMETICS</v>
      </c>
      <c r="D36" s="131" t="str">
        <f>PEDIDOS!E36</f>
        <v>ALISADO EXPERT X1KG</v>
      </c>
      <c r="E36" s="132">
        <f>PEDIDOS!G36</f>
        <v>500</v>
      </c>
      <c r="F36" s="46"/>
      <c r="G36" s="46"/>
      <c r="H36" s="45" t="s">
        <v>1101</v>
      </c>
      <c r="I36" s="139">
        <v>46076.0</v>
      </c>
      <c r="J36" s="45"/>
      <c r="K36" s="46"/>
      <c r="L36" s="46"/>
      <c r="M36" s="46"/>
    </row>
    <row r="37" ht="15.75" customHeight="1">
      <c r="A37" s="134">
        <f>PEDIDOS!B37</f>
        <v>46071</v>
      </c>
      <c r="B37" s="134" t="str">
        <f>PEDIDOS!C37</f>
        <v/>
      </c>
      <c r="C37" s="134" t="str">
        <f>PEDIDOS!D37</f>
        <v>BL COSMETICS</v>
      </c>
      <c r="D37" s="134" t="str">
        <f>PEDIDOS!E37</f>
        <v>ALISADO KERATIN</v>
      </c>
      <c r="E37" s="135">
        <f>PEDIDOS!G37</f>
        <v>1000</v>
      </c>
      <c r="F37" s="136"/>
      <c r="G37" s="136"/>
      <c r="H37" s="137" t="s">
        <v>1101</v>
      </c>
      <c r="I37" s="138">
        <v>46076.0</v>
      </c>
      <c r="J37" s="137"/>
      <c r="K37" s="136"/>
      <c r="L37" s="136"/>
      <c r="M37" s="136"/>
    </row>
    <row r="38" ht="15.75" customHeight="1">
      <c r="A38" s="131">
        <f>PEDIDOS!B38</f>
        <v>46071</v>
      </c>
      <c r="B38" s="131" t="str">
        <f>PEDIDOS!C38</f>
        <v>P00147</v>
      </c>
      <c r="C38" s="131" t="str">
        <f>PEDIDOS!D38</f>
        <v>LURE</v>
      </c>
      <c r="D38" s="131" t="str">
        <f>PEDIDOS!E38</f>
        <v>GOLD MASK</v>
      </c>
      <c r="E38" s="132">
        <f>PEDIDOS!G38</f>
        <v>600</v>
      </c>
      <c r="F38" s="46"/>
      <c r="G38" s="46"/>
      <c r="H38" s="45" t="s">
        <v>1101</v>
      </c>
      <c r="I38" s="139">
        <v>46072.0</v>
      </c>
      <c r="J38" s="45"/>
      <c r="K38" s="46"/>
      <c r="L38" s="46"/>
      <c r="M38" s="46"/>
    </row>
    <row r="39" ht="15.75" customHeight="1">
      <c r="A39" s="134">
        <f>PEDIDOS!B39</f>
        <v>46071</v>
      </c>
      <c r="B39" s="134" t="str">
        <f>PEDIDOS!C39</f>
        <v>TCL 2025-02-28</v>
      </c>
      <c r="C39" s="134" t="str">
        <f>PEDIDOS!D39</f>
        <v>THE CHEMIST LOOK</v>
      </c>
      <c r="D39" s="134" t="str">
        <f>PEDIDOS!E39</f>
        <v>MANCHAS 5ML - PIGMENT PROTOCOL</v>
      </c>
      <c r="E39" s="135">
        <f>PEDIDOS!G39</f>
        <v>1000</v>
      </c>
      <c r="F39" s="136"/>
      <c r="G39" s="136"/>
      <c r="H39" s="137"/>
      <c r="I39" s="137"/>
      <c r="J39" s="137"/>
      <c r="K39" s="136"/>
      <c r="L39" s="136"/>
      <c r="M39" s="136"/>
    </row>
    <row r="40" ht="15.75" customHeight="1">
      <c r="A40" s="131">
        <f>PEDIDOS!B40</f>
        <v>46071</v>
      </c>
      <c r="B40" s="131" t="str">
        <f>PEDIDOS!C40</f>
        <v>TCL 2025-02-28</v>
      </c>
      <c r="C40" s="131" t="str">
        <f>PEDIDOS!D40</f>
        <v>THE CHEMIST LOOK</v>
      </c>
      <c r="D40" s="131" t="str">
        <f>PEDIDOS!E40</f>
        <v>MANCHAS 30ML - PIGMENT PROTOCOL</v>
      </c>
      <c r="E40" s="132">
        <f>PEDIDOS!G40</f>
        <v>2000</v>
      </c>
      <c r="F40" s="46"/>
      <c r="G40" s="46"/>
      <c r="H40" s="45"/>
      <c r="I40" s="45"/>
      <c r="J40" s="45"/>
      <c r="K40" s="46"/>
      <c r="L40" s="46"/>
      <c r="M40" s="46"/>
    </row>
    <row r="41" ht="15.75" customHeight="1">
      <c r="A41" s="134">
        <f>PEDIDOS!B41</f>
        <v>46071</v>
      </c>
      <c r="B41" s="134" t="str">
        <f>PEDIDOS!C41</f>
        <v>TCL 2025-02-28</v>
      </c>
      <c r="C41" s="134" t="str">
        <f>PEDIDOS!D41</f>
        <v>THE CHEMIST LOOK</v>
      </c>
      <c r="D41" s="134" t="str">
        <f>PEDIDOS!E41</f>
        <v>BOOSTER VIT C/GLUT</v>
      </c>
      <c r="E41" s="135">
        <f>PEDIDOS!G41</f>
        <v>3000</v>
      </c>
      <c r="F41" s="136"/>
      <c r="G41" s="136"/>
      <c r="H41" s="137" t="s">
        <v>1101</v>
      </c>
      <c r="I41" s="141">
        <v>46080.0</v>
      </c>
      <c r="J41" s="137"/>
      <c r="K41" s="136"/>
      <c r="L41" s="136"/>
      <c r="M41" s="136"/>
    </row>
    <row r="42" ht="15.75" customHeight="1">
      <c r="A42" s="131">
        <f>PEDIDOS!B42</f>
        <v>46071</v>
      </c>
      <c r="B42" s="131" t="str">
        <f>PEDIDOS!C42</f>
        <v>TCL 2025-02-28</v>
      </c>
      <c r="C42" s="131" t="str">
        <f>PEDIDOS!D42</f>
        <v>THE CHEMIST LOOK</v>
      </c>
      <c r="D42" s="131" t="str">
        <f>PEDIDOS!E42</f>
        <v>BOOSTER NIACI/ZN</v>
      </c>
      <c r="E42" s="132">
        <f>PEDIDOS!G42</f>
        <v>3500</v>
      </c>
      <c r="F42" s="46"/>
      <c r="G42" s="46"/>
      <c r="H42" s="45" t="s">
        <v>1101</v>
      </c>
      <c r="I42" s="133">
        <v>46080.0</v>
      </c>
      <c r="J42" s="45"/>
      <c r="K42" s="46"/>
      <c r="L42" s="46"/>
      <c r="M42" s="46"/>
    </row>
    <row r="43" ht="15.75" customHeight="1">
      <c r="A43" s="134">
        <f>PEDIDOS!B43</f>
        <v>46071</v>
      </c>
      <c r="B43" s="134" t="str">
        <f>PEDIDOS!C43</f>
        <v>TCL 2025-02-28</v>
      </c>
      <c r="C43" s="134" t="str">
        <f>PEDIDOS!D43</f>
        <v>THE CHEMIST LOOK</v>
      </c>
      <c r="D43" s="134" t="str">
        <f>PEDIDOS!E43</f>
        <v>BOOSTER HYALU-A/SI</v>
      </c>
      <c r="E43" s="135">
        <f>PEDIDOS!G43</f>
        <v>2400</v>
      </c>
      <c r="F43" s="136"/>
      <c r="G43" s="136"/>
      <c r="H43" s="137" t="s">
        <v>1101</v>
      </c>
      <c r="I43" s="141">
        <v>46080.0</v>
      </c>
      <c r="J43" s="137"/>
      <c r="K43" s="141"/>
      <c r="L43" s="136"/>
      <c r="M43" s="136"/>
    </row>
    <row r="44" ht="15.75" customHeight="1">
      <c r="A44" s="131">
        <f>PEDIDOS!B44</f>
        <v>46071</v>
      </c>
      <c r="B44" s="131" t="str">
        <f>PEDIDOS!C44</f>
        <v>TCL 2025-02-28</v>
      </c>
      <c r="C44" s="131" t="str">
        <f>PEDIDOS!D44</f>
        <v>THE CHEMIST LOOK</v>
      </c>
      <c r="D44" s="131" t="str">
        <f>PEDIDOS!E44</f>
        <v>BOOSTER MUNAP-18</v>
      </c>
      <c r="E44" s="132">
        <f>PEDIDOS!G44</f>
        <v>3000</v>
      </c>
      <c r="F44" s="46"/>
      <c r="G44" s="46"/>
      <c r="H44" s="45" t="s">
        <v>1101</v>
      </c>
      <c r="I44" s="133">
        <v>46080.0</v>
      </c>
      <c r="J44" s="45"/>
      <c r="K44" s="133"/>
      <c r="L44" s="46"/>
      <c r="M44" s="46"/>
    </row>
    <row r="45" ht="15.75" customHeight="1">
      <c r="A45" s="134">
        <f>PEDIDOS!B45</f>
        <v>46071</v>
      </c>
      <c r="B45" s="134" t="str">
        <f>PEDIDOS!C45</f>
        <v>TCL 2025-02-28</v>
      </c>
      <c r="C45" s="134" t="str">
        <f>PEDIDOS!D45</f>
        <v>THE CHEMIST LOOK</v>
      </c>
      <c r="D45" s="134" t="str">
        <f>PEDIDOS!E45</f>
        <v>TAN BOOSTER</v>
      </c>
      <c r="E45" s="135">
        <f>PEDIDOS!G45</f>
        <v>500</v>
      </c>
      <c r="F45" s="136"/>
      <c r="G45" s="136"/>
      <c r="H45" s="137"/>
      <c r="I45" s="137"/>
      <c r="J45" s="137"/>
      <c r="K45" s="136"/>
      <c r="L45" s="136"/>
      <c r="M45" s="136"/>
    </row>
    <row r="46" ht="15.75" customHeight="1">
      <c r="A46" s="131">
        <f>PEDIDOS!B46</f>
        <v>46071</v>
      </c>
      <c r="B46" s="131" t="str">
        <f>PEDIDOS!C46</f>
        <v>TCL 2025-02-28</v>
      </c>
      <c r="C46" s="131" t="str">
        <f>PEDIDOS!D46</f>
        <v>THE CHEMIST LOOK</v>
      </c>
      <c r="D46" s="131" t="str">
        <f>PEDIDOS!E46</f>
        <v>BOOSTER RETIN</v>
      </c>
      <c r="E46" s="132">
        <f>PEDIDOS!G46</f>
        <v>2000</v>
      </c>
      <c r="F46" s="46"/>
      <c r="G46" s="46"/>
      <c r="H46" s="45"/>
      <c r="I46" s="45"/>
      <c r="J46" s="45"/>
      <c r="K46" s="46"/>
      <c r="L46" s="46"/>
      <c r="M46" s="46"/>
    </row>
    <row r="47" ht="15.75" customHeight="1">
      <c r="A47" s="134">
        <f>PEDIDOS!B47</f>
        <v>46071</v>
      </c>
      <c r="B47" s="134" t="str">
        <f>PEDIDOS!C47</f>
        <v>TCL 2025-02-28</v>
      </c>
      <c r="C47" s="134" t="str">
        <f>PEDIDOS!D47</f>
        <v>THE CHEMIST LOOK</v>
      </c>
      <c r="D47" s="134" t="str">
        <f>PEDIDOS!E47</f>
        <v>2ND SKIN</v>
      </c>
      <c r="E47" s="135">
        <f>PEDIDOS!G47</f>
        <v>1000</v>
      </c>
      <c r="F47" s="136"/>
      <c r="G47" s="136"/>
      <c r="H47" s="137"/>
      <c r="I47" s="137"/>
      <c r="J47" s="137"/>
      <c r="K47" s="136"/>
      <c r="L47" s="136"/>
      <c r="M47" s="136"/>
    </row>
    <row r="48" ht="15.75" customHeight="1">
      <c r="A48" s="131">
        <f>PEDIDOS!B48</f>
        <v>46071</v>
      </c>
      <c r="B48" s="131">
        <f>PEDIDOS!C48</f>
        <v>14331</v>
      </c>
      <c r="C48" s="131" t="str">
        <f>PEDIDOS!D48</f>
        <v>JACTANS</v>
      </c>
      <c r="D48" s="131" t="str">
        <f>PEDIDOS!E48</f>
        <v>JS-736 BRUMA FIJADORA FACIAL</v>
      </c>
      <c r="E48" s="132">
        <f>PEDIDOS!G48</f>
        <v>2000</v>
      </c>
      <c r="F48" s="46"/>
      <c r="G48" s="46"/>
      <c r="H48" s="45" t="s">
        <v>1101</v>
      </c>
      <c r="I48" s="45"/>
      <c r="J48" s="45"/>
      <c r="K48" s="46"/>
      <c r="L48" s="46"/>
      <c r="M48" s="46"/>
    </row>
    <row r="49" ht="15.75" customHeight="1">
      <c r="A49" s="134">
        <f>PEDIDOS!B49</f>
        <v>46072</v>
      </c>
      <c r="B49" s="134" t="str">
        <f>PEDIDOS!C49</f>
        <v/>
      </c>
      <c r="C49" s="134" t="str">
        <f>PEDIDOS!D49</f>
        <v>KALA</v>
      </c>
      <c r="D49" s="134" t="str">
        <f>PEDIDOS!E49</f>
        <v>AGUA DE ROSAS</v>
      </c>
      <c r="E49" s="135">
        <f>PEDIDOS!G49</f>
        <v>650</v>
      </c>
      <c r="F49" s="136"/>
      <c r="G49" s="136"/>
      <c r="H49" s="137" t="s">
        <v>1101</v>
      </c>
      <c r="I49" s="137"/>
      <c r="J49" s="137"/>
      <c r="K49" s="136"/>
      <c r="L49" s="136"/>
      <c r="M49" s="136"/>
    </row>
    <row r="50" ht="15.75" customHeight="1">
      <c r="A50" s="131">
        <f>PEDIDOS!B50</f>
        <v>46073</v>
      </c>
      <c r="B50" s="131" t="str">
        <f>PEDIDOS!C50</f>
        <v/>
      </c>
      <c r="C50" s="131" t="str">
        <f>PEDIDOS!D50</f>
        <v>INTENCIONAL</v>
      </c>
      <c r="D50" s="131" t="str">
        <f>PEDIDOS!E50</f>
        <v>CREMA DE ORDEÑE</v>
      </c>
      <c r="E50" s="132">
        <f>PEDIDOS!G50</f>
        <v>2000</v>
      </c>
      <c r="F50" s="46"/>
      <c r="G50" s="46"/>
      <c r="H50" s="45" t="s">
        <v>1101</v>
      </c>
      <c r="I50" s="45"/>
      <c r="J50" s="45"/>
      <c r="K50" s="46"/>
      <c r="L50" s="46"/>
      <c r="M50" s="46"/>
    </row>
    <row r="51" ht="15.75" customHeight="1">
      <c r="A51" s="134">
        <f>PEDIDOS!B51</f>
        <v>46073</v>
      </c>
      <c r="B51" s="134" t="str">
        <f>PEDIDOS!C51</f>
        <v>P01256</v>
      </c>
      <c r="C51" s="134" t="str">
        <f>PEDIDOS!D51</f>
        <v>BIOESENCIA</v>
      </c>
      <c r="D51" s="134" t="str">
        <f>PEDIDOS!E51</f>
        <v>CREMA BABA DE CARACOL</v>
      </c>
      <c r="E51" s="135">
        <f>PEDIDOS!G51</f>
        <v>1000</v>
      </c>
      <c r="F51" s="136"/>
      <c r="G51" s="136"/>
      <c r="H51" s="137" t="s">
        <v>1101</v>
      </c>
      <c r="I51" s="137"/>
      <c r="J51" s="137"/>
      <c r="K51" s="136"/>
      <c r="L51" s="136"/>
      <c r="M51" s="136"/>
    </row>
    <row r="52" ht="15.75" customHeight="1">
      <c r="A52" s="131">
        <f>PEDIDOS!B52</f>
        <v>46042</v>
      </c>
      <c r="B52" s="131" t="str">
        <f>PEDIDOS!C52</f>
        <v>P01203</v>
      </c>
      <c r="C52" s="131" t="str">
        <f>PEDIDOS!D52</f>
        <v>BIOESENCIA</v>
      </c>
      <c r="D52" s="131" t="str">
        <f>PEDIDOS!E52</f>
        <v>SHAMPOO BABY</v>
      </c>
      <c r="E52" s="132">
        <f>PEDIDOS!G52</f>
        <v>500</v>
      </c>
      <c r="F52" s="46"/>
      <c r="G52" s="46"/>
      <c r="H52" s="45" t="s">
        <v>1101</v>
      </c>
      <c r="I52" s="45"/>
      <c r="J52" s="45"/>
      <c r="K52" s="46"/>
      <c r="L52" s="46"/>
      <c r="M52" s="46"/>
    </row>
    <row r="53" ht="15.75" customHeight="1">
      <c r="A53" s="134">
        <f>PEDIDOS!B53</f>
        <v>46042</v>
      </c>
      <c r="B53" s="134" t="str">
        <f>PEDIDOS!C53</f>
        <v>P01203</v>
      </c>
      <c r="C53" s="134" t="str">
        <f>PEDIDOS!D53</f>
        <v>BIOESENCIA</v>
      </c>
      <c r="D53" s="134" t="str">
        <f>PEDIDOS!E53</f>
        <v>SERUM PROBIOTICOS</v>
      </c>
      <c r="E53" s="135">
        <f>PEDIDOS!G53</f>
        <v>1000</v>
      </c>
      <c r="F53" s="136"/>
      <c r="G53" s="136"/>
      <c r="H53" s="137" t="s">
        <v>1101</v>
      </c>
      <c r="I53" s="137"/>
      <c r="J53" s="137"/>
      <c r="K53" s="136"/>
      <c r="L53" s="136"/>
      <c r="M53" s="136"/>
    </row>
    <row r="54" ht="15.75" customHeight="1">
      <c r="A54" s="131">
        <f>PEDIDOS!B54</f>
        <v>46073</v>
      </c>
      <c r="B54" s="131" t="str">
        <f>PEDIDOS!C54</f>
        <v/>
      </c>
      <c r="C54" s="131" t="str">
        <f>PEDIDOS!D54</f>
        <v>OSSPRET</v>
      </c>
      <c r="D54" s="131" t="str">
        <f>PEDIDOS!E54</f>
        <v>CREMA DE ORDEÑE</v>
      </c>
      <c r="E54" s="132">
        <f>PEDIDOS!G54</f>
        <v>300</v>
      </c>
      <c r="F54" s="46"/>
      <c r="G54" s="46"/>
      <c r="H54" s="45"/>
      <c r="I54" s="45"/>
      <c r="J54" s="45"/>
      <c r="K54" s="46"/>
      <c r="L54" s="46"/>
      <c r="M54" s="46"/>
    </row>
    <row r="55" ht="15.75" customHeight="1">
      <c r="A55" s="134">
        <f>PEDIDOS!B55</f>
        <v>46073</v>
      </c>
      <c r="B55" s="134" t="str">
        <f>PEDIDOS!C55</f>
        <v>P01256</v>
      </c>
      <c r="C55" s="134" t="str">
        <f>PEDIDOS!D55</f>
        <v>BIOESENCIA</v>
      </c>
      <c r="D55" s="134" t="str">
        <f>PEDIDOS!E55</f>
        <v>UNGUENTO PROPOLEO</v>
      </c>
      <c r="E55" s="135">
        <f>PEDIDOS!G55</f>
        <v>1000</v>
      </c>
      <c r="F55" s="136"/>
      <c r="G55" s="136"/>
      <c r="H55" s="137" t="s">
        <v>1101</v>
      </c>
      <c r="I55" s="137"/>
      <c r="J55" s="137"/>
      <c r="K55" s="136"/>
      <c r="L55" s="136"/>
      <c r="M55" s="136"/>
    </row>
    <row r="56" ht="15.75" customHeight="1">
      <c r="A56" s="131">
        <f>PEDIDOS!B56</f>
        <v>46073</v>
      </c>
      <c r="B56" s="131" t="str">
        <f>PEDIDOS!C56</f>
        <v>P01257</v>
      </c>
      <c r="C56" s="131" t="str">
        <f>PEDIDOS!D56</f>
        <v>BIOESENCIA</v>
      </c>
      <c r="D56" s="131" t="str">
        <f>PEDIDOS!E56</f>
        <v>BAÑO BE KERATINA BE VEGAN</v>
      </c>
      <c r="E56" s="132">
        <f>PEDIDOS!G56</f>
        <v>1000</v>
      </c>
      <c r="F56" s="46"/>
      <c r="G56" s="46"/>
      <c r="H56" s="45" t="s">
        <v>1101</v>
      </c>
      <c r="I56" s="45"/>
      <c r="J56" s="45"/>
      <c r="K56" s="46"/>
      <c r="L56" s="46"/>
      <c r="M56" s="46"/>
    </row>
    <row r="57" ht="15.75" customHeight="1">
      <c r="A57" s="134">
        <f>PEDIDOS!B57</f>
        <v>46073</v>
      </c>
      <c r="B57" s="134" t="str">
        <f>PEDIDOS!C57</f>
        <v>P01258</v>
      </c>
      <c r="C57" s="134" t="str">
        <f>PEDIDOS!D57</f>
        <v>BIOESENCIA</v>
      </c>
      <c r="D57" s="134" t="str">
        <f>PEDIDOS!E57</f>
        <v>REPARADOR DE PUNTAS</v>
      </c>
      <c r="E57" s="135">
        <f>PEDIDOS!G57</f>
        <v>1000</v>
      </c>
      <c r="F57" s="136"/>
      <c r="G57" s="136"/>
      <c r="H57" s="137" t="s">
        <v>1101</v>
      </c>
      <c r="I57" s="137"/>
      <c r="J57" s="137"/>
      <c r="K57" s="136"/>
      <c r="L57" s="136"/>
      <c r="M57" s="136"/>
    </row>
    <row r="58" ht="15.75" customHeight="1">
      <c r="A58" s="131">
        <f>PEDIDOS!B58</f>
        <v>46073</v>
      </c>
      <c r="B58" s="131" t="str">
        <f>PEDIDOS!C58</f>
        <v>P01259</v>
      </c>
      <c r="C58" s="131" t="str">
        <f>PEDIDOS!D58</f>
        <v>BIOESENCIA</v>
      </c>
      <c r="D58" s="131" t="str">
        <f>PEDIDOS!E58</f>
        <v>BRUMA FACIAL ORIGENES</v>
      </c>
      <c r="E58" s="132">
        <f>PEDIDOS!G58</f>
        <v>1000</v>
      </c>
      <c r="F58" s="46"/>
      <c r="G58" s="46"/>
      <c r="H58" s="45" t="s">
        <v>1101</v>
      </c>
      <c r="I58" s="45"/>
      <c r="J58" s="45"/>
      <c r="K58" s="46"/>
      <c r="L58" s="46"/>
      <c r="M58" s="46"/>
    </row>
    <row r="59" ht="15.75" customHeight="1">
      <c r="A59" s="134">
        <f>PEDIDOS!B59</f>
        <v>46073</v>
      </c>
      <c r="B59" s="134" t="str">
        <f>PEDIDOS!C59</f>
        <v>P01260</v>
      </c>
      <c r="C59" s="134" t="str">
        <f>PEDIDOS!D59</f>
        <v>BIOESENCIA</v>
      </c>
      <c r="D59" s="134" t="str">
        <f>PEDIDOS!E59</f>
        <v>EMULSION CORPORAL PROBIOTICOS</v>
      </c>
      <c r="E59" s="135">
        <f>PEDIDOS!G59</f>
        <v>1000</v>
      </c>
      <c r="F59" s="136"/>
      <c r="G59" s="136"/>
      <c r="H59" s="137" t="s">
        <v>1101</v>
      </c>
      <c r="I59" s="137"/>
      <c r="J59" s="137"/>
      <c r="K59" s="136"/>
      <c r="L59" s="136"/>
      <c r="M59" s="136"/>
    </row>
    <row r="60" ht="15.75" customHeight="1">
      <c r="A60" s="131">
        <f>PEDIDOS!B60</f>
        <v>46073</v>
      </c>
      <c r="B60" s="131" t="str">
        <f>PEDIDOS!C60</f>
        <v>P01261</v>
      </c>
      <c r="C60" s="131" t="str">
        <f>PEDIDOS!D60</f>
        <v>BIOESENCIA</v>
      </c>
      <c r="D60" s="131" t="str">
        <f>PEDIDOS!E60</f>
        <v>CREMA DIA/NOCHE ULTRAHIDRATANTE VEGAN</v>
      </c>
      <c r="E60" s="132">
        <f>PEDIDOS!G60</f>
        <v>1000</v>
      </c>
      <c r="F60" s="46"/>
      <c r="G60" s="46"/>
      <c r="H60" s="45" t="s">
        <v>1101</v>
      </c>
      <c r="I60" s="45"/>
      <c r="J60" s="45"/>
      <c r="K60" s="46"/>
      <c r="L60" s="46"/>
      <c r="M60" s="46"/>
    </row>
    <row r="61" ht="15.75" customHeight="1">
      <c r="A61" s="134">
        <f>PEDIDOS!B61</f>
        <v>46076</v>
      </c>
      <c r="B61" s="134" t="str">
        <f>PEDIDOS!C61</f>
        <v/>
      </c>
      <c r="C61" s="134" t="str">
        <f>PEDIDOS!D61</f>
        <v>AGUEDA REY - ALMA HAIR</v>
      </c>
      <c r="D61" s="134" t="str">
        <f>PEDIDOS!E61</f>
        <v>ACONDICIONADOR CON EXTRACTO DE CEBOLLA</v>
      </c>
      <c r="E61" s="135">
        <f>PEDIDOS!G61</f>
        <v>1050</v>
      </c>
      <c r="F61" s="136"/>
      <c r="G61" s="136"/>
      <c r="H61" s="137"/>
      <c r="I61" s="137"/>
      <c r="J61" s="137"/>
      <c r="K61" s="136"/>
      <c r="L61" s="136"/>
      <c r="M61" s="136"/>
    </row>
    <row r="62" ht="15.75" customHeight="1">
      <c r="A62" s="131">
        <f>PEDIDOS!B62</f>
        <v>46076</v>
      </c>
      <c r="B62" s="131">
        <f>PEDIDOS!C62</f>
        <v>774</v>
      </c>
      <c r="C62" s="131" t="str">
        <f>PEDIDOS!D62</f>
        <v>CAV</v>
      </c>
      <c r="D62" s="142" t="str">
        <f>PEDIDOS!E62</f>
        <v>CRISTAL LIQ (BRIGHT CRYSTAL) CAV EXPRESSION</v>
      </c>
      <c r="E62" s="132">
        <f>PEDIDOS!G62</f>
        <v>250</v>
      </c>
      <c r="F62" s="46"/>
      <c r="G62" s="46"/>
      <c r="H62" s="45"/>
      <c r="I62" s="45"/>
      <c r="J62" s="45"/>
      <c r="K62" s="46"/>
      <c r="L62" s="46"/>
      <c r="M62" s="46"/>
    </row>
    <row r="63" ht="15.75" customHeight="1">
      <c r="A63" s="134">
        <f>PEDIDOS!B63</f>
        <v>46076</v>
      </c>
      <c r="B63" s="134">
        <f>PEDIDOS!C63</f>
        <v>774</v>
      </c>
      <c r="C63" s="134" t="str">
        <f>PEDIDOS!D63</f>
        <v>CAV</v>
      </c>
      <c r="D63" s="142" t="str">
        <f>PEDIDOS!E63</f>
        <v>Protector C-Plex x150 Paso 3</v>
      </c>
      <c r="E63" s="135">
        <f>PEDIDOS!G63</f>
        <v>300</v>
      </c>
      <c r="F63" s="136"/>
      <c r="G63" s="136"/>
      <c r="H63" s="137"/>
      <c r="I63" s="137"/>
      <c r="J63" s="137"/>
      <c r="K63" s="136"/>
      <c r="L63" s="136"/>
      <c r="M63" s="136"/>
    </row>
    <row r="64" ht="15.75" customHeight="1">
      <c r="A64" s="131">
        <f>PEDIDOS!B64</f>
        <v>46076</v>
      </c>
      <c r="B64" s="131" t="str">
        <f>PEDIDOS!C64</f>
        <v/>
      </c>
      <c r="C64" s="131" t="str">
        <f>PEDIDOS!D64</f>
        <v>WSABI</v>
      </c>
      <c r="D64" s="131" t="str">
        <f>PEDIDOS!E64</f>
        <v>CONTORNO DE OJOS</v>
      </c>
      <c r="E64" s="132">
        <f>PEDIDOS!G64</f>
        <v>480</v>
      </c>
      <c r="F64" s="46"/>
      <c r="G64" s="46"/>
      <c r="H64" s="45" t="s">
        <v>1101</v>
      </c>
      <c r="I64" s="45"/>
      <c r="J64" s="45"/>
      <c r="K64" s="46"/>
      <c r="L64" s="46"/>
      <c r="M64" s="46"/>
    </row>
    <row r="65" ht="15.75" customHeight="1">
      <c r="A65" s="134">
        <f>PEDIDOS!B65</f>
        <v>46076</v>
      </c>
      <c r="B65" s="134" t="str">
        <f>PEDIDOS!C65</f>
        <v/>
      </c>
      <c r="C65" s="134" t="str">
        <f>PEDIDOS!D65</f>
        <v>WSABI</v>
      </c>
      <c r="D65" s="134" t="str">
        <f>PEDIDOS!E65</f>
        <v>LECHE DE LIMPIEZA</v>
      </c>
      <c r="E65" s="135">
        <f>PEDIDOS!G65</f>
        <v>500</v>
      </c>
      <c r="F65" s="136"/>
      <c r="G65" s="136"/>
      <c r="H65" s="137" t="s">
        <v>1101</v>
      </c>
      <c r="I65" s="137"/>
      <c r="J65" s="137"/>
      <c r="K65" s="136"/>
      <c r="L65" s="136"/>
      <c r="M65" s="136"/>
    </row>
    <row r="66" ht="15.75" customHeight="1">
      <c r="A66" s="131">
        <f>PEDIDOS!B66</f>
        <v>46076</v>
      </c>
      <c r="B66" s="131" t="str">
        <f>PEDIDOS!C66</f>
        <v/>
      </c>
      <c r="C66" s="131" t="str">
        <f>PEDIDOS!D66</f>
        <v>WSABI</v>
      </c>
      <c r="D66" s="131" t="str">
        <f>PEDIDOS!E66</f>
        <v>SERUM ANTIOXIDANTE VIT C</v>
      </c>
      <c r="E66" s="132">
        <f>PEDIDOS!G66</f>
        <v>300</v>
      </c>
      <c r="F66" s="46"/>
      <c r="G66" s="46"/>
      <c r="H66" s="45" t="s">
        <v>1101</v>
      </c>
      <c r="I66" s="45"/>
      <c r="J66" s="45"/>
      <c r="K66" s="46"/>
      <c r="L66" s="46"/>
      <c r="M66" s="46"/>
    </row>
    <row r="67" ht="15.75" customHeight="1">
      <c r="A67" s="134">
        <f>PEDIDOS!B67</f>
        <v>46076</v>
      </c>
      <c r="B67" s="134" t="str">
        <f>PEDIDOS!C67</f>
        <v/>
      </c>
      <c r="C67" s="134" t="str">
        <f>PEDIDOS!D67</f>
        <v>WSABI</v>
      </c>
      <c r="D67" s="134" t="str">
        <f>PEDIDOS!E67</f>
        <v>TONICO CORPORAL EQUILIBRIO</v>
      </c>
      <c r="E67" s="135">
        <f>PEDIDOS!G67</f>
        <v>1000</v>
      </c>
      <c r="F67" s="136"/>
      <c r="G67" s="136"/>
      <c r="H67" s="137" t="s">
        <v>1101</v>
      </c>
      <c r="I67" s="137"/>
      <c r="J67" s="137"/>
      <c r="K67" s="136"/>
      <c r="L67" s="136"/>
      <c r="M67" s="136"/>
    </row>
    <row r="68" ht="15.75" customHeight="1">
      <c r="A68" s="131">
        <f>PEDIDOS!B68</f>
        <v>46063</v>
      </c>
      <c r="B68" s="131">
        <f>PEDIDOS!C68</f>
        <v>15125</v>
      </c>
      <c r="C68" s="131" t="str">
        <f>PEDIDOS!D68</f>
        <v>THELMA Y LOUISE</v>
      </c>
      <c r="D68" s="131" t="str">
        <f>PEDIDOS!E68</f>
        <v>SERUM ANTIAGE</v>
      </c>
      <c r="E68" s="132">
        <f>PEDIDOS!G68</f>
        <v>2100</v>
      </c>
      <c r="F68" s="46"/>
      <c r="G68" s="46"/>
      <c r="H68" s="45" t="s">
        <v>1101</v>
      </c>
      <c r="I68" s="45"/>
      <c r="J68" s="45"/>
      <c r="K68" s="46"/>
      <c r="L68" s="46"/>
      <c r="M68" s="46"/>
    </row>
    <row r="69" ht="15.75" customHeight="1">
      <c r="A69" s="134">
        <f>PEDIDOS!B69</f>
        <v>46063</v>
      </c>
      <c r="B69" s="134">
        <f>PEDIDOS!C69</f>
        <v>15125</v>
      </c>
      <c r="C69" s="134" t="str">
        <f>PEDIDOS!D69</f>
        <v>THELMA Y LOUISE</v>
      </c>
      <c r="D69" s="134" t="str">
        <f>PEDIDOS!E69</f>
        <v>SERUM DESCONGESTIVO</v>
      </c>
      <c r="E69" s="135">
        <f>PEDIDOS!G69</f>
        <v>2100</v>
      </c>
      <c r="F69" s="136"/>
      <c r="G69" s="136"/>
      <c r="H69" s="137" t="s">
        <v>1101</v>
      </c>
      <c r="I69" s="137"/>
      <c r="J69" s="137"/>
      <c r="K69" s="136"/>
      <c r="L69" s="136"/>
      <c r="M69" s="136"/>
    </row>
    <row r="70" ht="15.75" customHeight="1">
      <c r="A70" s="131">
        <f>PEDIDOS!B70</f>
        <v>46076</v>
      </c>
      <c r="B70" s="131">
        <f>PEDIDOS!C70</f>
        <v>775</v>
      </c>
      <c r="C70" s="131" t="str">
        <f>PEDIDOS!D70</f>
        <v>CAV</v>
      </c>
      <c r="D70" s="131" t="str">
        <f>PEDIDOS!E70</f>
        <v>Rebond C-Plex CAV x 500 ml (Paso 1)</v>
      </c>
      <c r="E70" s="132">
        <f>PEDIDOS!G70</f>
        <v>200</v>
      </c>
      <c r="F70" s="46"/>
      <c r="G70" s="46"/>
      <c r="H70" s="45"/>
      <c r="I70" s="45"/>
      <c r="J70" s="45"/>
      <c r="K70" s="46"/>
      <c r="L70" s="46"/>
      <c r="M70" s="46"/>
    </row>
    <row r="71" ht="15.75" customHeight="1">
      <c r="A71" s="134">
        <f>PEDIDOS!B71</f>
        <v>46076</v>
      </c>
      <c r="B71" s="134">
        <f>PEDIDOS!C71</f>
        <v>775</v>
      </c>
      <c r="C71" s="134" t="str">
        <f>PEDIDOS!D71</f>
        <v>CAV</v>
      </c>
      <c r="D71" s="134" t="str">
        <f>PEDIDOS!E71</f>
        <v>Finishing C-Plex CAV x 500 ml (Paso 2)</v>
      </c>
      <c r="E71" s="135">
        <f>PEDIDOS!G71</f>
        <v>400</v>
      </c>
      <c r="F71" s="136"/>
      <c r="G71" s="136"/>
      <c r="H71" s="137"/>
      <c r="I71" s="137"/>
      <c r="J71" s="137"/>
      <c r="K71" s="136"/>
      <c r="L71" s="136"/>
      <c r="M71" s="136"/>
    </row>
    <row r="72" ht="15.75" customHeight="1">
      <c r="A72" s="131">
        <f>PEDIDOS!B72</f>
        <v>46077</v>
      </c>
      <c r="B72" s="131">
        <f>PEDIDOS!C72</f>
        <v>1704</v>
      </c>
      <c r="C72" s="131" t="str">
        <f>PEDIDOS!D72</f>
        <v>LABORATORIO ONCE</v>
      </c>
      <c r="D72" s="131" t="str">
        <f>PEDIDOS!E72</f>
        <v>ALBA SERUM X 30 ML DRA ROSSI</v>
      </c>
      <c r="E72" s="132">
        <f>PEDIDOS!G72</f>
        <v>300</v>
      </c>
      <c r="F72" s="46"/>
      <c r="G72" s="46"/>
      <c r="H72" s="45" t="s">
        <v>1101</v>
      </c>
      <c r="I72" s="45"/>
      <c r="J72" s="45"/>
      <c r="K72" s="46"/>
      <c r="L72" s="46"/>
      <c r="M72" s="46"/>
    </row>
    <row r="73" ht="15.75" customHeight="1">
      <c r="A73" s="134">
        <f>PEDIDOS!B73</f>
        <v>46078</v>
      </c>
      <c r="B73" s="134" t="str">
        <f>PEDIDOS!C73</f>
        <v/>
      </c>
      <c r="C73" s="134" t="str">
        <f>PEDIDOS!D73</f>
        <v>UNICA</v>
      </c>
      <c r="D73" s="134" t="str">
        <f>PEDIDOS!E73</f>
        <v>CREMA CORPORAL HUMECTANTE KARITE</v>
      </c>
      <c r="E73" s="135">
        <f>PEDIDOS!G73</f>
        <v>500</v>
      </c>
      <c r="F73" s="136"/>
      <c r="G73" s="136"/>
      <c r="H73" s="137" t="s">
        <v>1101</v>
      </c>
      <c r="I73" s="137"/>
      <c r="J73" s="137"/>
      <c r="K73" s="136"/>
      <c r="L73" s="136"/>
      <c r="M73" s="136"/>
    </row>
    <row r="74" ht="15.75" customHeight="1">
      <c r="A74" s="131">
        <f>PEDIDOS!B74</f>
        <v>46078</v>
      </c>
      <c r="B74" s="131" t="str">
        <f>PEDIDOS!C74</f>
        <v/>
      </c>
      <c r="C74" s="131" t="str">
        <f>PEDIDOS!D74</f>
        <v>OLANN</v>
      </c>
      <c r="D74" s="131" t="str">
        <f>PEDIDOS!E74</f>
        <v>Serum hialurónico 30 ml </v>
      </c>
      <c r="E74" s="132">
        <f>PEDIDOS!G74</f>
        <v>250</v>
      </c>
      <c r="F74" s="46"/>
      <c r="G74" s="46"/>
      <c r="H74" s="45" t="s">
        <v>1101</v>
      </c>
      <c r="I74" s="45"/>
      <c r="J74" s="45"/>
      <c r="K74" s="46"/>
      <c r="L74" s="46"/>
      <c r="M74" s="46"/>
    </row>
    <row r="75" ht="15.75" customHeight="1">
      <c r="A75" s="134">
        <f>PEDIDOS!B75</f>
        <v>46078</v>
      </c>
      <c r="B75" s="134" t="str">
        <f>PEDIDOS!C75</f>
        <v/>
      </c>
      <c r="C75" s="134" t="str">
        <f>PEDIDOS!D75</f>
        <v>OLANN</v>
      </c>
      <c r="D75" s="134" t="str">
        <f>PEDIDOS!E75</f>
        <v>BRUMA FACIAL</v>
      </c>
      <c r="E75" s="135">
        <f>PEDIDOS!G75</f>
        <v>250</v>
      </c>
      <c r="F75" s="136"/>
      <c r="G75" s="136"/>
      <c r="H75" s="137" t="s">
        <v>1101</v>
      </c>
      <c r="I75" s="137"/>
      <c r="J75" s="137"/>
      <c r="K75" s="136"/>
      <c r="L75" s="136"/>
      <c r="M75" s="136"/>
    </row>
    <row r="76" ht="15.75" customHeight="1">
      <c r="A76" s="131">
        <f>PEDIDOS!B76</f>
        <v>46078</v>
      </c>
      <c r="B76" s="131" t="str">
        <f>PEDIDOS!C76</f>
        <v/>
      </c>
      <c r="C76" s="131" t="str">
        <f>PEDIDOS!D76</f>
        <v>OLANN</v>
      </c>
      <c r="D76" s="131" t="str">
        <f>PEDIDOS!E76</f>
        <v>CREMA FACIAL DE DIA ULTRAHUMECTANTE</v>
      </c>
      <c r="E76" s="132">
        <f>PEDIDOS!G76</f>
        <v>250</v>
      </c>
      <c r="F76" s="46"/>
      <c r="G76" s="46"/>
      <c r="H76" s="45" t="s">
        <v>1101</v>
      </c>
      <c r="I76" s="45"/>
      <c r="J76" s="45"/>
      <c r="K76" s="46"/>
      <c r="L76" s="46"/>
      <c r="M76" s="46"/>
    </row>
    <row r="77" ht="15.75" customHeight="1">
      <c r="A77" s="134">
        <f>PEDIDOS!B77</f>
        <v>46078</v>
      </c>
      <c r="B77" s="134" t="str">
        <f>PEDIDOS!C77</f>
        <v/>
      </c>
      <c r="C77" s="134" t="str">
        <f>PEDIDOS!D77</f>
        <v>OLANN</v>
      </c>
      <c r="D77" s="134" t="str">
        <f>PEDIDOS!E77</f>
        <v>CREMA FACIAL DE NOCHE TENSORA</v>
      </c>
      <c r="E77" s="135">
        <f>PEDIDOS!G77</f>
        <v>250</v>
      </c>
      <c r="F77" s="136"/>
      <c r="G77" s="136"/>
      <c r="H77" s="137" t="s">
        <v>1101</v>
      </c>
      <c r="I77" s="137"/>
      <c r="J77" s="137"/>
      <c r="K77" s="136"/>
      <c r="L77" s="136"/>
      <c r="M77" s="136"/>
    </row>
    <row r="78" ht="15.75" customHeight="1">
      <c r="A78" s="131">
        <f>PEDIDOS!B78</f>
        <v>46078</v>
      </c>
      <c r="B78" s="131" t="str">
        <f>PEDIDOS!C78</f>
        <v/>
      </c>
      <c r="C78" s="131" t="str">
        <f>PEDIDOS!D78</f>
        <v>OLANN</v>
      </c>
      <c r="D78" s="131" t="str">
        <f>PEDIDOS!E78</f>
        <v>CONTORNO DE OJOS</v>
      </c>
      <c r="E78" s="132">
        <f>PEDIDOS!G78</f>
        <v>250</v>
      </c>
      <c r="F78" s="46"/>
      <c r="G78" s="46"/>
      <c r="H78" s="45" t="s">
        <v>1101</v>
      </c>
      <c r="I78" s="45"/>
      <c r="J78" s="45"/>
      <c r="K78" s="46"/>
      <c r="L78" s="46"/>
      <c r="M78" s="46"/>
    </row>
    <row r="79" ht="15.75" customHeight="1">
      <c r="A79" s="134">
        <f>PEDIDOS!B79</f>
        <v>46083</v>
      </c>
      <c r="B79" s="134" t="str">
        <f>PEDIDOS!C79</f>
        <v/>
      </c>
      <c r="C79" s="134" t="str">
        <f>PEDIDOS!D79</f>
        <v>ECODERM - AGUAZU</v>
      </c>
      <c r="D79" s="134" t="str">
        <f>PEDIDOS!E79</f>
        <v>ESPUMA DE BAÑO ADULTO</v>
      </c>
      <c r="E79" s="135">
        <f>PEDIDOS!G79</f>
        <v>200</v>
      </c>
      <c r="F79" s="136"/>
      <c r="G79" s="136"/>
      <c r="H79" s="137" t="s">
        <v>1101</v>
      </c>
      <c r="I79" s="137"/>
      <c r="J79" s="137"/>
      <c r="K79" s="136"/>
      <c r="L79" s="136"/>
      <c r="M79" s="136"/>
    </row>
    <row r="80" ht="15.75" customHeight="1">
      <c r="A80" s="131">
        <f>PEDIDOS!B80</f>
        <v>46083</v>
      </c>
      <c r="B80" s="131" t="str">
        <f>PEDIDOS!C80</f>
        <v/>
      </c>
      <c r="C80" s="131" t="str">
        <f>PEDIDOS!D80</f>
        <v>ECODERM - AGUAZU</v>
      </c>
      <c r="D80" s="131" t="str">
        <f>PEDIDOS!E80</f>
        <v>ESPUMA DE BAÑO BALLENA</v>
      </c>
      <c r="E80" s="132">
        <f>PEDIDOS!G80</f>
        <v>200</v>
      </c>
      <c r="F80" s="46"/>
      <c r="G80" s="46"/>
      <c r="H80" s="45" t="s">
        <v>1101</v>
      </c>
      <c r="I80" s="45"/>
      <c r="J80" s="45"/>
      <c r="K80" s="46"/>
      <c r="L80" s="46"/>
      <c r="M80" s="46"/>
    </row>
    <row r="81" ht="15.75" customHeight="1">
      <c r="A81" s="134">
        <f>PEDIDOS!B81</f>
        <v>46083</v>
      </c>
      <c r="B81" s="134" t="str">
        <f>PEDIDOS!C81</f>
        <v/>
      </c>
      <c r="C81" s="134" t="str">
        <f>PEDIDOS!D81</f>
        <v>ECODERM - AGUAZU</v>
      </c>
      <c r="D81" s="134" t="str">
        <f>PEDIDOS!E81</f>
        <v>ESPUMA DE BAÑO BALLENA X500</v>
      </c>
      <c r="E81" s="135">
        <f>PEDIDOS!G81</f>
        <v>100</v>
      </c>
      <c r="F81" s="136"/>
      <c r="G81" s="136"/>
      <c r="H81" s="137" t="s">
        <v>1101</v>
      </c>
      <c r="I81" s="137"/>
      <c r="J81" s="137"/>
      <c r="K81" s="136"/>
      <c r="L81" s="136"/>
      <c r="M81" s="136"/>
    </row>
    <row r="82" ht="15.75" customHeight="1">
      <c r="A82" s="131">
        <f>PEDIDOS!B82</f>
        <v>46083</v>
      </c>
      <c r="B82" s="131" t="str">
        <f>PEDIDOS!C82</f>
        <v/>
      </c>
      <c r="C82" s="131" t="str">
        <f>PEDIDOS!D82</f>
        <v>ECODERM - AGUAZU</v>
      </c>
      <c r="D82" s="131" t="str">
        <f>PEDIDOS!E82</f>
        <v>ESPUMA DE BAÑO ADULTO X500</v>
      </c>
      <c r="E82" s="132">
        <f>PEDIDOS!G82</f>
        <v>100</v>
      </c>
      <c r="F82" s="46"/>
      <c r="G82" s="46"/>
      <c r="H82" s="45" t="s">
        <v>1101</v>
      </c>
      <c r="I82" s="45"/>
      <c r="J82" s="45"/>
      <c r="K82" s="46"/>
      <c r="L82" s="46"/>
      <c r="M82" s="46"/>
    </row>
    <row r="83" ht="15.75" customHeight="1">
      <c r="A83" s="134">
        <f>PEDIDOS!B83</f>
        <v>46083</v>
      </c>
      <c r="B83" s="134" t="str">
        <f>PEDIDOS!C83</f>
        <v/>
      </c>
      <c r="C83" s="134" t="str">
        <f>PEDIDOS!D83</f>
        <v>ECODERM - AGUAZU</v>
      </c>
      <c r="D83" s="134" t="str">
        <f>PEDIDOS!E83</f>
        <v>BALSAMO HERBAL</v>
      </c>
      <c r="E83" s="135">
        <f>PEDIDOS!G83</f>
        <v>300</v>
      </c>
      <c r="F83" s="136"/>
      <c r="G83" s="136"/>
      <c r="H83" s="137" t="s">
        <v>1101</v>
      </c>
      <c r="I83" s="137"/>
      <c r="J83" s="137"/>
      <c r="K83" s="136"/>
      <c r="L83" s="136"/>
      <c r="M83" s="136"/>
    </row>
    <row r="84" ht="15.75" customHeight="1">
      <c r="A84" s="131">
        <f>PEDIDOS!B84</f>
        <v>46083</v>
      </c>
      <c r="B84" s="131" t="str">
        <f>PEDIDOS!C84</f>
        <v/>
      </c>
      <c r="C84" s="131" t="str">
        <f>PEDIDOS!D84</f>
        <v>ECODERM - DUGA</v>
      </c>
      <c r="D84" s="131" t="str">
        <f>PEDIDOS!E84</f>
        <v>ACONDICIONADOR INFANTIL</v>
      </c>
      <c r="E84" s="132">
        <f>PEDIDOS!G84</f>
        <v>300</v>
      </c>
      <c r="F84" s="46"/>
      <c r="G84" s="46"/>
      <c r="H84" s="45" t="s">
        <v>1101</v>
      </c>
      <c r="I84" s="45"/>
      <c r="J84" s="45"/>
      <c r="K84" s="46"/>
      <c r="L84" s="46"/>
      <c r="M84" s="46"/>
    </row>
    <row r="85" ht="15.75" customHeight="1">
      <c r="A85" s="134">
        <f>PEDIDOS!B85</f>
        <v>46083</v>
      </c>
      <c r="B85" s="134">
        <f>PEDIDOS!C85</f>
        <v>15134</v>
      </c>
      <c r="C85" s="134" t="str">
        <f>PEDIDOS!D85</f>
        <v>THELMA Y LOUISE</v>
      </c>
      <c r="D85" s="134" t="str">
        <f>PEDIDOS!E85</f>
        <v>ALCOHOL EN GEL SANDIA FARMACITY KIDS</v>
      </c>
      <c r="E85" s="135">
        <f>PEDIDOS!G85</f>
        <v>6000</v>
      </c>
      <c r="F85" s="136"/>
      <c r="G85" s="136"/>
      <c r="H85" s="137" t="s">
        <v>1101</v>
      </c>
      <c r="I85" s="137"/>
      <c r="J85" s="137"/>
      <c r="K85" s="136"/>
      <c r="L85" s="136"/>
      <c r="M85" s="136"/>
    </row>
    <row r="86" ht="15.75" customHeight="1">
      <c r="A86" s="131">
        <f>PEDIDOS!B86</f>
        <v>46083</v>
      </c>
      <c r="B86" s="131">
        <f>PEDIDOS!C86</f>
        <v>15134</v>
      </c>
      <c r="C86" s="131" t="str">
        <f>PEDIDOS!D86</f>
        <v>THELMA Y LOUISE</v>
      </c>
      <c r="D86" s="131" t="str">
        <f>PEDIDOS!E86</f>
        <v>ALCOHOL EN GEL CHICLE FARMACITY KIDS</v>
      </c>
      <c r="E86" s="132">
        <f>PEDIDOS!G86</f>
        <v>6000</v>
      </c>
      <c r="F86" s="46"/>
      <c r="G86" s="46"/>
      <c r="H86" s="45" t="s">
        <v>1101</v>
      </c>
      <c r="I86" s="45"/>
      <c r="J86" s="45"/>
      <c r="K86" s="46"/>
      <c r="L86" s="46"/>
      <c r="M86" s="46"/>
    </row>
    <row r="87" ht="15.75" customHeight="1">
      <c r="A87" s="134">
        <f>PEDIDOS!B87</f>
        <v>46083</v>
      </c>
      <c r="B87" s="134">
        <f>PEDIDOS!C87</f>
        <v>15133</v>
      </c>
      <c r="C87" s="134" t="str">
        <f>PEDIDOS!D87</f>
        <v>THELMA Y LOUISE</v>
      </c>
      <c r="D87" s="134" t="str">
        <f>PEDIDOS!E87</f>
        <v>ALCOHOL EN GEL CHICLE TYL</v>
      </c>
      <c r="E87" s="135">
        <f>PEDIDOS!G87</f>
        <v>2000</v>
      </c>
      <c r="F87" s="136"/>
      <c r="G87" s="136"/>
      <c r="H87" s="137" t="s">
        <v>1101</v>
      </c>
      <c r="I87" s="137"/>
      <c r="J87" s="137"/>
      <c r="K87" s="136"/>
      <c r="L87" s="136"/>
      <c r="M87" s="136"/>
    </row>
    <row r="88" ht="15.75" customHeight="1">
      <c r="A88" s="131">
        <f>PEDIDOS!B88</f>
        <v>46083</v>
      </c>
      <c r="B88" s="131">
        <f>PEDIDOS!C88</f>
        <v>15133</v>
      </c>
      <c r="C88" s="131" t="str">
        <f>PEDIDOS!D88</f>
        <v>THELMA Y LOUISE</v>
      </c>
      <c r="D88" s="131" t="str">
        <f>PEDIDOS!E88</f>
        <v>ALCOHOL EN GEL FRUTOS ROJOS TYL</v>
      </c>
      <c r="E88" s="132">
        <f>PEDIDOS!G88</f>
        <v>2000</v>
      </c>
      <c r="F88" s="46"/>
      <c r="G88" s="46"/>
      <c r="H88" s="45" t="s">
        <v>1101</v>
      </c>
      <c r="I88" s="45"/>
      <c r="J88" s="45"/>
      <c r="K88" s="46"/>
      <c r="L88" s="46"/>
      <c r="M88" s="46"/>
    </row>
    <row r="89" ht="15.75" customHeight="1">
      <c r="A89" s="134">
        <f>PEDIDOS!B89</f>
        <v>46083</v>
      </c>
      <c r="B89" s="134">
        <f>PEDIDOS!C89</f>
        <v>15133</v>
      </c>
      <c r="C89" s="134" t="str">
        <f>PEDIDOS!D89</f>
        <v>THELMA Y LOUISE</v>
      </c>
      <c r="D89" s="134" t="str">
        <f>PEDIDOS!E89</f>
        <v>ALCOHOL EN GEL DURAZNO TYL</v>
      </c>
      <c r="E89" s="135">
        <f>PEDIDOS!G89</f>
        <v>2000</v>
      </c>
      <c r="F89" s="136"/>
      <c r="G89" s="136"/>
      <c r="H89" s="137" t="s">
        <v>1101</v>
      </c>
      <c r="I89" s="137"/>
      <c r="J89" s="137"/>
      <c r="K89" s="136"/>
      <c r="L89" s="136"/>
      <c r="M89" s="136"/>
    </row>
    <row r="90" ht="15.75" customHeight="1">
      <c r="A90" s="131">
        <f>PEDIDOS!B90</f>
        <v>46083</v>
      </c>
      <c r="B90" s="131">
        <f>PEDIDOS!C90</f>
        <v>15133</v>
      </c>
      <c r="C90" s="131" t="str">
        <f>PEDIDOS!D90</f>
        <v>THELMA Y LOUISE</v>
      </c>
      <c r="D90" s="131" t="str">
        <f>PEDIDOS!E90</f>
        <v>ALCOHOL EN GEL COCO TYL</v>
      </c>
      <c r="E90" s="132">
        <f>PEDIDOS!G90</f>
        <v>2000</v>
      </c>
      <c r="F90" s="46"/>
      <c r="G90" s="46"/>
      <c r="H90" s="45" t="s">
        <v>1101</v>
      </c>
      <c r="I90" s="45"/>
      <c r="J90" s="45"/>
      <c r="K90" s="46"/>
      <c r="L90" s="46"/>
      <c r="M90" s="46"/>
    </row>
    <row r="91" ht="15.75" customHeight="1">
      <c r="A91" s="134">
        <f>PEDIDOS!B91</f>
        <v>46083</v>
      </c>
      <c r="B91" s="134">
        <f>PEDIDOS!C91</f>
        <v>15133</v>
      </c>
      <c r="C91" s="134" t="str">
        <f>PEDIDOS!D91</f>
        <v>THELMA Y LOUISE</v>
      </c>
      <c r="D91" s="134" t="str">
        <f>PEDIDOS!E91</f>
        <v>ALCOHOL EN GEL VAINILLA TYL</v>
      </c>
      <c r="E91" s="135">
        <f>PEDIDOS!G91</f>
        <v>2000</v>
      </c>
      <c r="F91" s="136"/>
      <c r="G91" s="136"/>
      <c r="H91" s="137" t="s">
        <v>1101</v>
      </c>
      <c r="I91" s="137"/>
      <c r="J91" s="137"/>
      <c r="K91" s="136"/>
      <c r="L91" s="136"/>
      <c r="M91" s="136"/>
    </row>
    <row r="92" ht="15.75" customHeight="1">
      <c r="A92" s="131">
        <f>PEDIDOS!B92</f>
        <v>46083</v>
      </c>
      <c r="B92" s="131" t="str">
        <f>PEDIDOS!C92</f>
        <v/>
      </c>
      <c r="C92" s="131" t="str">
        <f>PEDIDOS!D92</f>
        <v>DERMION / FRANCO</v>
      </c>
      <c r="D92" s="131" t="str">
        <f>PEDIDOS!E92</f>
        <v>SERUM NIACINAMIDA</v>
      </c>
      <c r="E92" s="132">
        <f>PEDIDOS!G92</f>
        <v>500</v>
      </c>
      <c r="F92" s="46"/>
      <c r="G92" s="46"/>
      <c r="H92" s="45" t="s">
        <v>1101</v>
      </c>
      <c r="I92" s="45"/>
      <c r="J92" s="45"/>
      <c r="K92" s="46"/>
      <c r="L92" s="46"/>
      <c r="M92" s="46"/>
    </row>
    <row r="93" ht="15.75" customHeight="1">
      <c r="A93" s="134">
        <f>PEDIDOS!B93</f>
        <v>46083</v>
      </c>
      <c r="B93" s="134" t="str">
        <f>PEDIDOS!C93</f>
        <v/>
      </c>
      <c r="C93" s="134" t="str">
        <f>PEDIDOS!D93</f>
        <v>THE GLOW FACTOR</v>
      </c>
      <c r="D93" s="134" t="str">
        <f>PEDIDOS!E93</f>
        <v>CREMA CLARITÉ</v>
      </c>
      <c r="E93" s="135">
        <f>PEDIDOS!G93</f>
        <v>1000</v>
      </c>
      <c r="F93" s="136"/>
      <c r="G93" s="136"/>
      <c r="H93" s="137" t="s">
        <v>1101</v>
      </c>
      <c r="I93" s="137"/>
      <c r="J93" s="137"/>
      <c r="K93" s="136"/>
      <c r="L93" s="136"/>
      <c r="M93" s="136"/>
    </row>
    <row r="94" ht="15.75" customHeight="1">
      <c r="A94" s="131">
        <f>PEDIDOS!B94</f>
        <v>46086</v>
      </c>
      <c r="B94" s="131">
        <f>PEDIDOS!C94</f>
        <v>777</v>
      </c>
      <c r="C94" s="131" t="str">
        <f>PEDIDOS!D94</f>
        <v>CAV</v>
      </c>
      <c r="D94" s="131" t="str">
        <f>PEDIDOS!E94</f>
        <v>SHAMPOO MAXLISS X400ML</v>
      </c>
      <c r="E94" s="132">
        <f>PEDIDOS!G94</f>
        <v>200</v>
      </c>
      <c r="F94" s="46"/>
      <c r="G94" s="46"/>
      <c r="H94" s="45" t="s">
        <v>1101</v>
      </c>
      <c r="I94" s="45"/>
      <c r="J94" s="45"/>
      <c r="K94" s="46"/>
      <c r="L94" s="46"/>
      <c r="M94" s="46"/>
    </row>
    <row r="95" ht="15.75" customHeight="1">
      <c r="A95" s="134">
        <f>PEDIDOS!B95</f>
        <v>46086</v>
      </c>
      <c r="B95" s="134">
        <f>PEDIDOS!C95</f>
        <v>777</v>
      </c>
      <c r="C95" s="134" t="str">
        <f>PEDIDOS!D95</f>
        <v>CAV</v>
      </c>
      <c r="D95" s="134" t="str">
        <f>PEDIDOS!E95</f>
        <v>CONDITIONER MAXLISS X400G</v>
      </c>
      <c r="E95" s="135">
        <f>PEDIDOS!G95</f>
        <v>200</v>
      </c>
      <c r="F95" s="136"/>
      <c r="G95" s="136"/>
      <c r="H95" s="137" t="s">
        <v>1101</v>
      </c>
      <c r="I95" s="137"/>
      <c r="J95" s="137"/>
      <c r="K95" s="136"/>
      <c r="L95" s="136"/>
      <c r="M95" s="136"/>
    </row>
    <row r="96" ht="15.75" customHeight="1">
      <c r="A96" s="131">
        <f>PEDIDOS!B96</f>
        <v>46086</v>
      </c>
      <c r="B96" s="131">
        <f>PEDIDOS!C96</f>
        <v>777</v>
      </c>
      <c r="C96" s="131" t="str">
        <f>PEDIDOS!D96</f>
        <v>CAV</v>
      </c>
      <c r="D96" s="131" t="str">
        <f>PEDIDOS!E96</f>
        <v>VITAMIN SHOCK X150G</v>
      </c>
      <c r="E96" s="132">
        <f>PEDIDOS!G96</f>
        <v>700</v>
      </c>
      <c r="F96" s="46"/>
      <c r="G96" s="46"/>
      <c r="H96" s="45" t="s">
        <v>1101</v>
      </c>
      <c r="I96" s="45"/>
      <c r="J96" s="45"/>
      <c r="K96" s="46"/>
      <c r="L96" s="46"/>
      <c r="M96" s="46"/>
    </row>
    <row r="97" ht="15.75" customHeight="1">
      <c r="A97" s="134">
        <f>PEDIDOS!B97</f>
        <v>46086</v>
      </c>
      <c r="B97" s="134">
        <f>PEDIDOS!C97</f>
        <v>1080</v>
      </c>
      <c r="C97" s="134" t="str">
        <f>PEDIDOS!D97</f>
        <v>NIZA</v>
      </c>
      <c r="D97" s="134" t="str">
        <f>PEDIDOS!E97</f>
        <v>CLEAR ACNE LOTION</v>
      </c>
      <c r="E97" s="135">
        <f>PEDIDOS!G97</f>
        <v>300</v>
      </c>
      <c r="F97" s="136"/>
      <c r="G97" s="136"/>
      <c r="H97" s="137" t="s">
        <v>1101</v>
      </c>
      <c r="I97" s="137"/>
      <c r="J97" s="137"/>
      <c r="K97" s="136"/>
      <c r="L97" s="136"/>
      <c r="M97" s="136"/>
    </row>
    <row r="98" ht="15.75" customHeight="1">
      <c r="A98" s="131">
        <f>PEDIDOS!B98</f>
        <v>46086</v>
      </c>
      <c r="B98" s="131">
        <f>PEDIDOS!C98</f>
        <v>1080</v>
      </c>
      <c r="C98" s="131" t="str">
        <f>PEDIDOS!D98</f>
        <v>NIZA</v>
      </c>
      <c r="D98" s="131" t="str">
        <f>PEDIDOS!E98</f>
        <v>SIGNATURE AGE REVERSE</v>
      </c>
      <c r="E98" s="132">
        <f>PEDIDOS!G98</f>
        <v>500</v>
      </c>
      <c r="F98" s="46"/>
      <c r="G98" s="46"/>
      <c r="H98" s="45"/>
      <c r="I98" s="45"/>
      <c r="J98" s="45"/>
      <c r="K98" s="46"/>
      <c r="L98" s="46"/>
      <c r="M98" s="46"/>
    </row>
    <row r="99" ht="15.75" customHeight="1">
      <c r="A99" s="134">
        <f>PEDIDOS!B99</f>
        <v>46086</v>
      </c>
      <c r="B99" s="134" t="str">
        <f>PEDIDOS!C99</f>
        <v/>
      </c>
      <c r="C99" s="134" t="str">
        <f>PEDIDOS!D99</f>
        <v>THE CURIOUS SKIN</v>
      </c>
      <c r="D99" s="134" t="str">
        <f>PEDIDOS!E99</f>
        <v>SERUM  BOOSTER Telangyn </v>
      </c>
      <c r="E99" s="135">
        <f>PEDIDOS!G99</f>
        <v>500</v>
      </c>
      <c r="F99" s="136"/>
      <c r="G99" s="136"/>
      <c r="H99" s="137"/>
      <c r="I99" s="137"/>
      <c r="J99" s="137"/>
      <c r="K99" s="136"/>
      <c r="L99" s="136"/>
      <c r="M99" s="136"/>
    </row>
    <row r="100" ht="15.75" customHeight="1">
      <c r="A100" s="131">
        <f>PEDIDOS!B100</f>
        <v>46086</v>
      </c>
      <c r="B100" s="131" t="str">
        <f>PEDIDOS!C100</f>
        <v/>
      </c>
      <c r="C100" s="131" t="str">
        <f>PEDIDOS!D100</f>
        <v>THE CURIOUS SKIN</v>
      </c>
      <c r="D100" s="131" t="str">
        <f>PEDIDOS!E100</f>
        <v>CARROT OIL</v>
      </c>
      <c r="E100" s="132">
        <f>PEDIDOS!G100</f>
        <v>500</v>
      </c>
      <c r="F100" s="46"/>
      <c r="G100" s="46"/>
      <c r="H100" s="45"/>
      <c r="I100" s="45"/>
      <c r="J100" s="45"/>
      <c r="K100" s="46"/>
      <c r="L100" s="46"/>
      <c r="M100" s="46"/>
    </row>
    <row r="101" ht="15.75" customHeight="1">
      <c r="A101" s="134">
        <f>PEDIDOS!B101</f>
        <v>46087</v>
      </c>
      <c r="B101" s="134" t="str">
        <f>PEDIDOS!C101</f>
        <v/>
      </c>
      <c r="C101" s="134" t="str">
        <f>PEDIDOS!D101</f>
        <v>WSABI</v>
      </c>
      <c r="D101" s="134" t="str">
        <f>PEDIDOS!E101</f>
        <v>CREMA HIDTANATE LIGERA</v>
      </c>
      <c r="E101" s="135">
        <f>PEDIDOS!G101</f>
        <v>500</v>
      </c>
      <c r="F101" s="136"/>
      <c r="G101" s="136"/>
      <c r="H101" s="137"/>
      <c r="I101" s="137"/>
      <c r="J101" s="137"/>
      <c r="K101" s="136"/>
      <c r="L101" s="136"/>
      <c r="M101" s="136"/>
    </row>
    <row r="102" ht="15.75" customHeight="1">
      <c r="A102" s="131">
        <f>PEDIDOS!B102</f>
        <v>46087</v>
      </c>
      <c r="B102" s="131">
        <f>PEDIDOS!C102</f>
        <v>1594</v>
      </c>
      <c r="C102" s="131" t="str">
        <f>PEDIDOS!D102</f>
        <v>NE</v>
      </c>
      <c r="D102" s="131" t="str">
        <f>PEDIDOS!E102</f>
        <v>BRUMA FACIAL</v>
      </c>
      <c r="E102" s="132">
        <f>PEDIDOS!G102</f>
        <v>500</v>
      </c>
      <c r="F102" s="46"/>
      <c r="G102" s="46"/>
      <c r="H102" s="45" t="s">
        <v>1099</v>
      </c>
      <c r="I102" s="45"/>
      <c r="J102" s="45"/>
      <c r="K102" s="46"/>
      <c r="L102" s="46"/>
      <c r="M102" s="46"/>
    </row>
    <row r="103" ht="15.75" customHeight="1">
      <c r="A103" s="134">
        <f>PEDIDOS!B103</f>
        <v>46087</v>
      </c>
      <c r="B103" s="134">
        <f>PEDIDOS!C103</f>
        <v>1594</v>
      </c>
      <c r="C103" s="134" t="str">
        <f>PEDIDOS!D103</f>
        <v>NE</v>
      </c>
      <c r="D103" s="134" t="str">
        <f>PEDIDOS!E103</f>
        <v>CREMA CORPORAL</v>
      </c>
      <c r="E103" s="135">
        <f>PEDIDOS!G103</f>
        <v>500</v>
      </c>
      <c r="F103" s="136"/>
      <c r="G103" s="136"/>
      <c r="H103" s="137" t="s">
        <v>1099</v>
      </c>
      <c r="I103" s="137"/>
      <c r="J103" s="137"/>
      <c r="K103" s="136"/>
      <c r="L103" s="136"/>
      <c r="M103" s="136"/>
    </row>
    <row r="104" ht="15.75" customHeight="1">
      <c r="A104" s="131">
        <f>PEDIDOS!B104</f>
        <v>46087</v>
      </c>
      <c r="B104" s="131">
        <f>PEDIDOS!C104</f>
        <v>1597</v>
      </c>
      <c r="C104" s="131" t="str">
        <f>PEDIDOS!D104</f>
        <v>NE</v>
      </c>
      <c r="D104" s="131" t="str">
        <f>PEDIDOS!E104</f>
        <v>CREMA FACIAL NOCHE</v>
      </c>
      <c r="E104" s="132">
        <f>PEDIDOS!G104</f>
        <v>500</v>
      </c>
      <c r="F104" s="46"/>
      <c r="G104" s="46"/>
      <c r="H104" s="45" t="s">
        <v>1099</v>
      </c>
      <c r="I104" s="45"/>
      <c r="J104" s="45"/>
      <c r="K104" s="46"/>
      <c r="L104" s="46"/>
      <c r="M104" s="46"/>
    </row>
    <row r="105" ht="15.75" customHeight="1">
      <c r="A105" s="134">
        <f>PEDIDOS!B105</f>
        <v>46087</v>
      </c>
      <c r="B105" s="134">
        <f>PEDIDOS!C105</f>
        <v>140</v>
      </c>
      <c r="C105" s="134" t="str">
        <f>PEDIDOS!D105</f>
        <v>ICONO</v>
      </c>
      <c r="D105" s="134" t="str">
        <f>PEDIDOS!E105</f>
        <v>MASCARA DESINCRUSTANTE DE PAPAYA x 250GR.</v>
      </c>
      <c r="E105" s="135">
        <f>PEDIDOS!G105</f>
        <v>3000</v>
      </c>
      <c r="F105" s="136"/>
      <c r="G105" s="136"/>
      <c r="H105" s="137"/>
      <c r="I105" s="137"/>
      <c r="J105" s="137"/>
      <c r="K105" s="136"/>
      <c r="L105" s="136"/>
      <c r="M105" s="136"/>
    </row>
    <row r="106" ht="15.75" customHeight="1">
      <c r="A106" s="131">
        <f>PEDIDOS!B106</f>
        <v>46087</v>
      </c>
      <c r="B106" s="131">
        <f>PEDIDOS!C106</f>
        <v>140</v>
      </c>
      <c r="C106" s="131" t="str">
        <f>PEDIDOS!D106</f>
        <v>ICONO</v>
      </c>
      <c r="D106" s="131" t="str">
        <f>PEDIDOS!E106</f>
        <v>CREMA EFECTO TENSOR x 50GR.</v>
      </c>
      <c r="E106" s="132">
        <f>PEDIDOS!G106</f>
        <v>2000</v>
      </c>
      <c r="F106" s="46"/>
      <c r="G106" s="46"/>
      <c r="H106" s="45"/>
      <c r="I106" s="45"/>
      <c r="J106" s="45"/>
      <c r="K106" s="46"/>
      <c r="L106" s="46"/>
      <c r="M106" s="46"/>
    </row>
    <row r="107" ht="15.75" customHeight="1">
      <c r="A107" s="134">
        <f>PEDIDOS!B107</f>
        <v>46090</v>
      </c>
      <c r="B107" s="134" t="str">
        <f>PEDIDOS!C107</f>
        <v>15170/15169</v>
      </c>
      <c r="C107" s="134" t="str">
        <f>PEDIDOS!D107</f>
        <v>THELMA Y LOUISE</v>
      </c>
      <c r="D107" s="134" t="str">
        <f>PEDIDOS!E107</f>
        <v>ALCOHOL EN GEL CHICLE FRUTILLA</v>
      </c>
      <c r="E107" s="135">
        <f>PEDIDOS!G107</f>
        <v>4000</v>
      </c>
      <c r="F107" s="136"/>
      <c r="G107" s="136"/>
      <c r="H107" s="137"/>
      <c r="I107" s="137"/>
      <c r="J107" s="137"/>
      <c r="K107" s="136"/>
      <c r="L107" s="136"/>
      <c r="M107" s="136"/>
    </row>
    <row r="108" ht="15.75" customHeight="1">
      <c r="A108" s="131">
        <f>PEDIDOS!B108</f>
        <v>46090</v>
      </c>
      <c r="B108" s="131" t="str">
        <f>PEDIDOS!C108</f>
        <v>15170/15169</v>
      </c>
      <c r="C108" s="131" t="str">
        <f>PEDIDOS!D108</f>
        <v>THELMA Y LOUISE</v>
      </c>
      <c r="D108" s="131" t="str">
        <f>PEDIDOS!E108</f>
        <v>ALCOHOL EN GEL CHERRY</v>
      </c>
      <c r="E108" s="132">
        <f>PEDIDOS!G108</f>
        <v>5000</v>
      </c>
      <c r="F108" s="46"/>
      <c r="G108" s="46"/>
      <c r="H108" s="45"/>
      <c r="I108" s="45"/>
      <c r="J108" s="45"/>
      <c r="K108" s="46"/>
      <c r="L108" s="46"/>
      <c r="M108" s="46"/>
    </row>
    <row r="109" ht="15.75" customHeight="1">
      <c r="A109" s="134">
        <f>PEDIDOS!B109</f>
        <v>46090</v>
      </c>
      <c r="B109" s="134">
        <f>PEDIDOS!C109</f>
        <v>15170</v>
      </c>
      <c r="C109" s="134" t="str">
        <f>PEDIDOS!D109</f>
        <v>THELMA Y LOUISE</v>
      </c>
      <c r="D109" s="134" t="str">
        <f>PEDIDOS!E109</f>
        <v>ALCOHOL EN GEL CAPUCHINO - esencia vany love</v>
      </c>
      <c r="E109" s="135">
        <f>PEDIDOS!G109</f>
        <v>3000</v>
      </c>
      <c r="F109" s="136"/>
      <c r="G109" s="136"/>
      <c r="H109" s="137"/>
      <c r="I109" s="137"/>
      <c r="J109" s="137"/>
      <c r="K109" s="136"/>
      <c r="L109" s="136"/>
      <c r="M109" s="136"/>
    </row>
    <row r="110" ht="15.75" customHeight="1">
      <c r="A110" s="131">
        <f>PEDIDOS!B110</f>
        <v>46090</v>
      </c>
      <c r="B110" s="131">
        <f>PEDIDOS!C110</f>
        <v>15170</v>
      </c>
      <c r="C110" s="131" t="str">
        <f>PEDIDOS!D110</f>
        <v>THELMA Y LOUISE</v>
      </c>
      <c r="D110" s="131" t="str">
        <f>PEDIDOS!E110</f>
        <v>ALCOHOL EN GL NEUTRO PERRO SALCHICHA</v>
      </c>
      <c r="E110" s="132">
        <f>PEDIDOS!G110</f>
        <v>3000</v>
      </c>
      <c r="F110" s="46"/>
      <c r="G110" s="46"/>
      <c r="H110" s="45"/>
      <c r="I110" s="45"/>
      <c r="J110" s="45"/>
      <c r="K110" s="46"/>
      <c r="L110" s="46"/>
      <c r="M110" s="46"/>
    </row>
    <row r="111" ht="15.75" customHeight="1">
      <c r="A111" s="134">
        <f>PEDIDOS!B111</f>
        <v>46090</v>
      </c>
      <c r="B111" s="134" t="str">
        <f>PEDIDOS!C111</f>
        <v/>
      </c>
      <c r="C111" s="134" t="str">
        <f>PEDIDOS!D111</f>
        <v>PROFESSIONAL BEAUTY</v>
      </c>
      <c r="D111" s="134" t="str">
        <f>PEDIDOS!E111</f>
        <v>ADVANCE ACIDO HIALURONICO 1%</v>
      </c>
      <c r="E111" s="135">
        <f>PEDIDOS!G111</f>
        <v>500</v>
      </c>
      <c r="F111" s="136"/>
      <c r="G111" s="136"/>
      <c r="H111" s="137"/>
      <c r="I111" s="137"/>
      <c r="J111" s="137"/>
      <c r="K111" s="136"/>
      <c r="L111" s="136"/>
      <c r="M111" s="136"/>
    </row>
    <row r="112" ht="15.75" customHeight="1">
      <c r="A112" s="131">
        <f>PEDIDOS!B112</f>
        <v>46090</v>
      </c>
      <c r="B112" s="131" t="str">
        <f>PEDIDOS!C112</f>
        <v/>
      </c>
      <c r="C112" s="131" t="str">
        <f>PEDIDOS!D112</f>
        <v>PROFESSIONAL BEAUTY</v>
      </c>
      <c r="D112" s="131" t="str">
        <f>PEDIDOS!E112</f>
        <v>ADVANCE SILICIO+ OLIGOELEMENTOS</v>
      </c>
      <c r="E112" s="132">
        <f>PEDIDOS!G112</f>
        <v>500</v>
      </c>
      <c r="F112" s="46"/>
      <c r="G112" s="46"/>
      <c r="H112" s="45"/>
      <c r="I112" s="45"/>
      <c r="J112" s="45"/>
      <c r="K112" s="46"/>
      <c r="L112" s="46"/>
      <c r="M112" s="46"/>
    </row>
    <row r="113" ht="15.75" customHeight="1">
      <c r="A113" s="134">
        <f>PEDIDOS!B113</f>
        <v>46090</v>
      </c>
      <c r="B113" s="134" t="str">
        <f>PEDIDOS!C113</f>
        <v/>
      </c>
      <c r="C113" s="134" t="str">
        <f>PEDIDOS!D113</f>
        <v>PROFESSIONAL BEAUTY</v>
      </c>
      <c r="D113" s="134" t="str">
        <f>PEDIDOS!E113</f>
        <v>ADVANCE VIT C</v>
      </c>
      <c r="E113" s="135">
        <f>PEDIDOS!G113</f>
        <v>500</v>
      </c>
      <c r="F113" s="136"/>
      <c r="G113" s="136"/>
      <c r="H113" s="137"/>
      <c r="I113" s="137"/>
      <c r="J113" s="137"/>
      <c r="K113" s="136"/>
      <c r="L113" s="136"/>
      <c r="M113" s="136"/>
    </row>
    <row r="114" ht="15.75" customHeight="1">
      <c r="A114" s="131">
        <f>PEDIDOS!B114</f>
        <v>46090</v>
      </c>
      <c r="B114" s="131" t="str">
        <f>PEDIDOS!C114</f>
        <v/>
      </c>
      <c r="C114" s="131" t="str">
        <f>PEDIDOS!D114</f>
        <v>PROFESSIONAL BEAUTY</v>
      </c>
      <c r="D114" s="131" t="str">
        <f>PEDIDOS!E114</f>
        <v>ADVANCE CONTROL CAIDA</v>
      </c>
      <c r="E114" s="132">
        <f>PEDIDOS!G114</f>
        <v>500</v>
      </c>
      <c r="F114" s="46"/>
      <c r="G114" s="46"/>
      <c r="H114" s="45"/>
      <c r="I114" s="45"/>
      <c r="J114" s="45"/>
      <c r="K114" s="46"/>
      <c r="L114" s="46"/>
      <c r="M114" s="46"/>
    </row>
    <row r="115" ht="15.75" customHeight="1">
      <c r="A115" s="134">
        <f>PEDIDOS!B115</f>
        <v>46090</v>
      </c>
      <c r="B115" s="134" t="str">
        <f>PEDIDOS!C115</f>
        <v/>
      </c>
      <c r="C115" s="134" t="str">
        <f>PEDIDOS!D115</f>
        <v>PROFESSIONAL BEAUTY</v>
      </c>
      <c r="D115" s="134" t="str">
        <f>PEDIDOS!E115</f>
        <v>ADVANCE DMAE 7%</v>
      </c>
      <c r="E115" s="135">
        <f>PEDIDOS!G115</f>
        <v>500</v>
      </c>
      <c r="F115" s="136"/>
      <c r="G115" s="136"/>
      <c r="H115" s="137"/>
      <c r="I115" s="137"/>
      <c r="J115" s="137"/>
      <c r="K115" s="136"/>
      <c r="L115" s="136"/>
      <c r="M115" s="136"/>
    </row>
    <row r="116" ht="15.75" customHeight="1">
      <c r="A116" s="131">
        <f>PEDIDOS!B116</f>
        <v>46090</v>
      </c>
      <c r="B116" s="131">
        <f>PEDIDOS!C116</f>
        <v>14348</v>
      </c>
      <c r="C116" s="131" t="str">
        <f>PEDIDOS!D116</f>
        <v>JACTANS</v>
      </c>
      <c r="D116" s="131" t="str">
        <f>PEDIDOS!E116</f>
        <v>Agua Micelar JS-693</v>
      </c>
      <c r="E116" s="132">
        <f>PEDIDOS!G116</f>
        <v>1000</v>
      </c>
      <c r="F116" s="46"/>
      <c r="G116" s="46"/>
      <c r="H116" s="45"/>
      <c r="I116" s="45"/>
      <c r="J116" s="45"/>
      <c r="K116" s="46"/>
      <c r="L116" s="46"/>
      <c r="M116" s="46"/>
    </row>
    <row r="117" ht="15.75" customHeight="1">
      <c r="A117" s="134">
        <f>PEDIDOS!B117</f>
        <v>46090</v>
      </c>
      <c r="B117" s="134">
        <f>PEDIDOS!C117</f>
        <v>14348</v>
      </c>
      <c r="C117" s="134" t="str">
        <f>PEDIDOS!D117</f>
        <v>JACTANS</v>
      </c>
      <c r="D117" s="134" t="str">
        <f>PEDIDOS!E117</f>
        <v>Bruma Fijadora Facial JS-736</v>
      </c>
      <c r="E117" s="135">
        <f>PEDIDOS!G117</f>
        <v>2000</v>
      </c>
      <c r="F117" s="136"/>
      <c r="G117" s="136"/>
      <c r="H117" s="137"/>
      <c r="I117" s="137"/>
      <c r="J117" s="137"/>
      <c r="K117" s="136"/>
      <c r="L117" s="136"/>
      <c r="M117" s="136"/>
    </row>
    <row r="118" ht="15.75" customHeight="1">
      <c r="A118" s="131">
        <f>PEDIDOS!B118</f>
        <v>46090</v>
      </c>
      <c r="B118" s="131">
        <f>PEDIDOS!C118</f>
        <v>14348</v>
      </c>
      <c r="C118" s="131" t="str">
        <f>PEDIDOS!D118</f>
        <v>JACTANS</v>
      </c>
      <c r="D118" s="131" t="str">
        <f>PEDIDOS!E118</f>
        <v>Agua Micelar Bifasica x 105ml JS-941</v>
      </c>
      <c r="E118" s="132">
        <f>PEDIDOS!G118</f>
        <v>1000</v>
      </c>
      <c r="F118" s="46"/>
      <c r="G118" s="46"/>
      <c r="H118" s="45"/>
      <c r="I118" s="45"/>
      <c r="J118" s="45"/>
      <c r="K118" s="46"/>
      <c r="L118" s="46"/>
      <c r="M118" s="46"/>
    </row>
    <row r="119" ht="15.75" customHeight="1">
      <c r="A119" s="134">
        <f>PEDIDOS!B119</f>
        <v>46034</v>
      </c>
      <c r="B119" s="134">
        <f>PEDIDOS!C119</f>
        <v>14258</v>
      </c>
      <c r="C119" s="134" t="str">
        <f>PEDIDOS!D119</f>
        <v>JACTANS</v>
      </c>
      <c r="D119" s="134" t="str">
        <f>PEDIDOS!E119</f>
        <v>Desmaquillante Bifasico JS-737</v>
      </c>
      <c r="E119" s="135">
        <f>PEDIDOS!G119</f>
        <v>1500</v>
      </c>
      <c r="F119" s="136"/>
      <c r="G119" s="136"/>
      <c r="H119" s="137"/>
      <c r="I119" s="137"/>
      <c r="J119" s="137"/>
      <c r="K119" s="136"/>
      <c r="L119" s="136"/>
      <c r="M119" s="136"/>
    </row>
    <row r="120" ht="15.75" customHeight="1">
      <c r="A120" s="131">
        <f>PEDIDOS!B120</f>
        <v>46076</v>
      </c>
      <c r="B120" s="131">
        <f>PEDIDOS!C120</f>
        <v>1716</v>
      </c>
      <c r="C120" s="131" t="str">
        <f>PEDIDOS!D120</f>
        <v>LABORATORIO ONCE</v>
      </c>
      <c r="D120" s="131" t="str">
        <f>PEDIDOS!E120</f>
        <v>SERUM CONCENTRADO AH</v>
      </c>
      <c r="E120" s="132">
        <f>PEDIDOS!G120</f>
        <v>1500</v>
      </c>
      <c r="F120" s="46"/>
      <c r="G120" s="46"/>
      <c r="H120" s="45"/>
      <c r="I120" s="45"/>
      <c r="J120" s="45"/>
      <c r="K120" s="46"/>
      <c r="L120" s="46"/>
      <c r="M120" s="46"/>
    </row>
    <row r="121" ht="15.75" customHeight="1">
      <c r="A121" s="134">
        <f>PEDIDOS!B121</f>
        <v>46076</v>
      </c>
      <c r="B121" s="134">
        <f>PEDIDOS!C121</f>
        <v>1715</v>
      </c>
      <c r="C121" s="134" t="str">
        <f>PEDIDOS!D121</f>
        <v>LABORATORIO ONCE</v>
      </c>
      <c r="D121" s="134" t="str">
        <f>PEDIDOS!E121</f>
        <v>GEL UNIESFERAS VITAMINA C</v>
      </c>
      <c r="E121" s="135">
        <f>PEDIDOS!G121</f>
        <v>2000</v>
      </c>
      <c r="F121" s="136"/>
      <c r="G121" s="136"/>
      <c r="H121" s="137"/>
      <c r="I121" s="137"/>
      <c r="J121" s="137"/>
      <c r="K121" s="136"/>
      <c r="L121" s="136"/>
      <c r="M121" s="136"/>
    </row>
    <row r="122" ht="15.75" customHeight="1">
      <c r="A122" s="131">
        <f>PEDIDOS!B122</f>
        <v>46168</v>
      </c>
      <c r="B122" s="131" t="str">
        <f>PEDIDOS!C122</f>
        <v/>
      </c>
      <c r="C122" s="131" t="str">
        <f>PEDIDOS!D122</f>
        <v>AGUEDA REY - IHC CAPILARES</v>
      </c>
      <c r="D122" s="131" t="str">
        <f>PEDIDOS!E122</f>
        <v>Shampoo Fortalecedor Anticaida D: 250203-3</v>
      </c>
      <c r="E122" s="132">
        <f>PEDIDOS!G122</f>
        <v>1000</v>
      </c>
      <c r="F122" s="46"/>
      <c r="G122" s="46"/>
      <c r="H122" s="45"/>
      <c r="I122" s="45"/>
      <c r="J122" s="45"/>
      <c r="K122" s="46"/>
      <c r="L122" s="46"/>
      <c r="M122" s="46"/>
    </row>
    <row r="123" ht="15.75" customHeight="1">
      <c r="A123" s="134">
        <f>PEDIDOS!B123</f>
        <v>46168</v>
      </c>
      <c r="B123" s="134" t="str">
        <f>PEDIDOS!C123</f>
        <v/>
      </c>
      <c r="C123" s="134" t="str">
        <f>PEDIDOS!D123</f>
        <v>AGUEDA REY - IHC CAPILARES</v>
      </c>
      <c r="D123" s="134" t="str">
        <f>PEDIDOS!E123</f>
        <v>Shampoo Anti Caspa D250204-3</v>
      </c>
      <c r="E123" s="135">
        <f>PEDIDOS!G123</f>
        <v>1000</v>
      </c>
      <c r="F123" s="136"/>
      <c r="G123" s="136"/>
      <c r="H123" s="137"/>
      <c r="I123" s="137"/>
      <c r="J123" s="137"/>
      <c r="K123" s="136"/>
      <c r="L123" s="136"/>
      <c r="M123" s="136"/>
    </row>
    <row r="124" ht="15.75" customHeight="1">
      <c r="A124" s="131">
        <f>PEDIDOS!B124</f>
        <v>46168</v>
      </c>
      <c r="B124" s="131" t="str">
        <f>PEDIDOS!C124</f>
        <v/>
      </c>
      <c r="C124" s="131" t="str">
        <f>PEDIDOS!D124</f>
        <v>AGUEDA REY - IHC CAPILARES</v>
      </c>
      <c r="D124" s="131" t="str">
        <f>PEDIDOS!E124</f>
        <v>Shampoo Anti Sebo D250205-3</v>
      </c>
      <c r="E124" s="132">
        <f>PEDIDOS!G124</f>
        <v>1000</v>
      </c>
      <c r="F124" s="46"/>
      <c r="G124" s="46"/>
      <c r="H124" s="45"/>
      <c r="I124" s="45"/>
      <c r="J124" s="45"/>
      <c r="K124" s="46"/>
      <c r="L124" s="46"/>
      <c r="M124" s="46"/>
    </row>
    <row r="125" ht="15.75" customHeight="1">
      <c r="A125" s="134">
        <f>PEDIDOS!B125</f>
        <v>46168</v>
      </c>
      <c r="B125" s="134" t="str">
        <f>PEDIDOS!C125</f>
        <v/>
      </c>
      <c r="C125" s="134" t="str">
        <f>PEDIDOS!D125</f>
        <v>AGUEDA REY - IHC CAPILARES</v>
      </c>
      <c r="D125" s="134" t="str">
        <f>PEDIDOS!E125</f>
        <v>Shampo Engrosador D250210-3</v>
      </c>
      <c r="E125" s="135">
        <f>PEDIDOS!G125</f>
        <v>1000</v>
      </c>
      <c r="F125" s="136"/>
      <c r="G125" s="136"/>
      <c r="H125" s="137"/>
      <c r="I125" s="137"/>
      <c r="J125" s="137"/>
      <c r="K125" s="136"/>
      <c r="L125" s="136"/>
      <c r="M125" s="136"/>
    </row>
    <row r="126" ht="15.75" customHeight="1">
      <c r="A126" s="131">
        <f>PEDIDOS!B126</f>
        <v>46168</v>
      </c>
      <c r="B126" s="131" t="str">
        <f>PEDIDOS!C126</f>
        <v/>
      </c>
      <c r="C126" s="131" t="str">
        <f>PEDIDOS!D126</f>
        <v>AGUEDA REY - IHC CAPILARES</v>
      </c>
      <c r="D126" s="131" t="str">
        <f>PEDIDOS!E126</f>
        <v>Acondicionador Biotina D: 250207-3</v>
      </c>
      <c r="E126" s="132">
        <f>PEDIDOS!G126</f>
        <v>1000</v>
      </c>
      <c r="F126" s="46"/>
      <c r="G126" s="46"/>
      <c r="H126" s="45"/>
      <c r="I126" s="45"/>
      <c r="J126" s="45"/>
      <c r="K126" s="46"/>
      <c r="L126" s="46"/>
      <c r="M126" s="46"/>
    </row>
    <row r="127" ht="15.75" customHeight="1">
      <c r="A127" s="134">
        <f>PEDIDOS!B127</f>
        <v>46162</v>
      </c>
      <c r="B127" s="134" t="str">
        <f>PEDIDOS!C127</f>
        <v/>
      </c>
      <c r="C127" s="134" t="str">
        <f>PEDIDOS!D127</f>
        <v>LABORATORIO ONCE</v>
      </c>
      <c r="D127" s="134" t="str">
        <f>PEDIDOS!E127</f>
        <v>SERUM HOME PEEL SERUM PEPITAS DE UVA</v>
      </c>
      <c r="E127" s="135">
        <f>PEDIDOS!G127</f>
        <v>600</v>
      </c>
      <c r="F127" s="136"/>
      <c r="G127" s="136"/>
      <c r="H127" s="137"/>
      <c r="I127" s="137"/>
      <c r="J127" s="137"/>
      <c r="K127" s="136"/>
      <c r="L127" s="136"/>
      <c r="M127" s="136"/>
    </row>
    <row r="128" ht="15.75" customHeight="1">
      <c r="A128" s="131">
        <f>PEDIDOS!B128</f>
        <v>46097</v>
      </c>
      <c r="B128" s="131" t="str">
        <f>PEDIDOS!C128</f>
        <v/>
      </c>
      <c r="C128" s="131" t="str">
        <f>PEDIDOS!D128</f>
        <v>BL COSMETICS</v>
      </c>
      <c r="D128" s="131" t="str">
        <f>PEDIDOS!E128</f>
        <v>GEL ANTIFRIZZ </v>
      </c>
      <c r="E128" s="132">
        <f>PEDIDOS!G128</f>
        <v>3000</v>
      </c>
      <c r="F128" s="46"/>
      <c r="G128" s="46"/>
      <c r="H128" s="45"/>
      <c r="I128" s="45"/>
      <c r="J128" s="45"/>
      <c r="K128" s="46"/>
      <c r="L128" s="46"/>
      <c r="M128" s="46"/>
    </row>
    <row r="129" ht="15.75" customHeight="1">
      <c r="A129" s="134">
        <f>PEDIDOS!B129</f>
        <v>46097</v>
      </c>
      <c r="B129" s="134" t="str">
        <f>PEDIDOS!C129</f>
        <v/>
      </c>
      <c r="C129" s="134" t="str">
        <f>PEDIDOS!D129</f>
        <v>BL COSMETICS</v>
      </c>
      <c r="D129" s="134" t="str">
        <f>PEDIDOS!E129</f>
        <v>SHAMPOO CONTROL LISS</v>
      </c>
      <c r="E129" s="135">
        <f>PEDIDOS!G129</f>
        <v>3000</v>
      </c>
      <c r="F129" s="136"/>
      <c r="G129" s="136"/>
      <c r="H129" s="137"/>
      <c r="I129" s="137"/>
      <c r="J129" s="137"/>
      <c r="K129" s="136"/>
      <c r="L129" s="136"/>
      <c r="M129" s="136"/>
    </row>
    <row r="130" ht="15.75" customHeight="1">
      <c r="A130" s="131">
        <f>PEDIDOS!B130</f>
        <v>46097</v>
      </c>
      <c r="B130" s="131" t="str">
        <f>PEDIDOS!C130</f>
        <v/>
      </c>
      <c r="C130" s="131" t="str">
        <f>PEDIDOS!D130</f>
        <v>BL COSMETICS</v>
      </c>
      <c r="D130" s="131" t="str">
        <f>PEDIDOS!E130</f>
        <v>ACONDICIONADOR CONTROL LISS</v>
      </c>
      <c r="E130" s="132">
        <f>PEDIDOS!G130</f>
        <v>3000</v>
      </c>
      <c r="F130" s="46"/>
      <c r="G130" s="46"/>
      <c r="H130" s="45"/>
      <c r="I130" s="45"/>
      <c r="J130" s="45"/>
      <c r="K130" s="46"/>
      <c r="L130" s="46"/>
      <c r="M130" s="46"/>
    </row>
    <row r="131" ht="15.75" customHeight="1">
      <c r="A131" s="134">
        <f>PEDIDOS!B131</f>
        <v>46097</v>
      </c>
      <c r="B131" s="134" t="str">
        <f>PEDIDOS!C131</f>
        <v/>
      </c>
      <c r="C131" s="134" t="str">
        <f>PEDIDOS!D131</f>
        <v>BL COSMETICS</v>
      </c>
      <c r="D131" s="134" t="str">
        <f>PEDIDOS!E131</f>
        <v>SERUM ARGAN (nuevo)</v>
      </c>
      <c r="E131" s="135">
        <f>PEDIDOS!G131</f>
        <v>3000</v>
      </c>
      <c r="F131" s="136"/>
      <c r="G131" s="136"/>
      <c r="H131" s="137"/>
      <c r="I131" s="137"/>
      <c r="J131" s="137"/>
      <c r="K131" s="136"/>
      <c r="L131" s="136"/>
      <c r="M131" s="136"/>
    </row>
    <row r="132" ht="15.75" customHeight="1">
      <c r="A132" s="131">
        <f>PEDIDOS!B132</f>
        <v>46098</v>
      </c>
      <c r="B132" s="131" t="str">
        <f>PEDIDOS!C132</f>
        <v/>
      </c>
      <c r="C132" s="131" t="str">
        <f>PEDIDOS!D132</f>
        <v>AGUEDA REY - IKIGAI</v>
      </c>
      <c r="D132" s="131" t="str">
        <f>PEDIDOS!E132</f>
        <v>Serum VITAMINA C Cod 230345</v>
      </c>
      <c r="E132" s="132">
        <f>PEDIDOS!G132</f>
        <v>1000</v>
      </c>
      <c r="F132" s="46"/>
      <c r="G132" s="46"/>
      <c r="H132" s="45"/>
      <c r="I132" s="45"/>
      <c r="J132" s="45"/>
      <c r="K132" s="46"/>
      <c r="L132" s="46"/>
      <c r="M132" s="46"/>
    </row>
    <row r="133" ht="15.75" customHeight="1">
      <c r="A133" s="134">
        <f>PEDIDOS!B133</f>
        <v>46098</v>
      </c>
      <c r="B133" s="134" t="str">
        <f>PEDIDOS!C133</f>
        <v/>
      </c>
      <c r="C133" s="134" t="str">
        <f>PEDIDOS!D133</f>
        <v>ORIGINAL BLACK</v>
      </c>
      <c r="D133" s="134" t="str">
        <f>PEDIDOS!E133</f>
        <v>AFTER SHAVE VIOLETA</v>
      </c>
      <c r="E133" s="135">
        <f>PEDIDOS!G133</f>
        <v>8000</v>
      </c>
      <c r="F133" s="136"/>
      <c r="G133" s="136"/>
      <c r="H133" s="137"/>
      <c r="I133" s="137"/>
      <c r="J133" s="137"/>
      <c r="K133" s="136"/>
      <c r="L133" s="136"/>
      <c r="M133" s="136"/>
    </row>
    <row r="134" ht="15.75" customHeight="1">
      <c r="A134" s="131">
        <f>PEDIDOS!B134</f>
        <v>46098</v>
      </c>
      <c r="B134" s="131" t="str">
        <f>PEDIDOS!C134</f>
        <v/>
      </c>
      <c r="C134" s="131" t="str">
        <f>PEDIDOS!D134</f>
        <v>ORIGINAL BLACK</v>
      </c>
      <c r="D134" s="131" t="str">
        <f>PEDIDOS!E134</f>
        <v>AFTER SHAVE AZUL</v>
      </c>
      <c r="E134" s="132">
        <f>PEDIDOS!G134</f>
        <v>8000</v>
      </c>
      <c r="F134" s="46"/>
      <c r="G134" s="46"/>
      <c r="H134" s="45"/>
      <c r="I134" s="45"/>
      <c r="J134" s="45"/>
      <c r="K134" s="46"/>
      <c r="L134" s="46"/>
      <c r="M134" s="46"/>
    </row>
    <row r="135" ht="15.75" customHeight="1">
      <c r="A135" s="134">
        <f>PEDIDOS!B135</f>
        <v>46098</v>
      </c>
      <c r="B135" s="134" t="str">
        <f>PEDIDOS!C135</f>
        <v/>
      </c>
      <c r="C135" s="134" t="str">
        <f>PEDIDOS!D135</f>
        <v>ORIGINAL BLACK</v>
      </c>
      <c r="D135" s="134" t="str">
        <f>PEDIDOS!E135</f>
        <v>AFTER SHAVE VERDE</v>
      </c>
      <c r="E135" s="135">
        <f>PEDIDOS!G135</f>
        <v>4000</v>
      </c>
      <c r="F135" s="136"/>
      <c r="G135" s="136"/>
      <c r="H135" s="137"/>
      <c r="I135" s="137"/>
      <c r="J135" s="137"/>
      <c r="K135" s="136"/>
      <c r="L135" s="136"/>
      <c r="M135" s="136"/>
    </row>
    <row r="136" ht="15.75" customHeight="1">
      <c r="A136" s="131">
        <f>PEDIDOS!B136</f>
        <v>46098</v>
      </c>
      <c r="B136" s="131" t="str">
        <f>PEDIDOS!C136</f>
        <v/>
      </c>
      <c r="C136" s="131" t="str">
        <f>PEDIDOS!D136</f>
        <v>ORIGINAL BLACK</v>
      </c>
      <c r="D136" s="131" t="str">
        <f>PEDIDOS!E136</f>
        <v>POMADA MATE X50G</v>
      </c>
      <c r="E136" s="132">
        <f>PEDIDOS!G136</f>
        <v>2460</v>
      </c>
      <c r="F136" s="46"/>
      <c r="G136" s="46"/>
      <c r="H136" s="45"/>
      <c r="I136" s="45"/>
      <c r="J136" s="45"/>
      <c r="K136" s="46"/>
      <c r="L136" s="46"/>
      <c r="M136" s="46"/>
    </row>
    <row r="137" ht="15.75" customHeight="1">
      <c r="A137" s="134">
        <f>PEDIDOS!B137</f>
        <v>46098</v>
      </c>
      <c r="B137" s="134" t="str">
        <f>PEDIDOS!C137</f>
        <v/>
      </c>
      <c r="C137" s="134" t="str">
        <f>PEDIDOS!D137</f>
        <v>ORIGINAL BLACK</v>
      </c>
      <c r="D137" s="134" t="str">
        <f>PEDIDOS!E137</f>
        <v>POMADA RED WAX X100G</v>
      </c>
      <c r="E137" s="135">
        <f>PEDIDOS!G137</f>
        <v>2400</v>
      </c>
      <c r="F137" s="136"/>
      <c r="G137" s="136"/>
      <c r="H137" s="137"/>
      <c r="I137" s="137"/>
      <c r="J137" s="137"/>
      <c r="K137" s="136"/>
      <c r="L137" s="136"/>
      <c r="M137" s="136"/>
    </row>
    <row r="138" ht="15.75" customHeight="1">
      <c r="A138" s="131">
        <f>PEDIDOS!B138</f>
        <v>46098</v>
      </c>
      <c r="B138" s="131" t="str">
        <f>PEDIDOS!C138</f>
        <v>TCL 2026-01-02</v>
      </c>
      <c r="C138" s="131" t="str">
        <f>PEDIDOS!D138</f>
        <v>THE CHEMIST LOOK</v>
      </c>
      <c r="D138" s="131" t="str">
        <f>PEDIDOS!E138</f>
        <v>BOOSTER HYALU-A/SI</v>
      </c>
      <c r="E138" s="132">
        <f>PEDIDOS!G138</f>
        <v>1000</v>
      </c>
      <c r="F138" s="46"/>
      <c r="G138" s="46"/>
      <c r="H138" s="45"/>
      <c r="I138" s="45"/>
      <c r="J138" s="45"/>
      <c r="K138" s="46"/>
      <c r="L138" s="46"/>
      <c r="M138" s="46"/>
    </row>
    <row r="139" ht="15.75" customHeight="1">
      <c r="A139" s="134">
        <f>PEDIDOS!B139</f>
        <v>46098</v>
      </c>
      <c r="B139" s="134" t="str">
        <f>PEDIDOS!C139</f>
        <v>TCL 2026-01-02</v>
      </c>
      <c r="C139" s="134" t="str">
        <f>PEDIDOS!D139</f>
        <v>THE CHEMIST LOOK</v>
      </c>
      <c r="D139" s="134" t="str">
        <f>PEDIDOS!E139</f>
        <v>BOOSTER HYALU-A/SI</v>
      </c>
      <c r="E139" s="135">
        <f>PEDIDOS!G139</f>
        <v>1000</v>
      </c>
      <c r="F139" s="136"/>
      <c r="G139" s="136"/>
      <c r="H139" s="137"/>
      <c r="I139" s="137"/>
      <c r="J139" s="137"/>
      <c r="K139" s="136"/>
      <c r="L139" s="136"/>
      <c r="M139" s="136"/>
    </row>
    <row r="140" ht="15.75" customHeight="1">
      <c r="A140" s="131">
        <f>PEDIDOS!B140</f>
        <v>46098</v>
      </c>
      <c r="B140" s="131" t="str">
        <f>PEDIDOS!C140</f>
        <v>TCL 2026-01-02</v>
      </c>
      <c r="C140" s="131" t="str">
        <f>PEDIDOS!D140</f>
        <v>THE CHEMIST LOOK</v>
      </c>
      <c r="D140" s="131" t="str">
        <f>PEDIDOS!E140</f>
        <v>BOOSTER NIACI/ZN</v>
      </c>
      <c r="E140" s="132">
        <f>PEDIDOS!G140</f>
        <v>1000</v>
      </c>
      <c r="F140" s="46"/>
      <c r="G140" s="46"/>
      <c r="H140" s="45"/>
      <c r="I140" s="45"/>
      <c r="J140" s="45"/>
      <c r="K140" s="46"/>
      <c r="L140" s="46"/>
      <c r="M140" s="46"/>
    </row>
    <row r="141" ht="15.75" customHeight="1">
      <c r="A141" s="134">
        <f>PEDIDOS!B141</f>
        <v>46098</v>
      </c>
      <c r="B141" s="134" t="str">
        <f>PEDIDOS!C141</f>
        <v>TCL 2026-01-02</v>
      </c>
      <c r="C141" s="134" t="str">
        <f>PEDIDOS!D141</f>
        <v>THE CHEMIST LOOK</v>
      </c>
      <c r="D141" s="134" t="str">
        <f>PEDIDOS!E141</f>
        <v>BOOSTER VIT C/GLUT</v>
      </c>
      <c r="E141" s="135">
        <f>PEDIDOS!G141</f>
        <v>2500</v>
      </c>
      <c r="F141" s="136"/>
      <c r="G141" s="136"/>
      <c r="H141" s="137"/>
      <c r="I141" s="137"/>
      <c r="J141" s="137"/>
      <c r="K141" s="136"/>
      <c r="L141" s="136"/>
      <c r="M141" s="136"/>
    </row>
    <row r="142" ht="15.75" customHeight="1">
      <c r="A142" s="131">
        <f>PEDIDOS!B142</f>
        <v>46098</v>
      </c>
      <c r="B142" s="131" t="str">
        <f>PEDIDOS!C142</f>
        <v>TCL 2026-01-02</v>
      </c>
      <c r="C142" s="131" t="str">
        <f>PEDIDOS!D142</f>
        <v>THE CHEMIST LOOK</v>
      </c>
      <c r="D142" s="131" t="str">
        <f>PEDIDOS!E142</f>
        <v>COLLAGENE</v>
      </c>
      <c r="E142" s="132">
        <f>PEDIDOS!G142</f>
        <v>1200</v>
      </c>
      <c r="F142" s="46"/>
      <c r="G142" s="46"/>
      <c r="H142" s="45"/>
      <c r="I142" s="45"/>
      <c r="J142" s="45"/>
      <c r="K142" s="46"/>
      <c r="L142" s="46"/>
      <c r="M142" s="46"/>
    </row>
    <row r="143" ht="15.75" customHeight="1">
      <c r="A143" s="134">
        <f>PEDIDOS!B143</f>
        <v>46098</v>
      </c>
      <c r="B143" s="134" t="str">
        <f>PEDIDOS!C143</f>
        <v>TCL 2026-01-02</v>
      </c>
      <c r="C143" s="134" t="str">
        <f>PEDIDOS!D143</f>
        <v>THE CHEMIST LOOK</v>
      </c>
      <c r="D143" s="134" t="str">
        <f>PEDIDOS!E143</f>
        <v>EXFOLIANTE GA</v>
      </c>
      <c r="E143" s="135">
        <f>PEDIDOS!G143</f>
        <v>1000</v>
      </c>
      <c r="F143" s="136"/>
      <c r="G143" s="136"/>
      <c r="H143" s="137"/>
      <c r="I143" s="137"/>
      <c r="J143" s="137"/>
      <c r="K143" s="136"/>
      <c r="L143" s="136"/>
      <c r="M143" s="136"/>
    </row>
    <row r="144" ht="15.75" customHeight="1">
      <c r="A144" s="131">
        <f>PEDIDOS!B144</f>
        <v>46098</v>
      </c>
      <c r="B144" s="131" t="str">
        <f>PEDIDOS!C144</f>
        <v/>
      </c>
      <c r="C144" s="131" t="str">
        <f>PEDIDOS!D144</f>
        <v>COSMECEUTICALS</v>
      </c>
      <c r="D144" s="131" t="str">
        <f>PEDIDOS!E144</f>
        <v>SERUM DEEP</v>
      </c>
      <c r="E144" s="132">
        <f>PEDIDOS!G144</f>
        <v>500</v>
      </c>
      <c r="F144" s="46"/>
      <c r="G144" s="46"/>
      <c r="H144" s="45"/>
      <c r="I144" s="45"/>
      <c r="J144" s="45"/>
      <c r="K144" s="46"/>
      <c r="L144" s="46"/>
      <c r="M144" s="46"/>
    </row>
    <row r="145" ht="15.75" customHeight="1">
      <c r="A145" s="134">
        <f>PEDIDOS!B145</f>
        <v>46098</v>
      </c>
      <c r="B145" s="134" t="str">
        <f>PEDIDOS!C145</f>
        <v/>
      </c>
      <c r="C145" s="134" t="str">
        <f>PEDIDOS!D145</f>
        <v>COSMECEUTICALS</v>
      </c>
      <c r="D145" s="134" t="str">
        <f>PEDIDOS!E145</f>
        <v>SERUM VITAMINA C</v>
      </c>
      <c r="E145" s="135">
        <f>PEDIDOS!G145</f>
        <v>500</v>
      </c>
      <c r="F145" s="136"/>
      <c r="G145" s="136"/>
      <c r="H145" s="137"/>
      <c r="I145" s="137"/>
      <c r="J145" s="137"/>
      <c r="K145" s="136"/>
      <c r="L145" s="136"/>
      <c r="M145" s="136"/>
    </row>
    <row r="146" ht="15.75" customHeight="1">
      <c r="A146" s="131">
        <f>PEDIDOS!B146</f>
        <v>46099</v>
      </c>
      <c r="B146" s="131">
        <f>PEDIDOS!C146</f>
        <v>15190</v>
      </c>
      <c r="C146" s="131" t="str">
        <f>PEDIDOS!D146</f>
        <v>THELMA Y LOUISE</v>
      </c>
      <c r="D146" s="131" t="str">
        <f>PEDIDOS!E146</f>
        <v>ALCOHOL EN GEL SANDIA FARMACITY KIDS</v>
      </c>
      <c r="E146" s="132">
        <f>PEDIDOS!G146</f>
        <v>6000</v>
      </c>
      <c r="F146" s="46"/>
      <c r="G146" s="46"/>
      <c r="H146" s="45"/>
      <c r="I146" s="45"/>
      <c r="J146" s="45"/>
      <c r="K146" s="46"/>
      <c r="L146" s="46"/>
      <c r="M146" s="46"/>
    </row>
    <row r="147" ht="15.75" customHeight="1">
      <c r="A147" s="134">
        <f>PEDIDOS!B147</f>
        <v>46099</v>
      </c>
      <c r="B147" s="134">
        <f>PEDIDOS!C147</f>
        <v>15190</v>
      </c>
      <c r="C147" s="134" t="str">
        <f>PEDIDOS!D147</f>
        <v>THELMA Y LOUISE</v>
      </c>
      <c r="D147" s="134" t="str">
        <f>PEDIDOS!E147</f>
        <v>ALCOHOL EN GEL CHICLE FARMACITY KIDS</v>
      </c>
      <c r="E147" s="135">
        <f>PEDIDOS!G147</f>
        <v>6000</v>
      </c>
      <c r="F147" s="136"/>
      <c r="G147" s="136"/>
      <c r="H147" s="137"/>
      <c r="I147" s="137"/>
      <c r="J147" s="137"/>
      <c r="K147" s="136"/>
      <c r="L147" s="136"/>
      <c r="M147" s="136"/>
    </row>
    <row r="148" ht="15.75" customHeight="1">
      <c r="A148" s="131">
        <f>PEDIDOS!B148</f>
        <v>46099</v>
      </c>
      <c r="B148" s="131">
        <f>PEDIDOS!C148</f>
        <v>141</v>
      </c>
      <c r="C148" s="131" t="str">
        <f>PEDIDOS!D148</f>
        <v>ICONO</v>
      </c>
      <c r="D148" s="131" t="str">
        <f>PEDIDOS!E148</f>
        <v>CREMA EFECTO TENSOR x 250 GR.</v>
      </c>
      <c r="E148" s="132">
        <f>PEDIDOS!G148</f>
        <v>2000</v>
      </c>
      <c r="F148" s="46"/>
      <c r="G148" s="46"/>
      <c r="H148" s="45"/>
      <c r="I148" s="45"/>
      <c r="J148" s="45"/>
      <c r="K148" s="46"/>
      <c r="L148" s="46"/>
      <c r="M148" s="46"/>
    </row>
    <row r="149" ht="15.75" customHeight="1">
      <c r="A149" s="134">
        <f>PEDIDOS!B149</f>
        <v>46099</v>
      </c>
      <c r="B149" s="134">
        <f>PEDIDOS!C149</f>
        <v>141</v>
      </c>
      <c r="C149" s="134" t="str">
        <f>PEDIDOS!D149</f>
        <v>ICONO</v>
      </c>
      <c r="D149" s="134" t="str">
        <f>PEDIDOS!E149</f>
        <v>MASCARA EFECTO TENSOR x 95 GR.</v>
      </c>
      <c r="E149" s="135">
        <f>PEDIDOS!G149</f>
        <v>2000</v>
      </c>
      <c r="F149" s="136"/>
      <c r="G149" s="136"/>
      <c r="H149" s="137"/>
      <c r="I149" s="137"/>
      <c r="J149" s="137"/>
      <c r="K149" s="136"/>
      <c r="L149" s="136"/>
      <c r="M149" s="136"/>
    </row>
    <row r="150" ht="15.75" customHeight="1">
      <c r="A150" s="131">
        <f>PEDIDOS!B150</f>
        <v>46099</v>
      </c>
      <c r="B150" s="131">
        <f>PEDIDOS!C150</f>
        <v>141</v>
      </c>
      <c r="C150" s="131" t="str">
        <f>PEDIDOS!D150</f>
        <v>ICONO</v>
      </c>
      <c r="D150" s="131" t="str">
        <f>PEDIDOS!E150</f>
        <v>MASCARA EFECTO TENSOR x 250 GR.</v>
      </c>
      <c r="E150" s="132">
        <f>PEDIDOS!G150</f>
        <v>2000</v>
      </c>
      <c r="F150" s="46"/>
      <c r="G150" s="46"/>
      <c r="H150" s="45"/>
      <c r="I150" s="45"/>
      <c r="J150" s="45"/>
      <c r="K150" s="46"/>
      <c r="L150" s="46"/>
      <c r="M150" s="46"/>
    </row>
    <row r="151" ht="15.75" customHeight="1">
      <c r="A151" s="134">
        <f>PEDIDOS!B151</f>
        <v>46099</v>
      </c>
      <c r="B151" s="134" t="str">
        <f>PEDIDOS!C151</f>
        <v/>
      </c>
      <c r="C151" s="134" t="str">
        <f>PEDIDOS!D151</f>
        <v>LUCENT</v>
      </c>
      <c r="D151" s="134" t="str">
        <f>PEDIDOS!E151</f>
        <v>BB LIPS natural Lips</v>
      </c>
      <c r="E151" s="135">
        <f>PEDIDOS!G151</f>
        <v>500</v>
      </c>
      <c r="F151" s="136"/>
      <c r="G151" s="136"/>
      <c r="H151" s="137"/>
      <c r="I151" s="137"/>
      <c r="J151" s="137"/>
      <c r="K151" s="136"/>
      <c r="L151" s="136"/>
      <c r="M151" s="136"/>
    </row>
    <row r="152" ht="15.75" customHeight="1">
      <c r="A152" s="131">
        <f>PEDIDOS!B152</f>
        <v>46100</v>
      </c>
      <c r="B152" s="131">
        <f>PEDIDOS!C152</f>
        <v>169</v>
      </c>
      <c r="C152" s="131" t="str">
        <f>PEDIDOS!D152</f>
        <v>THE MINIMAL CO</v>
      </c>
      <c r="D152" s="131" t="str">
        <f>PEDIDOS!E152</f>
        <v>Serum Oil Reparador</v>
      </c>
      <c r="E152" s="132">
        <f>PEDIDOS!G152</f>
        <v>720</v>
      </c>
      <c r="F152" s="46"/>
      <c r="G152" s="46"/>
      <c r="H152" s="45"/>
      <c r="I152" s="45"/>
      <c r="J152" s="45"/>
      <c r="K152" s="46"/>
      <c r="L152" s="46"/>
      <c r="M152" s="46"/>
    </row>
    <row r="153" ht="15.75" customHeight="1">
      <c r="A153" s="134">
        <f>PEDIDOS!B153</f>
        <v>46101</v>
      </c>
      <c r="B153" s="134">
        <f>PEDIDOS!C153</f>
        <v>14363</v>
      </c>
      <c r="C153" s="134" t="str">
        <f>PEDIDOS!D153</f>
        <v>JACTANS - DISNEY</v>
      </c>
      <c r="D153" s="134" t="str">
        <f>PEDIDOS!E153</f>
        <v>DJ-48235-Jabon liquido PERSONAJES 2D 250ML</v>
      </c>
      <c r="E153" s="135">
        <f>PEDIDOS!G153</f>
        <v>2500</v>
      </c>
      <c r="F153" s="136"/>
      <c r="G153" s="136"/>
      <c r="H153" s="137"/>
      <c r="I153" s="137"/>
      <c r="J153" s="137"/>
      <c r="K153" s="136"/>
      <c r="L153" s="136"/>
      <c r="M153" s="136"/>
    </row>
    <row r="154" ht="15.75" customHeight="1">
      <c r="A154" s="131">
        <f>PEDIDOS!B154</f>
        <v>46104</v>
      </c>
      <c r="B154" s="131">
        <f>PEDIDOS!C154</f>
        <v>15198</v>
      </c>
      <c r="C154" s="131" t="str">
        <f>PEDIDOS!D154</f>
        <v>THELMA Y LOUISE</v>
      </c>
      <c r="D154" s="131" t="str">
        <f>PEDIDOS!E154</f>
        <v>ALCOHOL EN GEL NEUTRO VAMOS ARGENTINA</v>
      </c>
      <c r="E154" s="132">
        <f>PEDIDOS!G154</f>
        <v>3000</v>
      </c>
      <c r="F154" s="46"/>
      <c r="G154" s="46"/>
      <c r="H154" s="45"/>
      <c r="I154" s="45"/>
      <c r="J154" s="45"/>
      <c r="K154" s="46"/>
      <c r="L154" s="46"/>
      <c r="M154" s="46"/>
    </row>
    <row r="155" ht="15.75" customHeight="1">
      <c r="A155" s="134">
        <f>PEDIDOS!B155</f>
        <v>46104</v>
      </c>
      <c r="B155" s="134">
        <f>PEDIDOS!C155</f>
        <v>15198</v>
      </c>
      <c r="C155" s="134" t="str">
        <f>PEDIDOS!D155</f>
        <v>THELMA Y LOUISE</v>
      </c>
      <c r="D155" s="134" t="str">
        <f>PEDIDOS!E155</f>
        <v>ALCOHOL EN GEL NEUTRO CORONADOS DE GLORIA</v>
      </c>
      <c r="E155" s="135">
        <f>PEDIDOS!G155</f>
        <v>3000</v>
      </c>
      <c r="F155" s="136"/>
      <c r="G155" s="136"/>
      <c r="H155" s="137"/>
      <c r="I155" s="137"/>
      <c r="J155" s="137"/>
      <c r="K155" s="136"/>
      <c r="L155" s="136"/>
      <c r="M155" s="136"/>
    </row>
    <row r="156" ht="15.75" customHeight="1">
      <c r="A156" s="131">
        <f>PEDIDOS!B156</f>
        <v>46104</v>
      </c>
      <c r="B156" s="131">
        <f>PEDIDOS!C156</f>
        <v>141</v>
      </c>
      <c r="C156" s="131" t="str">
        <f>PEDIDOS!D156</f>
        <v>PROFESSIONAL BEAUTY</v>
      </c>
      <c r="D156" s="131" t="str">
        <f>PEDIDOS!E156</f>
        <v>ADVANCE ACIDO HIALURONICO 1%</v>
      </c>
      <c r="E156" s="132">
        <f>PEDIDOS!G156</f>
        <v>500</v>
      </c>
      <c r="F156" s="46"/>
      <c r="G156" s="46"/>
      <c r="H156" s="45"/>
      <c r="I156" s="45"/>
      <c r="J156" s="45"/>
      <c r="K156" s="46"/>
      <c r="L156" s="46"/>
      <c r="M156" s="46"/>
    </row>
    <row r="157" ht="15.75" customHeight="1">
      <c r="A157" s="134">
        <f>PEDIDOS!B157</f>
        <v>46104</v>
      </c>
      <c r="B157" s="134">
        <f>PEDIDOS!C157</f>
        <v>141</v>
      </c>
      <c r="C157" s="134" t="str">
        <f>PEDIDOS!D157</f>
        <v>PROFESSIONAL BEAUTY</v>
      </c>
      <c r="D157" s="134" t="str">
        <f>PEDIDOS!E157</f>
        <v>ADVANCE COLAGENO 10%</v>
      </c>
      <c r="E157" s="135">
        <f>PEDIDOS!G157</f>
        <v>500</v>
      </c>
      <c r="F157" s="136"/>
      <c r="G157" s="136"/>
      <c r="H157" s="137"/>
      <c r="I157" s="137"/>
      <c r="J157" s="137"/>
      <c r="K157" s="136"/>
      <c r="L157" s="136"/>
      <c r="M157" s="136"/>
    </row>
    <row r="158" ht="15.75" customHeight="1">
      <c r="A158" s="131">
        <f>PEDIDOS!B158</f>
        <v>46104</v>
      </c>
      <c r="B158" s="131">
        <f>PEDIDOS!C158</f>
        <v>141</v>
      </c>
      <c r="C158" s="131" t="str">
        <f>PEDIDOS!D158</f>
        <v>PROFESSIONAL BEAUTY</v>
      </c>
      <c r="D158" s="131" t="str">
        <f>PEDIDOS!E158</f>
        <v>ADVANCE ACIDO HIALURONICO 2%</v>
      </c>
      <c r="E158" s="132">
        <f>PEDIDOS!G158</f>
        <v>500</v>
      </c>
      <c r="F158" s="46"/>
      <c r="G158" s="46"/>
      <c r="H158" s="45"/>
      <c r="I158" s="45"/>
      <c r="J158" s="45"/>
      <c r="K158" s="46"/>
      <c r="L158" s="46"/>
      <c r="M158" s="46"/>
    </row>
    <row r="159" ht="15.75" customHeight="1">
      <c r="A159" s="134">
        <f>PEDIDOS!B159</f>
        <v>46104</v>
      </c>
      <c r="B159" s="134" t="str">
        <f>PEDIDOS!C159</f>
        <v/>
      </c>
      <c r="C159" s="134" t="str">
        <f>PEDIDOS!D159</f>
        <v>AGUEDA REY - EPICA</v>
      </c>
      <c r="D159" s="134" t="str">
        <f>PEDIDOS!E159</f>
        <v>SHAMPOO NEUTRO</v>
      </c>
      <c r="E159" s="135">
        <f>PEDIDOS!G159</f>
        <v>1600</v>
      </c>
      <c r="F159" s="136"/>
      <c r="G159" s="136"/>
      <c r="H159" s="137"/>
      <c r="I159" s="137"/>
      <c r="J159" s="137"/>
      <c r="K159" s="136"/>
      <c r="L159" s="136"/>
      <c r="M159" s="136"/>
    </row>
    <row r="160" ht="15.75" customHeight="1">
      <c r="A160" s="131">
        <f>PEDIDOS!B160</f>
        <v>46104</v>
      </c>
      <c r="B160" s="131" t="str">
        <f>PEDIDOS!C160</f>
        <v/>
      </c>
      <c r="C160" s="131" t="str">
        <f>PEDIDOS!D160</f>
        <v>BEKIM</v>
      </c>
      <c r="D160" s="131" t="str">
        <f>PEDIDOS!E160</f>
        <v>SHAMPOO SOLIDO ARGAN</v>
      </c>
      <c r="E160" s="132">
        <f>PEDIDOS!G160</f>
        <v>1000</v>
      </c>
      <c r="F160" s="46"/>
      <c r="G160" s="46"/>
      <c r="H160" s="45"/>
      <c r="I160" s="45"/>
      <c r="J160" s="45"/>
      <c r="K160" s="46"/>
      <c r="L160" s="46"/>
      <c r="M160" s="46"/>
    </row>
    <row r="161" ht="15.75" customHeight="1">
      <c r="A161" s="134">
        <f>PEDIDOS!B161</f>
        <v>46104</v>
      </c>
      <c r="B161" s="134" t="str">
        <f>PEDIDOS!C161</f>
        <v/>
      </c>
      <c r="C161" s="134" t="str">
        <f>PEDIDOS!D161</f>
        <v>BEKIM</v>
      </c>
      <c r="D161" s="134" t="str">
        <f>PEDIDOS!E161</f>
        <v>ACONDICIONADOR SOLIDO ARGAN</v>
      </c>
      <c r="E161" s="135">
        <f>PEDIDOS!G161</f>
        <v>1000</v>
      </c>
      <c r="F161" s="136"/>
      <c r="G161" s="136"/>
      <c r="H161" s="137"/>
      <c r="I161" s="137"/>
      <c r="J161" s="137"/>
      <c r="K161" s="136"/>
      <c r="L161" s="136"/>
      <c r="M161" s="136"/>
    </row>
    <row r="162" ht="15.75" customHeight="1">
      <c r="A162" s="131">
        <f>PEDIDOS!B162</f>
        <v>46107</v>
      </c>
      <c r="B162" s="131" t="str">
        <f>PEDIDOS!C162</f>
        <v/>
      </c>
      <c r="C162" s="131" t="str">
        <f>PEDIDOS!D162</f>
        <v>CAV</v>
      </c>
      <c r="D162" s="131" t="str">
        <f>PEDIDOS!E162</f>
        <v>AMPOLLA HAIR REPAIR</v>
      </c>
      <c r="E162" s="132">
        <f>PEDIDOS!G162</f>
        <v>700</v>
      </c>
      <c r="F162" s="46"/>
      <c r="G162" s="46"/>
      <c r="H162" s="45"/>
      <c r="I162" s="45"/>
      <c r="J162" s="45"/>
      <c r="K162" s="46"/>
      <c r="L162" s="46"/>
      <c r="M162" s="46"/>
    </row>
    <row r="163" ht="15.75" customHeight="1">
      <c r="A163" s="134">
        <f>PEDIDOS!B163</f>
        <v>46107</v>
      </c>
      <c r="B163" s="134" t="str">
        <f>PEDIDOS!C163</f>
        <v/>
      </c>
      <c r="C163" s="134" t="str">
        <f>PEDIDOS!D163</f>
        <v>CAV</v>
      </c>
      <c r="D163" s="134" t="str">
        <f>PEDIDOS!E163</f>
        <v>AMPOLLA COLOR SHINE</v>
      </c>
      <c r="E163" s="135">
        <f>PEDIDOS!G163</f>
        <v>700</v>
      </c>
      <c r="F163" s="136"/>
      <c r="G163" s="136"/>
      <c r="H163" s="137"/>
      <c r="I163" s="137"/>
      <c r="J163" s="137"/>
      <c r="K163" s="136"/>
      <c r="L163" s="136"/>
      <c r="M163" s="136"/>
    </row>
    <row r="164" ht="15.75" customHeight="1">
      <c r="A164" s="131">
        <f>PEDIDOS!B164</f>
        <v>46107</v>
      </c>
      <c r="B164" s="131" t="str">
        <f>PEDIDOS!C164</f>
        <v/>
      </c>
      <c r="C164" s="131" t="str">
        <f>PEDIDOS!D164</f>
        <v>DEL ARCA BOTANICA</v>
      </c>
      <c r="D164" s="131" t="str">
        <f>PEDIDOS!E164</f>
        <v>CREMA HIDRATANTE LIVIANA</v>
      </c>
      <c r="E164" s="132">
        <f>PEDIDOS!G164</f>
        <v>500</v>
      </c>
      <c r="F164" s="46"/>
      <c r="G164" s="46"/>
      <c r="H164" s="45"/>
      <c r="I164" s="45"/>
      <c r="J164" s="45"/>
      <c r="K164" s="46"/>
      <c r="L164" s="46"/>
      <c r="M164" s="46"/>
    </row>
    <row r="165" ht="15.75" customHeight="1">
      <c r="A165" s="134">
        <f>PEDIDOS!B165</f>
        <v>46101</v>
      </c>
      <c r="B165" s="134" t="str">
        <f>PEDIDOS!C165</f>
        <v/>
      </c>
      <c r="C165" s="134" t="str">
        <f>PEDIDOS!D165</f>
        <v>PLANTAE</v>
      </c>
      <c r="D165" s="134" t="str">
        <f>PEDIDOS!E165</f>
        <v>SHAMPOO HENNA</v>
      </c>
      <c r="E165" s="135">
        <f>PEDIDOS!G165</f>
        <v>600</v>
      </c>
      <c r="F165" s="136"/>
      <c r="G165" s="136"/>
      <c r="H165" s="137"/>
      <c r="I165" s="137"/>
      <c r="J165" s="137"/>
      <c r="K165" s="136"/>
      <c r="L165" s="136"/>
      <c r="M165" s="136"/>
    </row>
    <row r="166" ht="15.75" customHeight="1">
      <c r="A166" s="131">
        <f>PEDIDOS!B166</f>
        <v>46101</v>
      </c>
      <c r="B166" s="131" t="str">
        <f>PEDIDOS!C166</f>
        <v/>
      </c>
      <c r="C166" s="131" t="str">
        <f>PEDIDOS!D166</f>
        <v>PLANTAE</v>
      </c>
      <c r="D166" s="131" t="str">
        <f>PEDIDOS!E166</f>
        <v>SHAMPOO KARITE</v>
      </c>
      <c r="E166" s="132">
        <f>PEDIDOS!G166</f>
        <v>600</v>
      </c>
      <c r="F166" s="46"/>
      <c r="G166" s="46"/>
      <c r="H166" s="45"/>
      <c r="I166" s="45"/>
      <c r="J166" s="45"/>
      <c r="K166" s="46"/>
      <c r="L166" s="46"/>
      <c r="M166" s="46"/>
    </row>
    <row r="167" ht="15.75" customHeight="1">
      <c r="A167" s="134">
        <f>PEDIDOS!B167</f>
        <v>46111</v>
      </c>
      <c r="B167" s="134" t="str">
        <f>PEDIDOS!C167</f>
        <v/>
      </c>
      <c r="C167" s="134" t="str">
        <f>PEDIDOS!D167</f>
        <v>COSMECEUTICALS</v>
      </c>
      <c r="D167" s="134" t="str">
        <f>PEDIDOS!E167</f>
        <v>CREMA PDND NAD+ (airless)</v>
      </c>
      <c r="E167" s="135">
        <f>PEDIDOS!G167</f>
        <v>500</v>
      </c>
      <c r="F167" s="136"/>
      <c r="G167" s="136"/>
      <c r="H167" s="137"/>
      <c r="I167" s="137"/>
      <c r="J167" s="137"/>
      <c r="K167" s="136"/>
      <c r="L167" s="136"/>
      <c r="M167" s="136"/>
    </row>
    <row r="168" ht="15.75" customHeight="1">
      <c r="A168" s="131">
        <f>PEDIDOS!B168</f>
        <v>46111</v>
      </c>
      <c r="B168" s="131" t="str">
        <f>PEDIDOS!C168</f>
        <v/>
      </c>
      <c r="C168" s="131" t="str">
        <f>PEDIDOS!D168</f>
        <v>COSMECEUTICALS</v>
      </c>
      <c r="D168" s="131" t="str">
        <f>PEDIDOS!E168</f>
        <v>CREMA RADIANCE ABSOLUTE (pote ambar)</v>
      </c>
      <c r="E168" s="132">
        <f>PEDIDOS!G168</f>
        <v>500</v>
      </c>
      <c r="F168" s="46"/>
      <c r="G168" s="46"/>
      <c r="H168" s="45"/>
      <c r="I168" s="45"/>
      <c r="J168" s="45"/>
      <c r="K168" s="46"/>
      <c r="L168" s="46"/>
      <c r="M168" s="46"/>
    </row>
    <row r="169" ht="15.75" customHeight="1">
      <c r="A169" s="134">
        <f>PEDIDOS!B169</f>
        <v>46112</v>
      </c>
      <c r="B169" s="134">
        <f>PEDIDOS!C169</f>
        <v>786</v>
      </c>
      <c r="C169" s="134" t="str">
        <f>PEDIDOS!D169</f>
        <v>CAV</v>
      </c>
      <c r="D169" s="134" t="str">
        <f>PEDIDOS!E169</f>
        <v>SHAMPOO BIONIC X400ML</v>
      </c>
      <c r="E169" s="135">
        <f>PEDIDOS!G169</f>
        <v>250</v>
      </c>
      <c r="F169" s="136"/>
      <c r="G169" s="136"/>
      <c r="H169" s="137"/>
      <c r="I169" s="137"/>
      <c r="J169" s="137"/>
      <c r="K169" s="136"/>
      <c r="L169" s="136"/>
      <c r="M169" s="136"/>
    </row>
    <row r="170" ht="15.75" customHeight="1">
      <c r="A170" s="131">
        <f>PEDIDOS!B170</f>
        <v>46112</v>
      </c>
      <c r="B170" s="131">
        <f>PEDIDOS!C170</f>
        <v>786</v>
      </c>
      <c r="C170" s="131" t="str">
        <f>PEDIDOS!D170</f>
        <v>CAV</v>
      </c>
      <c r="D170" s="131" t="str">
        <f>PEDIDOS!E170</f>
        <v>BALSAMO BIONIC X400ML</v>
      </c>
      <c r="E170" s="132">
        <f>PEDIDOS!G170</f>
        <v>250</v>
      </c>
      <c r="F170" s="46"/>
      <c r="G170" s="46"/>
      <c r="H170" s="45"/>
      <c r="I170" s="45"/>
      <c r="J170" s="45"/>
      <c r="K170" s="46"/>
      <c r="L170" s="46"/>
      <c r="M170" s="46"/>
    </row>
    <row r="171" ht="15.75" customHeight="1">
      <c r="A171" s="134">
        <f>PEDIDOS!B171</f>
        <v>46112</v>
      </c>
      <c r="B171" s="134">
        <f>PEDIDOS!C171</f>
        <v>786</v>
      </c>
      <c r="C171" s="134" t="str">
        <f>PEDIDOS!D171</f>
        <v>CAV</v>
      </c>
      <c r="D171" s="134" t="str">
        <f>PEDIDOS!E171</f>
        <v>MASCARA VITAMIN SHOCK</v>
      </c>
      <c r="E171" s="135">
        <f>PEDIDOS!G171</f>
        <v>350</v>
      </c>
      <c r="F171" s="136"/>
      <c r="G171" s="136"/>
      <c r="H171" s="137"/>
      <c r="I171" s="137"/>
      <c r="J171" s="137"/>
      <c r="K171" s="136"/>
      <c r="L171" s="136"/>
      <c r="M171" s="136"/>
    </row>
    <row r="172" ht="15.75" customHeight="1">
      <c r="A172" s="131">
        <f>PEDIDOS!B172</f>
        <v>46112</v>
      </c>
      <c r="B172" s="131">
        <f>PEDIDOS!C172</f>
        <v>786</v>
      </c>
      <c r="C172" s="131" t="str">
        <f>PEDIDOS!D172</f>
        <v>CAV</v>
      </c>
      <c r="D172" s="131" t="str">
        <f>PEDIDOS!E172</f>
        <v>PROTECTOR C-PLEX CAV (PASO 3)</v>
      </c>
      <c r="E172" s="132">
        <f>PEDIDOS!G172</f>
        <v>200</v>
      </c>
      <c r="F172" s="46"/>
      <c r="G172" s="46"/>
      <c r="H172" s="45"/>
      <c r="I172" s="45"/>
      <c r="J172" s="45"/>
      <c r="K172" s="46"/>
      <c r="L172" s="46"/>
      <c r="M172" s="46"/>
    </row>
    <row r="173" ht="15.75" customHeight="1">
      <c r="A173" s="134">
        <f>PEDIDOS!B173</f>
        <v>46112</v>
      </c>
      <c r="B173" s="134">
        <f>PEDIDOS!C173</f>
        <v>786</v>
      </c>
      <c r="C173" s="134" t="str">
        <f>PEDIDOS!D173</f>
        <v>CAV</v>
      </c>
      <c r="D173" s="134" t="str">
        <f>PEDIDOS!E173</f>
        <v>SHAMPOO MAXLISS X400ML</v>
      </c>
      <c r="E173" s="135">
        <f>PEDIDOS!G173</f>
        <v>250</v>
      </c>
      <c r="F173" s="136"/>
      <c r="G173" s="136"/>
      <c r="H173" s="137"/>
      <c r="I173" s="137"/>
      <c r="J173" s="137"/>
      <c r="K173" s="136"/>
      <c r="L173" s="136"/>
      <c r="M173" s="136"/>
    </row>
    <row r="174" ht="15.75" customHeight="1">
      <c r="A174" s="131">
        <f>PEDIDOS!B174</f>
        <v>46112</v>
      </c>
      <c r="B174" s="131">
        <f>PEDIDOS!C174</f>
        <v>786</v>
      </c>
      <c r="C174" s="131" t="str">
        <f>PEDIDOS!D174</f>
        <v>CAV</v>
      </c>
      <c r="D174" s="131" t="str">
        <f>PEDIDOS!E174</f>
        <v>CONDITIONER MAXLISS X400G</v>
      </c>
      <c r="E174" s="132">
        <f>PEDIDOS!G174</f>
        <v>250</v>
      </c>
      <c r="F174" s="46"/>
      <c r="G174" s="46"/>
      <c r="H174" s="45"/>
      <c r="I174" s="45"/>
      <c r="J174" s="45"/>
      <c r="K174" s="46"/>
      <c r="L174" s="46"/>
      <c r="M174" s="46"/>
    </row>
    <row r="175" ht="15.75" customHeight="1">
      <c r="A175" s="134">
        <f>PEDIDOS!B175</f>
        <v>46112</v>
      </c>
      <c r="B175" s="134">
        <f>PEDIDOS!C175</f>
        <v>786</v>
      </c>
      <c r="C175" s="134" t="str">
        <f>PEDIDOS!D175</f>
        <v>CAV</v>
      </c>
      <c r="D175" s="134" t="str">
        <f>PEDIDOS!E175</f>
        <v>DISCIPLINADOR MAXLISS X125ML</v>
      </c>
      <c r="E175" s="135">
        <f>PEDIDOS!G175</f>
        <v>200</v>
      </c>
      <c r="F175" s="136"/>
      <c r="G175" s="136"/>
      <c r="H175" s="137"/>
      <c r="I175" s="137"/>
      <c r="J175" s="137"/>
      <c r="K175" s="136"/>
      <c r="L175" s="136"/>
      <c r="M175" s="136"/>
    </row>
    <row r="176" ht="15.75" customHeight="1">
      <c r="A176" s="131">
        <f>PEDIDOS!B176</f>
        <v>46112</v>
      </c>
      <c r="B176" s="131">
        <f>PEDIDOS!C176</f>
        <v>15223</v>
      </c>
      <c r="C176" s="131" t="str">
        <f>PEDIDOS!D176</f>
        <v>THELMA Y LOUISE</v>
      </c>
      <c r="D176" s="131" t="str">
        <f>PEDIDOS!E176</f>
        <v>SANITIZANTE MUNDIAL CORONADOS DE GLORIA (neutro)</v>
      </c>
      <c r="E176" s="132">
        <f>PEDIDOS!G176</f>
        <v>17000</v>
      </c>
      <c r="F176" s="46"/>
      <c r="G176" s="46"/>
      <c r="H176" s="45"/>
      <c r="I176" s="45"/>
      <c r="J176" s="45"/>
      <c r="K176" s="46"/>
      <c r="L176" s="46"/>
      <c r="M176" s="46"/>
    </row>
    <row r="177" ht="15.75" customHeight="1">
      <c r="A177" s="134">
        <f>PEDIDOS!B177</f>
        <v>46112</v>
      </c>
      <c r="B177" s="134">
        <f>PEDIDOS!C177</f>
        <v>15223</v>
      </c>
      <c r="C177" s="134" t="str">
        <f>PEDIDOS!D177</f>
        <v>THELMA Y LOUISE</v>
      </c>
      <c r="D177" s="134" t="str">
        <f>PEDIDOS!E177</f>
        <v>SANITIZANTE MUNDIAL VAMOS ARGENTINA! (neutro)</v>
      </c>
      <c r="E177" s="135">
        <f>PEDIDOS!G177</f>
        <v>17000</v>
      </c>
      <c r="F177" s="136"/>
      <c r="G177" s="136"/>
      <c r="H177" s="137"/>
      <c r="I177" s="137"/>
      <c r="J177" s="137"/>
      <c r="K177" s="136"/>
      <c r="L177" s="136"/>
      <c r="M177" s="136"/>
    </row>
    <row r="178" ht="15.75" customHeight="1">
      <c r="A178" s="131">
        <f>PEDIDOS!B178</f>
        <v>46112</v>
      </c>
      <c r="B178" s="131">
        <f>PEDIDOS!C178</f>
        <v>15223</v>
      </c>
      <c r="C178" s="131" t="str">
        <f>PEDIDOS!D178</f>
        <v>THELMA Y LOUISE</v>
      </c>
      <c r="D178" s="131" t="str">
        <f>PEDIDOS!E178</f>
        <v>SANITIZANTE AZUL</v>
      </c>
      <c r="E178" s="132">
        <f>PEDIDOS!G178</f>
        <v>8100</v>
      </c>
      <c r="F178" s="46"/>
      <c r="G178" s="46"/>
      <c r="H178" s="45"/>
      <c r="I178" s="45"/>
      <c r="J178" s="45"/>
      <c r="K178" s="46"/>
      <c r="L178" s="46"/>
      <c r="M178" s="46"/>
    </row>
    <row r="179" ht="15.75" customHeight="1">
      <c r="A179" s="134">
        <f>PEDIDOS!B179</f>
        <v>46112</v>
      </c>
      <c r="B179" s="134">
        <f>PEDIDOS!C179</f>
        <v>15220</v>
      </c>
      <c r="C179" s="134" t="str">
        <f>PEDIDOS!D179</f>
        <v>THELMA Y LOUISE</v>
      </c>
      <c r="D179" s="134" t="str">
        <f>PEDIDOS!E179</f>
        <v>SANITIZANTE TODO MODA COCO</v>
      </c>
      <c r="E179" s="135">
        <f>PEDIDOS!G179</f>
        <v>7000</v>
      </c>
      <c r="F179" s="136"/>
      <c r="G179" s="136"/>
      <c r="H179" s="137"/>
      <c r="I179" s="137"/>
      <c r="J179" s="137"/>
      <c r="K179" s="136"/>
      <c r="L179" s="136"/>
      <c r="M179" s="136"/>
    </row>
    <row r="180" ht="15.75" customHeight="1">
      <c r="A180" s="131">
        <f>PEDIDOS!B180</f>
        <v>46112</v>
      </c>
      <c r="B180" s="131">
        <f>PEDIDOS!C180</f>
        <v>15220</v>
      </c>
      <c r="C180" s="131" t="str">
        <f>PEDIDOS!D180</f>
        <v>THELMA Y LOUISE</v>
      </c>
      <c r="D180" s="131" t="str">
        <f>PEDIDOS!E180</f>
        <v>SANITIZANTE TODO MODA FRAMBUESA</v>
      </c>
      <c r="E180" s="132">
        <f>PEDIDOS!G180</f>
        <v>7000</v>
      </c>
      <c r="F180" s="46"/>
      <c r="G180" s="46"/>
      <c r="H180" s="45"/>
      <c r="I180" s="45"/>
      <c r="J180" s="45"/>
      <c r="K180" s="46"/>
      <c r="L180" s="46"/>
      <c r="M180" s="46"/>
    </row>
    <row r="181" ht="15.75" customHeight="1">
      <c r="A181" s="134">
        <f>PEDIDOS!B181</f>
        <v>46112</v>
      </c>
      <c r="B181" s="134">
        <f>PEDIDOS!C181</f>
        <v>15226</v>
      </c>
      <c r="C181" s="134" t="str">
        <f>PEDIDOS!D181</f>
        <v>THELMA Y LOUISE</v>
      </c>
      <c r="D181" s="134" t="str">
        <f>PEDIDOS!E181</f>
        <v>SANITIZANTE BLANCO - AGUA DE COCO </v>
      </c>
      <c r="E181" s="135">
        <f>PEDIDOS!G181</f>
        <v>3900</v>
      </c>
      <c r="F181" s="136"/>
      <c r="G181" s="136"/>
      <c r="H181" s="137"/>
      <c r="I181" s="137"/>
      <c r="J181" s="137"/>
      <c r="K181" s="136"/>
      <c r="L181" s="136"/>
      <c r="M181" s="136"/>
    </row>
    <row r="182" ht="15.75" customHeight="1">
      <c r="A182" s="131">
        <f>PEDIDOS!B182</f>
        <v>46112</v>
      </c>
      <c r="B182" s="131">
        <f>PEDIDOS!C182</f>
        <v>15226</v>
      </c>
      <c r="C182" s="131" t="str">
        <f>PEDIDOS!D182</f>
        <v>THELMA Y LOUISE</v>
      </c>
      <c r="D182" s="131" t="str">
        <f>PEDIDOS!E182</f>
        <v>SANITIZANTE VIOLETA - UVA</v>
      </c>
      <c r="E182" s="132">
        <f>PEDIDOS!G182</f>
        <v>1800</v>
      </c>
      <c r="F182" s="46"/>
      <c r="G182" s="46"/>
      <c r="H182" s="45"/>
      <c r="I182" s="45"/>
      <c r="J182" s="45"/>
      <c r="K182" s="46"/>
      <c r="L182" s="46"/>
      <c r="M182" s="46"/>
    </row>
    <row r="183" ht="15.75" customHeight="1">
      <c r="A183" s="134">
        <f>PEDIDOS!B183</f>
        <v>46112</v>
      </c>
      <c r="B183" s="134">
        <f>PEDIDOS!C183</f>
        <v>15226</v>
      </c>
      <c r="C183" s="134" t="str">
        <f>PEDIDOS!D183</f>
        <v>THELMA Y LOUISE</v>
      </c>
      <c r="D183" s="134" t="str">
        <f>PEDIDOS!E183</f>
        <v>SANITIZANTE ROJO - CHERRY</v>
      </c>
      <c r="E183" s="135">
        <f>PEDIDOS!G183</f>
        <v>4000</v>
      </c>
      <c r="F183" s="136"/>
      <c r="G183" s="136"/>
      <c r="H183" s="137"/>
      <c r="I183" s="137"/>
      <c r="J183" s="137"/>
      <c r="K183" s="136"/>
      <c r="L183" s="136"/>
      <c r="M183" s="136"/>
    </row>
    <row r="184" ht="15.75" customHeight="1">
      <c r="A184" s="131">
        <f>PEDIDOS!B184</f>
        <v>46112</v>
      </c>
      <c r="B184" s="131">
        <f>PEDIDOS!C184</f>
        <v>15226</v>
      </c>
      <c r="C184" s="131" t="str">
        <f>PEDIDOS!D184</f>
        <v>THELMA Y LOUISE</v>
      </c>
      <c r="D184" s="131" t="str">
        <f>PEDIDOS!E184</f>
        <v>SANITIZANTE ROSA - FRUTILLA</v>
      </c>
      <c r="E184" s="132">
        <f>PEDIDOS!G184</f>
        <v>2500</v>
      </c>
      <c r="F184" s="46"/>
      <c r="G184" s="46"/>
      <c r="H184" s="45"/>
      <c r="I184" s="45"/>
      <c r="J184" s="45"/>
      <c r="K184" s="46"/>
      <c r="L184" s="46"/>
      <c r="M184" s="46"/>
    </row>
    <row r="185" ht="15.75" customHeight="1">
      <c r="A185" s="134">
        <f>PEDIDOS!B185</f>
        <v>46113</v>
      </c>
      <c r="B185" s="134">
        <f>PEDIDOS!C185</f>
        <v>14362</v>
      </c>
      <c r="C185" s="134" t="str">
        <f>PEDIDOS!D185</f>
        <v>JACTANS - DISNEY</v>
      </c>
      <c r="D185" s="134" t="str">
        <f>PEDIDOS!E185</f>
        <v>DP-50051-Perfume infantil fco mini goya x5ml 1980AN</v>
      </c>
      <c r="E185" s="135">
        <f>PEDIDOS!G185</f>
        <v>1000</v>
      </c>
      <c r="F185" s="136"/>
      <c r="G185" s="136"/>
      <c r="H185" s="137"/>
      <c r="I185" s="137"/>
      <c r="J185" s="137"/>
      <c r="K185" s="136"/>
      <c r="L185" s="136"/>
      <c r="M185" s="136"/>
    </row>
    <row r="186" ht="15.75" customHeight="1">
      <c r="A186" s="131">
        <f>PEDIDOS!B186</f>
        <v>46113</v>
      </c>
      <c r="B186" s="131">
        <f>PEDIDOS!C186</f>
        <v>14362</v>
      </c>
      <c r="C186" s="131" t="str">
        <f>PEDIDOS!D186</f>
        <v>JACTANS - DISNEY</v>
      </c>
      <c r="D186" s="131" t="str">
        <f>PEDIDOS!E186</f>
        <v>DP-50068-Perfume infantil fco mini goya x5ml 0297TS</v>
      </c>
      <c r="E186" s="132">
        <f>PEDIDOS!G186</f>
        <v>1000</v>
      </c>
      <c r="F186" s="46"/>
      <c r="G186" s="46"/>
      <c r="H186" s="45"/>
      <c r="I186" s="45"/>
      <c r="J186" s="45"/>
      <c r="K186" s="46"/>
      <c r="L186" s="46"/>
      <c r="M186" s="46"/>
    </row>
    <row r="187" ht="15.75" customHeight="1">
      <c r="A187" s="134">
        <f>PEDIDOS!B187</f>
        <v>46113</v>
      </c>
      <c r="B187" s="134">
        <f>PEDIDOS!C187</f>
        <v>14362</v>
      </c>
      <c r="C187" s="134" t="str">
        <f>PEDIDOS!D187</f>
        <v>JACTANS - DISNEY</v>
      </c>
      <c r="D187" s="134" t="str">
        <f>PEDIDOS!E187</f>
        <v>DP-50082-Perfume infantil fco mini goya x5ml 0280BD</v>
      </c>
      <c r="E187" s="135">
        <f>PEDIDOS!G187</f>
        <v>1000</v>
      </c>
      <c r="F187" s="136"/>
      <c r="G187" s="136"/>
      <c r="H187" s="137"/>
      <c r="I187" s="137"/>
      <c r="J187" s="137"/>
      <c r="K187" s="136"/>
      <c r="L187" s="136"/>
      <c r="M187" s="136"/>
    </row>
    <row r="188" ht="15.75" customHeight="1">
      <c r="A188" s="131">
        <f>PEDIDOS!B188</f>
        <v>46113</v>
      </c>
      <c r="B188" s="131">
        <f>PEDIDOS!C188</f>
        <v>14362</v>
      </c>
      <c r="C188" s="131" t="str">
        <f>PEDIDOS!D188</f>
        <v>JACTANS - DISNEY</v>
      </c>
      <c r="D188" s="131" t="str">
        <f>PEDIDOS!E188</f>
        <v>DP-50099-Perfume infantil fco mini goya x5ml 0296LS</v>
      </c>
      <c r="E188" s="132">
        <f>PEDIDOS!G188</f>
        <v>1000</v>
      </c>
      <c r="F188" s="46"/>
      <c r="G188" s="46"/>
      <c r="H188" s="45"/>
      <c r="I188" s="45"/>
      <c r="J188" s="45"/>
      <c r="K188" s="46"/>
      <c r="L188" s="46"/>
      <c r="M188" s="46"/>
    </row>
    <row r="189" ht="15.75" customHeight="1">
      <c r="A189" s="134">
        <f>PEDIDOS!B189</f>
        <v>46113</v>
      </c>
      <c r="B189" s="134">
        <f>PEDIDOS!C189</f>
        <v>14362</v>
      </c>
      <c r="C189" s="134" t="str">
        <f>PEDIDOS!D189</f>
        <v>JACTANS - DISNEY</v>
      </c>
      <c r="D189" s="134" t="str">
        <f>PEDIDOS!E189</f>
        <v>DP-50846-Perf inf fco Frutilla roja x50ml 0390FR</v>
      </c>
      <c r="E189" s="135">
        <f>PEDIDOS!G189</f>
        <v>2000</v>
      </c>
      <c r="F189" s="136"/>
      <c r="G189" s="136"/>
      <c r="H189" s="137"/>
      <c r="I189" s="137"/>
      <c r="J189" s="137"/>
      <c r="K189" s="136"/>
      <c r="L189" s="136"/>
      <c r="M189" s="136"/>
    </row>
    <row r="190" ht="15.75" customHeight="1">
      <c r="A190" s="131">
        <f>PEDIDOS!B190</f>
        <v>46113</v>
      </c>
      <c r="B190" s="131">
        <f>PEDIDOS!C190</f>
        <v>14362</v>
      </c>
      <c r="C190" s="131" t="str">
        <f>PEDIDOS!D190</f>
        <v>JACTANS - DISNEY</v>
      </c>
      <c r="D190" s="131" t="str">
        <f>PEDIDOS!E190</f>
        <v>DP-50853-Perfume infantil fco True star x50ml 0368CT</v>
      </c>
      <c r="E190" s="132">
        <f>PEDIDOS!G190</f>
        <v>1500</v>
      </c>
      <c r="F190" s="46"/>
      <c r="G190" s="46"/>
      <c r="H190" s="45"/>
      <c r="I190" s="45"/>
      <c r="J190" s="45"/>
      <c r="K190" s="46"/>
      <c r="L190" s="46"/>
      <c r="M190" s="46"/>
    </row>
    <row r="191" ht="15.75" customHeight="1">
      <c r="A191" s="134">
        <f>PEDIDOS!B191</f>
        <v>46113</v>
      </c>
      <c r="B191" s="134">
        <f>PEDIDOS!C191</f>
        <v>14362</v>
      </c>
      <c r="C191" s="134" t="str">
        <f>PEDIDOS!D191</f>
        <v>JACTANS - DISNEY</v>
      </c>
      <c r="D191" s="134" t="str">
        <f>PEDIDOS!E191</f>
        <v>DP-50624-Perf inf Fco manzanita roja x25ml 0364AL</v>
      </c>
      <c r="E191" s="135">
        <f>PEDIDOS!G191</f>
        <v>1500</v>
      </c>
      <c r="F191" s="136"/>
      <c r="G191" s="136"/>
      <c r="H191" s="137"/>
      <c r="I191" s="137"/>
      <c r="J191" s="137"/>
      <c r="K191" s="136"/>
      <c r="L191" s="136"/>
      <c r="M191" s="136"/>
    </row>
    <row r="192" ht="15.75" customHeight="1">
      <c r="A192" s="131">
        <f>PEDIDOS!B192</f>
        <v>46113</v>
      </c>
      <c r="B192" s="131">
        <f>PEDIDOS!C192</f>
        <v>14362</v>
      </c>
      <c r="C192" s="131" t="str">
        <f>PEDIDOS!D192</f>
        <v>JACTANS - DISNEY</v>
      </c>
      <c r="D192" s="131" t="str">
        <f>PEDIDOS!E192</f>
        <v>DP-50990-Perfume inf. fco Mariana x50ml 0369RD</v>
      </c>
      <c r="E192" s="132">
        <f>PEDIDOS!G192</f>
        <v>2000</v>
      </c>
      <c r="F192" s="46"/>
      <c r="G192" s="46"/>
      <c r="H192" s="45"/>
      <c r="I192" s="45"/>
      <c r="J192" s="45"/>
      <c r="K192" s="46"/>
      <c r="L192" s="46"/>
      <c r="M192" s="46"/>
    </row>
    <row r="193" ht="15.75" customHeight="1">
      <c r="A193" s="134">
        <f>PEDIDOS!B193</f>
        <v>46113</v>
      </c>
      <c r="B193" s="134">
        <f>PEDIDOS!C193</f>
        <v>14362</v>
      </c>
      <c r="C193" s="134" t="str">
        <f>PEDIDOS!D193</f>
        <v>JACTANS - DISNEY</v>
      </c>
      <c r="D193" s="134" t="str">
        <f>PEDIDOS!E193</f>
        <v>DP-1943-Perfume inf. Fco Candela x50ml 0301BG</v>
      </c>
      <c r="E193" s="135">
        <f>PEDIDOS!G193</f>
        <v>1500</v>
      </c>
      <c r="F193" s="136"/>
      <c r="G193" s="136"/>
      <c r="H193" s="137"/>
      <c r="I193" s="137"/>
      <c r="J193" s="137"/>
      <c r="K193" s="136"/>
      <c r="L193" s="136"/>
      <c r="M193" s="136"/>
    </row>
    <row r="194" ht="15.75" customHeight="1">
      <c r="A194" s="131">
        <f>PEDIDOS!B194</f>
        <v>46113</v>
      </c>
      <c r="B194" s="131">
        <f>PEDIDOS!C194</f>
        <v>14362</v>
      </c>
      <c r="C194" s="131" t="str">
        <f>PEDIDOS!D194</f>
        <v>JACTANS - DISNEY</v>
      </c>
      <c r="D194" s="131" t="str">
        <f>PEDIDOS!E194</f>
        <v>DP-50617-Perfume inf. fco silueta pvc x45ml 0368PB</v>
      </c>
      <c r="E194" s="132">
        <f>PEDIDOS!G194</f>
        <v>1500</v>
      </c>
      <c r="F194" s="46"/>
      <c r="G194" s="46"/>
      <c r="H194" s="45"/>
      <c r="I194" s="45"/>
      <c r="J194" s="45"/>
      <c r="K194" s="46"/>
      <c r="L194" s="46"/>
      <c r="M194" s="46"/>
    </row>
    <row r="195" ht="15.75" customHeight="1">
      <c r="A195" s="134">
        <f>PEDIDOS!B195</f>
        <v>46113</v>
      </c>
      <c r="B195" s="134">
        <f>PEDIDOS!C195</f>
        <v>14362</v>
      </c>
      <c r="C195" s="134" t="str">
        <f>PEDIDOS!D195</f>
        <v>JACTANS - DISNEY</v>
      </c>
      <c r="D195" s="134" t="str">
        <f>PEDIDOS!E195</f>
        <v>DP-50815-Perfume inf. fco silueta pvc x45ML 0367AG</v>
      </c>
      <c r="E195" s="135">
        <f>PEDIDOS!G195</f>
        <v>1500</v>
      </c>
      <c r="F195" s="136"/>
      <c r="G195" s="136"/>
      <c r="H195" s="137"/>
      <c r="I195" s="137"/>
      <c r="J195" s="137"/>
      <c r="K195" s="136"/>
      <c r="L195" s="136"/>
      <c r="M195" s="136"/>
    </row>
    <row r="196" ht="15.75" customHeight="1">
      <c r="A196" s="131">
        <f>PEDIDOS!B196</f>
        <v>46113</v>
      </c>
      <c r="B196" s="131">
        <f>PEDIDOS!C196</f>
        <v>14362</v>
      </c>
      <c r="C196" s="131" t="str">
        <f>PEDIDOS!D196</f>
        <v>JACTANS - DISNEY</v>
      </c>
      <c r="D196" s="131" t="str">
        <f>PEDIDOS!E196</f>
        <v>DP-50853-Perfume infantil fco True star x50ml 0368CT</v>
      </c>
      <c r="E196" s="132">
        <f>PEDIDOS!G196</f>
        <v>2000</v>
      </c>
      <c r="F196" s="46"/>
      <c r="G196" s="46"/>
      <c r="H196" s="45"/>
      <c r="I196" s="45"/>
      <c r="J196" s="45"/>
      <c r="K196" s="46"/>
      <c r="L196" s="46"/>
      <c r="M196" s="46"/>
    </row>
    <row r="197" ht="15.75" customHeight="1">
      <c r="A197" s="134">
        <f>PEDIDOS!B197</f>
        <v>46113</v>
      </c>
      <c r="B197" s="134">
        <f>PEDIDOS!C197</f>
        <v>14362</v>
      </c>
      <c r="C197" s="134" t="str">
        <f>PEDIDOS!D197</f>
        <v>JACTANS - DISNEY</v>
      </c>
      <c r="D197" s="134" t="str">
        <f>PEDIDOS!E197</f>
        <v>DP-50891-Perfume inf Fco penelope x50ml 0390FR</v>
      </c>
      <c r="E197" s="135">
        <f>PEDIDOS!G197</f>
        <v>2000</v>
      </c>
      <c r="F197" s="136"/>
      <c r="G197" s="136"/>
      <c r="H197" s="137"/>
      <c r="I197" s="137"/>
      <c r="J197" s="137"/>
      <c r="K197" s="136"/>
      <c r="L197" s="136"/>
      <c r="M197" s="136"/>
    </row>
    <row r="198" ht="15.75" customHeight="1">
      <c r="A198" s="131">
        <f>PEDIDOS!B198</f>
        <v>46113</v>
      </c>
      <c r="B198" s="131" t="str">
        <f>PEDIDOS!C198</f>
        <v/>
      </c>
      <c r="C198" s="131" t="str">
        <f>PEDIDOS!D198</f>
        <v>BLE LIPS</v>
      </c>
      <c r="D198" s="131" t="str">
        <f>PEDIDOS!E198</f>
        <v>LIP INJECTION</v>
      </c>
      <c r="E198" s="132">
        <f>PEDIDOS!G198</f>
        <v>600</v>
      </c>
      <c r="F198" s="46"/>
      <c r="G198" s="46"/>
      <c r="H198" s="45"/>
      <c r="I198" s="45"/>
      <c r="J198" s="45"/>
      <c r="K198" s="46"/>
      <c r="L198" s="46"/>
      <c r="M198" s="46"/>
    </row>
    <row r="199" ht="15.75" customHeight="1">
      <c r="A199" s="134">
        <f>PEDIDOS!B199</f>
        <v>46113</v>
      </c>
      <c r="B199" s="134" t="str">
        <f>PEDIDOS!C199</f>
        <v/>
      </c>
      <c r="C199" s="134" t="str">
        <f>PEDIDOS!D199</f>
        <v>BLE LIPS</v>
      </c>
      <c r="D199" s="134" t="str">
        <f>PEDIDOS!E199</f>
        <v>LIP INJECTION</v>
      </c>
      <c r="E199" s="135">
        <f>PEDIDOS!G199</f>
        <v>600</v>
      </c>
      <c r="F199" s="136"/>
      <c r="G199" s="136"/>
      <c r="H199" s="137"/>
      <c r="I199" s="137"/>
      <c r="J199" s="137"/>
      <c r="K199" s="136"/>
      <c r="L199" s="136"/>
      <c r="M199" s="136"/>
    </row>
    <row r="200" ht="15.75" customHeight="1">
      <c r="A200" s="131">
        <f>PEDIDOS!B200</f>
        <v>46119</v>
      </c>
      <c r="B200" s="131" t="str">
        <f>PEDIDOS!C200</f>
        <v/>
      </c>
      <c r="C200" s="131" t="str">
        <f>PEDIDOS!D200</f>
        <v>BIOESENCIA</v>
      </c>
      <c r="D200" s="131" t="str">
        <f>PEDIDOS!E200</f>
        <v>AGUA MICELAR PROBIOTICS</v>
      </c>
      <c r="E200" s="132">
        <f>PEDIDOS!G200</f>
        <v>1000</v>
      </c>
      <c r="F200" s="46"/>
      <c r="G200" s="46"/>
      <c r="H200" s="45"/>
      <c r="I200" s="45"/>
      <c r="J200" s="45"/>
      <c r="K200" s="46"/>
      <c r="L200" s="46"/>
      <c r="M200" s="46"/>
    </row>
    <row r="201" ht="15.75" customHeight="1">
      <c r="A201" s="134">
        <f>PEDIDOS!B201</f>
        <v>46119</v>
      </c>
      <c r="B201" s="134" t="str">
        <f>PEDIDOS!C201</f>
        <v/>
      </c>
      <c r="C201" s="134" t="str">
        <f>PEDIDOS!D201</f>
        <v>BIOESENCIA</v>
      </c>
      <c r="D201" s="134" t="str">
        <f>PEDIDOS!E201</f>
        <v>CREMA FACIAL PROBIOTICS</v>
      </c>
      <c r="E201" s="135">
        <f>PEDIDOS!G201</f>
        <v>1000</v>
      </c>
      <c r="F201" s="136"/>
      <c r="G201" s="136"/>
      <c r="H201" s="137"/>
      <c r="I201" s="137"/>
      <c r="J201" s="137"/>
      <c r="K201" s="136"/>
      <c r="L201" s="136"/>
      <c r="M201" s="136"/>
    </row>
    <row r="202" ht="15.75" customHeight="1">
      <c r="A202" s="131">
        <f>PEDIDOS!B202</f>
        <v>46119</v>
      </c>
      <c r="B202" s="131" t="str">
        <f>PEDIDOS!C202</f>
        <v/>
      </c>
      <c r="C202" s="131" t="str">
        <f>PEDIDOS!D202</f>
        <v>BIOESENCIA</v>
      </c>
      <c r="D202" s="131" t="str">
        <f>PEDIDOS!E202</f>
        <v>CREMA EXFOLIANTE PROBIOTICS</v>
      </c>
      <c r="E202" s="132">
        <f>PEDIDOS!G202</f>
        <v>1000</v>
      </c>
      <c r="F202" s="46"/>
      <c r="G202" s="46"/>
      <c r="H202" s="45"/>
      <c r="I202" s="45"/>
      <c r="J202" s="45"/>
      <c r="K202" s="46"/>
      <c r="L202" s="46"/>
      <c r="M202" s="46"/>
    </row>
    <row r="203" ht="15.75" customHeight="1">
      <c r="A203" s="134">
        <f>PEDIDOS!B203</f>
        <v>46128</v>
      </c>
      <c r="B203" s="134">
        <f>PEDIDOS!C203</f>
        <v>143</v>
      </c>
      <c r="C203" s="134" t="str">
        <f>PEDIDOS!D203</f>
        <v>PROFESSIONAL BEAUTY</v>
      </c>
      <c r="D203" s="134" t="str">
        <f>PEDIDOS!E203</f>
        <v>ADVANCE CONTROL CAIDA</v>
      </c>
      <c r="E203" s="135">
        <f>PEDIDOS!G203</f>
        <v>500</v>
      </c>
      <c r="F203" s="136"/>
      <c r="G203" s="136"/>
      <c r="H203" s="137"/>
      <c r="I203" s="137"/>
      <c r="J203" s="137"/>
      <c r="K203" s="136"/>
      <c r="L203" s="136"/>
      <c r="M203" s="136"/>
    </row>
    <row r="204" ht="15.75" customHeight="1">
      <c r="A204" s="131">
        <f>PEDIDOS!B204</f>
        <v>46128</v>
      </c>
      <c r="B204" s="131">
        <f>PEDIDOS!C204</f>
        <v>143</v>
      </c>
      <c r="C204" s="131" t="str">
        <f>PEDIDOS!D204</f>
        <v>PROFESSIONAL BEAUTY</v>
      </c>
      <c r="D204" s="131" t="str">
        <f>PEDIDOS!E204</f>
        <v>ADVANCE ARG</v>
      </c>
      <c r="E204" s="132">
        <f>PEDIDOS!G204</f>
        <v>500</v>
      </c>
      <c r="F204" s="46"/>
      <c r="G204" s="46"/>
      <c r="H204" s="45"/>
      <c r="I204" s="45"/>
      <c r="J204" s="45"/>
      <c r="K204" s="46"/>
      <c r="L204" s="46"/>
      <c r="M204" s="46"/>
    </row>
    <row r="205" ht="15.75" customHeight="1">
      <c r="A205" s="134">
        <f>PEDIDOS!B205</f>
        <v>46119</v>
      </c>
      <c r="B205" s="134">
        <f>PEDIDOS!C205</f>
        <v>142</v>
      </c>
      <c r="C205" s="134" t="str">
        <f>PEDIDOS!D205</f>
        <v>PROFESSIONAL BEAUTY</v>
      </c>
      <c r="D205" s="134" t="str">
        <f>PEDIDOS!E205</f>
        <v>ADVANCE PLACENTA 5%</v>
      </c>
      <c r="E205" s="135">
        <f>PEDIDOS!G205</f>
        <v>500</v>
      </c>
      <c r="F205" s="136"/>
      <c r="G205" s="136"/>
      <c r="H205" s="137"/>
      <c r="I205" s="137"/>
      <c r="J205" s="137"/>
      <c r="K205" s="136"/>
      <c r="L205" s="136"/>
      <c r="M205" s="136"/>
    </row>
    <row r="206" ht="15.75" customHeight="1">
      <c r="A206" s="131">
        <f>PEDIDOS!B206</f>
        <v>46119</v>
      </c>
      <c r="B206" s="131">
        <f>PEDIDOS!C206</f>
        <v>142</v>
      </c>
      <c r="C206" s="131" t="str">
        <f>PEDIDOS!D206</f>
        <v>PROFESSIONAL BEAUTY</v>
      </c>
      <c r="D206" s="131" t="str">
        <f>PEDIDOS!E206</f>
        <v>BB WHITE TONO 2</v>
      </c>
      <c r="E206" s="132">
        <f>PEDIDOS!G206</f>
        <v>500</v>
      </c>
      <c r="F206" s="46"/>
      <c r="G206" s="46"/>
      <c r="H206" s="45"/>
      <c r="I206" s="45"/>
      <c r="J206" s="45"/>
      <c r="K206" s="46"/>
      <c r="L206" s="46"/>
      <c r="M206" s="46"/>
    </row>
    <row r="207" ht="15.75" customHeight="1">
      <c r="A207" s="134">
        <f>PEDIDOS!B207</f>
        <v>46119</v>
      </c>
      <c r="B207" s="134">
        <f>PEDIDOS!C207</f>
        <v>142</v>
      </c>
      <c r="C207" s="134" t="str">
        <f>PEDIDOS!D207</f>
        <v>PROFESSIONAL BEAUTY</v>
      </c>
      <c r="D207" s="134" t="str">
        <f>PEDIDOS!E207</f>
        <v>ADVANCE ACIDO HIALURONICO 1%</v>
      </c>
      <c r="E207" s="135">
        <f>PEDIDOS!G207</f>
        <v>500</v>
      </c>
      <c r="F207" s="136"/>
      <c r="G207" s="136"/>
      <c r="H207" s="137"/>
      <c r="I207" s="137"/>
      <c r="J207" s="137"/>
      <c r="K207" s="136"/>
      <c r="L207" s="136"/>
      <c r="M207" s="136"/>
    </row>
    <row r="208" ht="15.75" customHeight="1">
      <c r="A208" s="131">
        <f>PEDIDOS!B208</f>
        <v>46119</v>
      </c>
      <c r="B208" s="131">
        <f>PEDIDOS!C208</f>
        <v>142</v>
      </c>
      <c r="C208" s="131" t="str">
        <f>PEDIDOS!D208</f>
        <v>PROFESSIONAL BEAUTY</v>
      </c>
      <c r="D208" s="131" t="str">
        <f>PEDIDOS!E208</f>
        <v>ADVANCE VIT C</v>
      </c>
      <c r="E208" s="132">
        <f>PEDIDOS!G208</f>
        <v>500</v>
      </c>
      <c r="F208" s="46"/>
      <c r="G208" s="46"/>
      <c r="H208" s="45"/>
      <c r="I208" s="45"/>
      <c r="J208" s="45"/>
      <c r="K208" s="46"/>
      <c r="L208" s="46"/>
      <c r="M208" s="46"/>
    </row>
    <row r="209" ht="15.75" customHeight="1">
      <c r="A209" s="134">
        <f>PEDIDOS!B209</f>
        <v>46119</v>
      </c>
      <c r="B209" s="134">
        <f>PEDIDOS!C209</f>
        <v>142</v>
      </c>
      <c r="C209" s="134" t="str">
        <f>PEDIDOS!D209</f>
        <v>PROFESSIONAL BEAUTY</v>
      </c>
      <c r="D209" s="134" t="str">
        <f>PEDIDOS!E209</f>
        <v>ADVANCE DMAE 7%</v>
      </c>
      <c r="E209" s="135">
        <f>PEDIDOS!G209</f>
        <v>500</v>
      </c>
      <c r="F209" s="136"/>
      <c r="G209" s="136"/>
      <c r="H209" s="137"/>
      <c r="I209" s="137"/>
      <c r="J209" s="137"/>
      <c r="K209" s="136"/>
      <c r="L209" s="136"/>
      <c r="M209" s="136"/>
    </row>
    <row r="210" ht="15.75" customHeight="1">
      <c r="A210" s="131">
        <f>PEDIDOS!B210</f>
        <v>46119</v>
      </c>
      <c r="B210" s="131">
        <f>PEDIDOS!C210</f>
        <v>142</v>
      </c>
      <c r="C210" s="131" t="str">
        <f>PEDIDOS!D210</f>
        <v>PROFESSIONAL BEAUTY</v>
      </c>
      <c r="D210" s="131" t="str">
        <f>PEDIDOS!E210</f>
        <v>ADVANCE ACIDO HIALURONICO 2%</v>
      </c>
      <c r="E210" s="132">
        <f>PEDIDOS!G210</f>
        <v>500</v>
      </c>
      <c r="F210" s="46"/>
      <c r="G210" s="46"/>
      <c r="H210" s="45"/>
      <c r="I210" s="45"/>
      <c r="J210" s="45"/>
      <c r="K210" s="46"/>
      <c r="L210" s="46"/>
      <c r="M210" s="46"/>
    </row>
    <row r="211" ht="15.75" customHeight="1">
      <c r="A211" s="134">
        <f>PEDIDOS!B211</f>
        <v>46118</v>
      </c>
      <c r="B211" s="134">
        <f>PEDIDOS!C211</f>
        <v>15231</v>
      </c>
      <c r="C211" s="134" t="str">
        <f>PEDIDOS!D211</f>
        <v>THELMA Y LOUISE</v>
      </c>
      <c r="D211" s="134" t="str">
        <f>PEDIDOS!E211</f>
        <v>BRUMA FACIAL DE ROSAS</v>
      </c>
      <c r="E211" s="135">
        <f>PEDIDOS!G211</f>
        <v>4909</v>
      </c>
      <c r="F211" s="136"/>
      <c r="G211" s="136"/>
      <c r="H211" s="137"/>
      <c r="I211" s="137"/>
      <c r="J211" s="137"/>
      <c r="K211" s="136"/>
      <c r="L211" s="136"/>
      <c r="M211" s="136"/>
    </row>
    <row r="212" ht="15.75" customHeight="1">
      <c r="A212" s="131">
        <f>PEDIDOS!B212</f>
        <v>46118</v>
      </c>
      <c r="B212" s="131">
        <f>PEDIDOS!C212</f>
        <v>15228</v>
      </c>
      <c r="C212" s="131" t="str">
        <f>PEDIDOS!D212</f>
        <v>THELMA Y LOUISE</v>
      </c>
      <c r="D212" s="131" t="str">
        <f>PEDIDOS!E212</f>
        <v>AGUA MICELAR BIFASICA</v>
      </c>
      <c r="E212" s="132">
        <f>PEDIDOS!G212</f>
        <v>5000</v>
      </c>
      <c r="F212" s="46"/>
      <c r="G212" s="46"/>
      <c r="H212" s="45"/>
      <c r="I212" s="45"/>
      <c r="J212" s="45"/>
      <c r="K212" s="46"/>
      <c r="L212" s="46"/>
      <c r="M212" s="46"/>
    </row>
    <row r="213" ht="15.75" customHeight="1">
      <c r="A213" s="134">
        <f>PEDIDOS!B213</f>
        <v>46118</v>
      </c>
      <c r="B213" s="134">
        <f>PEDIDOS!C213</f>
        <v>15233</v>
      </c>
      <c r="C213" s="134" t="str">
        <f>PEDIDOS!D213</f>
        <v>THELMA Y LOUISE</v>
      </c>
      <c r="D213" s="134" t="str">
        <f>PEDIDOS!E213</f>
        <v>BALSAMO LABIAL EXFOLIANTE COCO</v>
      </c>
      <c r="E213" s="135">
        <f>PEDIDOS!G213</f>
        <v>200</v>
      </c>
      <c r="F213" s="136"/>
      <c r="G213" s="136"/>
      <c r="H213" s="137"/>
      <c r="I213" s="137"/>
      <c r="J213" s="137"/>
      <c r="K213" s="136"/>
      <c r="L213" s="136"/>
      <c r="M213" s="136"/>
    </row>
    <row r="214" ht="15.75" customHeight="1">
      <c r="A214" s="131">
        <f>PEDIDOS!B214</f>
        <v>46118</v>
      </c>
      <c r="B214" s="131">
        <f>PEDIDOS!C214</f>
        <v>15233</v>
      </c>
      <c r="C214" s="131" t="str">
        <f>PEDIDOS!D214</f>
        <v>THELMA Y LOUISE</v>
      </c>
      <c r="D214" s="131" t="str">
        <f>PEDIDOS!E214</f>
        <v>BALSAMO LABIAL EXFOLIANTE CORAL SANDIA (CHERRY)</v>
      </c>
      <c r="E214" s="132">
        <f>PEDIDOS!G214</f>
        <v>300</v>
      </c>
      <c r="F214" s="46"/>
      <c r="G214" s="46"/>
      <c r="H214" s="45"/>
      <c r="I214" s="45"/>
      <c r="J214" s="45"/>
      <c r="K214" s="46"/>
      <c r="L214" s="46"/>
      <c r="M214" s="46"/>
    </row>
    <row r="215" ht="15.75" customHeight="1">
      <c r="A215" s="134">
        <f>PEDIDOS!B215</f>
        <v>46118</v>
      </c>
      <c r="B215" s="134">
        <f>PEDIDOS!C215</f>
        <v>15233</v>
      </c>
      <c r="C215" s="134" t="str">
        <f>PEDIDOS!D215</f>
        <v>THELMA Y LOUISE</v>
      </c>
      <c r="D215" s="134" t="str">
        <f>PEDIDOS!E215</f>
        <v>BALSAMO LABIAL ROSA CHICLE</v>
      </c>
      <c r="E215" s="135">
        <f>PEDIDOS!G215</f>
        <v>900</v>
      </c>
      <c r="F215" s="136"/>
      <c r="G215" s="136"/>
      <c r="H215" s="137"/>
      <c r="I215" s="137"/>
      <c r="J215" s="137"/>
      <c r="K215" s="136"/>
      <c r="L215" s="136"/>
      <c r="M215" s="136"/>
    </row>
    <row r="216" ht="15.75" customHeight="1">
      <c r="A216" s="131">
        <f>PEDIDOS!B216</f>
        <v>46121</v>
      </c>
      <c r="B216" s="131" t="str">
        <f>PEDIDOS!C216</f>
        <v/>
      </c>
      <c r="C216" s="131" t="str">
        <f>PEDIDOS!D216</f>
        <v>BL COSMETICS</v>
      </c>
      <c r="D216" s="131" t="str">
        <f>PEDIDOS!E216</f>
        <v>SERUM JOJOBA</v>
      </c>
      <c r="E216" s="132">
        <f>PEDIDOS!G216</f>
        <v>5000</v>
      </c>
      <c r="F216" s="46"/>
      <c r="G216" s="46"/>
      <c r="H216" s="45"/>
      <c r="I216" s="45"/>
      <c r="J216" s="45"/>
      <c r="K216" s="46"/>
      <c r="L216" s="46"/>
      <c r="M216" s="46"/>
    </row>
    <row r="217" ht="15.75" customHeight="1">
      <c r="A217" s="134">
        <f>PEDIDOS!B217</f>
        <v>46121</v>
      </c>
      <c r="B217" s="134" t="str">
        <f>PEDIDOS!C217</f>
        <v/>
      </c>
      <c r="C217" s="134" t="str">
        <f>PEDIDOS!D217</f>
        <v>BL COSMETICS</v>
      </c>
      <c r="D217" s="134" t="str">
        <f>PEDIDOS!E217</f>
        <v>SPRAY REPAIR PLEX</v>
      </c>
      <c r="E217" s="135">
        <f>PEDIDOS!G217</f>
        <v>5000</v>
      </c>
      <c r="F217" s="136"/>
      <c r="G217" s="136"/>
      <c r="H217" s="137"/>
      <c r="I217" s="137"/>
      <c r="J217" s="137"/>
      <c r="K217" s="136"/>
      <c r="L217" s="136"/>
      <c r="M217" s="136"/>
    </row>
    <row r="218" ht="15.75" customHeight="1">
      <c r="A218" s="131">
        <f>PEDIDOS!B218</f>
        <v>46121</v>
      </c>
      <c r="B218" s="131" t="str">
        <f>PEDIDOS!C218</f>
        <v/>
      </c>
      <c r="C218" s="131" t="str">
        <f>PEDIDOS!D218</f>
        <v>BL COSMETICS</v>
      </c>
      <c r="D218" s="131" t="str">
        <f>PEDIDOS!E218</f>
        <v>SHAMPOO CONTROL LISS</v>
      </c>
      <c r="E218" s="132">
        <f>PEDIDOS!G218</f>
        <v>300</v>
      </c>
      <c r="F218" s="46"/>
      <c r="G218" s="46"/>
      <c r="H218" s="45"/>
      <c r="I218" s="45"/>
      <c r="J218" s="45"/>
      <c r="K218" s="46"/>
      <c r="L218" s="46"/>
      <c r="M218" s="46"/>
    </row>
    <row r="219" ht="15.75" customHeight="1">
      <c r="A219" s="134">
        <f>PEDIDOS!B219</f>
        <v>46121</v>
      </c>
      <c r="B219" s="134" t="str">
        <f>PEDIDOS!C219</f>
        <v/>
      </c>
      <c r="C219" s="134" t="str">
        <f>PEDIDOS!D219</f>
        <v>BL COSMETICS</v>
      </c>
      <c r="D219" s="134" t="str">
        <f>PEDIDOS!E219</f>
        <v>ACONDICIONADOR CONTROL LISS</v>
      </c>
      <c r="E219" s="135">
        <f>PEDIDOS!G219</f>
        <v>300</v>
      </c>
      <c r="F219" s="136"/>
      <c r="G219" s="136"/>
      <c r="H219" s="137"/>
      <c r="I219" s="137"/>
      <c r="J219" s="137"/>
      <c r="K219" s="136"/>
      <c r="L219" s="136"/>
      <c r="M219" s="136"/>
    </row>
    <row r="220" ht="15.75" customHeight="1">
      <c r="A220" s="131">
        <f>PEDIDOS!B220</f>
        <v>46121</v>
      </c>
      <c r="B220" s="131" t="str">
        <f>PEDIDOS!C220</f>
        <v/>
      </c>
      <c r="C220" s="131" t="str">
        <f>PEDIDOS!D220</f>
        <v>BL COSMETICS</v>
      </c>
      <c r="D220" s="131" t="str">
        <f>PEDIDOS!E220</f>
        <v>ALISADO KERATIN LISS X1KG</v>
      </c>
      <c r="E220" s="132">
        <f>PEDIDOS!G220</f>
        <v>500</v>
      </c>
      <c r="F220" s="46"/>
      <c r="G220" s="46"/>
      <c r="H220" s="45"/>
      <c r="I220" s="45"/>
      <c r="J220" s="45"/>
      <c r="K220" s="46"/>
      <c r="L220" s="46"/>
      <c r="M220" s="46"/>
    </row>
    <row r="221" ht="15.75" customHeight="1">
      <c r="A221" s="134">
        <f>PEDIDOS!B221</f>
        <v>46121</v>
      </c>
      <c r="B221" s="134" t="str">
        <f>PEDIDOS!C221</f>
        <v/>
      </c>
      <c r="C221" s="134" t="str">
        <f>PEDIDOS!D221</f>
        <v>BL COSMETICS</v>
      </c>
      <c r="D221" s="134" t="str">
        <f>PEDIDOS!E221</f>
        <v>ALISADO KERATIN LISS</v>
      </c>
      <c r="E221" s="135">
        <f>PEDIDOS!G221</f>
        <v>2000</v>
      </c>
      <c r="F221" s="136"/>
      <c r="G221" s="136"/>
      <c r="H221" s="137" t="s">
        <v>1099</v>
      </c>
      <c r="I221" s="137"/>
      <c r="J221" s="137"/>
      <c r="K221" s="136"/>
      <c r="L221" s="136"/>
      <c r="M221" s="136"/>
    </row>
    <row r="222" ht="15.75" customHeight="1">
      <c r="A222" s="131">
        <f>PEDIDOS!B222</f>
        <v>46121</v>
      </c>
      <c r="B222" s="131" t="str">
        <f>PEDIDOS!C222</f>
        <v/>
      </c>
      <c r="C222" s="131" t="str">
        <f>PEDIDOS!D222</f>
        <v>BL COSMETICS</v>
      </c>
      <c r="D222" s="131" t="str">
        <f>PEDIDOS!E222</f>
        <v>ALISADO EXPERT X1KG</v>
      </c>
      <c r="E222" s="132">
        <f>PEDIDOS!G222</f>
        <v>600</v>
      </c>
      <c r="F222" s="46"/>
      <c r="G222" s="46"/>
      <c r="H222" s="45" t="s">
        <v>1099</v>
      </c>
      <c r="I222" s="45"/>
      <c r="J222" s="45"/>
      <c r="K222" s="46"/>
      <c r="L222" s="46"/>
      <c r="M222" s="46"/>
    </row>
    <row r="223" ht="15.75" customHeight="1">
      <c r="A223" s="134">
        <f>PEDIDOS!B223</f>
        <v>46122</v>
      </c>
      <c r="B223" s="134" t="str">
        <f>PEDIDOS!C223</f>
        <v/>
      </c>
      <c r="C223" s="134" t="str">
        <f>PEDIDOS!D223</f>
        <v>DERMION / FRANCO</v>
      </c>
      <c r="D223" s="134" t="str">
        <f>PEDIDOS!E223</f>
        <v>SERUM AH + NIACI</v>
      </c>
      <c r="E223" s="135">
        <f>PEDIDOS!G223</f>
        <v>700</v>
      </c>
      <c r="F223" s="136"/>
      <c r="G223" s="136"/>
      <c r="H223" s="137" t="s">
        <v>1099</v>
      </c>
      <c r="I223" s="137"/>
      <c r="J223" s="137"/>
      <c r="K223" s="136"/>
      <c r="L223" s="136"/>
      <c r="M223" s="136"/>
    </row>
    <row r="224" ht="15.75" customHeight="1">
      <c r="A224" s="131">
        <f>PEDIDOS!B224</f>
        <v>46126</v>
      </c>
      <c r="B224" s="131" t="str">
        <f>PEDIDOS!C224</f>
        <v/>
      </c>
      <c r="C224" s="131" t="str">
        <f>PEDIDOS!D224</f>
        <v>AGUEDA REY - YOUTHFUL</v>
      </c>
      <c r="D224" s="131" t="str">
        <f>PEDIDOS!E224</f>
        <v>Crema facial Dia (Version D250215/2)</v>
      </c>
      <c r="E224" s="132">
        <f>PEDIDOS!G224</f>
        <v>1000</v>
      </c>
      <c r="F224" s="46"/>
      <c r="G224" s="46"/>
      <c r="H224" s="45" t="s">
        <v>1099</v>
      </c>
      <c r="I224" s="45"/>
      <c r="J224" s="45"/>
      <c r="K224" s="46"/>
      <c r="L224" s="46"/>
      <c r="M224" s="46"/>
    </row>
    <row r="225" ht="15.75" customHeight="1">
      <c r="A225" s="134">
        <f>PEDIDOS!B225</f>
        <v>46126</v>
      </c>
      <c r="B225" s="134" t="str">
        <f>PEDIDOS!C225</f>
        <v/>
      </c>
      <c r="C225" s="134" t="str">
        <f>PEDIDOS!D225</f>
        <v>AGUEDA REY - YOUTHFUL</v>
      </c>
      <c r="D225" s="134" t="str">
        <f>PEDIDOS!E225</f>
        <v>Bruma facial Version D250211/2 (B)</v>
      </c>
      <c r="E225" s="135">
        <f>PEDIDOS!G225</f>
        <v>1000</v>
      </c>
      <c r="F225" s="136"/>
      <c r="G225" s="136"/>
      <c r="H225" s="137" t="s">
        <v>1099</v>
      </c>
      <c r="I225" s="137"/>
      <c r="J225" s="137"/>
      <c r="K225" s="136"/>
      <c r="L225" s="136"/>
      <c r="M225" s="136"/>
    </row>
    <row r="226" ht="15.75" customHeight="1">
      <c r="A226" s="131">
        <f>PEDIDOS!B226</f>
        <v>46127</v>
      </c>
      <c r="B226" s="131" t="str">
        <f>PEDIDOS!C226</f>
        <v/>
      </c>
      <c r="C226" s="131" t="str">
        <f>PEDIDOS!D226</f>
        <v>LUCENT</v>
      </c>
      <c r="D226" s="131" t="str">
        <f>PEDIDOS!E226</f>
        <v>Serum hial 1%</v>
      </c>
      <c r="E226" s="132">
        <f>PEDIDOS!G226</f>
        <v>1000</v>
      </c>
      <c r="F226" s="46"/>
      <c r="G226" s="46"/>
      <c r="H226" s="45" t="s">
        <v>1099</v>
      </c>
      <c r="I226" s="45"/>
      <c r="J226" s="45"/>
      <c r="K226" s="46"/>
      <c r="L226" s="46"/>
      <c r="M226" s="46"/>
    </row>
    <row r="227" ht="15.75" customHeight="1">
      <c r="A227" s="134">
        <f>PEDIDOS!B227</f>
        <v>46127</v>
      </c>
      <c r="B227" s="134" t="str">
        <f>PEDIDOS!C227</f>
        <v/>
      </c>
      <c r="C227" s="134" t="str">
        <f>PEDIDOS!D227</f>
        <v>LUCENT</v>
      </c>
      <c r="D227" s="134" t="str">
        <f>PEDIDOS!E227</f>
        <v>Serum hial 2%</v>
      </c>
      <c r="E227" s="135">
        <f>PEDIDOS!G227</f>
        <v>1000</v>
      </c>
      <c r="F227" s="136"/>
      <c r="G227" s="136"/>
      <c r="H227" s="137" t="s">
        <v>1099</v>
      </c>
      <c r="I227" s="137"/>
      <c r="J227" s="137"/>
      <c r="K227" s="136"/>
      <c r="L227" s="136"/>
      <c r="M227" s="136"/>
    </row>
    <row r="228" ht="15.75" customHeight="1">
      <c r="A228" s="131">
        <f>PEDIDOS!B228</f>
        <v>46127</v>
      </c>
      <c r="B228" s="131" t="str">
        <f>PEDIDOS!C228</f>
        <v/>
      </c>
      <c r="C228" s="131" t="str">
        <f>PEDIDOS!D228</f>
        <v>LUCENT</v>
      </c>
      <c r="D228" s="131" t="str">
        <f>PEDIDOS!E228</f>
        <v>Serum colageno y elastina</v>
      </c>
      <c r="E228" s="132">
        <f>PEDIDOS!G228</f>
        <v>500</v>
      </c>
      <c r="F228" s="46"/>
      <c r="G228" s="46"/>
      <c r="H228" s="45" t="s">
        <v>1099</v>
      </c>
      <c r="I228" s="45"/>
      <c r="J228" s="45"/>
      <c r="K228" s="46"/>
      <c r="L228" s="46"/>
      <c r="M228" s="46"/>
    </row>
    <row r="229" ht="15.75" customHeight="1">
      <c r="A229" s="134">
        <f>PEDIDOS!B229</f>
        <v>46127</v>
      </c>
      <c r="B229" s="134" t="str">
        <f>PEDIDOS!C229</f>
        <v/>
      </c>
      <c r="C229" s="134" t="str">
        <f>PEDIDOS!D229</f>
        <v>LUCENT</v>
      </c>
      <c r="D229" s="134" t="str">
        <f>PEDIDOS!E229</f>
        <v>Serum argireline</v>
      </c>
      <c r="E229" s="135">
        <f>PEDIDOS!G229</f>
        <v>500</v>
      </c>
      <c r="F229" s="136"/>
      <c r="G229" s="136"/>
      <c r="H229" s="137" t="s">
        <v>1099</v>
      </c>
      <c r="I229" s="137"/>
      <c r="J229" s="137"/>
      <c r="K229" s="136"/>
      <c r="L229" s="136"/>
      <c r="M229" s="136"/>
    </row>
    <row r="230" ht="15.75" customHeight="1">
      <c r="A230" s="131">
        <f>PEDIDOS!B230</f>
        <v>46127</v>
      </c>
      <c r="B230" s="131" t="str">
        <f>PEDIDOS!C230</f>
        <v/>
      </c>
      <c r="C230" s="131" t="str">
        <f>PEDIDOS!D230</f>
        <v>LUCENT</v>
      </c>
      <c r="D230" s="131" t="str">
        <f>PEDIDOS!E230</f>
        <v>Serum dmae</v>
      </c>
      <c r="E230" s="132">
        <f>PEDIDOS!G230</f>
        <v>500</v>
      </c>
      <c r="F230" s="46"/>
      <c r="G230" s="46"/>
      <c r="H230" s="45" t="s">
        <v>1099</v>
      </c>
      <c r="I230" s="45"/>
      <c r="J230" s="45"/>
      <c r="K230" s="46"/>
      <c r="L230" s="46"/>
      <c r="M230" s="46"/>
    </row>
    <row r="231" ht="15.75" customHeight="1">
      <c r="A231" s="134">
        <f>PEDIDOS!B231</f>
        <v>46127</v>
      </c>
      <c r="B231" s="134" t="str">
        <f>PEDIDOS!C231</f>
        <v/>
      </c>
      <c r="C231" s="134" t="str">
        <f>PEDIDOS!D231</f>
        <v>LUCENT</v>
      </c>
      <c r="D231" s="134" t="str">
        <f>PEDIDOS!E231</f>
        <v>Serum shock vit</v>
      </c>
      <c r="E231" s="135">
        <f>PEDIDOS!G231</f>
        <v>500</v>
      </c>
      <c r="F231" s="136"/>
      <c r="G231" s="136"/>
      <c r="H231" s="137"/>
      <c r="I231" s="137"/>
      <c r="J231" s="137"/>
      <c r="K231" s="136"/>
      <c r="L231" s="136"/>
      <c r="M231" s="136"/>
    </row>
    <row r="232" ht="15.75" customHeight="1">
      <c r="A232" s="131">
        <f>PEDIDOS!B232</f>
        <v>46127</v>
      </c>
      <c r="B232" s="131" t="str">
        <f>PEDIDOS!C232</f>
        <v/>
      </c>
      <c r="C232" s="131" t="str">
        <f>PEDIDOS!D232</f>
        <v>LUCENT</v>
      </c>
      <c r="D232" s="131" t="str">
        <f>PEDIDOS!E232</f>
        <v>Serum fosfatidilcolina</v>
      </c>
      <c r="E232" s="132">
        <f>PEDIDOS!G232</f>
        <v>500</v>
      </c>
      <c r="F232" s="46"/>
      <c r="G232" s="46"/>
      <c r="H232" s="45"/>
      <c r="I232" s="45"/>
      <c r="J232" s="45"/>
      <c r="K232" s="46"/>
      <c r="L232" s="46"/>
      <c r="M232" s="46"/>
    </row>
    <row r="233" ht="15.75" customHeight="1">
      <c r="A233" s="134">
        <f>PEDIDOS!B233</f>
        <v>46127</v>
      </c>
      <c r="B233" s="134" t="str">
        <f>PEDIDOS!C233</f>
        <v/>
      </c>
      <c r="C233" s="134" t="str">
        <f>PEDIDOS!D233</f>
        <v>LUCENT</v>
      </c>
      <c r="D233" s="134" t="str">
        <f>PEDIDOS!E233</f>
        <v>Serum P+ (peptide)</v>
      </c>
      <c r="E233" s="135">
        <f>PEDIDOS!G233</f>
        <v>500</v>
      </c>
      <c r="F233" s="136"/>
      <c r="G233" s="136"/>
      <c r="H233" s="137"/>
      <c r="I233" s="137"/>
      <c r="J233" s="137"/>
      <c r="K233" s="136"/>
      <c r="L233" s="136"/>
      <c r="M233" s="136"/>
    </row>
    <row r="234" ht="15.75" customHeight="1">
      <c r="A234" s="131">
        <f>PEDIDOS!B234</f>
        <v>46127</v>
      </c>
      <c r="B234" s="131" t="str">
        <f>PEDIDOS!C234</f>
        <v/>
      </c>
      <c r="C234" s="131" t="str">
        <f>PEDIDOS!D234</f>
        <v>LUCENT</v>
      </c>
      <c r="D234" s="131" t="str">
        <f>PEDIDOS!E234</f>
        <v>Serum adn</v>
      </c>
      <c r="E234" s="132">
        <f>PEDIDOS!G234</f>
        <v>500</v>
      </c>
      <c r="F234" s="46"/>
      <c r="G234" s="46"/>
      <c r="H234" s="45"/>
      <c r="I234" s="45"/>
      <c r="J234" s="45"/>
      <c r="K234" s="46"/>
      <c r="L234" s="46"/>
      <c r="M234" s="46"/>
    </row>
    <row r="235" ht="15.75" customHeight="1">
      <c r="A235" s="134">
        <f>PEDIDOS!B235</f>
        <v>46127</v>
      </c>
      <c r="B235" s="134" t="str">
        <f>PEDIDOS!C235</f>
        <v/>
      </c>
      <c r="C235" s="134" t="str">
        <f>PEDIDOS!D235</f>
        <v>LUCENT</v>
      </c>
      <c r="D235" s="134" t="str">
        <f>PEDIDOS!E235</f>
        <v>melena de leon</v>
      </c>
      <c r="E235" s="135">
        <f>PEDIDOS!G235</f>
        <v>1000</v>
      </c>
      <c r="F235" s="136"/>
      <c r="G235" s="136"/>
      <c r="H235" s="137"/>
      <c r="I235" s="137"/>
      <c r="J235" s="137"/>
      <c r="K235" s="136"/>
      <c r="L235" s="136"/>
      <c r="M235" s="136"/>
    </row>
    <row r="236" ht="15.75" customHeight="1">
      <c r="A236" s="131">
        <f>PEDIDOS!B236</f>
        <v>46127</v>
      </c>
      <c r="B236" s="131" t="str">
        <f>PEDIDOS!C236</f>
        <v/>
      </c>
      <c r="C236" s="131" t="str">
        <f>PEDIDOS!D236</f>
        <v>LUCENT</v>
      </c>
      <c r="D236" s="131" t="str">
        <f>PEDIDOS!E236</f>
        <v>reishi</v>
      </c>
      <c r="E236" s="132">
        <f>PEDIDOS!G236</f>
        <v>1000</v>
      </c>
      <c r="F236" s="46"/>
      <c r="G236" s="46"/>
      <c r="H236" s="45"/>
      <c r="I236" s="45"/>
      <c r="J236" s="45"/>
      <c r="K236" s="46"/>
      <c r="L236" s="46"/>
      <c r="M236" s="46"/>
    </row>
    <row r="237" ht="15.75" customHeight="1">
      <c r="A237" s="134">
        <f>PEDIDOS!B237</f>
        <v>46127</v>
      </c>
      <c r="B237" s="134" t="str">
        <f>PEDIDOS!C237</f>
        <v/>
      </c>
      <c r="C237" s="134" t="str">
        <f>PEDIDOS!D237</f>
        <v>LUCENT</v>
      </c>
      <c r="D237" s="134" t="str">
        <f>PEDIDOS!E237</f>
        <v>Ashwaganda</v>
      </c>
      <c r="E237" s="135">
        <f>PEDIDOS!G237</f>
        <v>1000</v>
      </c>
      <c r="F237" s="136"/>
      <c r="G237" s="136"/>
      <c r="H237" s="137"/>
      <c r="I237" s="137"/>
      <c r="J237" s="137"/>
      <c r="K237" s="136"/>
      <c r="L237" s="136"/>
      <c r="M237" s="136"/>
    </row>
    <row r="238" ht="15.75" customHeight="1">
      <c r="A238" s="131">
        <f>PEDIDOS!B238</f>
        <v>46127</v>
      </c>
      <c r="B238" s="131">
        <f>PEDIDOS!C238</f>
        <v>15254</v>
      </c>
      <c r="C238" s="131" t="str">
        <f>PEDIDOS!D238</f>
        <v>THELMA Y LOUISE</v>
      </c>
      <c r="D238" s="131" t="str">
        <f>PEDIDOS!E238</f>
        <v>SERUM FACIAL PORCELANA</v>
      </c>
      <c r="E238" s="132">
        <f>PEDIDOS!G238</f>
        <v>3024</v>
      </c>
      <c r="F238" s="46"/>
      <c r="G238" s="46"/>
      <c r="H238" s="45"/>
      <c r="I238" s="45"/>
      <c r="J238" s="45"/>
      <c r="K238" s="46"/>
      <c r="L238" s="46"/>
      <c r="M238" s="46"/>
    </row>
    <row r="239" ht="15.75" customHeight="1">
      <c r="A239" s="134">
        <f>PEDIDOS!B239</f>
        <v>46127</v>
      </c>
      <c r="B239" s="134">
        <f>PEDIDOS!C239</f>
        <v>15254</v>
      </c>
      <c r="C239" s="134" t="str">
        <f>PEDIDOS!D239</f>
        <v>THELMA Y LOUISE</v>
      </c>
      <c r="D239" s="134" t="str">
        <f>PEDIDOS!E239</f>
        <v>SERUM FACIAL HIDRATANTE</v>
      </c>
      <c r="E239" s="135">
        <f>PEDIDOS!G239</f>
        <v>3024</v>
      </c>
      <c r="F239" s="136"/>
      <c r="G239" s="136"/>
      <c r="H239" s="137"/>
      <c r="I239" s="137"/>
      <c r="J239" s="137"/>
      <c r="K239" s="136"/>
      <c r="L239" s="136"/>
      <c r="M239" s="136"/>
    </row>
    <row r="240" ht="15.75" customHeight="1">
      <c r="A240" s="131">
        <f>PEDIDOS!B240</f>
        <v>46127</v>
      </c>
      <c r="B240" s="131">
        <f>PEDIDOS!C240</f>
        <v>15255</v>
      </c>
      <c r="C240" s="131" t="str">
        <f>PEDIDOS!D240</f>
        <v>THELMA Y LOUISE</v>
      </c>
      <c r="D240" s="131" t="str">
        <f>PEDIDOS!E240</f>
        <v>AGUA TERMAL</v>
      </c>
      <c r="E240" s="132">
        <f>PEDIDOS!G240</f>
        <v>5040</v>
      </c>
      <c r="F240" s="46"/>
      <c r="G240" s="46"/>
      <c r="H240" s="45"/>
      <c r="I240" s="45"/>
      <c r="J240" s="45"/>
      <c r="K240" s="46"/>
      <c r="L240" s="46"/>
      <c r="M240" s="46"/>
    </row>
    <row r="241" ht="15.75" customHeight="1">
      <c r="A241" s="134">
        <f>PEDIDOS!B241</f>
        <v>46127</v>
      </c>
      <c r="B241" s="134">
        <f>PEDIDOS!C241</f>
        <v>15255</v>
      </c>
      <c r="C241" s="134" t="str">
        <f>PEDIDOS!D241</f>
        <v>THELMA Y LOUISE</v>
      </c>
      <c r="D241" s="134" t="str">
        <f>PEDIDOS!E241</f>
        <v>DESENRREDANTE BIFASICO</v>
      </c>
      <c r="E241" s="135">
        <f>PEDIDOS!G241</f>
        <v>3360</v>
      </c>
      <c r="F241" s="136"/>
      <c r="G241" s="136"/>
      <c r="H241" s="137"/>
      <c r="I241" s="137"/>
      <c r="J241" s="137"/>
      <c r="K241" s="136"/>
      <c r="L241" s="136"/>
      <c r="M241" s="136"/>
    </row>
    <row r="242" ht="15.75" customHeight="1">
      <c r="A242" s="131">
        <f>PEDIDOS!B242</f>
        <v>46127</v>
      </c>
      <c r="B242" s="131" t="str">
        <f>PEDIDOS!C242</f>
        <v/>
      </c>
      <c r="C242" s="131" t="str">
        <f>PEDIDOS!D242</f>
        <v>ECODERM - DUGA</v>
      </c>
      <c r="D242" s="131" t="str">
        <f>PEDIDOS!E242</f>
        <v>SHAMPOO INFANTIL</v>
      </c>
      <c r="E242" s="132">
        <f>PEDIDOS!G242</f>
        <v>300</v>
      </c>
      <c r="F242" s="46"/>
      <c r="G242" s="46"/>
      <c r="H242" s="45"/>
      <c r="I242" s="45"/>
      <c r="J242" s="45"/>
      <c r="K242" s="46"/>
      <c r="L242" s="46"/>
      <c r="M242" s="46"/>
    </row>
    <row r="243" ht="15.75" customHeight="1">
      <c r="A243" s="134">
        <f>PEDIDOS!B243</f>
        <v>46127</v>
      </c>
      <c r="B243" s="134" t="str">
        <f>PEDIDOS!C243</f>
        <v/>
      </c>
      <c r="C243" s="134" t="str">
        <f>PEDIDOS!D243</f>
        <v>ECODERM - DUGA</v>
      </c>
      <c r="D243" s="134" t="str">
        <f>PEDIDOS!E243</f>
        <v>CREMA INFANTIL</v>
      </c>
      <c r="E243" s="135">
        <f>PEDIDOS!G243</f>
        <v>300</v>
      </c>
      <c r="F243" s="136"/>
      <c r="G243" s="136"/>
      <c r="H243" s="137"/>
      <c r="I243" s="137"/>
      <c r="J243" s="137"/>
      <c r="K243" s="136"/>
      <c r="L243" s="136"/>
      <c r="M243" s="136"/>
    </row>
    <row r="244" ht="15.75" customHeight="1">
      <c r="A244" s="131">
        <f>PEDIDOS!B244</f>
        <v>46129</v>
      </c>
      <c r="B244" s="131" t="str">
        <f>PEDIDOS!C244</f>
        <v/>
      </c>
      <c r="C244" s="131" t="str">
        <f>PEDIDOS!D244</f>
        <v>LUCENT</v>
      </c>
      <c r="D244" s="131" t="str">
        <f>PEDIDOS!E244</f>
        <v>CREMA HANDS AND FEET </v>
      </c>
      <c r="E244" s="132">
        <f>PEDIDOS!G244</f>
        <v>500</v>
      </c>
      <c r="F244" s="46"/>
      <c r="G244" s="46"/>
      <c r="H244" s="45"/>
      <c r="I244" s="45"/>
      <c r="J244" s="45"/>
      <c r="K244" s="46"/>
      <c r="L244" s="46"/>
      <c r="M244" s="46"/>
    </row>
    <row r="245" ht="15.75" customHeight="1">
      <c r="A245" s="134">
        <f>PEDIDOS!B245</f>
        <v>46133</v>
      </c>
      <c r="B245" s="134">
        <f>PEDIDOS!C245</f>
        <v>788</v>
      </c>
      <c r="C245" s="134" t="str">
        <f>PEDIDOS!D245</f>
        <v>CAV</v>
      </c>
      <c r="D245" s="134" t="str">
        <f>PEDIDOS!E245</f>
        <v>SHAMPOO BIO MOLECULAR VITAMIN SHOCK</v>
      </c>
      <c r="E245" s="135">
        <f>PEDIDOS!G245</f>
        <v>400</v>
      </c>
      <c r="F245" s="136"/>
      <c r="G245" s="136"/>
      <c r="H245" s="137"/>
      <c r="I245" s="137"/>
      <c r="J245" s="137"/>
      <c r="K245" s="136"/>
      <c r="L245" s="136"/>
      <c r="M245" s="136"/>
    </row>
    <row r="246" ht="15.75" customHeight="1">
      <c r="A246" s="131">
        <f>PEDIDOS!B246</f>
        <v>46133</v>
      </c>
      <c r="B246" s="131">
        <f>PEDIDOS!C246</f>
        <v>788</v>
      </c>
      <c r="C246" s="131" t="str">
        <f>PEDIDOS!D246</f>
        <v>CAV</v>
      </c>
      <c r="D246" s="131" t="str">
        <f>PEDIDOS!E246</f>
        <v>SHAMPOO BIO MOLECULAR VITAMIN SHOCK X900ML</v>
      </c>
      <c r="E246" s="132">
        <f>PEDIDOS!G246</f>
        <v>150</v>
      </c>
      <c r="F246" s="46"/>
      <c r="G246" s="46"/>
      <c r="H246" s="45"/>
      <c r="I246" s="45"/>
      <c r="J246" s="45"/>
      <c r="K246" s="46"/>
      <c r="L246" s="46"/>
      <c r="M246" s="46"/>
    </row>
    <row r="247" ht="15.75" customHeight="1">
      <c r="A247" s="134">
        <f>PEDIDOS!B247</f>
        <v>46133</v>
      </c>
      <c r="B247" s="134">
        <f>PEDIDOS!C247</f>
        <v>788</v>
      </c>
      <c r="C247" s="134" t="str">
        <f>PEDIDOS!D247</f>
        <v>CAV</v>
      </c>
      <c r="D247" s="134" t="str">
        <f>PEDIDOS!E247</f>
        <v>CONDITIONER BIO MOLECULAR VITAMIN SHOCK </v>
      </c>
      <c r="E247" s="135">
        <f>PEDIDOS!G247</f>
        <v>400</v>
      </c>
      <c r="F247" s="136"/>
      <c r="G247" s="136"/>
      <c r="H247" s="137"/>
      <c r="I247" s="137"/>
      <c r="J247" s="137"/>
      <c r="K247" s="136"/>
      <c r="L247" s="136"/>
      <c r="M247" s="136"/>
    </row>
    <row r="248" ht="15.75" customHeight="1">
      <c r="A248" s="131">
        <f>PEDIDOS!B248</f>
        <v>46133</v>
      </c>
      <c r="B248" s="131">
        <f>PEDIDOS!C248</f>
        <v>788</v>
      </c>
      <c r="C248" s="131" t="str">
        <f>PEDIDOS!D248</f>
        <v>CAV</v>
      </c>
      <c r="D248" s="131" t="str">
        <f>PEDIDOS!E248</f>
        <v>CONDITIONER BIO MOLECULAR VITAMIN SHOCK  X900</v>
      </c>
      <c r="E248" s="132">
        <f>PEDIDOS!G248</f>
        <v>150</v>
      </c>
      <c r="F248" s="46"/>
      <c r="G248" s="46"/>
      <c r="H248" s="45"/>
      <c r="I248" s="45"/>
      <c r="J248" s="45"/>
      <c r="K248" s="46"/>
      <c r="L248" s="46"/>
      <c r="M248" s="46"/>
    </row>
    <row r="249" ht="15.75" customHeight="1">
      <c r="A249" s="134">
        <f>PEDIDOS!B249</f>
        <v>46133</v>
      </c>
      <c r="B249" s="134">
        <f>PEDIDOS!C249</f>
        <v>788</v>
      </c>
      <c r="C249" s="134" t="str">
        <f>PEDIDOS!D249</f>
        <v>CAV</v>
      </c>
      <c r="D249" s="134" t="str">
        <f>PEDIDOS!E249</f>
        <v>SERUM BIO MOLECULAR VITAMIN SHOCK</v>
      </c>
      <c r="E249" s="135">
        <f>PEDIDOS!G249</f>
        <v>200</v>
      </c>
      <c r="F249" s="136"/>
      <c r="G249" s="136"/>
      <c r="H249" s="137"/>
      <c r="I249" s="137"/>
      <c r="J249" s="137"/>
      <c r="K249" s="136"/>
      <c r="L249" s="136"/>
      <c r="M249" s="136"/>
    </row>
    <row r="250" ht="15.75" customHeight="1">
      <c r="A250" s="131">
        <f>PEDIDOS!B250</f>
        <v>46133</v>
      </c>
      <c r="B250" s="131">
        <f>PEDIDOS!C250</f>
        <v>788</v>
      </c>
      <c r="C250" s="131" t="str">
        <f>PEDIDOS!D250</f>
        <v>CAV</v>
      </c>
      <c r="D250" s="131" t="str">
        <f>PEDIDOS!E250</f>
        <v>SHAMPOO BIONIC X900ML</v>
      </c>
      <c r="E250" s="132">
        <f>PEDIDOS!G250</f>
        <v>100</v>
      </c>
      <c r="F250" s="46"/>
      <c r="G250" s="46"/>
      <c r="H250" s="45"/>
      <c r="I250" s="45"/>
      <c r="J250" s="45"/>
      <c r="K250" s="46"/>
      <c r="L250" s="46"/>
      <c r="M250" s="46"/>
    </row>
    <row r="251" ht="15.75" customHeight="1">
      <c r="A251" s="134">
        <f>PEDIDOS!B251</f>
        <v>46133</v>
      </c>
      <c r="B251" s="134">
        <f>PEDIDOS!C251</f>
        <v>788</v>
      </c>
      <c r="C251" s="134" t="str">
        <f>PEDIDOS!D251</f>
        <v>CAV</v>
      </c>
      <c r="D251" s="134" t="str">
        <f>PEDIDOS!E251</f>
        <v>BALSAMO BIONIC X900ML</v>
      </c>
      <c r="E251" s="135">
        <f>PEDIDOS!G251</f>
        <v>100</v>
      </c>
      <c r="F251" s="136"/>
      <c r="G251" s="136"/>
      <c r="H251" s="137"/>
      <c r="I251" s="137"/>
      <c r="J251" s="137"/>
      <c r="K251" s="136"/>
      <c r="L251" s="136"/>
      <c r="M251" s="136"/>
    </row>
    <row r="252" ht="15.75" customHeight="1">
      <c r="A252" s="131">
        <f>PEDIDOS!B252</f>
        <v>46133</v>
      </c>
      <c r="B252" s="131">
        <f>PEDIDOS!C252</f>
        <v>788</v>
      </c>
      <c r="C252" s="131" t="str">
        <f>PEDIDOS!D252</f>
        <v>CAV</v>
      </c>
      <c r="D252" s="131" t="str">
        <f>PEDIDOS!E252</f>
        <v>Rebond C-Plex CAV x 500 ml (Paso 1)</v>
      </c>
      <c r="E252" s="132">
        <f>PEDIDOS!G252</f>
        <v>150</v>
      </c>
      <c r="F252" s="46"/>
      <c r="G252" s="46"/>
      <c r="H252" s="45"/>
      <c r="I252" s="45"/>
      <c r="J252" s="45"/>
      <c r="K252" s="46"/>
      <c r="L252" s="46"/>
      <c r="M252" s="46"/>
    </row>
    <row r="253" ht="15.75" customHeight="1">
      <c r="A253" s="134">
        <f>PEDIDOS!B253</f>
        <v>46133</v>
      </c>
      <c r="B253" s="134">
        <f>PEDIDOS!C253</f>
        <v>788</v>
      </c>
      <c r="C253" s="134" t="str">
        <f>PEDIDOS!D253</f>
        <v>CAV</v>
      </c>
      <c r="D253" s="134" t="str">
        <f>PEDIDOS!E253</f>
        <v>Finishing C-Plex CAV x 500 ml (Paso 2)</v>
      </c>
      <c r="E253" s="135">
        <f>PEDIDOS!G253</f>
        <v>300</v>
      </c>
      <c r="F253" s="136"/>
      <c r="G253" s="136"/>
      <c r="H253" s="137"/>
      <c r="I253" s="137"/>
      <c r="J253" s="137"/>
      <c r="K253" s="136"/>
      <c r="L253" s="136"/>
      <c r="M253" s="136"/>
    </row>
    <row r="254" ht="15.75" customHeight="1">
      <c r="A254" s="131">
        <f>PEDIDOS!B254</f>
        <v>46134</v>
      </c>
      <c r="B254" s="131">
        <f>PEDIDOS!C254</f>
        <v>1083</v>
      </c>
      <c r="C254" s="131" t="str">
        <f>PEDIDOS!D254</f>
        <v>NIZA</v>
      </c>
      <c r="D254" s="131" t="str">
        <f>PEDIDOS!E254</f>
        <v>AQUA BOMB RICH</v>
      </c>
      <c r="E254" s="132">
        <f>PEDIDOS!G254</f>
        <v>300</v>
      </c>
      <c r="F254" s="46"/>
      <c r="G254" s="46"/>
      <c r="H254" s="45"/>
      <c r="I254" s="45"/>
      <c r="J254" s="45"/>
      <c r="K254" s="46"/>
      <c r="L254" s="46"/>
      <c r="M254" s="46"/>
    </row>
    <row r="255" ht="15.75" customHeight="1">
      <c r="A255" s="134">
        <f>PEDIDOS!B255</f>
        <v>46134</v>
      </c>
      <c r="B255" s="134">
        <f>PEDIDOS!C255</f>
        <v>1083</v>
      </c>
      <c r="C255" s="134" t="str">
        <f>PEDIDOS!D255</f>
        <v>NIZA</v>
      </c>
      <c r="D255" s="134" t="str">
        <f>PEDIDOS!E255</f>
        <v>BRIGHT AND WITHE EYES</v>
      </c>
      <c r="E255" s="135">
        <f>PEDIDOS!G255</f>
        <v>490</v>
      </c>
      <c r="F255" s="136"/>
      <c r="G255" s="136"/>
      <c r="H255" s="137"/>
      <c r="I255" s="137"/>
      <c r="J255" s="137"/>
      <c r="K255" s="136"/>
      <c r="L255" s="136"/>
      <c r="M255" s="136"/>
    </row>
    <row r="256" ht="15.75" customHeight="1">
      <c r="A256" s="131">
        <f>PEDIDOS!B256</f>
        <v>46134</v>
      </c>
      <c r="B256" s="131">
        <f>PEDIDOS!C256</f>
        <v>1083</v>
      </c>
      <c r="C256" s="131" t="str">
        <f>PEDIDOS!D256</f>
        <v>NIZA</v>
      </c>
      <c r="D256" s="131" t="str">
        <f>PEDIDOS!E256</f>
        <v>SIGNATURE BLEND PRO AGE</v>
      </c>
      <c r="E256" s="132">
        <f>PEDIDOS!G256</f>
        <v>300</v>
      </c>
      <c r="F256" s="46"/>
      <c r="G256" s="46"/>
      <c r="H256" s="45"/>
      <c r="I256" s="45"/>
      <c r="J256" s="45"/>
      <c r="K256" s="46"/>
      <c r="L256" s="46"/>
      <c r="M256" s="46"/>
    </row>
    <row r="257" ht="15.75" customHeight="1">
      <c r="A257" s="134">
        <f>PEDIDOS!B257</f>
        <v>46134</v>
      </c>
      <c r="B257" s="134">
        <f>PEDIDOS!C257</f>
        <v>1083</v>
      </c>
      <c r="C257" s="134" t="str">
        <f>PEDIDOS!D257</f>
        <v>NIZA</v>
      </c>
      <c r="D257" s="134" t="str">
        <f>PEDIDOS!E257</f>
        <v>SIGNATURE BLEND HYDRA PEEL</v>
      </c>
      <c r="E257" s="135">
        <f>PEDIDOS!G257</f>
        <v>300</v>
      </c>
      <c r="F257" s="136"/>
      <c r="G257" s="136"/>
      <c r="H257" s="137"/>
      <c r="I257" s="137"/>
      <c r="J257" s="137"/>
      <c r="K257" s="136"/>
      <c r="L257" s="136"/>
      <c r="M257" s="136"/>
    </row>
    <row r="258" ht="15.75" customHeight="1">
      <c r="A258" s="131">
        <f>PEDIDOS!B258</f>
        <v>46135</v>
      </c>
      <c r="B258" s="131">
        <f>PEDIDOS!C258</f>
        <v>1278</v>
      </c>
      <c r="C258" s="131" t="str">
        <f>PEDIDOS!D258</f>
        <v>BOTIK</v>
      </c>
      <c r="D258" s="131" t="str">
        <f>PEDIDOS!E258</f>
        <v>sHAMPOO SOLIDO ROMERO - TEA TREE x 100g</v>
      </c>
      <c r="E258" s="132">
        <f>PEDIDOS!G258</f>
        <v>250</v>
      </c>
      <c r="F258" s="46"/>
      <c r="G258" s="46"/>
      <c r="H258" s="45"/>
      <c r="I258" s="45"/>
      <c r="J258" s="45"/>
      <c r="K258" s="46"/>
      <c r="L258" s="46"/>
      <c r="M258" s="46"/>
    </row>
    <row r="259" ht="15.75" customHeight="1">
      <c r="A259" s="134">
        <f>PEDIDOS!B259</f>
        <v>46135</v>
      </c>
      <c r="B259" s="134">
        <f>PEDIDOS!C259</f>
        <v>1278</v>
      </c>
      <c r="C259" s="134" t="str">
        <f>PEDIDOS!D259</f>
        <v>BOTIK</v>
      </c>
      <c r="D259" s="134" t="str">
        <f>PEDIDOS!E259</f>
        <v>Acondicionador Solido Rosa Rosa Mosqueta x 70g</v>
      </c>
      <c r="E259" s="135">
        <f>PEDIDOS!G259</f>
        <v>500</v>
      </c>
      <c r="F259" s="136"/>
      <c r="G259" s="136"/>
      <c r="H259" s="137"/>
      <c r="I259" s="137"/>
      <c r="J259" s="137"/>
      <c r="K259" s="136"/>
      <c r="L259" s="136"/>
      <c r="M259" s="136"/>
    </row>
    <row r="260" ht="15.75" customHeight="1">
      <c r="A260" s="131">
        <f>PEDIDOS!B260</f>
        <v>46135</v>
      </c>
      <c r="B260" s="131">
        <f>PEDIDOS!C260</f>
        <v>1278</v>
      </c>
      <c r="C260" s="131" t="str">
        <f>PEDIDOS!D260</f>
        <v>BOTIK</v>
      </c>
      <c r="D260" s="131" t="str">
        <f>PEDIDOS!E260</f>
        <v>Acondicionador Solido Lavanda Lemongrass x 70g</v>
      </c>
      <c r="E260" s="132">
        <f>PEDIDOS!G260</f>
        <v>500</v>
      </c>
      <c r="F260" s="46"/>
      <c r="G260" s="46"/>
      <c r="H260" s="45"/>
      <c r="I260" s="45"/>
      <c r="J260" s="45"/>
      <c r="K260" s="46"/>
      <c r="L260" s="46"/>
      <c r="M260" s="46"/>
    </row>
    <row r="261" ht="15.75" customHeight="1">
      <c r="A261" s="134">
        <f>PEDIDOS!B261</f>
        <v>46126</v>
      </c>
      <c r="B261" s="134">
        <f>PEDIDOS!C261</f>
        <v>1606</v>
      </c>
      <c r="C261" s="134" t="str">
        <f>PEDIDOS!D261</f>
        <v>NE</v>
      </c>
      <c r="D261" s="134" t="str">
        <f>PEDIDOS!E261</f>
        <v>LECHE DE LIMPIEZA FACIAL 150 gr.</v>
      </c>
      <c r="E261" s="135">
        <f>PEDIDOS!G261</f>
        <v>500</v>
      </c>
      <c r="F261" s="136"/>
      <c r="G261" s="136"/>
      <c r="H261" s="137"/>
      <c r="I261" s="137"/>
      <c r="J261" s="137"/>
      <c r="K261" s="136"/>
      <c r="L261" s="136"/>
      <c r="M261" s="136"/>
    </row>
    <row r="262" ht="15.75" customHeight="1">
      <c r="A262" s="131">
        <f>PEDIDOS!B262</f>
        <v>46140</v>
      </c>
      <c r="B262" s="131">
        <f>PEDIDOS!C262</f>
        <v>144</v>
      </c>
      <c r="C262" s="131" t="str">
        <f>PEDIDOS!D262</f>
        <v>PROFESSIONAL BEAUTY</v>
      </c>
      <c r="D262" s="131" t="str">
        <f>PEDIDOS!E262</f>
        <v>GEL CONDUCTOR NEUTRO</v>
      </c>
      <c r="E262" s="132">
        <f>PEDIDOS!G262</f>
        <v>500</v>
      </c>
      <c r="F262" s="46"/>
      <c r="G262" s="46"/>
      <c r="H262" s="45"/>
      <c r="I262" s="45"/>
      <c r="J262" s="45"/>
      <c r="K262" s="46"/>
      <c r="L262" s="46"/>
      <c r="M262" s="46"/>
    </row>
    <row r="263" ht="15.75" customHeight="1">
      <c r="A263" s="134">
        <f>PEDIDOS!B263</f>
        <v>46140</v>
      </c>
      <c r="B263" s="134">
        <f>PEDIDOS!C263</f>
        <v>144</v>
      </c>
      <c r="C263" s="134" t="str">
        <f>PEDIDOS!D263</f>
        <v>PROFESSIONAL BEAUTY</v>
      </c>
      <c r="D263" s="134" t="str">
        <f>PEDIDOS!E263</f>
        <v>ADVANCE VIT C 5%</v>
      </c>
      <c r="E263" s="135">
        <f>PEDIDOS!G263</f>
        <v>500</v>
      </c>
      <c r="F263" s="136"/>
      <c r="G263" s="136"/>
      <c r="H263" s="137"/>
      <c r="I263" s="137"/>
      <c r="J263" s="137"/>
      <c r="K263" s="136"/>
      <c r="L263" s="136"/>
      <c r="M263" s="136"/>
    </row>
    <row r="264" ht="15.75" customHeight="1">
      <c r="A264" s="131">
        <f>PEDIDOS!B264</f>
        <v>46140</v>
      </c>
      <c r="B264" s="131">
        <f>PEDIDOS!C264</f>
        <v>144</v>
      </c>
      <c r="C264" s="131" t="str">
        <f>PEDIDOS!D264</f>
        <v>PROFESSIONAL BEAUTY</v>
      </c>
      <c r="D264" s="131" t="str">
        <f>PEDIDOS!E264</f>
        <v>ADVANCE ACIDO HIALURONICO 0,5%</v>
      </c>
      <c r="E264" s="132">
        <f>PEDIDOS!G264</f>
        <v>500</v>
      </c>
      <c r="F264" s="46"/>
      <c r="G264" s="46"/>
      <c r="H264" s="45"/>
      <c r="I264" s="45"/>
      <c r="J264" s="45"/>
      <c r="K264" s="46"/>
      <c r="L264" s="46"/>
      <c r="M264" s="46"/>
    </row>
    <row r="265" ht="15.75" customHeight="1">
      <c r="A265" s="134">
        <f>PEDIDOS!B265</f>
        <v>46140</v>
      </c>
      <c r="B265" s="134">
        <f>PEDIDOS!C265</f>
        <v>144</v>
      </c>
      <c r="C265" s="134" t="str">
        <f>PEDIDOS!D265</f>
        <v>PROFESSIONAL BEAUTY</v>
      </c>
      <c r="D265" s="134" t="str">
        <f>PEDIDOS!E265</f>
        <v>ADVANCE COMPLEJO MULTIVITAMINICO 1%</v>
      </c>
      <c r="E265" s="135">
        <f>PEDIDOS!G265</f>
        <v>500</v>
      </c>
      <c r="F265" s="136"/>
      <c r="G265" s="136"/>
      <c r="H265" s="137"/>
      <c r="I265" s="137"/>
      <c r="J265" s="137"/>
      <c r="K265" s="136"/>
      <c r="L265" s="136"/>
      <c r="M265" s="136"/>
    </row>
    <row r="266" ht="15.75" customHeight="1">
      <c r="A266" s="131">
        <f>PEDIDOS!B266</f>
        <v>46140</v>
      </c>
      <c r="B266" s="131">
        <f>PEDIDOS!C266</f>
        <v>15282</v>
      </c>
      <c r="C266" s="131" t="str">
        <f>PEDIDOS!D266</f>
        <v>THELMA Y LOUISE</v>
      </c>
      <c r="D266" s="131" t="str">
        <f>PEDIDOS!E266</f>
        <v>ALCOHOL EN GEL CHICLE FARMACITY KIDS</v>
      </c>
      <c r="E266" s="132">
        <f>PEDIDOS!G266</f>
        <v>10000</v>
      </c>
      <c r="F266" s="46"/>
      <c r="G266" s="46"/>
      <c r="H266" s="45"/>
      <c r="I266" s="45"/>
      <c r="J266" s="45"/>
      <c r="K266" s="46"/>
      <c r="L266" s="46"/>
      <c r="M266" s="46"/>
    </row>
    <row r="267" ht="15.75" customHeight="1">
      <c r="A267" s="134">
        <f>PEDIDOS!B267</f>
        <v>46140</v>
      </c>
      <c r="B267" s="134">
        <f>PEDIDOS!C267</f>
        <v>15282</v>
      </c>
      <c r="C267" s="134" t="str">
        <f>PEDIDOS!D267</f>
        <v>THELMA Y LOUISE</v>
      </c>
      <c r="D267" s="134" t="str">
        <f>PEDIDOS!E267</f>
        <v>ALCOHOL EN GEL SANDIA FARMACITY KIDS</v>
      </c>
      <c r="E267" s="135">
        <f>PEDIDOS!G267</f>
        <v>10000</v>
      </c>
      <c r="F267" s="136"/>
      <c r="G267" s="136"/>
      <c r="H267" s="137"/>
      <c r="I267" s="137"/>
      <c r="J267" s="137"/>
      <c r="K267" s="136"/>
      <c r="L267" s="136"/>
      <c r="M267" s="136"/>
    </row>
    <row r="268" ht="15.75" customHeight="1">
      <c r="A268" s="131">
        <f>PEDIDOS!B268</f>
        <v>46140</v>
      </c>
      <c r="B268" s="131" t="str">
        <f>PEDIDOS!C268</f>
        <v/>
      </c>
      <c r="C268" s="131" t="str">
        <f>PEDIDOS!D268</f>
        <v>LABORATORIO ONCE</v>
      </c>
      <c r="D268" s="131" t="str">
        <f>PEDIDOS!E268</f>
        <v>SERUM ACIDO GLICOLICO + FERULICO</v>
      </c>
      <c r="E268" s="132">
        <f>PEDIDOS!G268</f>
        <v>1200</v>
      </c>
      <c r="F268" s="46"/>
      <c r="G268" s="46"/>
      <c r="H268" s="45"/>
      <c r="I268" s="45"/>
      <c r="J268" s="45"/>
      <c r="K268" s="46"/>
      <c r="L268" s="46"/>
      <c r="M268" s="46"/>
    </row>
    <row r="269" ht="15.75" customHeight="1">
      <c r="A269" s="134">
        <f>PEDIDOS!B269</f>
        <v>46141</v>
      </c>
      <c r="B269" s="134" t="str">
        <f>PEDIDOS!C269</f>
        <v/>
      </c>
      <c r="C269" s="134" t="str">
        <f>PEDIDOS!D269</f>
        <v>UNICA</v>
      </c>
      <c r="D269" s="134" t="str">
        <f>PEDIDOS!E269</f>
        <v>CREMA DE ORDEÑE</v>
      </c>
      <c r="E269" s="135">
        <f>PEDIDOS!G269</f>
        <v>600</v>
      </c>
      <c r="F269" s="136"/>
      <c r="G269" s="136"/>
      <c r="H269" s="137"/>
      <c r="I269" s="137"/>
      <c r="J269" s="137"/>
      <c r="K269" s="136"/>
      <c r="L269" s="136"/>
      <c r="M269" s="136"/>
    </row>
    <row r="270" ht="15.75" customHeight="1">
      <c r="A270" s="131">
        <f>PEDIDOS!B270</f>
        <v>46136</v>
      </c>
      <c r="B270" s="131" t="str">
        <f>PEDIDOS!C270</f>
        <v/>
      </c>
      <c r="C270" s="131" t="str">
        <f>PEDIDOS!D270</f>
        <v>THE MINIMAL CO</v>
      </c>
      <c r="D270" s="131" t="str">
        <f>PEDIDOS!E270</f>
        <v>SERUM RETINOL</v>
      </c>
      <c r="E270" s="132">
        <f>PEDIDOS!G270</f>
        <v>1200</v>
      </c>
      <c r="F270" s="46"/>
      <c r="G270" s="46"/>
      <c r="H270" s="45"/>
      <c r="I270" s="45"/>
      <c r="J270" s="45"/>
      <c r="K270" s="46"/>
      <c r="L270" s="46"/>
      <c r="M270" s="46"/>
    </row>
    <row r="271" ht="15.75" customHeight="1">
      <c r="A271" s="134">
        <f>PEDIDOS!B271</f>
        <v>46142</v>
      </c>
      <c r="B271" s="134" t="str">
        <f>PEDIDOS!C271</f>
        <v/>
      </c>
      <c r="C271" s="134" t="str">
        <f>PEDIDOS!D271</f>
        <v>ECODERM - ROSEHIP</v>
      </c>
      <c r="D271" s="134" t="str">
        <f>PEDIDOS!E271</f>
        <v>SERUM CONTORNO DE OJOS</v>
      </c>
      <c r="E271" s="135">
        <f>PEDIDOS!G271</f>
        <v>300</v>
      </c>
      <c r="F271" s="136"/>
      <c r="G271" s="136"/>
      <c r="H271" s="137"/>
      <c r="I271" s="137"/>
      <c r="J271" s="137"/>
      <c r="K271" s="136"/>
      <c r="L271" s="136"/>
      <c r="M271" s="136"/>
    </row>
    <row r="272" ht="15.75" customHeight="1">
      <c r="A272" s="131">
        <f>PEDIDOS!B272</f>
        <v>46142</v>
      </c>
      <c r="B272" s="131" t="str">
        <f>PEDIDOS!C272</f>
        <v/>
      </c>
      <c r="C272" s="131" t="str">
        <f>PEDIDOS!D272</f>
        <v>ECODERM - ROSEHIP</v>
      </c>
      <c r="D272" s="131" t="str">
        <f>PEDIDOS!E272</f>
        <v>CREMA FACIAL CON RETINOL</v>
      </c>
      <c r="E272" s="132">
        <f>PEDIDOS!G272</f>
        <v>300</v>
      </c>
      <c r="F272" s="46"/>
      <c r="G272" s="46"/>
      <c r="H272" s="45"/>
      <c r="I272" s="45"/>
      <c r="J272" s="45"/>
      <c r="K272" s="46"/>
      <c r="L272" s="46"/>
      <c r="M272" s="46"/>
    </row>
    <row r="273" ht="15.75" customHeight="1">
      <c r="A273" s="134">
        <f>PEDIDOS!B273</f>
        <v>46142</v>
      </c>
      <c r="B273" s="134" t="str">
        <f>PEDIDOS!C273</f>
        <v/>
      </c>
      <c r="C273" s="134" t="str">
        <f>PEDIDOS!D273</f>
        <v>ECODERM - ROSEHIP</v>
      </c>
      <c r="D273" s="134" t="str">
        <f>PEDIDOS!E273</f>
        <v>GEL DE LIMPIEZA</v>
      </c>
      <c r="E273" s="135">
        <f>PEDIDOS!G273</f>
        <v>300</v>
      </c>
      <c r="F273" s="136"/>
      <c r="G273" s="136"/>
      <c r="H273" s="137"/>
      <c r="I273" s="137"/>
      <c r="J273" s="137"/>
      <c r="K273" s="136"/>
      <c r="L273" s="136"/>
      <c r="M273" s="136"/>
    </row>
    <row r="274" ht="15.75" customHeight="1">
      <c r="A274" s="131">
        <f>PEDIDOS!B274</f>
        <v>46142</v>
      </c>
      <c r="B274" s="131" t="str">
        <f>PEDIDOS!C274</f>
        <v/>
      </c>
      <c r="C274" s="131" t="str">
        <f>PEDIDOS!D274</f>
        <v>ECODERM - ROSEHIP</v>
      </c>
      <c r="D274" s="131" t="str">
        <f>PEDIDOS!E274</f>
        <v>SERUM SEBORREGULADOR</v>
      </c>
      <c r="E274" s="132">
        <f>PEDIDOS!G274</f>
        <v>300</v>
      </c>
      <c r="F274" s="46"/>
      <c r="G274" s="46"/>
      <c r="H274" s="45"/>
      <c r="I274" s="45"/>
      <c r="J274" s="45"/>
      <c r="K274" s="46"/>
      <c r="L274" s="46"/>
      <c r="M274" s="46"/>
    </row>
    <row r="275" ht="15.75" customHeight="1">
      <c r="A275" s="134">
        <f>PEDIDOS!B275</f>
        <v>46142</v>
      </c>
      <c r="B275" s="134">
        <f>PEDIDOS!C275</f>
        <v>5</v>
      </c>
      <c r="C275" s="134" t="str">
        <f>PEDIDOS!D275</f>
        <v>TIERRAS DEL VOLCAN</v>
      </c>
      <c r="D275" s="134" t="str">
        <f>PEDIDOS!E275</f>
        <v>Jalea Termal Reguladora</v>
      </c>
      <c r="E275" s="135">
        <f>PEDIDOS!G275</f>
        <v>500</v>
      </c>
      <c r="F275" s="136"/>
      <c r="G275" s="136"/>
      <c r="H275" s="137"/>
      <c r="I275" s="137"/>
      <c r="J275" s="137"/>
      <c r="K275" s="136"/>
      <c r="L275" s="136"/>
      <c r="M275" s="136"/>
    </row>
    <row r="276" ht="15.75" customHeight="1">
      <c r="A276" s="131">
        <f>PEDIDOS!B276</f>
        <v>46142</v>
      </c>
      <c r="B276" s="131" t="str">
        <f>PEDIDOS!C276</f>
        <v/>
      </c>
      <c r="C276" s="131" t="str">
        <f>PEDIDOS!D276</f>
        <v>THE CURIOUS SKIN</v>
      </c>
      <c r="D276" s="131" t="str">
        <f>PEDIDOS!E276</f>
        <v>ESENCIA EQUILIBRIO BIOME</v>
      </c>
      <c r="E276" s="132">
        <f>PEDIDOS!G276</f>
        <v>500</v>
      </c>
      <c r="F276" s="46"/>
      <c r="G276" s="46"/>
      <c r="H276" s="45"/>
      <c r="I276" s="45"/>
      <c r="J276" s="45"/>
      <c r="K276" s="46"/>
      <c r="L276" s="46"/>
      <c r="M276" s="46"/>
    </row>
    <row r="277" ht="15.75" customHeight="1">
      <c r="A277" s="134">
        <f>PEDIDOS!B277</f>
        <v>46146</v>
      </c>
      <c r="B277" s="134">
        <f>PEDIDOS!C277</f>
        <v>15276</v>
      </c>
      <c r="C277" s="134" t="str">
        <f>PEDIDOS!D277</f>
        <v>THELMA Y LOUISE</v>
      </c>
      <c r="D277" s="134" t="str">
        <f>PEDIDOS!E277</f>
        <v>CREMA PARA MANOS JULIANA CHICLE</v>
      </c>
      <c r="E277" s="135">
        <f>PEDIDOS!G277</f>
        <v>3000</v>
      </c>
      <c r="F277" s="136"/>
      <c r="G277" s="136"/>
      <c r="H277" s="137"/>
      <c r="I277" s="137"/>
      <c r="J277" s="137"/>
      <c r="K277" s="136"/>
      <c r="L277" s="136"/>
      <c r="M277" s="136"/>
    </row>
    <row r="278" ht="15.75" customHeight="1">
      <c r="A278" s="131">
        <f>PEDIDOS!B278</f>
        <v>46148</v>
      </c>
      <c r="B278" s="131">
        <f>PEDIDOS!C278</f>
        <v>15288</v>
      </c>
      <c r="C278" s="131" t="str">
        <f>PEDIDOS!D278</f>
        <v>THELMA Y LOUISE</v>
      </c>
      <c r="D278" s="131" t="str">
        <f>PEDIDOS!E278</f>
        <v>ALCOHOL EN GEL CHICLE TYL</v>
      </c>
      <c r="E278" s="132">
        <f>PEDIDOS!G278</f>
        <v>2000</v>
      </c>
      <c r="F278" s="46"/>
      <c r="G278" s="46"/>
      <c r="H278" s="45"/>
      <c r="I278" s="45"/>
      <c r="J278" s="45"/>
      <c r="K278" s="46"/>
      <c r="L278" s="46"/>
      <c r="M278" s="46"/>
    </row>
    <row r="279" ht="15.75" customHeight="1">
      <c r="A279" s="134">
        <f>PEDIDOS!B279</f>
        <v>46148</v>
      </c>
      <c r="B279" s="134">
        <f>PEDIDOS!C279</f>
        <v>15288</v>
      </c>
      <c r="C279" s="134" t="str">
        <f>PEDIDOS!D279</f>
        <v>THELMA Y LOUISE</v>
      </c>
      <c r="D279" s="134" t="str">
        <f>PEDIDOS!E279</f>
        <v>ALCOHOL EN GEL FRUTOS ROJOS TYL</v>
      </c>
      <c r="E279" s="135">
        <f>PEDIDOS!G279</f>
        <v>2000</v>
      </c>
      <c r="F279" s="136"/>
      <c r="G279" s="136"/>
      <c r="H279" s="137"/>
      <c r="I279" s="137"/>
      <c r="J279" s="137"/>
      <c r="K279" s="136"/>
      <c r="L279" s="136"/>
      <c r="M279" s="136"/>
    </row>
    <row r="280" ht="15.75" customHeight="1">
      <c r="A280" s="131">
        <f>PEDIDOS!B280</f>
        <v>46148</v>
      </c>
      <c r="B280" s="131">
        <f>PEDIDOS!C280</f>
        <v>15288</v>
      </c>
      <c r="C280" s="131" t="str">
        <f>PEDIDOS!D280</f>
        <v>THELMA Y LOUISE</v>
      </c>
      <c r="D280" s="131" t="str">
        <f>PEDIDOS!E280</f>
        <v>ALCOHOL EN GEL DURAZNO TYL</v>
      </c>
      <c r="E280" s="132">
        <f>PEDIDOS!G280</f>
        <v>2000</v>
      </c>
      <c r="F280" s="46"/>
      <c r="G280" s="46"/>
      <c r="H280" s="45"/>
      <c r="I280" s="45"/>
      <c r="J280" s="45"/>
      <c r="K280" s="46"/>
      <c r="L280" s="46"/>
      <c r="M280" s="46"/>
    </row>
    <row r="281" ht="15.75" customHeight="1">
      <c r="A281" s="134">
        <f>PEDIDOS!B281</f>
        <v>46153</v>
      </c>
      <c r="B281" s="134" t="str">
        <f>PEDIDOS!C281</f>
        <v/>
      </c>
      <c r="C281" s="134" t="str">
        <f>PEDIDOS!D281</f>
        <v>NATCEUTICALS</v>
      </c>
      <c r="D281" s="134" t="str">
        <f>PEDIDOS!E281</f>
        <v>SERUM ACIDO HIALURONICO</v>
      </c>
      <c r="E281" s="135">
        <f>PEDIDOS!G281</f>
        <v>500</v>
      </c>
      <c r="F281" s="136"/>
      <c r="G281" s="136"/>
      <c r="H281" s="137"/>
      <c r="I281" s="137"/>
      <c r="J281" s="137"/>
      <c r="K281" s="136"/>
      <c r="L281" s="136"/>
      <c r="M281" s="136"/>
    </row>
    <row r="282" ht="15.75" customHeight="1">
      <c r="A282" s="131">
        <f>PEDIDOS!B282</f>
        <v>46153</v>
      </c>
      <c r="B282" s="131" t="str">
        <f>PEDIDOS!C282</f>
        <v/>
      </c>
      <c r="C282" s="131" t="str">
        <f>PEDIDOS!D282</f>
        <v>NATCEUTICALS</v>
      </c>
      <c r="D282" s="131" t="str">
        <f>PEDIDOS!E282</f>
        <v>SERUM RETINOL</v>
      </c>
      <c r="E282" s="132">
        <f>PEDIDOS!G282</f>
        <v>300</v>
      </c>
      <c r="F282" s="46"/>
      <c r="G282" s="46"/>
      <c r="H282" s="45"/>
      <c r="I282" s="45"/>
      <c r="J282" s="45"/>
      <c r="K282" s="46"/>
      <c r="L282" s="46"/>
      <c r="M282" s="46"/>
    </row>
    <row r="283" ht="15.75" customHeight="1">
      <c r="A283" s="134">
        <f>PEDIDOS!B283</f>
        <v>46153</v>
      </c>
      <c r="B283" s="134" t="str">
        <f>PEDIDOS!C283</f>
        <v/>
      </c>
      <c r="C283" s="134" t="str">
        <f>PEDIDOS!D283</f>
        <v>ECOS DE HUEMUL</v>
      </c>
      <c r="D283" s="134" t="str">
        <f>PEDIDOS!E283</f>
        <v>JABON LIQUIDO NEUTRO</v>
      </c>
      <c r="E283" s="135">
        <f>PEDIDOS!G283</f>
        <v>180</v>
      </c>
      <c r="F283" s="136"/>
      <c r="G283" s="136"/>
      <c r="H283" s="137"/>
      <c r="I283" s="137"/>
      <c r="J283" s="137"/>
      <c r="K283" s="136"/>
      <c r="L283" s="136"/>
      <c r="M283" s="136"/>
    </row>
    <row r="284" ht="15.75" customHeight="1">
      <c r="A284" s="131">
        <f>PEDIDOS!B284</f>
        <v>46153</v>
      </c>
      <c r="B284" s="131" t="str">
        <f>PEDIDOS!C284</f>
        <v/>
      </c>
      <c r="C284" s="131" t="str">
        <f>PEDIDOS!D284</f>
        <v>ECOS DE HUEMUL</v>
      </c>
      <c r="D284" s="131" t="str">
        <f>PEDIDOS!E284</f>
        <v>JABON LIQUIDO NEUTRO</v>
      </c>
      <c r="E284" s="132">
        <f>PEDIDOS!G284</f>
        <v>70</v>
      </c>
      <c r="F284" s="46"/>
      <c r="G284" s="46"/>
      <c r="H284" s="45"/>
      <c r="I284" s="45"/>
      <c r="J284" s="45"/>
      <c r="K284" s="46"/>
      <c r="L284" s="46"/>
      <c r="M284" s="46"/>
    </row>
    <row r="285" ht="15.75" customHeight="1">
      <c r="A285" s="134">
        <f>PEDIDOS!B285</f>
        <v>46153</v>
      </c>
      <c r="B285" s="134" t="str">
        <f>PEDIDOS!C285</f>
        <v/>
      </c>
      <c r="C285" s="134" t="str">
        <f>PEDIDOS!D285</f>
        <v>ECOS DE HUEMUL</v>
      </c>
      <c r="D285" s="134" t="str">
        <f>PEDIDOS!E285</f>
        <v>JABON LIQUIDO CON FRAGANCIA</v>
      </c>
      <c r="E285" s="135">
        <f>PEDIDOS!G285</f>
        <v>70</v>
      </c>
      <c r="F285" s="136"/>
      <c r="G285" s="136"/>
      <c r="H285" s="137"/>
      <c r="I285" s="137"/>
      <c r="J285" s="137"/>
      <c r="K285" s="136"/>
      <c r="L285" s="136"/>
      <c r="M285" s="136"/>
    </row>
    <row r="286" ht="15.75" customHeight="1">
      <c r="A286" s="131">
        <f>PEDIDOS!B286</f>
        <v>46153</v>
      </c>
      <c r="B286" s="131" t="str">
        <f>PEDIDOS!C286</f>
        <v/>
      </c>
      <c r="C286" s="131" t="str">
        <f>PEDIDOS!D286</f>
        <v>ECOS DE HUEMUL</v>
      </c>
      <c r="D286" s="131" t="str">
        <f>PEDIDOS!E286</f>
        <v>JABON LIQUIDO CON FRAGANCIA</v>
      </c>
      <c r="E286" s="132">
        <f>PEDIDOS!G286</f>
        <v>30</v>
      </c>
      <c r="F286" s="46"/>
      <c r="G286" s="46"/>
      <c r="H286" s="45"/>
      <c r="I286" s="45"/>
      <c r="J286" s="45"/>
      <c r="K286" s="46"/>
      <c r="L286" s="46"/>
      <c r="M286" s="46"/>
    </row>
    <row r="287" ht="15.75" customHeight="1">
      <c r="A287" s="134">
        <f>PEDIDOS!B287</f>
        <v>46154</v>
      </c>
      <c r="B287" s="134" t="str">
        <f>PEDIDOS!C287</f>
        <v>#P01338</v>
      </c>
      <c r="C287" s="134" t="str">
        <f>PEDIDOS!D287</f>
        <v>BIOESENCIA</v>
      </c>
      <c r="D287" s="134" t="str">
        <f>PEDIDOS!E287</f>
        <v>JABON LIQUIDO ANTIBACTERIAL</v>
      </c>
      <c r="E287" s="135">
        <f>PEDIDOS!G287</f>
        <v>400</v>
      </c>
      <c r="F287" s="136"/>
      <c r="G287" s="136"/>
      <c r="H287" s="137"/>
      <c r="I287" s="137"/>
      <c r="J287" s="137"/>
      <c r="K287" s="136"/>
      <c r="L287" s="136"/>
      <c r="M287" s="136"/>
    </row>
    <row r="288" ht="15.75" customHeight="1">
      <c r="A288" s="131">
        <f>PEDIDOS!B288</f>
        <v>46154</v>
      </c>
      <c r="B288" s="131" t="str">
        <f>PEDIDOS!C288</f>
        <v>#P01338</v>
      </c>
      <c r="C288" s="131" t="str">
        <f>PEDIDOS!D288</f>
        <v>BIOESENCIA</v>
      </c>
      <c r="D288" s="131" t="str">
        <f>PEDIDOS!E288</f>
        <v>SHAMPOO BABY 2 EN 1 VEGAN</v>
      </c>
      <c r="E288" s="132">
        <f>PEDIDOS!G288</f>
        <v>500</v>
      </c>
      <c r="F288" s="46"/>
      <c r="G288" s="46"/>
      <c r="H288" s="45"/>
      <c r="I288" s="45"/>
      <c r="J288" s="45"/>
      <c r="K288" s="46"/>
      <c r="L288" s="46"/>
      <c r="M288" s="46"/>
    </row>
    <row r="289" ht="15.75" customHeight="1">
      <c r="A289" s="134">
        <f>PEDIDOS!B289</f>
        <v>46154</v>
      </c>
      <c r="B289" s="134" t="str">
        <f>PEDIDOS!C289</f>
        <v>#P01289</v>
      </c>
      <c r="C289" s="134" t="str">
        <f>PEDIDOS!D289</f>
        <v>BIOESENCIA</v>
      </c>
      <c r="D289" s="134" t="str">
        <f>PEDIDOS!E289</f>
        <v>CREMA PARA PEINAR</v>
      </c>
      <c r="E289" s="135">
        <f>PEDIDOS!G289</f>
        <v>1000</v>
      </c>
      <c r="F289" s="136"/>
      <c r="G289" s="136"/>
      <c r="H289" s="137"/>
      <c r="I289" s="137"/>
      <c r="J289" s="137"/>
      <c r="K289" s="136"/>
      <c r="L289" s="136"/>
      <c r="M289" s="136"/>
    </row>
    <row r="290" ht="15.75" customHeight="1">
      <c r="A290" s="131">
        <f>PEDIDOS!B290</f>
        <v>46147</v>
      </c>
      <c r="B290" s="131" t="str">
        <f>PEDIDOS!C290</f>
        <v/>
      </c>
      <c r="C290" s="131" t="str">
        <f>PEDIDOS!D290</f>
        <v>LABORATORIO ONCE</v>
      </c>
      <c r="D290" s="131" t="str">
        <f>PEDIDOS!E290</f>
        <v>SERUM AH CONCENTRADO</v>
      </c>
      <c r="E290" s="132">
        <f>PEDIDOS!G290</f>
        <v>1500</v>
      </c>
      <c r="F290" s="46"/>
      <c r="G290" s="46"/>
      <c r="H290" s="45"/>
      <c r="I290" s="45"/>
      <c r="J290" s="45"/>
      <c r="K290" s="46"/>
      <c r="L290" s="46"/>
      <c r="M290" s="46"/>
    </row>
    <row r="291" ht="15.75" customHeight="1">
      <c r="A291" s="134">
        <f>PEDIDOS!B291</f>
        <v>46147</v>
      </c>
      <c r="B291" s="134" t="str">
        <f>PEDIDOS!C291</f>
        <v/>
      </c>
      <c r="C291" s="134" t="str">
        <f>PEDIDOS!D291</f>
        <v>LABORATORIO ONCE</v>
      </c>
      <c r="D291" s="134" t="str">
        <f>PEDIDOS!E291</f>
        <v>SERUM AH + NIACI</v>
      </c>
      <c r="E291" s="135">
        <f>PEDIDOS!G291</f>
        <v>1500</v>
      </c>
      <c r="F291" s="136"/>
      <c r="G291" s="136"/>
      <c r="H291" s="137"/>
      <c r="I291" s="137"/>
      <c r="J291" s="137"/>
      <c r="K291" s="136"/>
      <c r="L291" s="136"/>
      <c r="M291" s="136"/>
    </row>
    <row r="292" ht="15.75" customHeight="1">
      <c r="A292" s="131">
        <f>PEDIDOS!B292</f>
        <v>46153</v>
      </c>
      <c r="B292" s="131">
        <f>PEDIDOS!C292</f>
        <v>14442</v>
      </c>
      <c r="C292" s="131" t="str">
        <f>PEDIDOS!D292</f>
        <v>JACTANS - DISNEY</v>
      </c>
      <c r="D292" s="131" t="str">
        <f>PEDIDOS!E292</f>
        <v>DP-50990-Perfume inf. fco Mariana x50ml/ Es. 0369RD</v>
      </c>
      <c r="E292" s="132">
        <f>PEDIDOS!G292</f>
        <v>3000</v>
      </c>
      <c r="F292" s="46"/>
      <c r="G292" s="46"/>
      <c r="H292" s="45"/>
      <c r="I292" s="45"/>
      <c r="J292" s="45"/>
      <c r="K292" s="46"/>
      <c r="L292" s="46"/>
      <c r="M292" s="46"/>
    </row>
    <row r="293" ht="15.75" customHeight="1">
      <c r="A293" s="134">
        <f>PEDIDOS!B293</f>
        <v>46153</v>
      </c>
      <c r="B293" s="134">
        <f>PEDIDOS!C293</f>
        <v>14442</v>
      </c>
      <c r="C293" s="134" t="str">
        <f>PEDIDOS!D293</f>
        <v>JACTANS - DISNEY</v>
      </c>
      <c r="D293" s="134" t="str">
        <f>PEDIDOS!E293</f>
        <v>DP-50983-Perf. infantil fco Grand Prix x55ml/Es.1192AG</v>
      </c>
      <c r="E293" s="135">
        <f>PEDIDOS!G293</f>
        <v>3000</v>
      </c>
      <c r="F293" s="136"/>
      <c r="G293" s="136"/>
      <c r="H293" s="137"/>
      <c r="I293" s="137"/>
      <c r="J293" s="137"/>
      <c r="K293" s="136"/>
      <c r="L293" s="136"/>
      <c r="M293" s="136"/>
    </row>
    <row r="294" ht="15.75" customHeight="1">
      <c r="A294" s="131">
        <f>PEDIDOS!B294</f>
        <v>46153</v>
      </c>
      <c r="B294" s="131">
        <f>PEDIDOS!C294</f>
        <v>14442</v>
      </c>
      <c r="C294" s="131" t="str">
        <f>PEDIDOS!D294</f>
        <v>JACTANS - DISNEY</v>
      </c>
      <c r="D294" s="131" t="str">
        <f>PEDIDOS!E294</f>
        <v>DP-48709-PERFUME INF fco Mariana x 50ml/Es. 0270WT</v>
      </c>
      <c r="E294" s="132">
        <f>PEDIDOS!G294</f>
        <v>2000</v>
      </c>
      <c r="F294" s="46"/>
      <c r="G294" s="46"/>
      <c r="H294" s="45"/>
      <c r="I294" s="45"/>
      <c r="J294" s="45"/>
      <c r="K294" s="46"/>
      <c r="L294" s="46"/>
      <c r="M294" s="46"/>
    </row>
    <row r="295" ht="15.75" customHeight="1">
      <c r="A295" s="134">
        <f>PEDIDOS!B295</f>
        <v>46153</v>
      </c>
      <c r="B295" s="134">
        <f>PEDIDOS!C295</f>
        <v>14442</v>
      </c>
      <c r="C295" s="134" t="str">
        <f>PEDIDOS!D295</f>
        <v>JACTANS - DISNEY</v>
      </c>
      <c r="D295" s="134" t="str">
        <f>PEDIDOS!E295</f>
        <v>DP-42103-Perfume inf.Fco cubic/memor. x50ml/Es. 0300IE</v>
      </c>
      <c r="E295" s="135">
        <f>PEDIDOS!G295</f>
        <v>2000</v>
      </c>
      <c r="F295" s="136"/>
      <c r="G295" s="136"/>
      <c r="H295" s="137"/>
      <c r="I295" s="137"/>
      <c r="J295" s="137"/>
      <c r="K295" s="136"/>
      <c r="L295" s="136"/>
      <c r="M295" s="136"/>
    </row>
    <row r="296" ht="15.75" customHeight="1">
      <c r="A296" s="131">
        <f>PEDIDOS!B296</f>
        <v>46153</v>
      </c>
      <c r="B296" s="131">
        <f>PEDIDOS!C296</f>
        <v>14441</v>
      </c>
      <c r="C296" s="131" t="str">
        <f>PEDIDOS!D296</f>
        <v>JACTANS - DISNEY</v>
      </c>
      <c r="D296" s="131" t="str">
        <f>PEDIDOS!E296</f>
        <v>DP-51263-Perf infantil fco Armani x50ml/Es. 0434TS</v>
      </c>
      <c r="E296" s="132">
        <f>PEDIDOS!G296</f>
        <v>1000</v>
      </c>
      <c r="F296" s="46"/>
      <c r="G296" s="46"/>
      <c r="H296" s="45"/>
      <c r="I296" s="45"/>
      <c r="J296" s="45"/>
      <c r="K296" s="46"/>
      <c r="L296" s="46"/>
      <c r="M296" s="46"/>
    </row>
    <row r="297" ht="15.75" customHeight="1">
      <c r="A297" s="134">
        <f>PEDIDOS!B297</f>
        <v>46153</v>
      </c>
      <c r="B297" s="134">
        <f>PEDIDOS!C297</f>
        <v>14441</v>
      </c>
      <c r="C297" s="134" t="str">
        <f>PEDIDOS!D297</f>
        <v>JACTANS - DISNEY</v>
      </c>
      <c r="D297" s="134" t="str">
        <f>PEDIDOS!E297</f>
        <v>DP-51270-Perf. infan. fco mariana x50ml/Es. 0269IN</v>
      </c>
      <c r="E297" s="135">
        <f>PEDIDOS!G297</f>
        <v>1300</v>
      </c>
      <c r="F297" s="136"/>
      <c r="G297" s="136"/>
      <c r="H297" s="137"/>
      <c r="I297" s="137"/>
      <c r="J297" s="137"/>
      <c r="K297" s="136"/>
      <c r="L297" s="136"/>
      <c r="M297" s="136"/>
    </row>
    <row r="298" ht="15.75" customHeight="1">
      <c r="A298" s="131">
        <f>PEDIDOS!B298</f>
        <v>46153</v>
      </c>
      <c r="B298" s="131">
        <f>PEDIDOS!C298</f>
        <v>14441</v>
      </c>
      <c r="C298" s="131" t="str">
        <f>PEDIDOS!D298</f>
        <v>JACTANS - DISNEY</v>
      </c>
      <c r="D298" s="131" t="str">
        <f>PEDIDOS!E298</f>
        <v>DP-51287-Perf infantil fco PVC x 65ml/Es. 0279BD</v>
      </c>
      <c r="E298" s="132">
        <f>PEDIDOS!G298</f>
        <v>1300</v>
      </c>
      <c r="F298" s="46"/>
      <c r="G298" s="46"/>
      <c r="H298" s="45"/>
      <c r="I298" s="45"/>
      <c r="J298" s="45"/>
      <c r="K298" s="46"/>
      <c r="L298" s="46"/>
      <c r="M298" s="46"/>
    </row>
    <row r="299" ht="15.75" customHeight="1">
      <c r="A299" s="134">
        <f>PEDIDOS!B299</f>
        <v>46153</v>
      </c>
      <c r="B299" s="134">
        <f>PEDIDOS!C299</f>
        <v>14441</v>
      </c>
      <c r="C299" s="134" t="str">
        <f>PEDIDOS!D299</f>
        <v>JACTANS - DISNEY</v>
      </c>
      <c r="D299" s="134" t="str">
        <f>PEDIDOS!E299</f>
        <v>DP-51294-Perfume infantil fco PVC x65ml/Es. 0429UX</v>
      </c>
      <c r="E299" s="135">
        <f>PEDIDOS!G299</f>
        <v>1300</v>
      </c>
      <c r="F299" s="136"/>
      <c r="G299" s="136"/>
      <c r="H299" s="137"/>
      <c r="I299" s="137"/>
      <c r="J299" s="137"/>
      <c r="K299" s="136"/>
      <c r="L299" s="136"/>
      <c r="M299" s="136"/>
    </row>
    <row r="300" ht="15.75" customHeight="1">
      <c r="A300" s="131">
        <f>PEDIDOS!B300</f>
        <v>46153</v>
      </c>
      <c r="B300" s="131">
        <f>PEDIDOS!C300</f>
        <v>14441</v>
      </c>
      <c r="C300" s="131" t="str">
        <f>PEDIDOS!D300</f>
        <v>JACTANS - DISNEY</v>
      </c>
      <c r="D300" s="131" t="str">
        <f>PEDIDOS!E300</f>
        <v>DP-51300-Perf infantil fco Armani x50ml/Es. 0301BG</v>
      </c>
      <c r="E300" s="132">
        <f>PEDIDOS!G300</f>
        <v>1300</v>
      </c>
      <c r="F300" s="46"/>
      <c r="G300" s="46"/>
      <c r="H300" s="45"/>
      <c r="I300" s="45"/>
      <c r="J300" s="45"/>
      <c r="K300" s="46"/>
      <c r="L300" s="46"/>
      <c r="M300" s="46"/>
    </row>
    <row r="301" ht="15.75" customHeight="1">
      <c r="A301" s="134">
        <f>PEDIDOS!B301</f>
        <v>46156</v>
      </c>
      <c r="B301" s="134">
        <f>PEDIDOS!C301</f>
        <v>797</v>
      </c>
      <c r="C301" s="134" t="str">
        <f>PEDIDOS!D301</f>
        <v>CAV</v>
      </c>
      <c r="D301" s="134" t="str">
        <f>PEDIDOS!E301</f>
        <v>SHAMPOO BIONIC X400ML</v>
      </c>
      <c r="E301" s="135">
        <f>PEDIDOS!G301</f>
        <v>400</v>
      </c>
      <c r="F301" s="136"/>
      <c r="G301" s="136"/>
      <c r="H301" s="137"/>
      <c r="I301" s="137"/>
      <c r="J301" s="137"/>
      <c r="K301" s="136"/>
      <c r="L301" s="136"/>
      <c r="M301" s="136"/>
    </row>
    <row r="302" ht="15.75" customHeight="1">
      <c r="A302" s="131">
        <f>PEDIDOS!B302</f>
        <v>46156</v>
      </c>
      <c r="B302" s="131">
        <f>PEDIDOS!C302</f>
        <v>797</v>
      </c>
      <c r="C302" s="131" t="str">
        <f>PEDIDOS!D302</f>
        <v>CAV</v>
      </c>
      <c r="D302" s="131" t="str">
        <f>PEDIDOS!E302</f>
        <v>CONDITIONER BIONIC X400ML</v>
      </c>
      <c r="E302" s="132">
        <f>PEDIDOS!G302</f>
        <v>400</v>
      </c>
      <c r="F302" s="46"/>
      <c r="G302" s="46"/>
      <c r="H302" s="45"/>
      <c r="I302" s="45"/>
      <c r="J302" s="45"/>
      <c r="K302" s="46"/>
      <c r="L302" s="46"/>
      <c r="M302" s="46"/>
    </row>
    <row r="303" ht="15.75" customHeight="1">
      <c r="A303" s="134">
        <f>PEDIDOS!B303</f>
        <v>46156</v>
      </c>
      <c r="B303" s="134">
        <f>PEDIDOS!C303</f>
        <v>15246</v>
      </c>
      <c r="C303" s="134" t="str">
        <f>PEDIDOS!D303</f>
        <v>THELMA Y LOUISE</v>
      </c>
      <c r="D303" s="134" t="str">
        <f>PEDIDOS!E303</f>
        <v>SANITIZANTE "KEEP IT CLEAN" FLORAL CRUSH - ROSA CLARO</v>
      </c>
      <c r="E303" s="135">
        <f>PEDIDOS!G303</f>
        <v>5000</v>
      </c>
      <c r="F303" s="136"/>
      <c r="G303" s="136"/>
      <c r="H303" s="137"/>
      <c r="I303" s="137"/>
      <c r="J303" s="137"/>
      <c r="K303" s="136"/>
      <c r="L303" s="136"/>
      <c r="M303" s="136"/>
    </row>
    <row r="304" ht="15.75" customHeight="1">
      <c r="A304" s="131">
        <f>PEDIDOS!B304</f>
        <v>46156</v>
      </c>
      <c r="B304" s="131">
        <f>PEDIDOS!C304</f>
        <v>15246</v>
      </c>
      <c r="C304" s="131" t="str">
        <f>PEDIDOS!D304</f>
        <v>THELMA Y LOUISE</v>
      </c>
      <c r="D304" s="131" t="str">
        <f>PEDIDOS!E304</f>
        <v>SANITIZANTE "KEEP IT CLEAN" FRUIT SMOOTHIE - CORAL</v>
      </c>
      <c r="E304" s="132">
        <f>PEDIDOS!G304</f>
        <v>5000</v>
      </c>
      <c r="F304" s="46"/>
      <c r="G304" s="46"/>
      <c r="H304" s="45"/>
      <c r="I304" s="45"/>
      <c r="J304" s="45"/>
      <c r="K304" s="46"/>
      <c r="L304" s="46"/>
      <c r="M304" s="46"/>
    </row>
    <row r="305" ht="15.75" customHeight="1">
      <c r="A305" s="134">
        <f>PEDIDOS!B305</f>
        <v>46156</v>
      </c>
      <c r="B305" s="134" t="str">
        <f>PEDIDOS!C305</f>
        <v/>
      </c>
      <c r="C305" s="134" t="str">
        <f>PEDIDOS!D305</f>
        <v>ASHA</v>
      </c>
      <c r="D305" s="134" t="str">
        <f>PEDIDOS!E305</f>
        <v>SERUM TENSOR</v>
      </c>
      <c r="E305" s="135">
        <f>PEDIDOS!G305</f>
        <v>500</v>
      </c>
      <c r="F305" s="136"/>
      <c r="G305" s="136"/>
      <c r="H305" s="137"/>
      <c r="I305" s="137"/>
      <c r="J305" s="137"/>
      <c r="K305" s="136"/>
      <c r="L305" s="136"/>
      <c r="M305" s="136"/>
    </row>
    <row r="306" ht="15.75" customHeight="1">
      <c r="A306" s="131">
        <f>PEDIDOS!B306</f>
        <v>46157</v>
      </c>
      <c r="B306" s="131" t="str">
        <f>PEDIDOS!C306</f>
        <v/>
      </c>
      <c r="C306" s="131" t="str">
        <f>PEDIDOS!D306</f>
        <v>THE GLOW FACTOR</v>
      </c>
      <c r="D306" s="131" t="str">
        <f>PEDIDOS!E306</f>
        <v>RADIANT EYES CONTORNO DE OJOS</v>
      </c>
      <c r="E306" s="132">
        <f>PEDIDOS!G306</f>
        <v>3000</v>
      </c>
      <c r="F306" s="46"/>
      <c r="G306" s="46"/>
      <c r="H306" s="45"/>
      <c r="I306" s="45"/>
      <c r="J306" s="45"/>
      <c r="K306" s="46"/>
      <c r="L306" s="46"/>
      <c r="M306" s="46"/>
    </row>
    <row r="307" ht="15.75" customHeight="1">
      <c r="A307" s="134">
        <f>PEDIDOS!B307</f>
        <v>46157</v>
      </c>
      <c r="B307" s="134" t="str">
        <f>PEDIDOS!C307</f>
        <v/>
      </c>
      <c r="C307" s="134" t="str">
        <f>PEDIDOS!D307</f>
        <v>THE GLOW FACTOR</v>
      </c>
      <c r="D307" s="134" t="str">
        <f>PEDIDOS!E307</f>
        <v>CREMA FACIAL CLARITÉ</v>
      </c>
      <c r="E307" s="135">
        <f>PEDIDOS!G307</f>
        <v>2000</v>
      </c>
      <c r="F307" s="136"/>
      <c r="G307" s="136"/>
      <c r="H307" s="137"/>
      <c r="I307" s="137"/>
      <c r="J307" s="137"/>
      <c r="K307" s="136"/>
      <c r="L307" s="136"/>
      <c r="M307" s="136"/>
    </row>
    <row r="308" ht="15.75" customHeight="1">
      <c r="A308" s="131">
        <f>PEDIDOS!B308</f>
        <v>46157</v>
      </c>
      <c r="B308" s="131">
        <f>PEDIDOS!C308</f>
        <v>15294</v>
      </c>
      <c r="C308" s="131" t="str">
        <f>PEDIDOS!D308</f>
        <v>THELMA Y LOUISE</v>
      </c>
      <c r="D308" s="131" t="str">
        <f>PEDIDOS!E308</f>
        <v>ALCOHOL EN GEL NEUTRO VAMOS ARGENTINA</v>
      </c>
      <c r="E308" s="132">
        <f>PEDIDOS!G308</f>
        <v>2000</v>
      </c>
      <c r="F308" s="46"/>
      <c r="G308" s="46"/>
      <c r="H308" s="45"/>
      <c r="I308" s="45"/>
      <c r="J308" s="45"/>
      <c r="K308" s="46"/>
      <c r="L308" s="46"/>
      <c r="M308" s="46"/>
    </row>
    <row r="309" ht="15.75" customHeight="1">
      <c r="A309" s="134">
        <f>PEDIDOS!B309</f>
        <v>46157</v>
      </c>
      <c r="B309" s="134">
        <f>PEDIDOS!C309</f>
        <v>15294</v>
      </c>
      <c r="C309" s="134" t="str">
        <f>PEDIDOS!D309</f>
        <v>THELMA Y LOUISE</v>
      </c>
      <c r="D309" s="134" t="str">
        <f>PEDIDOS!E309</f>
        <v>ALCOHOL EN GEL NEUTRO CORONADOS DE GLORIA</v>
      </c>
      <c r="E309" s="135">
        <f>PEDIDOS!G309</f>
        <v>2000</v>
      </c>
      <c r="F309" s="136"/>
      <c r="G309" s="136"/>
      <c r="H309" s="137"/>
      <c r="I309" s="137"/>
      <c r="J309" s="137"/>
      <c r="K309" s="136"/>
      <c r="L309" s="136"/>
      <c r="M309" s="136"/>
    </row>
    <row r="310" ht="15.75" customHeight="1">
      <c r="A310" s="131">
        <f>PEDIDOS!B310</f>
        <v>46157</v>
      </c>
      <c r="B310" s="131" t="str">
        <f>PEDIDOS!C310</f>
        <v/>
      </c>
      <c r="C310" s="131" t="str">
        <f>PEDIDOS!D310</f>
        <v>OSSPRET</v>
      </c>
      <c r="D310" s="131" t="str">
        <f>PEDIDOS!E310</f>
        <v>CREMA DE ORDEÑE</v>
      </c>
      <c r="E310" s="132">
        <f>PEDIDOS!G310</f>
        <v>300</v>
      </c>
      <c r="F310" s="46"/>
      <c r="G310" s="46"/>
      <c r="H310" s="45"/>
      <c r="I310" s="45"/>
      <c r="J310" s="45"/>
      <c r="K310" s="46"/>
      <c r="L310" s="46"/>
      <c r="M310" s="46"/>
    </row>
    <row r="311" ht="15.75" customHeight="1">
      <c r="A311" s="134">
        <f>PEDIDOS!B311</f>
        <v>46157</v>
      </c>
      <c r="B311" s="134" t="str">
        <f>PEDIDOS!C311</f>
        <v/>
      </c>
      <c r="C311" s="134" t="str">
        <f>PEDIDOS!D311</f>
        <v>OSSPRET</v>
      </c>
      <c r="D311" s="134" t="str">
        <f>PEDIDOS!E311</f>
        <v>CREMA BASE</v>
      </c>
      <c r="E311" s="135">
        <f>PEDIDOS!G311</f>
        <v>100</v>
      </c>
      <c r="F311" s="136"/>
      <c r="G311" s="136"/>
      <c r="H311" s="137"/>
      <c r="I311" s="137"/>
      <c r="J311" s="137"/>
      <c r="K311" s="136"/>
      <c r="L311" s="136"/>
      <c r="M311" s="136"/>
    </row>
    <row r="312" ht="15.75" customHeight="1">
      <c r="A312" s="131">
        <f>PEDIDOS!B312</f>
        <v>46163</v>
      </c>
      <c r="B312" s="131">
        <f>PEDIDOS!C312</f>
        <v>803</v>
      </c>
      <c r="C312" s="131" t="str">
        <f>PEDIDOS!D312</f>
        <v>CAV</v>
      </c>
      <c r="D312" s="131" t="str">
        <f>PEDIDOS!E312</f>
        <v>Mascara BIO Molecular X 300 ml. Vitamin Shock</v>
      </c>
      <c r="E312" s="132">
        <f>PEDIDOS!G312</f>
        <v>700</v>
      </c>
      <c r="F312" s="46"/>
      <c r="G312" s="46"/>
      <c r="H312" s="45"/>
      <c r="I312" s="45"/>
      <c r="J312" s="45"/>
      <c r="K312" s="46"/>
      <c r="L312" s="46"/>
      <c r="M312" s="46"/>
    </row>
    <row r="313" ht="15.75" customHeight="1">
      <c r="A313" s="134">
        <f>PEDIDOS!B313</f>
        <v>46163</v>
      </c>
      <c r="B313" s="134" t="str">
        <f>PEDIDOS!C313</f>
        <v/>
      </c>
      <c r="C313" s="134" t="str">
        <f>PEDIDOS!D313</f>
        <v>MURDA</v>
      </c>
      <c r="D313" s="134" t="str">
        <f>PEDIDOS!E313</f>
        <v>SERUM HIDRATANTE PARA CEJAS Y PESTAÑAS X 5 ml</v>
      </c>
      <c r="E313" s="135">
        <f>PEDIDOS!G313</f>
        <v>1500</v>
      </c>
      <c r="F313" s="136"/>
      <c r="G313" s="136"/>
      <c r="H313" s="137"/>
      <c r="I313" s="137"/>
      <c r="J313" s="137"/>
      <c r="K313" s="136"/>
      <c r="L313" s="136"/>
      <c r="M313" s="136"/>
    </row>
    <row r="314" ht="15.75" customHeight="1">
      <c r="A314" s="131">
        <f>PEDIDOS!B314</f>
        <v>46163</v>
      </c>
      <c r="B314" s="131" t="str">
        <f>PEDIDOS!C314</f>
        <v/>
      </c>
      <c r="C314" s="131" t="str">
        <f>PEDIDOS!D314</f>
        <v>MURDA</v>
      </c>
      <c r="D314" s="131" t="str">
        <f>PEDIDOS!E314</f>
        <v>SERUM HIDRATANTE PARA CEJAS Y PESTAÑAS X 30 ml</v>
      </c>
      <c r="E314" s="132">
        <f>PEDIDOS!G314</f>
        <v>1000</v>
      </c>
      <c r="F314" s="46"/>
      <c r="G314" s="46"/>
      <c r="H314" s="45"/>
      <c r="I314" s="45"/>
      <c r="J314" s="45"/>
      <c r="K314" s="46"/>
      <c r="L314" s="46"/>
      <c r="M314" s="46"/>
    </row>
    <row r="315" ht="15.75" customHeight="1">
      <c r="A315" s="134">
        <f>PEDIDOS!B315</f>
        <v>46163</v>
      </c>
      <c r="B315" s="134" t="str">
        <f>PEDIDOS!C315</f>
        <v/>
      </c>
      <c r="C315" s="134" t="str">
        <f>PEDIDOS!D315</f>
        <v>ORIGINAL BLACK</v>
      </c>
      <c r="D315" s="134" t="str">
        <f>PEDIDOS!E315</f>
        <v>POMADA MATE X50G</v>
      </c>
      <c r="E315" s="135">
        <f>PEDIDOS!G315</f>
        <v>1600</v>
      </c>
      <c r="F315" s="136"/>
      <c r="G315" s="136"/>
      <c r="H315" s="137"/>
      <c r="I315" s="137"/>
      <c r="J315" s="137"/>
      <c r="K315" s="136"/>
      <c r="L315" s="136"/>
      <c r="M315" s="136"/>
    </row>
    <row r="316" ht="15.75" customHeight="1">
      <c r="A316" s="131">
        <f>PEDIDOS!B316</f>
        <v>46163</v>
      </c>
      <c r="B316" s="131" t="str">
        <f>PEDIDOS!C316</f>
        <v/>
      </c>
      <c r="C316" s="131" t="str">
        <f>PEDIDOS!D316</f>
        <v>PROFESSIONAL BEAUTY</v>
      </c>
      <c r="D316" s="131" t="str">
        <f>PEDIDOS!E316</f>
        <v>ADVANCE ACIDO HIALURONICO 2%</v>
      </c>
      <c r="E316" s="132">
        <f>PEDIDOS!G316</f>
        <v>500</v>
      </c>
      <c r="F316" s="46"/>
      <c r="G316" s="46"/>
      <c r="H316" s="45"/>
      <c r="I316" s="45"/>
      <c r="J316" s="45"/>
      <c r="K316" s="46"/>
      <c r="L316" s="46"/>
      <c r="M316" s="46"/>
    </row>
    <row r="317" ht="15.75" customHeight="1">
      <c r="A317" s="134">
        <f>PEDIDOS!B317</f>
        <v>46163</v>
      </c>
      <c r="B317" s="134" t="str">
        <f>PEDIDOS!C317</f>
        <v/>
      </c>
      <c r="C317" s="134" t="str">
        <f>PEDIDOS!D317</f>
        <v>PROFESSIONAL BEAUTY</v>
      </c>
      <c r="D317" s="134" t="str">
        <f>PEDIDOS!E317</f>
        <v>ADVANCE ACIDO HIALURONICO 1%</v>
      </c>
      <c r="E317" s="135">
        <f>PEDIDOS!G317</f>
        <v>500</v>
      </c>
      <c r="F317" s="136"/>
      <c r="G317" s="136"/>
      <c r="H317" s="137"/>
      <c r="I317" s="137"/>
      <c r="J317" s="137"/>
      <c r="K317" s="136"/>
      <c r="L317" s="136"/>
      <c r="M317" s="136"/>
    </row>
    <row r="318" ht="15.75" customHeight="1">
      <c r="A318" s="134">
        <f>PEDIDOS!B318</f>
        <v>46163</v>
      </c>
      <c r="B318" s="134" t="str">
        <f>PEDIDOS!C318</f>
        <v/>
      </c>
      <c r="C318" s="134" t="str">
        <f>PEDIDOS!D318</f>
        <v>PROFESSIONAL BEAUTY</v>
      </c>
      <c r="D318" s="134" t="str">
        <f>PEDIDOS!E318</f>
        <v>ADVANCE DMAE 7%</v>
      </c>
      <c r="E318" s="135">
        <f>PEDIDOS!G318</f>
        <v>500</v>
      </c>
      <c r="F318" s="136"/>
      <c r="G318" s="136"/>
      <c r="H318" s="137"/>
      <c r="I318" s="137"/>
      <c r="J318" s="137"/>
      <c r="K318" s="46"/>
      <c r="L318" s="46"/>
      <c r="M318" s="46"/>
    </row>
    <row r="319" ht="15.75" customHeight="1">
      <c r="A319" s="131">
        <f>PEDIDOS!B319</f>
        <v>46163</v>
      </c>
      <c r="B319" s="131" t="str">
        <f>PEDIDOS!C319</f>
        <v/>
      </c>
      <c r="C319" s="131" t="str">
        <f>PEDIDOS!D319</f>
        <v>PROFESSIONAL BEAUTY</v>
      </c>
      <c r="D319" s="131" t="str">
        <f>PEDIDOS!E319</f>
        <v>AQUAPEEL PG2</v>
      </c>
      <c r="E319" s="132">
        <f>PEDIDOS!G319</f>
        <v>500</v>
      </c>
      <c r="F319" s="46"/>
      <c r="G319" s="46"/>
      <c r="H319" s="45"/>
      <c r="I319" s="45"/>
      <c r="J319" s="45"/>
      <c r="K319" s="136"/>
      <c r="L319" s="136"/>
      <c r="M319" s="136"/>
    </row>
    <row r="320" ht="15.75" customHeight="1">
      <c r="A320" s="134">
        <f>PEDIDOS!B320</f>
        <v>46163</v>
      </c>
      <c r="B320" s="134" t="str">
        <f>PEDIDOS!C320</f>
        <v/>
      </c>
      <c r="C320" s="134" t="str">
        <f>PEDIDOS!D320</f>
        <v>PROFESSIONAL BEAUTY</v>
      </c>
      <c r="D320" s="134" t="str">
        <f>PEDIDOS!E320</f>
        <v>ADVANCE ARG</v>
      </c>
      <c r="E320" s="135">
        <f>PEDIDOS!G320</f>
        <v>500</v>
      </c>
      <c r="F320" s="136"/>
      <c r="G320" s="136"/>
      <c r="H320" s="137"/>
      <c r="I320" s="137"/>
      <c r="J320" s="137"/>
      <c r="K320" s="46"/>
      <c r="L320" s="46"/>
      <c r="M320" s="46"/>
    </row>
    <row r="321" ht="15.75" customHeight="1">
      <c r="A321" s="131">
        <f>PEDIDOS!B321</f>
        <v>46168</v>
      </c>
      <c r="B321" s="131">
        <f>PEDIDOS!C321</f>
        <v>15303</v>
      </c>
      <c r="C321" s="131" t="str">
        <f>PEDIDOS!D321</f>
        <v>THELMA Y LOUISE</v>
      </c>
      <c r="D321" s="131" t="str">
        <f>PEDIDOS!E321</f>
        <v>ACEITE CORPORAL COCO LIMA</v>
      </c>
      <c r="E321" s="132">
        <f>PEDIDOS!G321</f>
        <v>3300</v>
      </c>
      <c r="F321" s="46"/>
      <c r="G321" s="46"/>
      <c r="H321" s="45"/>
      <c r="I321" s="45"/>
      <c r="J321" s="45"/>
      <c r="K321" s="136"/>
      <c r="L321" s="136"/>
      <c r="M321" s="136"/>
    </row>
    <row r="322" ht="15.75" customHeight="1">
      <c r="A322" s="134">
        <f>PEDIDOS!B322</f>
        <v>46160</v>
      </c>
      <c r="B322" s="134" t="str">
        <f>PEDIDOS!C322</f>
        <v/>
      </c>
      <c r="C322" s="134" t="str">
        <f>PEDIDOS!D322</f>
        <v>UNICA</v>
      </c>
      <c r="D322" s="134" t="str">
        <f>PEDIDOS!E322</f>
        <v>AGUA MICELAR</v>
      </c>
      <c r="E322" s="135">
        <f>PEDIDOS!G322</f>
        <v>500</v>
      </c>
      <c r="F322" s="136"/>
      <c r="G322" s="136"/>
      <c r="H322" s="137"/>
      <c r="I322" s="137"/>
      <c r="J322" s="137"/>
      <c r="K322" s="46"/>
      <c r="L322" s="46"/>
      <c r="M322" s="46"/>
    </row>
    <row r="323" ht="15.75" customHeight="1">
      <c r="A323" s="134">
        <f>PEDIDOS!B323</f>
        <v>46169</v>
      </c>
      <c r="B323" s="134" t="str">
        <f>PEDIDOS!C323</f>
        <v/>
      </c>
      <c r="C323" s="134" t="str">
        <f>PEDIDOS!D323</f>
        <v>COSMECEUTICALS</v>
      </c>
      <c r="D323" s="134" t="str">
        <f>PEDIDOS!E323</f>
        <v>CREMA PDND NAD+ (airless)</v>
      </c>
      <c r="E323" s="135">
        <f>PEDIDOS!G323</f>
        <v>1000</v>
      </c>
      <c r="F323" s="136"/>
      <c r="G323" s="136"/>
      <c r="H323" s="137"/>
      <c r="I323" s="137"/>
      <c r="J323" s="137"/>
      <c r="K323" s="136"/>
      <c r="L323" s="136"/>
      <c r="M323" s="136"/>
    </row>
    <row r="324" ht="15.75" customHeight="1">
      <c r="A324" s="131">
        <f>PEDIDOS!B324</f>
        <v>46169</v>
      </c>
      <c r="B324" s="131" t="str">
        <f>PEDIDOS!C324</f>
        <v/>
      </c>
      <c r="C324" s="131" t="str">
        <f>PEDIDOS!D324</f>
        <v>COSMECEUTICALS</v>
      </c>
      <c r="D324" s="131" t="str">
        <f>PEDIDOS!E324</f>
        <v>ESPUMA MICELAR</v>
      </c>
      <c r="E324" s="132">
        <f>PEDIDOS!G324</f>
        <v>1000</v>
      </c>
      <c r="F324" s="46"/>
      <c r="G324" s="46"/>
      <c r="H324" s="45"/>
      <c r="I324" s="45"/>
      <c r="J324" s="45"/>
      <c r="K324" s="46"/>
      <c r="L324" s="46"/>
      <c r="M324" s="46"/>
    </row>
    <row r="325" ht="15.75" customHeight="1">
      <c r="A325" s="134">
        <f>PEDIDOS!B325</f>
        <v>46170</v>
      </c>
      <c r="B325" s="134" t="str">
        <f>PEDIDOS!C325</f>
        <v/>
      </c>
      <c r="C325" s="134" t="str">
        <f>PEDIDOS!D325</f>
        <v>AGUEDA REY - KUNST</v>
      </c>
      <c r="D325" s="134" t="str">
        <f>PEDIDOS!E325</f>
        <v>Alisado Capilar D260021/2</v>
      </c>
      <c r="E325" s="135">
        <f>PEDIDOS!G325</f>
        <v>300</v>
      </c>
      <c r="F325" s="136"/>
      <c r="G325" s="136"/>
      <c r="H325" s="137"/>
      <c r="I325" s="137"/>
      <c r="J325" s="137"/>
      <c r="K325" s="136"/>
      <c r="L325" s="136"/>
      <c r="M325" s="136"/>
    </row>
    <row r="326" ht="15.75" customHeight="1">
      <c r="A326" s="131">
        <f>PEDIDOS!B326</f>
        <v>46170</v>
      </c>
      <c r="B326" s="131" t="str">
        <f>PEDIDOS!C326</f>
        <v/>
      </c>
      <c r="C326" s="131" t="str">
        <f>PEDIDOS!D326</f>
        <v>AGUEDA REY - KUNST</v>
      </c>
      <c r="D326" s="131" t="str">
        <f>PEDIDOS!E326</f>
        <v>Alisado Capilar D260021/2</v>
      </c>
      <c r="E326" s="132">
        <f>PEDIDOS!G326</f>
        <v>500</v>
      </c>
      <c r="F326" s="46"/>
      <c r="G326" s="46"/>
      <c r="H326" s="45"/>
      <c r="I326" s="45"/>
      <c r="J326" s="45"/>
      <c r="K326" s="46"/>
      <c r="L326" s="46"/>
      <c r="M326" s="46"/>
    </row>
    <row r="327" ht="15.75" customHeight="1">
      <c r="A327" s="134">
        <f>PEDIDOS!B327</f>
        <v>46170</v>
      </c>
      <c r="B327" s="134" t="str">
        <f>PEDIDOS!C327</f>
        <v/>
      </c>
      <c r="C327" s="134" t="str">
        <f>PEDIDOS!D327</f>
        <v>LUCENT</v>
      </c>
      <c r="D327" s="134" t="str">
        <f>PEDIDOS!E327</f>
        <v>SKIN GLOW HIDROLIZADO DE COLAGENO</v>
      </c>
      <c r="E327" s="135">
        <f>PEDIDOS!G327</f>
        <v>1000</v>
      </c>
      <c r="F327" s="136"/>
      <c r="G327" s="136"/>
      <c r="H327" s="137"/>
      <c r="I327" s="137"/>
      <c r="J327" s="137"/>
      <c r="K327" s="136"/>
      <c r="L327" s="136"/>
      <c r="M327" s="136"/>
    </row>
    <row r="328" ht="15.75" customHeight="1">
      <c r="A328" s="134">
        <f>PEDIDOS!B328</f>
        <v>46174</v>
      </c>
      <c r="B328" s="134">
        <f>PEDIDOS!C328</f>
        <v>147</v>
      </c>
      <c r="C328" s="134" t="str">
        <f>PEDIDOS!D328</f>
        <v>ICONO</v>
      </c>
      <c r="D328" s="134" t="str">
        <f>PEDIDOS!E328</f>
        <v>CREMA EQUILIBRANTE NIACINAMIDA</v>
      </c>
      <c r="E328" s="135">
        <f>PEDIDOS!G328</f>
        <v>2000</v>
      </c>
      <c r="F328" s="136"/>
      <c r="G328" s="136"/>
      <c r="H328" s="137"/>
      <c r="I328" s="137"/>
      <c r="J328" s="137"/>
      <c r="K328" s="46"/>
      <c r="L328" s="46"/>
      <c r="M328" s="46"/>
    </row>
    <row r="329" ht="15.75" customHeight="1">
      <c r="A329" s="131">
        <f>PEDIDOS!B329</f>
        <v>46174</v>
      </c>
      <c r="B329" s="131">
        <f>PEDIDOS!C329</f>
        <v>147</v>
      </c>
      <c r="C329" s="131" t="str">
        <f>PEDIDOS!D329</f>
        <v>ICONO</v>
      </c>
      <c r="D329" s="131" t="str">
        <f>PEDIDOS!E329</f>
        <v>MASCARA DESINCRUSTANTE DE PAPAYA x 250GR.</v>
      </c>
      <c r="E329" s="132">
        <f>PEDIDOS!G329</f>
        <v>3000</v>
      </c>
      <c r="F329" s="46"/>
      <c r="G329" s="46"/>
      <c r="H329" s="45"/>
      <c r="I329" s="45"/>
      <c r="J329" s="45"/>
      <c r="K329" s="136"/>
      <c r="L329" s="136"/>
      <c r="M329" s="136"/>
    </row>
    <row r="330" ht="15.75" customHeight="1">
      <c r="A330" s="134">
        <f>PEDIDOS!B330</f>
        <v>46174</v>
      </c>
      <c r="B330" s="134" t="str">
        <f>PEDIDOS!C330</f>
        <v>#P01362</v>
      </c>
      <c r="C330" s="134" t="str">
        <f>PEDIDOS!D330</f>
        <v>BIOESENCIA</v>
      </c>
      <c r="D330" s="134" t="str">
        <f>PEDIDOS!E330</f>
        <v>GEL DE LIMPIEZA VEGAN</v>
      </c>
      <c r="E330" s="135">
        <f>PEDIDOS!G330</f>
        <v>1000</v>
      </c>
      <c r="F330" s="136"/>
      <c r="G330" s="136"/>
      <c r="H330" s="137"/>
      <c r="I330" s="137"/>
      <c r="J330" s="137"/>
      <c r="K330" s="46"/>
      <c r="L330" s="46"/>
      <c r="M330" s="46"/>
    </row>
    <row r="331" ht="15.75" customHeight="1">
      <c r="A331" s="131">
        <f>PEDIDOS!B331</f>
        <v>46174</v>
      </c>
      <c r="B331" s="131" t="str">
        <f>PEDIDOS!C331</f>
        <v>#P01362</v>
      </c>
      <c r="C331" s="131" t="str">
        <f>PEDIDOS!D331</f>
        <v>BIOESENCIA</v>
      </c>
      <c r="D331" s="131" t="str">
        <f>PEDIDOS!E331</f>
        <v>CREMA DIA ORIGENES</v>
      </c>
      <c r="E331" s="132">
        <f>PEDIDOS!G331</f>
        <v>1000</v>
      </c>
      <c r="F331" s="46"/>
      <c r="G331" s="46"/>
      <c r="H331" s="45"/>
      <c r="I331" s="45"/>
      <c r="J331" s="45"/>
      <c r="K331" s="136"/>
      <c r="L331" s="136"/>
      <c r="M331" s="136"/>
    </row>
    <row r="332" ht="15.75" customHeight="1">
      <c r="A332" s="134">
        <f>PEDIDOS!B332</f>
        <v>46174</v>
      </c>
      <c r="B332" s="134" t="str">
        <f>PEDIDOS!C332</f>
        <v>#P01362</v>
      </c>
      <c r="C332" s="134" t="str">
        <f>PEDIDOS!D332</f>
        <v>BIOESENCIA</v>
      </c>
      <c r="D332" s="134" t="str">
        <f>PEDIDOS!E332</f>
        <v>CREMA MEN INTENSIVE CARE</v>
      </c>
      <c r="E332" s="135">
        <f>PEDIDOS!G332</f>
        <v>1000</v>
      </c>
      <c r="F332" s="136"/>
      <c r="G332" s="136"/>
      <c r="H332" s="137"/>
      <c r="I332" s="137"/>
      <c r="J332" s="137"/>
      <c r="K332" s="46"/>
      <c r="L332" s="46"/>
      <c r="M332" s="46"/>
    </row>
    <row r="333" ht="15.75" customHeight="1">
      <c r="A333" s="134">
        <f>PEDIDOS!B333</f>
        <v>46169</v>
      </c>
      <c r="B333" s="134" t="str">
        <f>PEDIDOS!C333</f>
        <v>10A</v>
      </c>
      <c r="C333" s="134" t="str">
        <f>PEDIDOS!D333</f>
        <v>ORIGINAL BLACK</v>
      </c>
      <c r="D333" s="134" t="str">
        <f>PEDIDOS!E333</f>
        <v>AFTER SHAVE AZUL</v>
      </c>
      <c r="E333" s="135">
        <f>PEDIDOS!G333</f>
        <v>4000</v>
      </c>
      <c r="F333" s="136"/>
      <c r="G333" s="136"/>
      <c r="H333" s="137"/>
      <c r="I333" s="137"/>
      <c r="J333" s="137"/>
      <c r="K333" s="136"/>
      <c r="L333" s="136"/>
      <c r="M333" s="136"/>
    </row>
    <row r="334" ht="15.75" customHeight="1">
      <c r="A334" s="131">
        <f>PEDIDOS!B334</f>
        <v>46169</v>
      </c>
      <c r="B334" s="131" t="str">
        <f>PEDIDOS!C334</f>
        <v>10A</v>
      </c>
      <c r="C334" s="131" t="str">
        <f>PEDIDOS!D334</f>
        <v>ORIGINAL BLACK</v>
      </c>
      <c r="D334" s="131" t="str">
        <f>PEDIDOS!E334</f>
        <v>AFTER SHAVE VERDE</v>
      </c>
      <c r="E334" s="132">
        <f>PEDIDOS!G334</f>
        <v>2000</v>
      </c>
      <c r="F334" s="46"/>
      <c r="G334" s="46"/>
      <c r="H334" s="45"/>
      <c r="I334" s="45"/>
      <c r="J334" s="45"/>
      <c r="K334" s="46"/>
      <c r="L334" s="46"/>
      <c r="M334" s="46"/>
    </row>
    <row r="335" ht="15.75" customHeight="1">
      <c r="A335" s="134">
        <f>PEDIDOS!B335</f>
        <v>46169</v>
      </c>
      <c r="B335" s="134" t="str">
        <f>PEDIDOS!C335</f>
        <v>10A</v>
      </c>
      <c r="C335" s="134" t="str">
        <f>PEDIDOS!D335</f>
        <v>ORIGINAL BLACK</v>
      </c>
      <c r="D335" s="134" t="str">
        <f>PEDIDOS!E335</f>
        <v>AFTER SHAVE VIOLETA</v>
      </c>
      <c r="E335" s="135">
        <f>PEDIDOS!G335</f>
        <v>4000</v>
      </c>
      <c r="F335" s="136"/>
      <c r="G335" s="136"/>
      <c r="H335" s="137"/>
      <c r="I335" s="137"/>
      <c r="J335" s="137"/>
      <c r="K335" s="136"/>
      <c r="L335" s="136"/>
      <c r="M335" s="136"/>
    </row>
    <row r="336" ht="15.75" customHeight="1">
      <c r="A336" s="131">
        <f>PEDIDOS!B336</f>
        <v>46181</v>
      </c>
      <c r="B336" s="131">
        <f>PEDIDOS!C336</f>
        <v>1090</v>
      </c>
      <c r="C336" s="131" t="str">
        <f>PEDIDOS!D336</f>
        <v>NIZA</v>
      </c>
      <c r="D336" s="131" t="str">
        <f>PEDIDOS!E336</f>
        <v>AQUA BOMB RICH X 250 ML</v>
      </c>
      <c r="E336" s="132">
        <f>PEDIDOS!G336</f>
        <v>300</v>
      </c>
      <c r="F336" s="46"/>
      <c r="G336" s="46"/>
      <c r="H336" s="45"/>
      <c r="I336" s="45"/>
      <c r="J336" s="45"/>
      <c r="K336" s="46"/>
      <c r="L336" s="46"/>
      <c r="M336" s="46"/>
    </row>
    <row r="337" ht="15.75" customHeight="1">
      <c r="A337" s="134">
        <f>PEDIDOS!B337</f>
        <v>46181</v>
      </c>
      <c r="B337" s="134">
        <f>PEDIDOS!C337</f>
        <v>1090</v>
      </c>
      <c r="C337" s="134" t="str">
        <f>PEDIDOS!D337</f>
        <v>NIZA</v>
      </c>
      <c r="D337" s="134" t="str">
        <f>PEDIDOS!E337</f>
        <v>MIXOLOGY DESVITALIZADA X300ML</v>
      </c>
      <c r="E337" s="135">
        <f>PEDIDOS!G337</f>
        <v>300</v>
      </c>
      <c r="F337" s="136"/>
      <c r="G337" s="136"/>
      <c r="H337" s="137"/>
      <c r="I337" s="137"/>
      <c r="J337" s="137"/>
      <c r="K337" s="136"/>
      <c r="L337" s="136"/>
      <c r="M337" s="136"/>
    </row>
    <row r="338" ht="15.75" customHeight="1">
      <c r="A338" s="134">
        <f>PEDIDOS!B338</f>
        <v>46181</v>
      </c>
      <c r="B338" s="134">
        <f>PEDIDOS!C338</f>
        <v>1090</v>
      </c>
      <c r="C338" s="134" t="str">
        <f>PEDIDOS!D338</f>
        <v>NIZA</v>
      </c>
      <c r="D338" s="134" t="str">
        <f>PEDIDOS!E338</f>
        <v>PROBIOTONIC BALANCE X500ML</v>
      </c>
      <c r="E338" s="135">
        <f>PEDIDOS!G338</f>
        <v>300</v>
      </c>
      <c r="F338" s="136"/>
      <c r="G338" s="136"/>
      <c r="H338" s="137"/>
      <c r="I338" s="137"/>
      <c r="J338" s="137"/>
      <c r="K338" s="46"/>
      <c r="L338" s="46"/>
      <c r="M338" s="46"/>
    </row>
    <row r="339" ht="15.75" customHeight="1">
      <c r="A339" s="131">
        <f>PEDIDOS!B339</f>
        <v>46181</v>
      </c>
      <c r="B339" s="131">
        <f>PEDIDOS!C339</f>
        <v>1090</v>
      </c>
      <c r="C339" s="131" t="str">
        <f>PEDIDOS!D339</f>
        <v>NIZA</v>
      </c>
      <c r="D339" s="131" t="str">
        <f>PEDIDOS!E339</f>
        <v>PROBIOTONIC HYDRA X500ML</v>
      </c>
      <c r="E339" s="132">
        <f>PEDIDOS!G339</f>
        <v>300</v>
      </c>
      <c r="F339" s="46"/>
      <c r="G339" s="46"/>
      <c r="H339" s="45"/>
      <c r="I339" s="45"/>
      <c r="J339" s="45"/>
      <c r="K339" s="136"/>
      <c r="L339" s="136"/>
      <c r="M339" s="136"/>
    </row>
    <row r="340" ht="15.75" customHeight="1">
      <c r="A340" s="134">
        <f>PEDIDOS!B340</f>
        <v>46178</v>
      </c>
      <c r="B340" s="134" t="str">
        <f>PEDIDOS!C340</f>
        <v/>
      </c>
      <c r="C340" s="134" t="str">
        <f>PEDIDOS!D340</f>
        <v>THELMA Y LOUISE</v>
      </c>
      <c r="D340" s="134" t="str">
        <f>PEDIDOS!E340</f>
        <v>ALCOHOL EN GEL TYL CHERRY</v>
      </c>
      <c r="E340" s="135">
        <f>PEDIDOS!G340</f>
        <v>5000</v>
      </c>
      <c r="F340" s="136"/>
      <c r="G340" s="136"/>
      <c r="H340" s="137"/>
      <c r="I340" s="137"/>
      <c r="J340" s="137"/>
      <c r="K340" s="46"/>
      <c r="L340" s="46"/>
      <c r="M340" s="46"/>
    </row>
    <row r="341" ht="15.75" customHeight="1">
      <c r="A341" s="131">
        <f>PEDIDOS!B341</f>
        <v>46178</v>
      </c>
      <c r="B341" s="131" t="str">
        <f>PEDIDOS!C341</f>
        <v/>
      </c>
      <c r="C341" s="131" t="str">
        <f>PEDIDOS!D341</f>
        <v>THELMA Y LOUISE</v>
      </c>
      <c r="D341" s="131" t="str">
        <f>PEDIDOS!E341</f>
        <v>ALCOHOL EN GEL TYL FRUTILLA</v>
      </c>
      <c r="E341" s="132">
        <f>PEDIDOS!G341</f>
        <v>5000</v>
      </c>
      <c r="F341" s="46"/>
      <c r="G341" s="46"/>
      <c r="H341" s="45"/>
      <c r="I341" s="45"/>
      <c r="J341" s="45"/>
      <c r="K341" s="136"/>
      <c r="L341" s="136"/>
      <c r="M341" s="136"/>
    </row>
    <row r="342" ht="15.75" customHeight="1">
      <c r="A342" s="134">
        <f>PEDIDOS!B342</f>
        <v>46181</v>
      </c>
      <c r="B342" s="134" t="str">
        <f>PEDIDOS!C342</f>
        <v>N° .0703240143</v>
      </c>
      <c r="C342" s="134" t="str">
        <f>PEDIDOS!D342</f>
        <v>BENNIE</v>
      </c>
      <c r="D342" s="134" t="str">
        <f>PEDIDOS!E342</f>
        <v>SERUM BOOBIE DROPS</v>
      </c>
      <c r="E342" s="135">
        <f>PEDIDOS!G342</f>
        <v>2100</v>
      </c>
      <c r="F342" s="136"/>
      <c r="G342" s="136"/>
      <c r="H342" s="137"/>
      <c r="I342" s="137"/>
      <c r="J342" s="137"/>
      <c r="K342" s="46"/>
      <c r="L342" s="46"/>
      <c r="M342" s="46"/>
    </row>
    <row r="343" ht="15.75" customHeight="1">
      <c r="A343" s="134">
        <f>PEDIDOS!B343</f>
        <v>46182</v>
      </c>
      <c r="B343" s="134" t="str">
        <f>PEDIDOS!C343</f>
        <v/>
      </c>
      <c r="C343" s="134" t="str">
        <f>PEDIDOS!D343</f>
        <v>CRISLY</v>
      </c>
      <c r="D343" s="134" t="str">
        <f>PEDIDOS!E343</f>
        <v>LECHE EMOLIENTE AVENA</v>
      </c>
      <c r="E343" s="135">
        <f>PEDIDOS!G343</f>
        <v>500</v>
      </c>
      <c r="F343" s="136"/>
      <c r="G343" s="136"/>
      <c r="H343" s="137"/>
      <c r="I343" s="137"/>
      <c r="J343" s="137"/>
      <c r="K343" s="136"/>
      <c r="L343" s="136"/>
      <c r="M343" s="136"/>
    </row>
    <row r="344" ht="15.75" customHeight="1">
      <c r="A344" s="131">
        <f>PEDIDOS!B344</f>
        <v>46174</v>
      </c>
      <c r="B344" s="131" t="str">
        <f>PEDIDOS!C344</f>
        <v>10B</v>
      </c>
      <c r="C344" s="131" t="str">
        <f>PEDIDOS!D344</f>
        <v>ORIGINAL BLACK</v>
      </c>
      <c r="D344" s="131" t="str">
        <f>PEDIDOS!E344</f>
        <v>AFTER SHAVE AZUL</v>
      </c>
      <c r="E344" s="132">
        <f>PEDIDOS!G344</f>
        <v>4000</v>
      </c>
      <c r="F344" s="46"/>
      <c r="G344" s="46"/>
      <c r="H344" s="45"/>
      <c r="I344" s="45"/>
      <c r="J344" s="45"/>
      <c r="K344" s="46"/>
      <c r="L344" s="46"/>
      <c r="M344" s="46"/>
    </row>
    <row r="345" ht="15.75" customHeight="1">
      <c r="A345" s="134">
        <f>PEDIDOS!B345</f>
        <v>46174</v>
      </c>
      <c r="B345" s="134" t="str">
        <f>PEDIDOS!C345</f>
        <v>10B</v>
      </c>
      <c r="C345" s="134" t="str">
        <f>PEDIDOS!D345</f>
        <v>ORIGINAL BLACK</v>
      </c>
      <c r="D345" s="134" t="str">
        <f>PEDIDOS!E345</f>
        <v>AFTER SHAVE VERDE</v>
      </c>
      <c r="E345" s="135">
        <f>PEDIDOS!G345</f>
        <v>2000</v>
      </c>
      <c r="F345" s="136"/>
      <c r="G345" s="136"/>
      <c r="H345" s="137"/>
      <c r="I345" s="137"/>
      <c r="J345" s="137"/>
      <c r="K345" s="136"/>
      <c r="L345" s="136"/>
      <c r="M345" s="136"/>
    </row>
    <row r="346" ht="15.75" customHeight="1">
      <c r="A346" s="131">
        <f>PEDIDOS!B346</f>
        <v>46174</v>
      </c>
      <c r="B346" s="131" t="str">
        <f>PEDIDOS!C346</f>
        <v>10B</v>
      </c>
      <c r="C346" s="131" t="str">
        <f>PEDIDOS!D346</f>
        <v>ORIGINAL BLACK</v>
      </c>
      <c r="D346" s="131" t="str">
        <f>PEDIDOS!E346</f>
        <v>AFTER SHAVE VIOLETA</v>
      </c>
      <c r="E346" s="132">
        <f>PEDIDOS!G346</f>
        <v>4000</v>
      </c>
      <c r="F346" s="46"/>
      <c r="G346" s="46"/>
      <c r="H346" s="45"/>
      <c r="I346" s="45"/>
      <c r="J346" s="45"/>
      <c r="K346" s="46"/>
      <c r="L346" s="46"/>
      <c r="M346" s="46"/>
    </row>
    <row r="347" ht="15.75" customHeight="1">
      <c r="A347" s="134">
        <f>PEDIDOS!B347</f>
        <v>46178</v>
      </c>
      <c r="B347" s="134" t="str">
        <f>PEDIDOS!C347</f>
        <v/>
      </c>
      <c r="C347" s="134" t="str">
        <f>PEDIDOS!D347</f>
        <v>BL COSMETICS</v>
      </c>
      <c r="D347" s="134" t="str">
        <f>PEDIDOS!E347</f>
        <v>ALISADO EXPERT </v>
      </c>
      <c r="E347" s="135">
        <f>PEDIDOS!G347</f>
        <v>3000</v>
      </c>
      <c r="F347" s="136"/>
      <c r="G347" s="136"/>
      <c r="H347" s="137"/>
      <c r="I347" s="137"/>
      <c r="J347" s="137"/>
      <c r="K347" s="136"/>
      <c r="L347" s="136"/>
      <c r="M347" s="136"/>
    </row>
    <row r="348" ht="15.75" customHeight="1">
      <c r="A348" s="134">
        <f>PEDIDOS!B348</f>
        <v>46183</v>
      </c>
      <c r="B348" s="134">
        <f>PEDIDOS!C348</f>
        <v>6455</v>
      </c>
      <c r="C348" s="134" t="str">
        <f>PEDIDOS!D348</f>
        <v>HEBURN</v>
      </c>
      <c r="D348" s="134" t="str">
        <f>PEDIDOS!E348</f>
        <v>BRUMA FIJADORA DE MAQUILLAJE</v>
      </c>
      <c r="E348" s="135">
        <f>PEDIDOS!G348</f>
        <v>1000</v>
      </c>
      <c r="F348" s="136"/>
      <c r="G348" s="136"/>
      <c r="H348" s="137"/>
      <c r="I348" s="137"/>
      <c r="J348" s="137"/>
      <c r="K348" s="46"/>
      <c r="L348" s="46"/>
      <c r="M348" s="46"/>
    </row>
    <row r="349" ht="15.75" customHeight="1">
      <c r="A349" s="131">
        <f>PEDIDOS!B349</f>
        <v>46183</v>
      </c>
      <c r="B349" s="131">
        <f>PEDIDOS!C349</f>
        <v>14474</v>
      </c>
      <c r="C349" s="131" t="str">
        <f>PEDIDOS!D349</f>
        <v>JACTANS - DISNEY</v>
      </c>
      <c r="D349" s="131" t="str">
        <f>PEDIDOS!E349</f>
        <v>DL-019-Laca infantil ROSA (+6)</v>
      </c>
      <c r="E349" s="132">
        <f>PEDIDOS!G349</f>
        <v>10</v>
      </c>
      <c r="F349" s="46"/>
      <c r="G349" s="46"/>
      <c r="H349" s="45"/>
      <c r="I349" s="45"/>
      <c r="J349" s="45"/>
      <c r="K349" s="136"/>
      <c r="L349" s="136"/>
      <c r="M349" s="136"/>
    </row>
    <row r="350" ht="15.75" customHeight="1">
      <c r="A350" s="134">
        <f>PEDIDOS!B350</f>
        <v>46183</v>
      </c>
      <c r="B350" s="134">
        <f>PEDIDOS!C350</f>
        <v>14474</v>
      </c>
      <c r="C350" s="134" t="str">
        <f>PEDIDOS!D350</f>
        <v>JACTANS - DISNEY</v>
      </c>
      <c r="D350" s="134" t="str">
        <f>PEDIDOS!E350</f>
        <v>DL-021-Laca infantil CELESTE (+6)</v>
      </c>
      <c r="E350" s="135">
        <f>PEDIDOS!G350</f>
        <v>10</v>
      </c>
      <c r="F350" s="136"/>
      <c r="G350" s="136"/>
      <c r="H350" s="137"/>
      <c r="I350" s="137"/>
      <c r="J350" s="137"/>
      <c r="K350" s="46"/>
      <c r="L350" s="46"/>
      <c r="M350" s="46"/>
    </row>
    <row r="351" ht="15.75" customHeight="1">
      <c r="A351" s="131">
        <f>PEDIDOS!B351</f>
        <v>46183</v>
      </c>
      <c r="B351" s="131">
        <f>PEDIDOS!C351</f>
        <v>14474</v>
      </c>
      <c r="C351" s="131" t="str">
        <f>PEDIDOS!D351</f>
        <v>JACTANS - DISNEY</v>
      </c>
      <c r="D351" s="131" t="str">
        <f>PEDIDOS!E351</f>
        <v>DL-020-Laca infantil CORAL (+6)</v>
      </c>
      <c r="E351" s="132">
        <f>PEDIDOS!G351</f>
        <v>20</v>
      </c>
      <c r="F351" s="46"/>
      <c r="G351" s="46"/>
      <c r="H351" s="45"/>
      <c r="I351" s="45"/>
      <c r="J351" s="45"/>
      <c r="K351" s="136"/>
      <c r="L351" s="136"/>
      <c r="M351" s="136"/>
    </row>
    <row r="352" ht="15.75" customHeight="1">
      <c r="A352" s="134">
        <f>PEDIDOS!B352</f>
        <v>46183</v>
      </c>
      <c r="B352" s="134">
        <f>PEDIDOS!C352</f>
        <v>14474</v>
      </c>
      <c r="C352" s="134" t="str">
        <f>PEDIDOS!D352</f>
        <v>JACTANS - DISNEY</v>
      </c>
      <c r="D352" s="134" t="str">
        <f>PEDIDOS!E352</f>
        <v>DL-022-Laca infantil TURQUESA (+6)</v>
      </c>
      <c r="E352" s="135">
        <f>PEDIDOS!G352</f>
        <v>20</v>
      </c>
      <c r="F352" s="136"/>
      <c r="G352" s="136"/>
      <c r="H352" s="137"/>
      <c r="I352" s="137"/>
      <c r="J352" s="137"/>
      <c r="K352" s="46"/>
      <c r="L352" s="46"/>
      <c r="M352" s="46"/>
    </row>
    <row r="353" ht="15.75" customHeight="1">
      <c r="A353" s="134">
        <f>PEDIDOS!B353</f>
        <v>46183</v>
      </c>
      <c r="B353" s="134">
        <f>PEDIDOS!C353</f>
        <v>14463</v>
      </c>
      <c r="C353" s="134" t="str">
        <f>PEDIDOS!D353</f>
        <v>JACTANS - DISNEY</v>
      </c>
      <c r="D353" s="134" t="str">
        <f>PEDIDOS!E353</f>
        <v>DP-46583-Perfume infantil fco pvc x65ml/Es. 0298RK</v>
      </c>
      <c r="E353" s="135">
        <f>PEDIDOS!G353</f>
        <v>1500</v>
      </c>
      <c r="F353" s="136"/>
      <c r="G353" s="136"/>
      <c r="H353" s="137"/>
      <c r="I353" s="137"/>
      <c r="J353" s="137"/>
      <c r="K353" s="136"/>
      <c r="L353" s="136"/>
      <c r="M353" s="136"/>
    </row>
    <row r="354" ht="15.75" customHeight="1">
      <c r="A354" s="131">
        <f>PEDIDOS!B354</f>
        <v>46183</v>
      </c>
      <c r="B354" s="131">
        <f>PEDIDOS!C354</f>
        <v>14463</v>
      </c>
      <c r="C354" s="131" t="str">
        <f>PEDIDOS!D354</f>
        <v>JACTANS - DISNEY</v>
      </c>
      <c r="D354" s="131" t="str">
        <f>PEDIDOS!E354</f>
        <v>DP-48617.1-Perf inf Fco Armani x50ml/Es. 0278LS</v>
      </c>
      <c r="E354" s="132">
        <f>PEDIDOS!G354</f>
        <v>1500</v>
      </c>
      <c r="F354" s="46"/>
      <c r="G354" s="46"/>
      <c r="H354" s="45"/>
      <c r="I354" s="45"/>
      <c r="J354" s="45"/>
      <c r="K354" s="46"/>
      <c r="L354" s="46"/>
      <c r="M354" s="46"/>
    </row>
    <row r="355" ht="15.75" customHeight="1">
      <c r="A355" s="134">
        <f>PEDIDOS!B355</f>
        <v>46183</v>
      </c>
      <c r="B355" s="134">
        <f>PEDIDOS!C355</f>
        <v>14463</v>
      </c>
      <c r="C355" s="134" t="str">
        <f>PEDIDOS!D355</f>
        <v>JACTANS - DISNEY</v>
      </c>
      <c r="D355" s="134" t="str">
        <f>PEDIDOS!E355</f>
        <v>DP-48624.1-Perfume inf. fco. Armani x50ml/Es. 0278LS</v>
      </c>
      <c r="E355" s="135">
        <f>PEDIDOS!G355</f>
        <v>1500</v>
      </c>
      <c r="F355" s="136"/>
      <c r="G355" s="136"/>
      <c r="H355" s="137"/>
      <c r="I355" s="137"/>
      <c r="J355" s="137"/>
      <c r="K355" s="136"/>
      <c r="L355" s="136"/>
      <c r="M355" s="136"/>
    </row>
    <row r="356" ht="15.75" customHeight="1">
      <c r="A356" s="131">
        <f>PEDIDOS!B356</f>
        <v>46183</v>
      </c>
      <c r="B356" s="131">
        <f>PEDIDOS!C356</f>
        <v>14463</v>
      </c>
      <c r="C356" s="131" t="str">
        <f>PEDIDOS!D356</f>
        <v>JACTANS - DISNEY</v>
      </c>
      <c r="D356" s="131" t="str">
        <f>PEDIDOS!E356</f>
        <v>DP-48631.1-Perf inf fco armani x50ml / ES 20-0264AN</v>
      </c>
      <c r="E356" s="132">
        <f>PEDIDOS!G356</f>
        <v>1500</v>
      </c>
      <c r="F356" s="46"/>
      <c r="G356" s="46"/>
      <c r="H356" s="45"/>
      <c r="I356" s="45"/>
      <c r="J356" s="45"/>
      <c r="K356" s="46"/>
      <c r="L356" s="46"/>
      <c r="M356" s="46"/>
    </row>
    <row r="357" ht="15.75" customHeight="1">
      <c r="A357" s="134">
        <f>PEDIDOS!B357</f>
        <v>46183</v>
      </c>
      <c r="B357" s="134">
        <f>PEDIDOS!C357</f>
        <v>14463</v>
      </c>
      <c r="C357" s="134" t="str">
        <f>PEDIDOS!D357</f>
        <v>JACTANS - DISNEY</v>
      </c>
      <c r="D357" s="134" t="str">
        <f>PEDIDOS!E357</f>
        <v>DP-48679-Perf. inf. fco Mariana x50ml/Es. 0269IN</v>
      </c>
      <c r="E357" s="135">
        <f>PEDIDOS!G357</f>
        <v>1500</v>
      </c>
      <c r="F357" s="136"/>
      <c r="G357" s="136"/>
      <c r="H357" s="137"/>
      <c r="I357" s="137"/>
      <c r="J357" s="137"/>
      <c r="K357" s="136"/>
      <c r="L357" s="136"/>
      <c r="M357" s="136"/>
    </row>
    <row r="358" ht="15.75" customHeight="1">
      <c r="A358" s="134">
        <f>PEDIDOS!B358</f>
        <v>46183</v>
      </c>
      <c r="B358" s="134">
        <f>PEDIDOS!C358</f>
        <v>14463</v>
      </c>
      <c r="C358" s="134" t="str">
        <f>PEDIDOS!D358</f>
        <v>JACTANS - DISNEY</v>
      </c>
      <c r="D358" s="134" t="str">
        <f>PEDIDOS!E358</f>
        <v>DP-48686-Perf. inf. Fco Mariana x50ml  0270WT</v>
      </c>
      <c r="E358" s="135">
        <f>PEDIDOS!G358</f>
        <v>1500</v>
      </c>
      <c r="F358" s="136"/>
      <c r="G358" s="136"/>
      <c r="H358" s="137"/>
      <c r="I358" s="137"/>
      <c r="J358" s="137"/>
      <c r="K358" s="46"/>
      <c r="L358" s="46"/>
      <c r="M358" s="46"/>
    </row>
    <row r="359" ht="15.75" customHeight="1">
      <c r="A359" s="131">
        <f>PEDIDOS!B359</f>
        <v>46183</v>
      </c>
      <c r="B359" s="131">
        <f>PEDIDOS!C359</f>
        <v>14463</v>
      </c>
      <c r="C359" s="131" t="str">
        <f>PEDIDOS!D359</f>
        <v>JACTANS - DISNEY</v>
      </c>
      <c r="D359" s="131" t="str">
        <f>PEDIDOS!E359</f>
        <v>DP-49737-Perf. inf. Fco Mariana x50ml  0269IN</v>
      </c>
      <c r="E359" s="132">
        <f>PEDIDOS!G359</f>
        <v>1500</v>
      </c>
      <c r="F359" s="46"/>
      <c r="G359" s="46"/>
      <c r="H359" s="45"/>
      <c r="I359" s="45"/>
      <c r="J359" s="45"/>
      <c r="K359" s="136"/>
      <c r="L359" s="136"/>
      <c r="M359" s="136"/>
    </row>
    <row r="360" ht="15.75" customHeight="1">
      <c r="A360" s="134">
        <f>PEDIDOS!B360</f>
        <v>46183</v>
      </c>
      <c r="B360" s="134">
        <f>PEDIDOS!C360</f>
        <v>14463</v>
      </c>
      <c r="C360" s="134" t="str">
        <f>PEDIDOS!D360</f>
        <v>JACTANS - DISNEY</v>
      </c>
      <c r="D360" s="134" t="str">
        <f>PEDIDOS!E360</f>
        <v>DP-50617-Perfume inf. fco silueta pvc x45ml  0368PB</v>
      </c>
      <c r="E360" s="135">
        <f>PEDIDOS!G360</f>
        <v>2000</v>
      </c>
      <c r="F360" s="136"/>
      <c r="G360" s="136"/>
      <c r="H360" s="137"/>
      <c r="I360" s="137"/>
      <c r="J360" s="137"/>
      <c r="K360" s="46"/>
      <c r="L360" s="46"/>
      <c r="M360" s="46"/>
    </row>
    <row r="361" ht="15.75" customHeight="1">
      <c r="A361" s="131">
        <f>PEDIDOS!B361</f>
        <v>46183</v>
      </c>
      <c r="B361" s="131">
        <f>PEDIDOS!C361</f>
        <v>14463</v>
      </c>
      <c r="C361" s="131" t="str">
        <f>PEDIDOS!D361</f>
        <v>JACTANS - DISNEY</v>
      </c>
      <c r="D361" s="131" t="str">
        <f>PEDIDOS!E361</f>
        <v>DP-50662-Perfume inf. fco Eugenia x50ML/Es. 0369RD</v>
      </c>
      <c r="E361" s="132">
        <f>PEDIDOS!G361</f>
        <v>1500</v>
      </c>
      <c r="F361" s="46"/>
      <c r="G361" s="46"/>
      <c r="H361" s="45"/>
      <c r="I361" s="45"/>
      <c r="J361" s="45"/>
      <c r="K361" s="136"/>
      <c r="L361" s="136"/>
      <c r="M361" s="136"/>
    </row>
    <row r="362" ht="15.75" customHeight="1">
      <c r="A362" s="134">
        <f>PEDIDOS!B362</f>
        <v>46183</v>
      </c>
      <c r="B362" s="134">
        <f>PEDIDOS!C362</f>
        <v>14463</v>
      </c>
      <c r="C362" s="134" t="str">
        <f>PEDIDOS!D362</f>
        <v>JACTANS - DISNEY</v>
      </c>
      <c r="D362" s="134" t="str">
        <f>PEDIDOS!E362</f>
        <v>DP-50815-Perfume inf. fco silueta pvc x45ML  0367AG</v>
      </c>
      <c r="E362" s="135">
        <f>PEDIDOS!G362</f>
        <v>2000</v>
      </c>
      <c r="F362" s="136"/>
      <c r="G362" s="136"/>
      <c r="H362" s="137"/>
      <c r="I362" s="137"/>
      <c r="J362" s="137"/>
      <c r="K362" s="46"/>
      <c r="L362" s="46"/>
      <c r="M362" s="46"/>
    </row>
    <row r="363" ht="15.75" customHeight="1">
      <c r="A363" s="134">
        <f>PEDIDOS!B363</f>
        <v>46183</v>
      </c>
      <c r="B363" s="134">
        <f>PEDIDOS!C363</f>
        <v>14463</v>
      </c>
      <c r="C363" s="134" t="str">
        <f>PEDIDOS!D363</f>
        <v>JACTANS - DISNEY</v>
      </c>
      <c r="D363" s="134" t="str">
        <f>PEDIDOS!E363</f>
        <v>DP-50877-Perf inf fco Mariana x50ml 0296LP</v>
      </c>
      <c r="E363" s="135">
        <f>PEDIDOS!G363</f>
        <v>2000</v>
      </c>
      <c r="F363" s="136"/>
      <c r="G363" s="136"/>
      <c r="H363" s="137"/>
      <c r="I363" s="137"/>
      <c r="J363" s="137"/>
      <c r="K363" s="136"/>
      <c r="L363" s="136"/>
      <c r="M363" s="136"/>
    </row>
    <row r="364" ht="15.75" customHeight="1">
      <c r="A364" s="131">
        <f>PEDIDOS!B364</f>
        <v>46183</v>
      </c>
      <c r="B364" s="131">
        <f>PEDIDOS!C364</f>
        <v>14463</v>
      </c>
      <c r="C364" s="131" t="str">
        <f>PEDIDOS!D364</f>
        <v>JACTANS - DISNEY</v>
      </c>
      <c r="D364" s="131" t="str">
        <f>PEDIDOS!E364</f>
        <v>DP-50907-Perfume inf. fco pvc x65ml/Es. 0436CH</v>
      </c>
      <c r="E364" s="132">
        <f>PEDIDOS!G364</f>
        <v>3000</v>
      </c>
      <c r="F364" s="46"/>
      <c r="G364" s="46"/>
      <c r="H364" s="45"/>
      <c r="I364" s="45"/>
      <c r="J364" s="45"/>
      <c r="K364" s="46"/>
      <c r="L364" s="46"/>
      <c r="M364" s="46"/>
    </row>
    <row r="365" ht="15.75" customHeight="1">
      <c r="A365" s="134">
        <f>PEDIDOS!B365</f>
        <v>46183</v>
      </c>
      <c r="B365" s="134">
        <f>PEDIDOS!C365</f>
        <v>14463</v>
      </c>
      <c r="C365" s="134" t="str">
        <f>PEDIDOS!D365</f>
        <v>JACTANS - DISNEY</v>
      </c>
      <c r="D365" s="134" t="str">
        <f>PEDIDOS!E365</f>
        <v>DP-51270-Perf. infan. fco mariana x50ml/Es. 0269IN</v>
      </c>
      <c r="E365" s="135">
        <f>PEDIDOS!G365</f>
        <v>2000</v>
      </c>
      <c r="F365" s="136"/>
      <c r="G365" s="136"/>
      <c r="H365" s="137"/>
      <c r="I365" s="137"/>
      <c r="J365" s="137"/>
      <c r="K365" s="136"/>
      <c r="L365" s="136"/>
      <c r="M365" s="136"/>
    </row>
    <row r="366" ht="15.75" customHeight="1">
      <c r="A366" s="131">
        <f>PEDIDOS!B366</f>
        <v>46183</v>
      </c>
      <c r="B366" s="131">
        <f>PEDIDOS!C366</f>
        <v>14463</v>
      </c>
      <c r="C366" s="131" t="str">
        <f>PEDIDOS!D366</f>
        <v>JACTANS - DISNEY</v>
      </c>
      <c r="D366" s="131" t="str">
        <f>PEDIDOS!E366</f>
        <v>DP-95057-Perfume inf. Fco Imperial  x50ML  0298RK</v>
      </c>
      <c r="E366" s="132">
        <f>PEDIDOS!G366</f>
        <v>1500</v>
      </c>
      <c r="F366" s="46"/>
      <c r="G366" s="46"/>
      <c r="H366" s="45"/>
      <c r="I366" s="45"/>
      <c r="J366" s="45"/>
      <c r="K366" s="46"/>
      <c r="L366" s="46"/>
      <c r="M366" s="46"/>
    </row>
    <row r="367" ht="15.75" customHeight="1">
      <c r="A367" s="134">
        <f>PEDIDOS!B367</f>
        <v>46183</v>
      </c>
      <c r="B367" s="134">
        <f>PEDIDOS!C367</f>
        <v>14463</v>
      </c>
      <c r="C367" s="134" t="str">
        <f>PEDIDOS!D367</f>
        <v>JACTANS - DISNEY</v>
      </c>
      <c r="D367" s="134" t="str">
        <f>PEDIDOS!E367</f>
        <v>DP-97525-Perfume inf. fco. imperial x50ml 0297UT</v>
      </c>
      <c r="E367" s="135">
        <f>PEDIDOS!G367</f>
        <v>1500</v>
      </c>
      <c r="F367" s="136"/>
      <c r="G367" s="136"/>
      <c r="H367" s="137"/>
      <c r="I367" s="137"/>
      <c r="J367" s="137"/>
      <c r="K367" s="136"/>
      <c r="L367" s="136"/>
      <c r="M367" s="136"/>
    </row>
    <row r="368" ht="15.75" customHeight="1">
      <c r="A368" s="134">
        <f>PEDIDOS!B368</f>
        <v>46183</v>
      </c>
      <c r="B368" s="134">
        <f>PEDIDOS!C368</f>
        <v>14463</v>
      </c>
      <c r="C368" s="134" t="str">
        <f>PEDIDOS!D368</f>
        <v>JACTANS - DISNEY</v>
      </c>
      <c r="D368" s="134" t="str">
        <f>PEDIDOS!E368</f>
        <v>DP-0304-Perfume inf fco triangular x50ml/Es. 0299RB</v>
      </c>
      <c r="E368" s="135">
        <f>PEDIDOS!G368</f>
        <v>1500</v>
      </c>
      <c r="F368" s="136"/>
      <c r="G368" s="136"/>
      <c r="H368" s="137"/>
      <c r="I368" s="137"/>
      <c r="J368" s="137"/>
      <c r="K368" s="46"/>
      <c r="L368" s="46"/>
      <c r="M368" s="46"/>
    </row>
    <row r="369" ht="15.75" customHeight="1">
      <c r="A369" s="131">
        <f>PEDIDOS!B369</f>
        <v>46183</v>
      </c>
      <c r="B369" s="131">
        <f>PEDIDOS!C369</f>
        <v>14463</v>
      </c>
      <c r="C369" s="131" t="str">
        <f>PEDIDOS!D369</f>
        <v>JACTANS - DISNEY</v>
      </c>
      <c r="D369" s="131" t="str">
        <f>PEDIDOS!E369</f>
        <v>DP-0311-Perfume inf fco triangular pvc x50ml 0297UT</v>
      </c>
      <c r="E369" s="132">
        <f>PEDIDOS!G369</f>
        <v>1500</v>
      </c>
      <c r="F369" s="46"/>
      <c r="G369" s="46"/>
      <c r="H369" s="45"/>
      <c r="I369" s="45"/>
      <c r="J369" s="45"/>
      <c r="K369" s="136"/>
      <c r="L369" s="136"/>
      <c r="M369" s="136"/>
    </row>
    <row r="370" ht="15.75" customHeight="1">
      <c r="A370" s="134">
        <f>PEDIDOS!B370</f>
        <v>46183</v>
      </c>
      <c r="B370" s="134">
        <f>PEDIDOS!C370</f>
        <v>14463</v>
      </c>
      <c r="C370" s="134" t="str">
        <f>PEDIDOS!D370</f>
        <v>JACTANS - DISNEY</v>
      </c>
      <c r="D370" s="134" t="str">
        <f>PEDIDOS!E370</f>
        <v>DP-0328-Perf. inf. fco triang. pvc x50ml/Es. 0280BD</v>
      </c>
      <c r="E370" s="135">
        <f>PEDIDOS!G370</f>
        <v>1500</v>
      </c>
      <c r="F370" s="136"/>
      <c r="G370" s="136"/>
      <c r="H370" s="137"/>
      <c r="I370" s="137"/>
      <c r="J370" s="137"/>
      <c r="K370" s="46"/>
      <c r="L370" s="46"/>
      <c r="M370" s="46"/>
    </row>
    <row r="371" ht="15.75" customHeight="1">
      <c r="A371" s="131">
        <f>PEDIDOS!B371</f>
        <v>46183</v>
      </c>
      <c r="B371" s="131">
        <f>PEDIDOS!C371</f>
        <v>14463</v>
      </c>
      <c r="C371" s="131" t="str">
        <f>PEDIDOS!D371</f>
        <v>JACTANS - DISNEY</v>
      </c>
      <c r="D371" s="131" t="str">
        <f>PEDIDOS!E371</f>
        <v>DP-1134-Perfume inf fco pvc x120ml/Es. 0298RK</v>
      </c>
      <c r="E371" s="132">
        <f>PEDIDOS!G371</f>
        <v>1500</v>
      </c>
      <c r="F371" s="46"/>
      <c r="G371" s="46"/>
      <c r="H371" s="45"/>
      <c r="I371" s="45"/>
      <c r="J371" s="45"/>
      <c r="K371" s="136"/>
      <c r="L371" s="136"/>
      <c r="M371" s="136"/>
    </row>
    <row r="372" ht="15.75" customHeight="1">
      <c r="A372" s="134">
        <f>PEDIDOS!B372</f>
        <v>46183</v>
      </c>
      <c r="B372" s="134">
        <f>PEDIDOS!C372</f>
        <v>14463</v>
      </c>
      <c r="C372" s="134" t="str">
        <f>PEDIDOS!D372</f>
        <v>JACTANS - DISNEY</v>
      </c>
      <c r="D372" s="134" t="str">
        <f>PEDIDOS!E372</f>
        <v>DP-1349-Perfume inf. fco corazon pvc x30ml/Es. 0297UT</v>
      </c>
      <c r="E372" s="135">
        <f>PEDIDOS!G372</f>
        <v>1500</v>
      </c>
      <c r="F372" s="136"/>
      <c r="G372" s="136"/>
      <c r="H372" s="137"/>
      <c r="I372" s="137"/>
      <c r="J372" s="137"/>
      <c r="K372" s="46"/>
      <c r="L372" s="46"/>
      <c r="M372" s="46"/>
    </row>
    <row r="373" ht="15.75" customHeight="1">
      <c r="A373" s="134">
        <f>PEDIDOS!B373</f>
        <v>46183</v>
      </c>
      <c r="B373" s="134">
        <f>PEDIDOS!C373</f>
        <v>14463</v>
      </c>
      <c r="C373" s="134" t="str">
        <f>PEDIDOS!D373</f>
        <v>JACTANS - DISNEY</v>
      </c>
      <c r="D373" s="134" t="str">
        <f>PEDIDOS!E373</f>
        <v>DP-40543-Perfume inf. fco pvc x65ml 0300IE</v>
      </c>
      <c r="E373" s="135">
        <f>PEDIDOS!G373</f>
        <v>1500</v>
      </c>
      <c r="F373" s="136"/>
      <c r="G373" s="136"/>
      <c r="H373" s="137"/>
      <c r="I373" s="137"/>
      <c r="J373" s="137"/>
      <c r="K373" s="136"/>
      <c r="L373" s="136"/>
      <c r="M373" s="136"/>
    </row>
    <row r="374" ht="15.75" customHeight="1">
      <c r="A374" s="131">
        <f>PEDIDOS!B374</f>
        <v>46183</v>
      </c>
      <c r="B374" s="131">
        <f>PEDIDOS!C374</f>
        <v>14463</v>
      </c>
      <c r="C374" s="131" t="str">
        <f>PEDIDOS!D374</f>
        <v>JACTANS - DISNEY</v>
      </c>
      <c r="D374" s="131" t="str">
        <f>PEDIDOS!E374</f>
        <v>DP-44107-Perfume inf fco Mariana x50ml 0296LP</v>
      </c>
      <c r="E374" s="132">
        <f>PEDIDOS!G374</f>
        <v>1500</v>
      </c>
      <c r="F374" s="46"/>
      <c r="G374" s="46"/>
      <c r="H374" s="45"/>
      <c r="I374" s="45"/>
      <c r="J374" s="45"/>
      <c r="K374" s="46"/>
      <c r="L374" s="46"/>
      <c r="M374" s="46"/>
    </row>
    <row r="375" ht="15.75" customHeight="1">
      <c r="A375" s="134">
        <f>PEDIDOS!B375</f>
        <v>46183</v>
      </c>
      <c r="B375" s="134">
        <f>PEDIDOS!C375</f>
        <v>14463</v>
      </c>
      <c r="C375" s="134" t="str">
        <f>PEDIDOS!D375</f>
        <v>JACTANS - DISNEY</v>
      </c>
      <c r="D375" s="134" t="str">
        <f>PEDIDOS!E375</f>
        <v>DP-45784-Perfume inf. fco imperial x50ml/0270WT</v>
      </c>
      <c r="E375" s="135">
        <f>PEDIDOS!G375</f>
        <v>1500</v>
      </c>
      <c r="F375" s="136"/>
      <c r="G375" s="136"/>
      <c r="H375" s="137"/>
      <c r="I375" s="137"/>
      <c r="J375" s="137"/>
      <c r="K375" s="136"/>
      <c r="L375" s="136"/>
      <c r="M375" s="136"/>
    </row>
    <row r="376" ht="15.75" customHeight="1">
      <c r="A376" s="131">
        <f>PEDIDOS!B376</f>
        <v>46183</v>
      </c>
      <c r="B376" s="131">
        <f>PEDIDOS!C376</f>
        <v>14463</v>
      </c>
      <c r="C376" s="131" t="str">
        <f>PEDIDOS!D376</f>
        <v>JACTANS - DISNEY</v>
      </c>
      <c r="D376" s="131" t="str">
        <f>PEDIDOS!E376</f>
        <v>DP-46347-Perfume Inf. fco pvc x65ml/Es. 0278LS</v>
      </c>
      <c r="E376" s="132">
        <f>PEDIDOS!G376</f>
        <v>1500</v>
      </c>
      <c r="F376" s="46"/>
      <c r="G376" s="46"/>
      <c r="H376" s="45"/>
      <c r="I376" s="45"/>
      <c r="J376" s="45"/>
      <c r="K376" s="46"/>
      <c r="L376" s="46"/>
      <c r="M376" s="46"/>
    </row>
    <row r="377" ht="15.75" customHeight="1">
      <c r="A377" s="134">
        <f>PEDIDOS!B377</f>
        <v>46184</v>
      </c>
      <c r="B377" s="134" t="str">
        <f>PEDIDOS!C377</f>
        <v/>
      </c>
      <c r="C377" s="134" t="str">
        <f>PEDIDOS!D377</f>
        <v>BAHIA EVANS</v>
      </c>
      <c r="D377" s="134" t="str">
        <f>PEDIDOS!E377</f>
        <v>TRATAMIENTO STRAIGHT</v>
      </c>
      <c r="E377" s="135">
        <f>PEDIDOS!G377</f>
        <v>300</v>
      </c>
      <c r="F377" s="136"/>
      <c r="G377" s="136"/>
      <c r="H377" s="137"/>
      <c r="I377" s="137"/>
      <c r="J377" s="137"/>
      <c r="K377" s="136"/>
      <c r="L377" s="136"/>
      <c r="M377" s="136"/>
    </row>
    <row r="378" ht="15.75" customHeight="1">
      <c r="A378" s="134">
        <f>PEDIDOS!B378</f>
        <v>46189</v>
      </c>
      <c r="B378" s="134">
        <f>PEDIDOS!C378</f>
        <v>809</v>
      </c>
      <c r="C378" s="134" t="str">
        <f>PEDIDOS!D378</f>
        <v>CAV</v>
      </c>
      <c r="D378" s="134" t="str">
        <f>PEDIDOS!E378</f>
        <v>CREMA VITAMIN SHOCK X150G</v>
      </c>
      <c r="E378" s="135">
        <f>PEDIDOS!G378</f>
        <v>500</v>
      </c>
      <c r="F378" s="136"/>
      <c r="G378" s="136"/>
      <c r="H378" s="137"/>
      <c r="I378" s="137"/>
      <c r="J378" s="137"/>
      <c r="K378" s="46"/>
      <c r="L378" s="46"/>
      <c r="M378" s="46"/>
    </row>
    <row r="379" ht="15.75" customHeight="1">
      <c r="A379" s="131">
        <f>PEDIDOS!B379</f>
        <v>46189</v>
      </c>
      <c r="B379" s="131">
        <f>PEDIDOS!C379</f>
        <v>809</v>
      </c>
      <c r="C379" s="131" t="str">
        <f>PEDIDOS!D379</f>
        <v>CAV</v>
      </c>
      <c r="D379" s="131" t="str">
        <f>PEDIDOS!E379</f>
        <v>SHAMPOO BIO MOLECULAR X400ML VITAMIN SHOCK</v>
      </c>
      <c r="E379" s="132">
        <f>PEDIDOS!G379</f>
        <v>500</v>
      </c>
      <c r="F379" s="46"/>
      <c r="G379" s="46"/>
      <c r="H379" s="45"/>
      <c r="I379" s="45"/>
      <c r="J379" s="45"/>
      <c r="K379" s="136"/>
      <c r="L379" s="136"/>
      <c r="M379" s="136"/>
    </row>
    <row r="380" ht="15.75" customHeight="1">
      <c r="A380" s="134">
        <f>PEDIDOS!B380</f>
        <v>46189</v>
      </c>
      <c r="B380" s="134">
        <f>PEDIDOS!C380</f>
        <v>809</v>
      </c>
      <c r="C380" s="134" t="str">
        <f>PEDIDOS!D380</f>
        <v>CAV</v>
      </c>
      <c r="D380" s="134" t="str">
        <f>PEDIDOS!E380</f>
        <v>SHAMPOO BIO MOLECULAR X900ML VITAMIN SHOCK</v>
      </c>
      <c r="E380" s="135">
        <f>PEDIDOS!G380</f>
        <v>200</v>
      </c>
      <c r="F380" s="136"/>
      <c r="G380" s="136"/>
      <c r="H380" s="137"/>
      <c r="I380" s="137"/>
      <c r="J380" s="137"/>
      <c r="K380" s="46"/>
      <c r="L380" s="46"/>
      <c r="M380" s="46"/>
    </row>
    <row r="381" ht="15.75" customHeight="1">
      <c r="A381" s="131">
        <f>PEDIDOS!B381</f>
        <v>46189</v>
      </c>
      <c r="B381" s="131">
        <f>PEDIDOS!C381</f>
        <v>809</v>
      </c>
      <c r="C381" s="131" t="str">
        <f>PEDIDOS!D381</f>
        <v>CAV</v>
      </c>
      <c r="D381" s="131" t="str">
        <f>PEDIDOS!E381</f>
        <v>CONDITIONER BIO MOLECULAR X400ML VITAMIN SHOCK</v>
      </c>
      <c r="E381" s="132">
        <f>PEDIDOS!G381</f>
        <v>500</v>
      </c>
      <c r="F381" s="46"/>
      <c r="G381" s="46"/>
      <c r="H381" s="45"/>
      <c r="I381" s="45"/>
      <c r="J381" s="45"/>
      <c r="K381" s="136"/>
      <c r="L381" s="136"/>
      <c r="M381" s="136"/>
    </row>
    <row r="382" ht="15.75" customHeight="1">
      <c r="A382" s="134">
        <f>PEDIDOS!B382</f>
        <v>46189</v>
      </c>
      <c r="B382" s="134">
        <f>PEDIDOS!C382</f>
        <v>809</v>
      </c>
      <c r="C382" s="134" t="str">
        <f>PEDIDOS!D382</f>
        <v>CAV</v>
      </c>
      <c r="D382" s="134" t="str">
        <f>PEDIDOS!E382</f>
        <v>CONDITIONER BIO MOLECULAR X900ML VITAMIN SHOCK</v>
      </c>
      <c r="E382" s="135">
        <f>PEDIDOS!G382</f>
        <v>200</v>
      </c>
      <c r="F382" s="136"/>
      <c r="G382" s="136"/>
      <c r="H382" s="137"/>
      <c r="I382" s="137"/>
      <c r="J382" s="137"/>
      <c r="K382" s="46"/>
      <c r="L382" s="46"/>
      <c r="M382" s="46"/>
    </row>
    <row r="383" ht="15.75" customHeight="1">
      <c r="A383" s="134">
        <f>PEDIDOS!B383</f>
        <v>46189</v>
      </c>
      <c r="B383" s="134">
        <f>PEDIDOS!C383</f>
        <v>809</v>
      </c>
      <c r="C383" s="134" t="str">
        <f>PEDIDOS!D383</f>
        <v>CAV</v>
      </c>
      <c r="D383" s="134" t="str">
        <f>PEDIDOS!E383</f>
        <v>SHAMPOO BIONIC X900ML</v>
      </c>
      <c r="E383" s="135">
        <f>PEDIDOS!G383</f>
        <v>200</v>
      </c>
      <c r="F383" s="136"/>
      <c r="G383" s="136"/>
      <c r="H383" s="137"/>
      <c r="I383" s="137"/>
      <c r="J383" s="137"/>
      <c r="K383" s="136"/>
      <c r="L383" s="136"/>
      <c r="M383" s="136"/>
    </row>
    <row r="384" ht="15.75" customHeight="1">
      <c r="A384" s="131">
        <f>PEDIDOS!B384</f>
        <v>46189</v>
      </c>
      <c r="B384" s="131">
        <f>PEDIDOS!C384</f>
        <v>809</v>
      </c>
      <c r="C384" s="131" t="str">
        <f>PEDIDOS!D384</f>
        <v>CAV</v>
      </c>
      <c r="D384" s="131" t="str">
        <f>PEDIDOS!E384</f>
        <v>BALSAMO BIONIC X900ML</v>
      </c>
      <c r="E384" s="132">
        <f>PEDIDOS!G384</f>
        <v>200</v>
      </c>
      <c r="F384" s="46"/>
      <c r="G384" s="46"/>
      <c r="H384" s="45"/>
      <c r="I384" s="45"/>
      <c r="J384" s="45"/>
      <c r="K384" s="46"/>
      <c r="L384" s="46"/>
      <c r="M384" s="46"/>
    </row>
    <row r="385" ht="15.75" customHeight="1">
      <c r="A385" s="134">
        <f>PEDIDOS!B385</f>
        <v>46189</v>
      </c>
      <c r="B385" s="134">
        <f>PEDIDOS!C385</f>
        <v>809</v>
      </c>
      <c r="C385" s="134" t="str">
        <f>PEDIDOS!D385</f>
        <v>CAV</v>
      </c>
      <c r="D385" s="134" t="str">
        <f>PEDIDOS!E385</f>
        <v>PROTECTOR C-PLEX PASO 3X150ML</v>
      </c>
      <c r="E385" s="135">
        <f>PEDIDOS!G385</f>
        <v>500</v>
      </c>
      <c r="F385" s="136"/>
      <c r="G385" s="136"/>
      <c r="H385" s="137"/>
      <c r="I385" s="137"/>
      <c r="J385" s="137"/>
      <c r="K385" s="136"/>
      <c r="L385" s="136"/>
      <c r="M385" s="136"/>
    </row>
    <row r="386" ht="15.75" customHeight="1">
      <c r="A386" s="131">
        <f>PEDIDOS!B386</f>
        <v>46189</v>
      </c>
      <c r="B386" s="131">
        <f>PEDIDOS!C386</f>
        <v>809</v>
      </c>
      <c r="C386" s="131" t="str">
        <f>PEDIDOS!D386</f>
        <v>CAV</v>
      </c>
      <c r="D386" s="131" t="str">
        <f>PEDIDOS!E386</f>
        <v>SHAMPOO BIONIC X400ML</v>
      </c>
      <c r="E386" s="132">
        <f>PEDIDOS!G386</f>
        <v>500</v>
      </c>
      <c r="F386" s="46"/>
      <c r="G386" s="46"/>
      <c r="H386" s="45"/>
      <c r="I386" s="45"/>
      <c r="J386" s="45"/>
      <c r="K386" s="46"/>
      <c r="L386" s="46"/>
      <c r="M386" s="46"/>
    </row>
    <row r="387" ht="15.75" customHeight="1">
      <c r="A387" s="134">
        <f>PEDIDOS!B387</f>
        <v>46189</v>
      </c>
      <c r="B387" s="134">
        <f>PEDIDOS!C387</f>
        <v>809</v>
      </c>
      <c r="C387" s="134" t="str">
        <f>PEDIDOS!D387</f>
        <v>CAV</v>
      </c>
      <c r="D387" s="134" t="str">
        <f>PEDIDOS!E387</f>
        <v>BALSAMO BIONIC X400ML</v>
      </c>
      <c r="E387" s="135">
        <f>PEDIDOS!G387</f>
        <v>500</v>
      </c>
      <c r="F387" s="136"/>
      <c r="G387" s="136"/>
      <c r="H387" s="137"/>
      <c r="I387" s="137"/>
      <c r="J387" s="137"/>
      <c r="K387" s="136"/>
      <c r="L387" s="136"/>
      <c r="M387" s="136"/>
    </row>
    <row r="388" ht="15.75" customHeight="1">
      <c r="A388" s="134">
        <f>PEDIDOS!B388</f>
        <v>46189</v>
      </c>
      <c r="B388" s="134">
        <f>PEDIDOS!C388</f>
        <v>809</v>
      </c>
      <c r="C388" s="134" t="str">
        <f>PEDIDOS!D388</f>
        <v>CAV</v>
      </c>
      <c r="D388" s="134" t="str">
        <f>PEDIDOS!E388</f>
        <v>Mascara BIO Molecular X 300 ml. Vitamin Shock</v>
      </c>
      <c r="E388" s="135">
        <f>PEDIDOS!G388</f>
        <v>500</v>
      </c>
      <c r="F388" s="136"/>
      <c r="G388" s="136"/>
      <c r="H388" s="137"/>
      <c r="I388" s="137"/>
      <c r="J388" s="137"/>
      <c r="K388" s="46"/>
      <c r="L388" s="46"/>
      <c r="M388" s="46"/>
    </row>
    <row r="389" ht="15.75" customHeight="1">
      <c r="A389" s="131">
        <f>PEDIDOS!B389</f>
        <v>46189</v>
      </c>
      <c r="B389" s="131" t="str">
        <f>PEDIDOS!C389</f>
        <v/>
      </c>
      <c r="C389" s="131" t="str">
        <f>PEDIDOS!D389</f>
        <v>DERMION / FRANCO</v>
      </c>
      <c r="D389" s="131" t="str">
        <f>PEDIDOS!E389</f>
        <v>SERUM AH + NIACI</v>
      </c>
      <c r="E389" s="132">
        <f>PEDIDOS!G389</f>
        <v>1000</v>
      </c>
      <c r="F389" s="46"/>
      <c r="G389" s="46"/>
      <c r="H389" s="45"/>
      <c r="I389" s="45"/>
      <c r="J389" s="45"/>
      <c r="K389" s="136"/>
      <c r="L389" s="136"/>
      <c r="M389" s="136"/>
    </row>
    <row r="390" ht="15.75" customHeight="1">
      <c r="A390" s="134">
        <f>PEDIDOS!B390</f>
        <v>46189</v>
      </c>
      <c r="B390" s="134" t="str">
        <f>PEDIDOS!C390</f>
        <v/>
      </c>
      <c r="C390" s="134" t="str">
        <f>PEDIDOS!D390</f>
        <v>MACA MODAS</v>
      </c>
      <c r="D390" s="134" t="str">
        <f>PEDIDOS!E390</f>
        <v>SERUM AH + NIACI</v>
      </c>
      <c r="E390" s="135">
        <f>PEDIDOS!G390</f>
        <v>500</v>
      </c>
      <c r="F390" s="136"/>
      <c r="G390" s="136"/>
      <c r="H390" s="137"/>
      <c r="I390" s="137"/>
      <c r="J390" s="137"/>
      <c r="K390" s="46"/>
      <c r="L390" s="46"/>
      <c r="M390" s="46"/>
    </row>
    <row r="391" ht="15.75" customHeight="1">
      <c r="A391" s="131">
        <f>PEDIDOS!B391</f>
        <v>46189</v>
      </c>
      <c r="B391" s="131" t="str">
        <f>PEDIDOS!C391</f>
        <v/>
      </c>
      <c r="C391" s="131" t="str">
        <f>PEDIDOS!D391</f>
        <v>MACA MODAS</v>
      </c>
      <c r="D391" s="131" t="str">
        <f>PEDIDOS!E391</f>
        <v>CREMA AH + NIACI</v>
      </c>
      <c r="E391" s="132">
        <f>PEDIDOS!G391</f>
        <v>500</v>
      </c>
      <c r="F391" s="46"/>
      <c r="G391" s="46"/>
      <c r="H391" s="45"/>
      <c r="I391" s="45"/>
      <c r="J391" s="45"/>
      <c r="K391" s="136"/>
      <c r="L391" s="136"/>
      <c r="M391" s="136"/>
    </row>
    <row r="392" ht="15.75" customHeight="1">
      <c r="A392" s="134">
        <f>PEDIDOS!B392</f>
        <v>46184</v>
      </c>
      <c r="B392" s="134" t="str">
        <f>PEDIDOS!C392</f>
        <v/>
      </c>
      <c r="C392" s="134" t="str">
        <f>PEDIDOS!D392</f>
        <v>LUCENT</v>
      </c>
      <c r="D392" s="134" t="str">
        <f>PEDIDOS!E392</f>
        <v>SERUM VITAMINA C</v>
      </c>
      <c r="E392" s="135">
        <f>PEDIDOS!G392</f>
        <v>1000</v>
      </c>
      <c r="F392" s="136"/>
      <c r="G392" s="136"/>
      <c r="H392" s="137"/>
      <c r="I392" s="137"/>
      <c r="J392" s="137"/>
      <c r="K392" s="46"/>
      <c r="L392" s="46"/>
      <c r="M392" s="46"/>
    </row>
    <row r="393" ht="15.75" customHeight="1">
      <c r="A393" s="134">
        <f>PEDIDOS!B393</f>
        <v>46184</v>
      </c>
      <c r="B393" s="134" t="str">
        <f>PEDIDOS!C393</f>
        <v/>
      </c>
      <c r="C393" s="134" t="str">
        <f>PEDIDOS!D393</f>
        <v>BL COSMETICS</v>
      </c>
      <c r="D393" s="134" t="str">
        <f>PEDIDOS!E393</f>
        <v>MASCARA ANTIFRIZZ 300ML</v>
      </c>
      <c r="E393" s="135">
        <f>PEDIDOS!G393</f>
        <v>3000</v>
      </c>
      <c r="F393" s="136"/>
      <c r="G393" s="136"/>
      <c r="H393" s="137"/>
      <c r="I393" s="137"/>
      <c r="J393" s="137"/>
      <c r="K393" s="136"/>
      <c r="L393" s="136"/>
      <c r="M393" s="136"/>
    </row>
    <row r="394" ht="15.75" customHeight="1">
      <c r="A394" s="131">
        <f>PEDIDOS!B394</f>
        <v>46184</v>
      </c>
      <c r="B394" s="131" t="str">
        <f>PEDIDOS!C394</f>
        <v/>
      </c>
      <c r="C394" s="131" t="str">
        <f>PEDIDOS!D394</f>
        <v>BL COSMETICS</v>
      </c>
      <c r="D394" s="131" t="str">
        <f>PEDIDOS!E394</f>
        <v>MASCARA ANTIFRIZZ 1000ML</v>
      </c>
      <c r="E394" s="132">
        <f>PEDIDOS!G394</f>
        <v>800</v>
      </c>
      <c r="F394" s="46"/>
      <c r="G394" s="46"/>
      <c r="H394" s="45"/>
      <c r="I394" s="45"/>
      <c r="J394" s="45"/>
      <c r="K394" s="46"/>
      <c r="L394" s="46"/>
      <c r="M394" s="46"/>
    </row>
    <row r="395" ht="15.75" customHeight="1">
      <c r="A395" s="134">
        <f>PEDIDOS!B395</f>
        <v>46196</v>
      </c>
      <c r="B395" s="134" t="str">
        <f>PEDIDOS!C395</f>
        <v/>
      </c>
      <c r="C395" s="134" t="str">
        <f>PEDIDOS!D395</f>
        <v>AGUEDA REY - IKIGAI</v>
      </c>
      <c r="D395" s="134" t="str">
        <f>PEDIDOS!E395</f>
        <v>GEL DE LIMPIEZA FACIAL</v>
      </c>
      <c r="E395" s="135">
        <f>PEDIDOS!G395</f>
        <v>1200</v>
      </c>
      <c r="F395" s="136"/>
      <c r="G395" s="136"/>
      <c r="H395" s="137"/>
      <c r="I395" s="137"/>
      <c r="J395" s="137"/>
      <c r="K395" s="136"/>
      <c r="L395" s="136"/>
      <c r="M395" s="136"/>
    </row>
    <row r="396" ht="15.75" customHeight="1">
      <c r="A396" s="131">
        <f>PEDIDOS!B396</f>
        <v>46197</v>
      </c>
      <c r="B396" s="131" t="str">
        <f>PEDIDOS!C396</f>
        <v/>
      </c>
      <c r="C396" s="131" t="str">
        <f>PEDIDOS!D396</f>
        <v>KALA</v>
      </c>
      <c r="D396" s="131" t="str">
        <f>PEDIDOS!E396</f>
        <v>BALSAMO LABIAL SANDIA</v>
      </c>
      <c r="E396" s="132">
        <f>PEDIDOS!G396</f>
        <v>2000</v>
      </c>
      <c r="F396" s="46"/>
      <c r="G396" s="46"/>
      <c r="H396" s="45"/>
      <c r="I396" s="45"/>
      <c r="J396" s="45"/>
      <c r="K396" s="46"/>
      <c r="L396" s="46"/>
      <c r="M396" s="46"/>
    </row>
    <row r="397" ht="15.75" customHeight="1">
      <c r="A397" s="134">
        <f>PEDIDOS!B397</f>
        <v>46197</v>
      </c>
      <c r="B397" s="134" t="str">
        <f>PEDIDOS!C397</f>
        <v/>
      </c>
      <c r="C397" s="134" t="str">
        <f>PEDIDOS!D397</f>
        <v>KALA</v>
      </c>
      <c r="D397" s="134" t="str">
        <f>PEDIDOS!E397</f>
        <v>BALSAMO LABIAL MANGO</v>
      </c>
      <c r="E397" s="135">
        <f>PEDIDOS!G397</f>
        <v>2000</v>
      </c>
      <c r="F397" s="136"/>
      <c r="G397" s="136"/>
      <c r="H397" s="137"/>
      <c r="I397" s="137"/>
      <c r="J397" s="137"/>
      <c r="K397" s="136"/>
      <c r="L397" s="136"/>
      <c r="M397" s="136"/>
    </row>
    <row r="398" ht="15.75" customHeight="1">
      <c r="A398" s="134">
        <f>PEDIDOS!B398</f>
        <v>46197</v>
      </c>
      <c r="B398" s="134">
        <f>PEDIDOS!C398</f>
        <v>149</v>
      </c>
      <c r="C398" s="134" t="str">
        <f>PEDIDOS!D398</f>
        <v>ICONO</v>
      </c>
      <c r="D398" s="134" t="str">
        <f>PEDIDOS!E398</f>
        <v>MASCARA LINEA EQUILIBRANTE x 250GR.</v>
      </c>
      <c r="E398" s="135">
        <f>PEDIDOS!G398</f>
        <v>2000</v>
      </c>
      <c r="F398" s="136"/>
      <c r="G398" s="136"/>
      <c r="H398" s="137"/>
      <c r="I398" s="137"/>
      <c r="J398" s="137"/>
      <c r="K398" s="46"/>
      <c r="L398" s="46"/>
      <c r="M398" s="46"/>
    </row>
    <row r="399" ht="15.75" customHeight="1">
      <c r="A399" s="131">
        <f>PEDIDOS!B399</f>
        <v>46164</v>
      </c>
      <c r="B399" s="131" t="str">
        <f>PEDIDOS!C399</f>
        <v/>
      </c>
      <c r="C399" s="131" t="str">
        <f>PEDIDOS!D399</f>
        <v>LUCENT</v>
      </c>
      <c r="D399" s="131" t="str">
        <f>PEDIDOS!E399</f>
        <v>SERUM W+</v>
      </c>
      <c r="E399" s="132">
        <f>PEDIDOS!G399</f>
        <v>500</v>
      </c>
      <c r="F399" s="46"/>
      <c r="G399" s="46"/>
      <c r="H399" s="45"/>
      <c r="I399" s="45"/>
      <c r="J399" s="45"/>
      <c r="K399" s="136"/>
      <c r="L399" s="136"/>
      <c r="M399" s="136"/>
    </row>
    <row r="400" ht="15.75" customHeight="1">
      <c r="A400" s="134">
        <f>PEDIDOS!B400</f>
        <v>46164</v>
      </c>
      <c r="B400" s="134" t="str">
        <f>PEDIDOS!C400</f>
        <v/>
      </c>
      <c r="C400" s="134" t="str">
        <f>PEDIDOS!D400</f>
        <v>LUCENT</v>
      </c>
      <c r="D400" s="134" t="str">
        <f>PEDIDOS!E400</f>
        <v>SERUM N+</v>
      </c>
      <c r="E400" s="135">
        <f>PEDIDOS!G400</f>
        <v>500</v>
      </c>
      <c r="F400" s="136"/>
      <c r="G400" s="136"/>
      <c r="H400" s="137"/>
      <c r="I400" s="137"/>
      <c r="J400" s="137"/>
      <c r="K400" s="46"/>
      <c r="L400" s="46"/>
      <c r="M400" s="46"/>
    </row>
    <row r="401" ht="15.75" customHeight="1">
      <c r="A401" s="131">
        <f>PEDIDOS!B401</f>
        <v>46192</v>
      </c>
      <c r="B401" s="131">
        <f>PEDIDOS!C401</f>
        <v>15329</v>
      </c>
      <c r="C401" s="131" t="str">
        <f>PEDIDOS!D401</f>
        <v>THELMA Y LOUISE</v>
      </c>
      <c r="D401" s="131" t="str">
        <f>PEDIDOS!E401</f>
        <v>EXFOLIANTE ARROZ</v>
      </c>
      <c r="E401" s="132">
        <f>PEDIDOS!G401</f>
        <v>3300</v>
      </c>
      <c r="F401" s="46"/>
      <c r="G401" s="46"/>
      <c r="H401" s="45"/>
      <c r="I401" s="45"/>
      <c r="J401" s="45"/>
      <c r="K401" s="136"/>
      <c r="L401" s="136"/>
      <c r="M401" s="136"/>
    </row>
    <row r="402" ht="15.75" customHeight="1">
      <c r="A402" s="134">
        <f>PEDIDOS!B402</f>
        <v>46192</v>
      </c>
      <c r="B402" s="134">
        <f>PEDIDOS!C402</f>
        <v>15330</v>
      </c>
      <c r="C402" s="134" t="str">
        <f>PEDIDOS!D402</f>
        <v>THELMA Y LOUISE</v>
      </c>
      <c r="D402" s="134" t="str">
        <f>PEDIDOS!E402</f>
        <v>GEL DE LIMPIEZA ROSAS</v>
      </c>
      <c r="E402" s="135">
        <f>PEDIDOS!G402</f>
        <v>3640</v>
      </c>
      <c r="F402" s="136"/>
      <c r="G402" s="136"/>
      <c r="H402" s="137"/>
      <c r="I402" s="137"/>
      <c r="J402" s="137"/>
      <c r="K402" s="46"/>
      <c r="L402" s="46"/>
      <c r="M402" s="46"/>
    </row>
    <row r="403" ht="15.75" customHeight="1">
      <c r="A403" s="134">
        <f>PEDIDOS!B403</f>
        <v>46198</v>
      </c>
      <c r="B403" s="134">
        <f>PEDIDOS!C403</f>
        <v>15334</v>
      </c>
      <c r="C403" s="134" t="str">
        <f>PEDIDOS!D403</f>
        <v>THELMA Y LOUISE</v>
      </c>
      <c r="D403" s="134" t="str">
        <f>PEDIDOS!E403</f>
        <v>SANITIZANTE BLANCO AGUA DE COCO</v>
      </c>
      <c r="E403" s="135">
        <f>PEDIDOS!G403</f>
        <v>450</v>
      </c>
      <c r="F403" s="136"/>
      <c r="G403" s="136"/>
      <c r="H403" s="137"/>
      <c r="I403" s="137"/>
      <c r="J403" s="137"/>
      <c r="K403" s="136"/>
      <c r="L403" s="136"/>
      <c r="M403" s="136"/>
    </row>
    <row r="404" ht="15.75" customHeight="1">
      <c r="A404" s="131">
        <f>PEDIDOS!B404</f>
        <v>46198</v>
      </c>
      <c r="B404" s="131">
        <f>PEDIDOS!C404</f>
        <v>15334</v>
      </c>
      <c r="C404" s="131" t="str">
        <f>PEDIDOS!D404</f>
        <v>THELMA Y LOUISE</v>
      </c>
      <c r="D404" s="131" t="str">
        <f>PEDIDOS!E404</f>
        <v>SANITIZANTE VIOLETA UVA</v>
      </c>
      <c r="E404" s="132">
        <f>PEDIDOS!G404</f>
        <v>1000</v>
      </c>
      <c r="F404" s="46"/>
      <c r="G404" s="46"/>
      <c r="H404" s="45"/>
      <c r="I404" s="45"/>
      <c r="J404" s="45"/>
      <c r="K404" s="46"/>
      <c r="L404" s="46"/>
      <c r="M404" s="46"/>
    </row>
    <row r="405" ht="15.75" customHeight="1">
      <c r="A405" s="134">
        <f>PEDIDOS!B405</f>
        <v>46198</v>
      </c>
      <c r="B405" s="134">
        <f>PEDIDOS!C405</f>
        <v>15334</v>
      </c>
      <c r="C405" s="134" t="str">
        <f>PEDIDOS!D405</f>
        <v>THELMA Y LOUISE</v>
      </c>
      <c r="D405" s="134" t="str">
        <f>PEDIDOS!E405</f>
        <v>SANITIZANTE ROJO CHERRY</v>
      </c>
      <c r="E405" s="135">
        <f>PEDIDOS!G405</f>
        <v>2500</v>
      </c>
      <c r="F405" s="136"/>
      <c r="G405" s="136"/>
      <c r="H405" s="137"/>
      <c r="I405" s="137"/>
      <c r="J405" s="137"/>
      <c r="K405" s="136"/>
      <c r="L405" s="136"/>
      <c r="M405" s="136"/>
    </row>
    <row r="406" ht="15.75" customHeight="1">
      <c r="A406" s="131">
        <f>PEDIDOS!B406</f>
        <v>46198</v>
      </c>
      <c r="B406" s="131">
        <f>PEDIDOS!C406</f>
        <v>15334</v>
      </c>
      <c r="C406" s="131" t="str">
        <f>PEDIDOS!D406</f>
        <v>THELMA Y LOUISE</v>
      </c>
      <c r="D406" s="131" t="str">
        <f>PEDIDOS!E406</f>
        <v>SANITIZANTE ROSA FRUTILLA</v>
      </c>
      <c r="E406" s="132">
        <f>PEDIDOS!G406</f>
        <v>3050</v>
      </c>
      <c r="F406" s="46"/>
      <c r="G406" s="46"/>
      <c r="H406" s="45"/>
      <c r="I406" s="45"/>
      <c r="J406" s="45"/>
      <c r="K406" s="46"/>
      <c r="L406" s="46"/>
      <c r="M406" s="46"/>
    </row>
    <row r="407" ht="15.75" customHeight="1">
      <c r="A407" s="134">
        <f>PEDIDOS!B407</f>
        <v>46199</v>
      </c>
      <c r="B407" s="134" t="str">
        <f>PEDIDOS!C407</f>
        <v/>
      </c>
      <c r="C407" s="134" t="str">
        <f>PEDIDOS!D407</f>
        <v>UNICA</v>
      </c>
      <c r="D407" s="134" t="str">
        <f>PEDIDOS!E407</f>
        <v>JABON LIQUIDO KARITE</v>
      </c>
      <c r="E407" s="135">
        <f>PEDIDOS!G407</f>
        <v>500</v>
      </c>
      <c r="F407" s="136"/>
      <c r="G407" s="136"/>
      <c r="H407" s="137"/>
      <c r="I407" s="137"/>
      <c r="J407" s="137"/>
      <c r="K407" s="136"/>
      <c r="L407" s="136"/>
      <c r="M407" s="136"/>
    </row>
    <row r="408" ht="15.75" customHeight="1">
      <c r="A408" s="134">
        <f>PEDIDOS!B408</f>
        <v>46199</v>
      </c>
      <c r="B408" s="134" t="str">
        <f>PEDIDOS!C408</f>
        <v/>
      </c>
      <c r="C408" s="134" t="str">
        <f>PEDIDOS!D408</f>
        <v>LUCENT</v>
      </c>
      <c r="D408" s="134" t="str">
        <f>PEDIDOS!E408</f>
        <v>SERUM CAPIXYL</v>
      </c>
      <c r="E408" s="135">
        <f>PEDIDOS!G408</f>
        <v>1000</v>
      </c>
      <c r="F408" s="136"/>
      <c r="G408" s="136"/>
      <c r="H408" s="137"/>
      <c r="I408" s="137"/>
      <c r="J408" s="137"/>
      <c r="K408" s="46"/>
      <c r="L408" s="46"/>
      <c r="M408" s="46"/>
    </row>
    <row r="409" ht="15.75" customHeight="1">
      <c r="A409" s="131">
        <f>PEDIDOS!B409</f>
        <v>46199</v>
      </c>
      <c r="B409" s="131">
        <f>PEDIDOS!C409</f>
        <v>147</v>
      </c>
      <c r="C409" s="131" t="str">
        <f>PEDIDOS!D409</f>
        <v>PROFESSIONAL BEAUTY</v>
      </c>
      <c r="D409" s="131" t="str">
        <f>PEDIDOS!E409</f>
        <v>Advance Cafeina + Carnitina</v>
      </c>
      <c r="E409" s="132">
        <f>PEDIDOS!G409</f>
        <v>500</v>
      </c>
      <c r="F409" s="46"/>
      <c r="G409" s="46"/>
      <c r="H409" s="45"/>
      <c r="I409" s="45"/>
      <c r="J409" s="45"/>
      <c r="K409" s="136"/>
      <c r="L409" s="136"/>
      <c r="M409" s="136"/>
    </row>
    <row r="410" ht="15.75" customHeight="1">
      <c r="A410" s="134">
        <f>PEDIDOS!B410</f>
        <v>46199</v>
      </c>
      <c r="B410" s="134">
        <f>PEDIDOS!C410</f>
        <v>147</v>
      </c>
      <c r="C410" s="134" t="str">
        <f>PEDIDOS!D410</f>
        <v>PROFESSIONAL BEAUTY</v>
      </c>
      <c r="D410" s="134" t="str">
        <f>PEDIDOS!E410</f>
        <v>Advance Hialurónico 1%</v>
      </c>
      <c r="E410" s="135">
        <f>PEDIDOS!G410</f>
        <v>500</v>
      </c>
      <c r="F410" s="136"/>
      <c r="G410" s="136"/>
      <c r="H410" s="137"/>
      <c r="I410" s="137"/>
      <c r="J410" s="137"/>
      <c r="K410" s="46"/>
      <c r="L410" s="46"/>
      <c r="M410" s="46"/>
    </row>
    <row r="411" ht="15.75" customHeight="1">
      <c r="A411" s="131">
        <f>PEDIDOS!B411</f>
        <v>46199</v>
      </c>
      <c r="B411" s="131">
        <f>PEDIDOS!C411</f>
        <v>14491</v>
      </c>
      <c r="C411" s="131" t="str">
        <f>PEDIDOS!D411</f>
        <v>JACTANS - DISNEY</v>
      </c>
      <c r="D411" s="131" t="str">
        <f>PEDIDOS!E411</f>
        <v>DL-024-Laca infantil ROJO (+6)</v>
      </c>
      <c r="E411" s="132">
        <f>PEDIDOS!G411</f>
        <v>20</v>
      </c>
      <c r="F411" s="46"/>
      <c r="G411" s="46"/>
      <c r="H411" s="45"/>
      <c r="I411" s="45"/>
      <c r="J411" s="45"/>
      <c r="K411" s="136"/>
      <c r="L411" s="136"/>
      <c r="M411" s="136"/>
    </row>
    <row r="412" ht="15.75" customHeight="1">
      <c r="A412" s="134">
        <f>PEDIDOS!B412</f>
        <v>46199</v>
      </c>
      <c r="B412" s="134">
        <f>PEDIDOS!C412</f>
        <v>14491</v>
      </c>
      <c r="C412" s="134" t="str">
        <f>PEDIDOS!D412</f>
        <v>JACTANS - DISNEY</v>
      </c>
      <c r="D412" s="134" t="str">
        <f>PEDIDOS!E412</f>
        <v>DL-023-Laca infantil LILA (+6)</v>
      </c>
      <c r="E412" s="135">
        <f>PEDIDOS!G412</f>
        <v>10</v>
      </c>
      <c r="F412" s="136"/>
      <c r="G412" s="136"/>
      <c r="H412" s="137"/>
      <c r="I412" s="137"/>
      <c r="J412" s="137"/>
      <c r="K412" s="46"/>
      <c r="L412" s="46"/>
      <c r="M412" s="46"/>
    </row>
    <row r="413" ht="15.75" customHeight="1">
      <c r="A413" s="134">
        <f>PEDIDOS!B413</f>
        <v>46202</v>
      </c>
      <c r="B413" s="134" t="str">
        <f>PEDIDOS!C413</f>
        <v/>
      </c>
      <c r="C413" s="134" t="str">
        <f>PEDIDOS!D413</f>
        <v>ORGANIC WAX</v>
      </c>
      <c r="D413" s="134" t="str">
        <f>PEDIDOS!E413</f>
        <v>SUGAR SCRUB</v>
      </c>
      <c r="E413" s="135">
        <f>PEDIDOS!G413</f>
        <v>500</v>
      </c>
      <c r="F413" s="136"/>
      <c r="G413" s="136"/>
      <c r="H413" s="137"/>
      <c r="I413" s="137"/>
      <c r="J413" s="137"/>
      <c r="K413" s="136"/>
      <c r="L413" s="136"/>
      <c r="M413" s="136"/>
    </row>
    <row r="414" ht="15.75" customHeight="1">
      <c r="A414" s="131">
        <f>PEDIDOS!B414</f>
        <v>46202</v>
      </c>
      <c r="B414" s="131" t="str">
        <f>PEDIDOS!C414</f>
        <v/>
      </c>
      <c r="C414" s="131" t="str">
        <f>PEDIDOS!D414</f>
        <v>THE CHEMIST LOOK</v>
      </c>
      <c r="D414" s="131" t="str">
        <f>PEDIDOS!E414</f>
        <v>ACNE PROTOCOL</v>
      </c>
      <c r="E414" s="132">
        <f>PEDIDOS!G414</f>
        <v>1200</v>
      </c>
      <c r="F414" s="46"/>
      <c r="G414" s="46"/>
      <c r="H414" s="45"/>
      <c r="I414" s="45"/>
      <c r="J414" s="45"/>
      <c r="K414" s="46"/>
      <c r="L414" s="46"/>
      <c r="M414" s="46"/>
    </row>
    <row r="415" ht="15.75" customHeight="1">
      <c r="A415" s="134">
        <f>PEDIDOS!B415</f>
        <v>46202</v>
      </c>
      <c r="B415" s="134" t="str">
        <f>PEDIDOS!C415</f>
        <v/>
      </c>
      <c r="C415" s="134" t="str">
        <f>PEDIDOS!D415</f>
        <v>THE CHEMIST LOOK</v>
      </c>
      <c r="D415" s="134" t="str">
        <f>PEDIDOS!E415</f>
        <v>2ND SKIN</v>
      </c>
      <c r="E415" s="135">
        <f>PEDIDOS!G415</f>
        <v>800</v>
      </c>
      <c r="F415" s="136"/>
      <c r="G415" s="136"/>
      <c r="H415" s="137"/>
      <c r="I415" s="137"/>
      <c r="J415" s="137"/>
      <c r="K415" s="136"/>
      <c r="L415" s="136"/>
      <c r="M415" s="136"/>
    </row>
    <row r="416" ht="15.75" customHeight="1">
      <c r="A416" s="131">
        <f>PEDIDOS!B416</f>
        <v>46203</v>
      </c>
      <c r="B416" s="131">
        <f>PEDIDOS!C416</f>
        <v>1093</v>
      </c>
      <c r="C416" s="131" t="str">
        <f>PEDIDOS!D416</f>
        <v>NIZA</v>
      </c>
      <c r="D416" s="131" t="str">
        <f>PEDIDOS!E416</f>
        <v>AQUA BOMB LIGHT X 50 ML</v>
      </c>
      <c r="E416" s="132">
        <f>PEDIDOS!G416</f>
        <v>300</v>
      </c>
      <c r="F416" s="46"/>
      <c r="G416" s="46"/>
      <c r="H416" s="45"/>
      <c r="I416" s="45"/>
      <c r="J416" s="45"/>
      <c r="K416" s="46"/>
      <c r="L416" s="46"/>
      <c r="M416" s="46"/>
    </row>
    <row r="417" ht="15.75" customHeight="1">
      <c r="A417" s="134">
        <f>PEDIDOS!B417</f>
        <v>46203</v>
      </c>
      <c r="B417" s="134">
        <f>PEDIDOS!C417</f>
        <v>1093</v>
      </c>
      <c r="C417" s="134" t="str">
        <f>PEDIDOS!D417</f>
        <v>NIZA</v>
      </c>
      <c r="D417" s="134" t="str">
        <f>PEDIDOS!E417</f>
        <v>CLEAR ACNE MASK X 100 G</v>
      </c>
      <c r="E417" s="135">
        <f>PEDIDOS!G417</f>
        <v>300</v>
      </c>
      <c r="F417" s="136"/>
      <c r="G417" s="136"/>
      <c r="H417" s="137"/>
      <c r="I417" s="137"/>
      <c r="J417" s="137"/>
      <c r="K417" s="136"/>
      <c r="L417" s="136"/>
      <c r="M417" s="136"/>
    </row>
    <row r="418" ht="15.75" customHeight="1">
      <c r="A418" s="134">
        <f>PEDIDOS!B418</f>
        <v>46203</v>
      </c>
      <c r="B418" s="134" t="str">
        <f>PEDIDOS!C418</f>
        <v/>
      </c>
      <c r="C418" s="134" t="str">
        <f>PEDIDOS!D418</f>
        <v>KATALIA</v>
      </c>
      <c r="D418" s="134" t="str">
        <f>PEDIDOS!E418</f>
        <v>BRUMA FIJADORA DE MAQUILLAJE</v>
      </c>
      <c r="E418" s="135">
        <f>PEDIDOS!G418</f>
        <v>1500</v>
      </c>
      <c r="F418" s="136"/>
      <c r="G418" s="136"/>
      <c r="H418" s="137"/>
      <c r="I418" s="137"/>
      <c r="J418" s="137"/>
      <c r="K418" s="46"/>
      <c r="L418" s="46"/>
      <c r="M418" s="46"/>
    </row>
    <row r="419" ht="15.75" customHeight="1">
      <c r="A419" s="131">
        <f>PEDIDOS!B419</f>
        <v>46204</v>
      </c>
      <c r="B419" s="131" t="str">
        <f>PEDIDOS!C419</f>
        <v/>
      </c>
      <c r="C419" s="131" t="str">
        <f>PEDIDOS!D419</f>
        <v>BAHIA EVANS</v>
      </c>
      <c r="D419" s="131" t="str">
        <f>PEDIDOS!E419</f>
        <v>POMADA CREAM WAX FIJACION MEDIA</v>
      </c>
      <c r="E419" s="132">
        <f>PEDIDOS!G419</f>
        <v>200</v>
      </c>
      <c r="F419" s="46"/>
      <c r="G419" s="46"/>
      <c r="H419" s="45"/>
      <c r="I419" s="45"/>
      <c r="J419" s="45"/>
      <c r="K419" s="136"/>
      <c r="L419" s="136"/>
      <c r="M419" s="136"/>
    </row>
    <row r="420" ht="15.75" customHeight="1">
      <c r="A420" s="134">
        <f>PEDIDOS!B420</f>
        <v>46204</v>
      </c>
      <c r="B420" s="134" t="str">
        <f>PEDIDOS!C420</f>
        <v/>
      </c>
      <c r="C420" s="134" t="str">
        <f>PEDIDOS!D420</f>
        <v>BAHIA EVANS</v>
      </c>
      <c r="D420" s="134" t="str">
        <f>PEDIDOS!E420</f>
        <v>POMADA CREAM WAX ULTRA STRONG</v>
      </c>
      <c r="E420" s="135">
        <f>PEDIDOS!G420</f>
        <v>200</v>
      </c>
      <c r="F420" s="136"/>
      <c r="G420" s="136"/>
      <c r="H420" s="137"/>
      <c r="I420" s="137"/>
      <c r="J420" s="137"/>
      <c r="K420" s="46"/>
      <c r="L420" s="46"/>
      <c r="M420" s="46"/>
    </row>
    <row r="421" ht="15.75" customHeight="1">
      <c r="A421" s="131">
        <f>PEDIDOS!B421</f>
        <v>46204</v>
      </c>
      <c r="B421" s="131" t="str">
        <f>PEDIDOS!C421</f>
        <v/>
      </c>
      <c r="C421" s="131" t="str">
        <f>PEDIDOS!D421</f>
        <v>BAHIA EVANS</v>
      </c>
      <c r="D421" s="131" t="str">
        <f>PEDIDOS!E421</f>
        <v>POMADA BRILLANTE GOLDEN ULTRA STRONG</v>
      </c>
      <c r="E421" s="132">
        <f>PEDIDOS!G421</f>
        <v>200</v>
      </c>
      <c r="F421" s="46"/>
      <c r="G421" s="46"/>
      <c r="H421" s="45"/>
      <c r="I421" s="45"/>
      <c r="J421" s="45"/>
      <c r="K421" s="136"/>
      <c r="L421" s="136"/>
      <c r="M421" s="136"/>
    </row>
    <row r="422" ht="15.75" customHeight="1">
      <c r="A422" s="134" t="str">
        <f>PEDIDOS!B422</f>
        <v/>
      </c>
      <c r="B422" s="134" t="str">
        <f>PEDIDOS!C422</f>
        <v/>
      </c>
      <c r="C422" s="134" t="str">
        <f>PEDIDOS!D422</f>
        <v/>
      </c>
      <c r="D422" s="134" t="str">
        <f>PEDIDOS!E422</f>
        <v/>
      </c>
      <c r="E422" s="135" t="str">
        <f>PEDIDOS!G422</f>
        <v/>
      </c>
      <c r="F422" s="136"/>
      <c r="G422" s="136"/>
      <c r="H422" s="137"/>
      <c r="I422" s="137"/>
      <c r="J422" s="137"/>
      <c r="K422" s="46"/>
      <c r="L422" s="46"/>
      <c r="M422" s="46"/>
    </row>
    <row r="423" ht="15.75" customHeight="1">
      <c r="A423" s="134" t="str">
        <f>PEDIDOS!B423</f>
        <v/>
      </c>
      <c r="B423" s="134" t="str">
        <f>PEDIDOS!C423</f>
        <v/>
      </c>
      <c r="C423" s="134" t="str">
        <f>PEDIDOS!D423</f>
        <v/>
      </c>
      <c r="D423" s="134" t="str">
        <f>PEDIDOS!E423</f>
        <v/>
      </c>
      <c r="E423" s="135" t="str">
        <f>PEDIDOS!G423</f>
        <v/>
      </c>
      <c r="F423" s="136"/>
      <c r="G423" s="136"/>
      <c r="H423" s="137"/>
      <c r="I423" s="137"/>
      <c r="J423" s="137"/>
      <c r="K423" s="136"/>
      <c r="L423" s="136"/>
      <c r="M423" s="136"/>
    </row>
    <row r="424" ht="15.75" customHeight="1">
      <c r="A424" s="131" t="str">
        <f>PEDIDOS!B424</f>
        <v/>
      </c>
      <c r="B424" s="131" t="str">
        <f>PEDIDOS!C424</f>
        <v/>
      </c>
      <c r="C424" s="131" t="str">
        <f>PEDIDOS!D424</f>
        <v/>
      </c>
      <c r="D424" s="131" t="str">
        <f>PEDIDOS!E424</f>
        <v/>
      </c>
      <c r="E424" s="132" t="str">
        <f>PEDIDOS!G424</f>
        <v/>
      </c>
      <c r="F424" s="46"/>
      <c r="G424" s="46"/>
      <c r="H424" s="45"/>
      <c r="I424" s="45"/>
      <c r="J424" s="45"/>
      <c r="K424" s="46"/>
      <c r="L424" s="46"/>
      <c r="M424" s="46"/>
    </row>
    <row r="425" ht="15.75" customHeight="1">
      <c r="A425" s="134" t="str">
        <f>PEDIDOS!B425</f>
        <v/>
      </c>
      <c r="B425" s="134" t="str">
        <f>PEDIDOS!C425</f>
        <v/>
      </c>
      <c r="C425" s="134" t="str">
        <f>PEDIDOS!D425</f>
        <v/>
      </c>
      <c r="D425" s="134" t="str">
        <f>PEDIDOS!E425</f>
        <v/>
      </c>
      <c r="E425" s="135" t="str">
        <f>PEDIDOS!G425</f>
        <v/>
      </c>
      <c r="F425" s="136"/>
      <c r="G425" s="136"/>
      <c r="H425" s="137"/>
      <c r="I425" s="137"/>
      <c r="J425" s="137"/>
      <c r="K425" s="136"/>
      <c r="L425" s="136"/>
      <c r="M425" s="136"/>
    </row>
    <row r="426" ht="15.75" customHeight="1">
      <c r="A426" s="131" t="str">
        <f>PEDIDOS!B426</f>
        <v/>
      </c>
      <c r="B426" s="131" t="str">
        <f>PEDIDOS!C426</f>
        <v/>
      </c>
      <c r="C426" s="131" t="str">
        <f>PEDIDOS!D426</f>
        <v/>
      </c>
      <c r="D426" s="131" t="str">
        <f>PEDIDOS!E426</f>
        <v/>
      </c>
      <c r="E426" s="132" t="str">
        <f>PEDIDOS!G426</f>
        <v/>
      </c>
      <c r="F426" s="46"/>
      <c r="G426" s="46"/>
      <c r="H426" s="45"/>
      <c r="I426" s="45"/>
      <c r="J426" s="45"/>
      <c r="K426" s="46"/>
      <c r="L426" s="46"/>
      <c r="M426" s="46"/>
    </row>
    <row r="427" ht="15.75" customHeight="1">
      <c r="A427" s="134" t="str">
        <f>PEDIDOS!B427</f>
        <v/>
      </c>
      <c r="B427" s="134" t="str">
        <f>PEDIDOS!C427</f>
        <v/>
      </c>
      <c r="C427" s="134" t="str">
        <f>PEDIDOS!D427</f>
        <v/>
      </c>
      <c r="D427" s="134" t="str">
        <f>PEDIDOS!E427</f>
        <v/>
      </c>
      <c r="E427" s="135" t="str">
        <f>PEDIDOS!G427</f>
        <v/>
      </c>
      <c r="F427" s="136"/>
      <c r="G427" s="136"/>
      <c r="H427" s="137"/>
      <c r="I427" s="137"/>
      <c r="J427" s="137"/>
      <c r="K427" s="136"/>
      <c r="L427" s="136"/>
      <c r="M427" s="136"/>
    </row>
    <row r="428" ht="15.75" customHeight="1">
      <c r="A428" s="134" t="str">
        <f>PEDIDOS!B428</f>
        <v/>
      </c>
      <c r="B428" s="134" t="str">
        <f>PEDIDOS!C428</f>
        <v/>
      </c>
      <c r="C428" s="134" t="str">
        <f>PEDIDOS!D428</f>
        <v/>
      </c>
      <c r="D428" s="134" t="str">
        <f>PEDIDOS!E428</f>
        <v/>
      </c>
      <c r="E428" s="135" t="str">
        <f>PEDIDOS!G428</f>
        <v/>
      </c>
      <c r="F428" s="136"/>
      <c r="G428" s="136"/>
      <c r="H428" s="137"/>
      <c r="I428" s="137"/>
      <c r="J428" s="137"/>
      <c r="K428" s="46"/>
      <c r="L428" s="46"/>
      <c r="M428" s="46"/>
    </row>
    <row r="429" ht="15.75" customHeight="1">
      <c r="A429" s="131" t="str">
        <f>PEDIDOS!B429</f>
        <v/>
      </c>
      <c r="B429" s="131" t="str">
        <f>PEDIDOS!C429</f>
        <v/>
      </c>
      <c r="C429" s="131" t="str">
        <f>PEDIDOS!D429</f>
        <v/>
      </c>
      <c r="D429" s="131" t="str">
        <f>PEDIDOS!E429</f>
        <v/>
      </c>
      <c r="E429" s="132" t="str">
        <f>PEDIDOS!G429</f>
        <v/>
      </c>
      <c r="F429" s="46"/>
      <c r="G429" s="46"/>
      <c r="H429" s="45"/>
      <c r="I429" s="45"/>
      <c r="J429" s="45"/>
      <c r="K429" s="136"/>
      <c r="L429" s="136"/>
      <c r="M429" s="136"/>
    </row>
    <row r="430" ht="15.75" customHeight="1">
      <c r="A430" s="134" t="str">
        <f>PEDIDOS!B430</f>
        <v/>
      </c>
      <c r="B430" s="134" t="str">
        <f>PEDIDOS!C430</f>
        <v/>
      </c>
      <c r="C430" s="134" t="str">
        <f>PEDIDOS!D430</f>
        <v/>
      </c>
      <c r="D430" s="134" t="str">
        <f>PEDIDOS!E430</f>
        <v/>
      </c>
      <c r="E430" s="135" t="str">
        <f>PEDIDOS!G430</f>
        <v/>
      </c>
      <c r="F430" s="136"/>
      <c r="G430" s="136"/>
      <c r="H430" s="137"/>
      <c r="I430" s="137"/>
      <c r="J430" s="137"/>
      <c r="K430" s="46"/>
      <c r="L430" s="46"/>
      <c r="M430" s="46"/>
    </row>
    <row r="431" ht="15.75" customHeight="1">
      <c r="A431" s="131" t="str">
        <f>PEDIDOS!B431</f>
        <v/>
      </c>
      <c r="B431" s="131" t="str">
        <f>PEDIDOS!C431</f>
        <v/>
      </c>
      <c r="C431" s="131" t="str">
        <f>PEDIDOS!D431</f>
        <v/>
      </c>
      <c r="D431" s="131" t="str">
        <f>PEDIDOS!E431</f>
        <v/>
      </c>
      <c r="E431" s="132" t="str">
        <f>PEDIDOS!G431</f>
        <v/>
      </c>
      <c r="F431" s="46"/>
      <c r="G431" s="46"/>
      <c r="H431" s="45"/>
      <c r="I431" s="45"/>
      <c r="J431" s="45"/>
      <c r="K431" s="136"/>
      <c r="L431" s="136"/>
      <c r="M431" s="136"/>
    </row>
    <row r="432" ht="15.75" customHeight="1">
      <c r="A432" s="134" t="str">
        <f>PEDIDOS!B432</f>
        <v/>
      </c>
      <c r="B432" s="134" t="str">
        <f>PEDIDOS!C432</f>
        <v/>
      </c>
      <c r="C432" s="134" t="str">
        <f>PEDIDOS!D432</f>
        <v/>
      </c>
      <c r="D432" s="134" t="str">
        <f>PEDIDOS!E432</f>
        <v/>
      </c>
      <c r="E432" s="135" t="str">
        <f>PEDIDOS!G432</f>
        <v/>
      </c>
      <c r="F432" s="136"/>
      <c r="G432" s="136"/>
      <c r="H432" s="137"/>
      <c r="I432" s="137"/>
      <c r="J432" s="137"/>
      <c r="K432" s="46"/>
      <c r="L432" s="46"/>
      <c r="M432" s="46"/>
    </row>
    <row r="433" ht="15.75" customHeight="1">
      <c r="A433" s="134" t="str">
        <f>PEDIDOS!B433</f>
        <v/>
      </c>
      <c r="B433" s="134" t="str">
        <f>PEDIDOS!C433</f>
        <v/>
      </c>
      <c r="C433" s="134" t="str">
        <f>PEDIDOS!D433</f>
        <v/>
      </c>
      <c r="D433" s="134" t="str">
        <f>PEDIDOS!E433</f>
        <v/>
      </c>
      <c r="E433" s="135" t="str">
        <f>PEDIDOS!G433</f>
        <v/>
      </c>
      <c r="F433" s="136"/>
      <c r="G433" s="136"/>
      <c r="H433" s="137"/>
      <c r="I433" s="137"/>
      <c r="J433" s="137"/>
      <c r="K433" s="136"/>
      <c r="L433" s="136"/>
      <c r="M433" s="136"/>
    </row>
    <row r="434" ht="15.75" customHeight="1">
      <c r="A434" s="131" t="str">
        <f>PEDIDOS!B434</f>
        <v/>
      </c>
      <c r="B434" s="131" t="str">
        <f>PEDIDOS!C434</f>
        <v/>
      </c>
      <c r="C434" s="131" t="str">
        <f>PEDIDOS!D434</f>
        <v/>
      </c>
      <c r="D434" s="131" t="str">
        <f>PEDIDOS!E434</f>
        <v/>
      </c>
      <c r="E434" s="132" t="str">
        <f>PEDIDOS!G434</f>
        <v/>
      </c>
      <c r="F434" s="46"/>
      <c r="G434" s="46"/>
      <c r="H434" s="45"/>
      <c r="I434" s="45"/>
      <c r="J434" s="45"/>
      <c r="K434" s="46"/>
      <c r="L434" s="46"/>
      <c r="M434" s="46"/>
    </row>
    <row r="435" ht="15.75" customHeight="1">
      <c r="A435" s="134" t="str">
        <f>PEDIDOS!B435</f>
        <v/>
      </c>
      <c r="B435" s="134" t="str">
        <f>PEDIDOS!C435</f>
        <v/>
      </c>
      <c r="C435" s="134" t="str">
        <f>PEDIDOS!D435</f>
        <v/>
      </c>
      <c r="D435" s="134" t="str">
        <f>PEDIDOS!E435</f>
        <v/>
      </c>
      <c r="E435" s="135" t="str">
        <f>PEDIDOS!G435</f>
        <v/>
      </c>
      <c r="F435" s="136"/>
      <c r="G435" s="136"/>
      <c r="H435" s="137"/>
      <c r="I435" s="137"/>
      <c r="J435" s="137"/>
      <c r="K435" s="136"/>
      <c r="L435" s="136"/>
      <c r="M435" s="136"/>
    </row>
    <row r="436" ht="15.75" customHeight="1">
      <c r="A436" s="131" t="str">
        <f>PEDIDOS!B436</f>
        <v/>
      </c>
      <c r="B436" s="131" t="str">
        <f>PEDIDOS!C436</f>
        <v/>
      </c>
      <c r="C436" s="131" t="str">
        <f>PEDIDOS!D436</f>
        <v/>
      </c>
      <c r="D436" s="131" t="str">
        <f>PEDIDOS!E436</f>
        <v/>
      </c>
      <c r="E436" s="132" t="str">
        <f>PEDIDOS!G436</f>
        <v/>
      </c>
      <c r="F436" s="46"/>
      <c r="G436" s="46"/>
      <c r="H436" s="45"/>
      <c r="I436" s="45"/>
      <c r="J436" s="45"/>
      <c r="K436" s="46"/>
      <c r="L436" s="46"/>
      <c r="M436" s="46"/>
    </row>
    <row r="437" ht="15.75" customHeight="1">
      <c r="A437" s="134" t="str">
        <f>PEDIDOS!B437</f>
        <v/>
      </c>
      <c r="B437" s="134" t="str">
        <f>PEDIDOS!C437</f>
        <v/>
      </c>
      <c r="C437" s="134" t="str">
        <f>PEDIDOS!D437</f>
        <v/>
      </c>
      <c r="D437" s="134" t="str">
        <f>PEDIDOS!E437</f>
        <v/>
      </c>
      <c r="E437" s="135" t="str">
        <f>PEDIDOS!G437</f>
        <v/>
      </c>
      <c r="F437" s="136"/>
      <c r="G437" s="136"/>
      <c r="H437" s="137"/>
      <c r="I437" s="137"/>
      <c r="J437" s="137"/>
      <c r="K437" s="136"/>
      <c r="L437" s="136"/>
      <c r="M437" s="136"/>
    </row>
    <row r="438" ht="15.75" customHeight="1">
      <c r="A438" s="134" t="str">
        <f>PEDIDOS!B438</f>
        <v/>
      </c>
      <c r="B438" s="134" t="str">
        <f>PEDIDOS!C438</f>
        <v/>
      </c>
      <c r="C438" s="134" t="str">
        <f>PEDIDOS!D438</f>
        <v/>
      </c>
      <c r="D438" s="134" t="str">
        <f>PEDIDOS!E438</f>
        <v/>
      </c>
      <c r="E438" s="135" t="str">
        <f>PEDIDOS!G438</f>
        <v/>
      </c>
      <c r="F438" s="136"/>
      <c r="G438" s="136"/>
      <c r="H438" s="137"/>
      <c r="I438" s="137"/>
      <c r="J438" s="137"/>
      <c r="K438" s="46"/>
      <c r="L438" s="46"/>
      <c r="M438" s="46"/>
    </row>
    <row r="439" ht="15.75" customHeight="1">
      <c r="A439" s="131" t="str">
        <f>PEDIDOS!B439</f>
        <v/>
      </c>
      <c r="B439" s="131" t="str">
        <f>PEDIDOS!C439</f>
        <v/>
      </c>
      <c r="C439" s="131" t="str">
        <f>PEDIDOS!D439</f>
        <v/>
      </c>
      <c r="D439" s="131" t="str">
        <f>PEDIDOS!E439</f>
        <v/>
      </c>
      <c r="E439" s="132" t="str">
        <f>PEDIDOS!G439</f>
        <v/>
      </c>
      <c r="F439" s="46"/>
      <c r="G439" s="46"/>
      <c r="H439" s="45"/>
      <c r="I439" s="45"/>
      <c r="J439" s="45"/>
      <c r="K439" s="136"/>
      <c r="L439" s="136"/>
      <c r="M439" s="136"/>
    </row>
    <row r="440" ht="15.75" customHeight="1">
      <c r="A440" s="134" t="str">
        <f>PEDIDOS!B440</f>
        <v/>
      </c>
      <c r="B440" s="134" t="str">
        <f>PEDIDOS!C440</f>
        <v/>
      </c>
      <c r="C440" s="134" t="str">
        <f>PEDIDOS!D440</f>
        <v/>
      </c>
      <c r="D440" s="134" t="str">
        <f>PEDIDOS!E440</f>
        <v/>
      </c>
      <c r="E440" s="135" t="str">
        <f>PEDIDOS!G440</f>
        <v/>
      </c>
      <c r="F440" s="136"/>
      <c r="G440" s="136"/>
      <c r="H440" s="137"/>
      <c r="I440" s="137"/>
      <c r="J440" s="137"/>
      <c r="K440" s="46"/>
      <c r="L440" s="46"/>
      <c r="M440" s="46"/>
    </row>
    <row r="441" ht="15.75" customHeight="1">
      <c r="A441" s="131" t="str">
        <f>PEDIDOS!B441</f>
        <v/>
      </c>
      <c r="B441" s="131" t="str">
        <f>PEDIDOS!C441</f>
        <v/>
      </c>
      <c r="C441" s="131" t="str">
        <f>PEDIDOS!D441</f>
        <v/>
      </c>
      <c r="D441" s="131" t="str">
        <f>PEDIDOS!E441</f>
        <v/>
      </c>
      <c r="E441" s="132" t="str">
        <f>PEDIDOS!G441</f>
        <v/>
      </c>
      <c r="F441" s="46"/>
      <c r="G441" s="46"/>
      <c r="H441" s="45"/>
      <c r="I441" s="45"/>
      <c r="J441" s="45"/>
      <c r="K441" s="136"/>
      <c r="L441" s="136"/>
      <c r="M441" s="136"/>
    </row>
    <row r="442" ht="15.75" customHeight="1">
      <c r="A442" s="134" t="str">
        <f>PEDIDOS!B442</f>
        <v/>
      </c>
      <c r="B442" s="134" t="str">
        <f>PEDIDOS!C442</f>
        <v/>
      </c>
      <c r="C442" s="134" t="str">
        <f>PEDIDOS!D442</f>
        <v/>
      </c>
      <c r="D442" s="134" t="str">
        <f>PEDIDOS!E442</f>
        <v/>
      </c>
      <c r="E442" s="135" t="str">
        <f>PEDIDOS!G442</f>
        <v/>
      </c>
      <c r="F442" s="136"/>
      <c r="G442" s="136"/>
      <c r="H442" s="137"/>
      <c r="I442" s="137"/>
      <c r="J442" s="137"/>
      <c r="K442" s="46"/>
      <c r="L442" s="46"/>
      <c r="M442" s="46"/>
    </row>
    <row r="443" ht="15.75" customHeight="1">
      <c r="A443" s="134" t="str">
        <f>PEDIDOS!B443</f>
        <v/>
      </c>
      <c r="B443" s="134" t="str">
        <f>PEDIDOS!C443</f>
        <v/>
      </c>
      <c r="C443" s="134" t="str">
        <f>PEDIDOS!D443</f>
        <v/>
      </c>
      <c r="D443" s="134" t="str">
        <f>PEDIDOS!E443</f>
        <v/>
      </c>
      <c r="E443" s="135" t="str">
        <f>PEDIDOS!G443</f>
        <v/>
      </c>
      <c r="F443" s="136"/>
      <c r="G443" s="136"/>
      <c r="H443" s="137"/>
      <c r="I443" s="137"/>
      <c r="J443" s="137"/>
      <c r="K443" s="136"/>
      <c r="L443" s="136"/>
      <c r="M443" s="136"/>
    </row>
    <row r="444" ht="15.75" customHeight="1">
      <c r="A444" s="131" t="str">
        <f>PEDIDOS!B444</f>
        <v/>
      </c>
      <c r="B444" s="131" t="str">
        <f>PEDIDOS!C444</f>
        <v/>
      </c>
      <c r="C444" s="131" t="str">
        <f>PEDIDOS!D444</f>
        <v/>
      </c>
      <c r="D444" s="131" t="str">
        <f>PEDIDOS!E444</f>
        <v/>
      </c>
      <c r="E444" s="132" t="str">
        <f>PEDIDOS!G444</f>
        <v/>
      </c>
      <c r="F444" s="46"/>
      <c r="G444" s="46"/>
      <c r="H444" s="45"/>
      <c r="I444" s="45"/>
      <c r="J444" s="45"/>
      <c r="K444" s="46"/>
      <c r="L444" s="46"/>
      <c r="M444" s="46"/>
    </row>
    <row r="445" ht="15.75" customHeight="1">
      <c r="A445" s="134" t="str">
        <f>PEDIDOS!B445</f>
        <v/>
      </c>
      <c r="B445" s="134" t="str">
        <f>PEDIDOS!C445</f>
        <v/>
      </c>
      <c r="C445" s="134" t="str">
        <f>PEDIDOS!D445</f>
        <v/>
      </c>
      <c r="D445" s="134" t="str">
        <f>PEDIDOS!E445</f>
        <v/>
      </c>
      <c r="E445" s="135" t="str">
        <f>PEDIDOS!G445</f>
        <v/>
      </c>
      <c r="F445" s="136"/>
      <c r="G445" s="136"/>
      <c r="H445" s="137"/>
      <c r="I445" s="137"/>
      <c r="J445" s="137"/>
      <c r="K445" s="136"/>
      <c r="L445" s="136"/>
      <c r="M445" s="136"/>
    </row>
    <row r="446" ht="15.75" customHeight="1">
      <c r="A446" s="131" t="str">
        <f>PEDIDOS!B446</f>
        <v/>
      </c>
      <c r="B446" s="131" t="str">
        <f>PEDIDOS!C446</f>
        <v/>
      </c>
      <c r="C446" s="131" t="str">
        <f>PEDIDOS!D446</f>
        <v/>
      </c>
      <c r="D446" s="131" t="str">
        <f>PEDIDOS!E446</f>
        <v/>
      </c>
      <c r="E446" s="132" t="str">
        <f>PEDIDOS!G446</f>
        <v/>
      </c>
      <c r="F446" s="46"/>
      <c r="G446" s="46"/>
      <c r="H446" s="45"/>
      <c r="I446" s="45"/>
      <c r="J446" s="45"/>
      <c r="K446" s="46"/>
      <c r="L446" s="46"/>
      <c r="M446" s="46"/>
    </row>
    <row r="447" ht="15.75" customHeight="1">
      <c r="A447" s="134" t="str">
        <f>PEDIDOS!B447</f>
        <v/>
      </c>
      <c r="B447" s="134" t="str">
        <f>PEDIDOS!C447</f>
        <v/>
      </c>
      <c r="C447" s="134" t="str">
        <f>PEDIDOS!D447</f>
        <v/>
      </c>
      <c r="D447" s="134" t="str">
        <f>PEDIDOS!E447</f>
        <v/>
      </c>
      <c r="E447" s="135" t="str">
        <f>PEDIDOS!G447</f>
        <v/>
      </c>
      <c r="F447" s="136"/>
      <c r="G447" s="136"/>
      <c r="H447" s="137"/>
      <c r="I447" s="137"/>
      <c r="J447" s="137"/>
      <c r="K447" s="136"/>
      <c r="L447" s="136"/>
      <c r="M447" s="136"/>
    </row>
    <row r="448" ht="15.75" customHeight="1">
      <c r="A448" s="134" t="str">
        <f>PEDIDOS!B448</f>
        <v/>
      </c>
      <c r="B448" s="134" t="str">
        <f>PEDIDOS!C448</f>
        <v/>
      </c>
      <c r="C448" s="134" t="str">
        <f>PEDIDOS!D448</f>
        <v/>
      </c>
      <c r="D448" s="134" t="str">
        <f>PEDIDOS!E448</f>
        <v/>
      </c>
      <c r="E448" s="135" t="str">
        <f>PEDIDOS!G448</f>
        <v/>
      </c>
      <c r="F448" s="136"/>
      <c r="G448" s="136"/>
      <c r="H448" s="137"/>
      <c r="I448" s="137"/>
      <c r="J448" s="137"/>
      <c r="K448" s="46"/>
      <c r="L448" s="46"/>
      <c r="M448" s="46"/>
    </row>
    <row r="449" ht="15.75" customHeight="1">
      <c r="A449" s="131" t="str">
        <f>PEDIDOS!B449</f>
        <v/>
      </c>
      <c r="B449" s="131" t="str">
        <f>PEDIDOS!C449</f>
        <v/>
      </c>
      <c r="C449" s="131" t="str">
        <f>PEDIDOS!D449</f>
        <v/>
      </c>
      <c r="D449" s="131" t="str">
        <f>PEDIDOS!E449</f>
        <v/>
      </c>
      <c r="E449" s="132" t="str">
        <f>PEDIDOS!G449</f>
        <v/>
      </c>
      <c r="F449" s="46"/>
      <c r="G449" s="46"/>
      <c r="H449" s="45"/>
      <c r="I449" s="45"/>
      <c r="J449" s="45"/>
      <c r="K449" s="136"/>
      <c r="L449" s="136"/>
      <c r="M449" s="136"/>
    </row>
    <row r="450" ht="15.75" customHeight="1">
      <c r="A450" s="134" t="str">
        <f>PEDIDOS!B450</f>
        <v/>
      </c>
      <c r="B450" s="134" t="str">
        <f>PEDIDOS!C450</f>
        <v/>
      </c>
      <c r="C450" s="134" t="str">
        <f>PEDIDOS!D450</f>
        <v/>
      </c>
      <c r="D450" s="134" t="str">
        <f>PEDIDOS!E450</f>
        <v/>
      </c>
      <c r="E450" s="135" t="str">
        <f>PEDIDOS!G450</f>
        <v/>
      </c>
      <c r="F450" s="136"/>
      <c r="G450" s="136"/>
      <c r="H450" s="137"/>
      <c r="I450" s="137"/>
      <c r="J450" s="137"/>
      <c r="K450" s="46"/>
      <c r="L450" s="46"/>
      <c r="M450" s="46"/>
    </row>
    <row r="451" ht="15.75" customHeight="1">
      <c r="A451" s="131" t="str">
        <f>PEDIDOS!B451</f>
        <v/>
      </c>
      <c r="B451" s="131" t="str">
        <f>PEDIDOS!C451</f>
        <v/>
      </c>
      <c r="C451" s="131" t="str">
        <f>PEDIDOS!D451</f>
        <v/>
      </c>
      <c r="D451" s="131" t="str">
        <f>PEDIDOS!E451</f>
        <v/>
      </c>
      <c r="E451" s="132" t="str">
        <f>PEDIDOS!G451</f>
        <v/>
      </c>
      <c r="F451" s="46"/>
      <c r="G451" s="46"/>
      <c r="H451" s="45"/>
      <c r="I451" s="45"/>
      <c r="J451" s="45"/>
      <c r="K451" s="136"/>
      <c r="L451" s="136"/>
      <c r="M451" s="136"/>
    </row>
    <row r="452" ht="15.75" customHeight="1">
      <c r="A452" s="134" t="str">
        <f>PEDIDOS!B452</f>
        <v/>
      </c>
      <c r="B452" s="134" t="str">
        <f>PEDIDOS!C452</f>
        <v/>
      </c>
      <c r="C452" s="134" t="str">
        <f>PEDIDOS!D452</f>
        <v/>
      </c>
      <c r="D452" s="134" t="str">
        <f>PEDIDOS!E452</f>
        <v/>
      </c>
      <c r="E452" s="135" t="str">
        <f>PEDIDOS!G452</f>
        <v/>
      </c>
      <c r="F452" s="136"/>
      <c r="G452" s="136"/>
      <c r="H452" s="137"/>
      <c r="I452" s="137"/>
      <c r="J452" s="137"/>
      <c r="K452" s="46"/>
      <c r="L452" s="46"/>
      <c r="M452" s="46"/>
    </row>
    <row r="453" ht="15.75" customHeight="1">
      <c r="A453" s="134" t="str">
        <f>PEDIDOS!B453</f>
        <v/>
      </c>
      <c r="B453" s="134" t="str">
        <f>PEDIDOS!C453</f>
        <v/>
      </c>
      <c r="C453" s="134" t="str">
        <f>PEDIDOS!D453</f>
        <v/>
      </c>
      <c r="D453" s="134" t="str">
        <f>PEDIDOS!E453</f>
        <v/>
      </c>
      <c r="E453" s="135" t="str">
        <f>PEDIDOS!G453</f>
        <v/>
      </c>
      <c r="F453" s="136"/>
      <c r="G453" s="136"/>
      <c r="H453" s="137"/>
      <c r="I453" s="137"/>
      <c r="J453" s="137"/>
      <c r="K453" s="136"/>
      <c r="L453" s="136"/>
      <c r="M453" s="136"/>
    </row>
    <row r="454" ht="15.75" customHeight="1">
      <c r="A454" s="131" t="str">
        <f>PEDIDOS!B454</f>
        <v/>
      </c>
      <c r="B454" s="131" t="str">
        <f>PEDIDOS!C454</f>
        <v/>
      </c>
      <c r="C454" s="131" t="str">
        <f>PEDIDOS!D454</f>
        <v/>
      </c>
      <c r="D454" s="131" t="str">
        <f>PEDIDOS!E454</f>
        <v/>
      </c>
      <c r="E454" s="132" t="str">
        <f>PEDIDOS!G454</f>
        <v/>
      </c>
      <c r="F454" s="46"/>
      <c r="G454" s="46"/>
      <c r="H454" s="45"/>
      <c r="I454" s="45"/>
      <c r="J454" s="45"/>
      <c r="K454" s="46"/>
      <c r="L454" s="46"/>
      <c r="M454" s="46"/>
    </row>
    <row r="455" ht="15.75" customHeight="1">
      <c r="A455" s="134" t="str">
        <f>PEDIDOS!B455</f>
        <v/>
      </c>
      <c r="B455" s="134" t="str">
        <f>PEDIDOS!C455</f>
        <v/>
      </c>
      <c r="C455" s="134" t="str">
        <f>PEDIDOS!D455</f>
        <v/>
      </c>
      <c r="D455" s="134" t="str">
        <f>PEDIDOS!E455</f>
        <v/>
      </c>
      <c r="E455" s="135" t="str">
        <f>PEDIDOS!G455</f>
        <v/>
      </c>
      <c r="F455" s="136"/>
      <c r="G455" s="136"/>
      <c r="H455" s="137"/>
      <c r="I455" s="137"/>
      <c r="J455" s="137"/>
      <c r="K455" s="136"/>
      <c r="L455" s="136"/>
      <c r="M455" s="136"/>
    </row>
    <row r="456" ht="15.75" customHeight="1">
      <c r="A456" s="131" t="str">
        <f>PEDIDOS!B456</f>
        <v/>
      </c>
      <c r="B456" s="131" t="str">
        <f>PEDIDOS!C456</f>
        <v/>
      </c>
      <c r="C456" s="131" t="str">
        <f>PEDIDOS!D456</f>
        <v/>
      </c>
      <c r="D456" s="131" t="str">
        <f>PEDIDOS!E456</f>
        <v/>
      </c>
      <c r="E456" s="132" t="str">
        <f>PEDIDOS!G456</f>
        <v/>
      </c>
      <c r="F456" s="46"/>
      <c r="G456" s="46"/>
      <c r="H456" s="45"/>
      <c r="I456" s="45"/>
      <c r="J456" s="45"/>
      <c r="K456" s="46"/>
      <c r="L456" s="46"/>
      <c r="M456" s="46"/>
    </row>
    <row r="457" ht="15.75" customHeight="1">
      <c r="A457" s="134" t="str">
        <f>PEDIDOS!B457</f>
        <v/>
      </c>
      <c r="B457" s="134" t="str">
        <f>PEDIDOS!C457</f>
        <v/>
      </c>
      <c r="C457" s="134" t="str">
        <f>PEDIDOS!D457</f>
        <v/>
      </c>
      <c r="D457" s="134" t="str">
        <f>PEDIDOS!E457</f>
        <v/>
      </c>
      <c r="E457" s="135" t="str">
        <f>PEDIDOS!G457</f>
        <v/>
      </c>
      <c r="F457" s="136"/>
      <c r="G457" s="136"/>
      <c r="H457" s="137"/>
      <c r="I457" s="137"/>
      <c r="J457" s="137"/>
      <c r="K457" s="136"/>
      <c r="L457" s="136"/>
      <c r="M457" s="136"/>
    </row>
    <row r="458" ht="15.75" customHeight="1">
      <c r="A458" s="134" t="str">
        <f>PEDIDOS!B458</f>
        <v/>
      </c>
      <c r="B458" s="134" t="str">
        <f>PEDIDOS!C458</f>
        <v/>
      </c>
      <c r="C458" s="134" t="str">
        <f>PEDIDOS!D458</f>
        <v/>
      </c>
      <c r="D458" s="134" t="str">
        <f>PEDIDOS!E458</f>
        <v/>
      </c>
      <c r="E458" s="135" t="str">
        <f>PEDIDOS!G458</f>
        <v/>
      </c>
      <c r="F458" s="136"/>
      <c r="G458" s="136"/>
      <c r="H458" s="137"/>
      <c r="I458" s="137"/>
      <c r="J458" s="137"/>
      <c r="K458" s="46"/>
      <c r="L458" s="46"/>
      <c r="M458" s="46"/>
    </row>
    <row r="459" ht="15.75" customHeight="1">
      <c r="A459" s="131" t="str">
        <f>PEDIDOS!B459</f>
        <v/>
      </c>
      <c r="B459" s="131" t="str">
        <f>PEDIDOS!C459</f>
        <v/>
      </c>
      <c r="C459" s="131" t="str">
        <f>PEDIDOS!D459</f>
        <v/>
      </c>
      <c r="D459" s="131" t="str">
        <f>PEDIDOS!E459</f>
        <v/>
      </c>
      <c r="E459" s="132" t="str">
        <f>PEDIDOS!G459</f>
        <v/>
      </c>
      <c r="F459" s="46"/>
      <c r="G459" s="46"/>
      <c r="H459" s="45"/>
      <c r="I459" s="45"/>
      <c r="J459" s="45"/>
      <c r="K459" s="136"/>
      <c r="L459" s="136"/>
      <c r="M459" s="136"/>
    </row>
    <row r="460" ht="15.75" customHeight="1">
      <c r="A460" s="134" t="str">
        <f>PEDIDOS!B460</f>
        <v/>
      </c>
      <c r="B460" s="134" t="str">
        <f>PEDIDOS!C460</f>
        <v/>
      </c>
      <c r="C460" s="134" t="str">
        <f>PEDIDOS!D460</f>
        <v/>
      </c>
      <c r="D460" s="134" t="str">
        <f>PEDIDOS!E460</f>
        <v/>
      </c>
      <c r="E460" s="135" t="str">
        <f>PEDIDOS!G460</f>
        <v/>
      </c>
      <c r="F460" s="136"/>
      <c r="G460" s="136"/>
      <c r="H460" s="137"/>
      <c r="I460" s="137"/>
      <c r="J460" s="137"/>
      <c r="K460" s="46"/>
      <c r="L460" s="46"/>
      <c r="M460" s="46"/>
    </row>
    <row r="461" ht="15.75" customHeight="1">
      <c r="A461" s="131" t="str">
        <f>PEDIDOS!B461</f>
        <v/>
      </c>
      <c r="B461" s="131" t="str">
        <f>PEDIDOS!C461</f>
        <v/>
      </c>
      <c r="C461" s="131" t="str">
        <f>PEDIDOS!D461</f>
        <v/>
      </c>
      <c r="D461" s="131" t="str">
        <f>PEDIDOS!E461</f>
        <v/>
      </c>
      <c r="E461" s="132" t="str">
        <f>PEDIDOS!G461</f>
        <v/>
      </c>
      <c r="F461" s="46"/>
      <c r="G461" s="46"/>
      <c r="H461" s="45"/>
      <c r="I461" s="45"/>
      <c r="J461" s="45"/>
      <c r="K461" s="136"/>
      <c r="L461" s="136"/>
      <c r="M461" s="136"/>
    </row>
    <row r="462" ht="15.75" customHeight="1">
      <c r="A462" s="134" t="str">
        <f>PEDIDOS!B462</f>
        <v/>
      </c>
      <c r="B462" s="134" t="str">
        <f>PEDIDOS!C462</f>
        <v/>
      </c>
      <c r="C462" s="134" t="str">
        <f>PEDIDOS!D462</f>
        <v/>
      </c>
      <c r="D462" s="134" t="str">
        <f>PEDIDOS!E462</f>
        <v/>
      </c>
      <c r="E462" s="135" t="str">
        <f>PEDIDOS!G462</f>
        <v/>
      </c>
      <c r="F462" s="136"/>
      <c r="G462" s="136"/>
      <c r="H462" s="137"/>
      <c r="I462" s="137"/>
      <c r="J462" s="137"/>
      <c r="K462" s="46"/>
      <c r="L462" s="46"/>
      <c r="M462" s="46"/>
    </row>
    <row r="463" ht="15.75" customHeight="1">
      <c r="A463" s="134" t="str">
        <f>PEDIDOS!B463</f>
        <v/>
      </c>
      <c r="B463" s="134" t="str">
        <f>PEDIDOS!C463</f>
        <v/>
      </c>
      <c r="C463" s="134" t="str">
        <f>PEDIDOS!D463</f>
        <v/>
      </c>
      <c r="D463" s="134" t="str">
        <f>PEDIDOS!E463</f>
        <v/>
      </c>
      <c r="E463" s="135" t="str">
        <f>PEDIDOS!G463</f>
        <v/>
      </c>
      <c r="F463" s="136"/>
      <c r="G463" s="136"/>
      <c r="H463" s="137"/>
      <c r="I463" s="137"/>
      <c r="J463" s="137"/>
      <c r="K463" s="136"/>
      <c r="L463" s="136"/>
      <c r="M463" s="136"/>
    </row>
    <row r="464" ht="15.75" customHeight="1">
      <c r="A464" s="131" t="str">
        <f>PEDIDOS!B464</f>
        <v/>
      </c>
      <c r="B464" s="131" t="str">
        <f>PEDIDOS!C464</f>
        <v/>
      </c>
      <c r="C464" s="131" t="str">
        <f>PEDIDOS!D464</f>
        <v/>
      </c>
      <c r="D464" s="131" t="str">
        <f>PEDIDOS!E464</f>
        <v/>
      </c>
      <c r="E464" s="132" t="str">
        <f>PEDIDOS!G464</f>
        <v/>
      </c>
      <c r="F464" s="46"/>
      <c r="G464" s="46"/>
      <c r="H464" s="45"/>
      <c r="I464" s="45"/>
      <c r="J464" s="45"/>
      <c r="K464" s="46"/>
      <c r="L464" s="46"/>
      <c r="M464" s="46"/>
    </row>
    <row r="465" ht="15.75" customHeight="1">
      <c r="A465" s="134" t="str">
        <f>PEDIDOS!B465</f>
        <v/>
      </c>
      <c r="B465" s="134" t="str">
        <f>PEDIDOS!C465</f>
        <v/>
      </c>
      <c r="C465" s="134" t="str">
        <f>PEDIDOS!D465</f>
        <v/>
      </c>
      <c r="D465" s="134" t="str">
        <f>PEDIDOS!E465</f>
        <v/>
      </c>
      <c r="E465" s="135" t="str">
        <f>PEDIDOS!G465</f>
        <v/>
      </c>
      <c r="F465" s="136"/>
      <c r="G465" s="136"/>
      <c r="H465" s="137"/>
      <c r="I465" s="137"/>
      <c r="J465" s="137"/>
      <c r="K465" s="136"/>
      <c r="L465" s="136"/>
      <c r="M465" s="136"/>
    </row>
    <row r="466" ht="15.75" customHeight="1">
      <c r="A466" s="131" t="str">
        <f>PEDIDOS!B466</f>
        <v/>
      </c>
      <c r="B466" s="131" t="str">
        <f>PEDIDOS!C466</f>
        <v/>
      </c>
      <c r="C466" s="131" t="str">
        <f>PEDIDOS!D466</f>
        <v/>
      </c>
      <c r="D466" s="131" t="str">
        <f>PEDIDOS!E466</f>
        <v/>
      </c>
      <c r="E466" s="132" t="str">
        <f>PEDIDOS!G466</f>
        <v/>
      </c>
      <c r="F466" s="46"/>
      <c r="G466" s="46"/>
      <c r="H466" s="45"/>
      <c r="I466" s="45"/>
      <c r="J466" s="45"/>
      <c r="K466" s="46"/>
      <c r="L466" s="46"/>
      <c r="M466" s="46"/>
    </row>
    <row r="467" ht="15.75" customHeight="1">
      <c r="A467" s="134" t="str">
        <f>PEDIDOS!B467</f>
        <v/>
      </c>
      <c r="B467" s="134" t="str">
        <f>PEDIDOS!C467</f>
        <v/>
      </c>
      <c r="C467" s="134" t="str">
        <f>PEDIDOS!D467</f>
        <v/>
      </c>
      <c r="D467" s="134" t="str">
        <f>PEDIDOS!E467</f>
        <v/>
      </c>
      <c r="E467" s="135" t="str">
        <f>PEDIDOS!G467</f>
        <v/>
      </c>
      <c r="F467" s="136"/>
      <c r="G467" s="136"/>
      <c r="H467" s="137"/>
      <c r="I467" s="137"/>
      <c r="J467" s="137"/>
      <c r="K467" s="136"/>
      <c r="L467" s="136"/>
      <c r="M467" s="136"/>
    </row>
    <row r="468" ht="15.75" customHeight="1">
      <c r="A468" s="134" t="str">
        <f>PEDIDOS!B468</f>
        <v/>
      </c>
      <c r="B468" s="134" t="str">
        <f>PEDIDOS!C468</f>
        <v/>
      </c>
      <c r="C468" s="134" t="str">
        <f>PEDIDOS!D468</f>
        <v/>
      </c>
      <c r="D468" s="134" t="str">
        <f>PEDIDOS!E468</f>
        <v/>
      </c>
      <c r="E468" s="135" t="str">
        <f>PEDIDOS!G468</f>
        <v/>
      </c>
      <c r="F468" s="136"/>
      <c r="G468" s="136"/>
      <c r="H468" s="137"/>
      <c r="I468" s="137"/>
      <c r="J468" s="137"/>
      <c r="K468" s="46"/>
      <c r="L468" s="46"/>
      <c r="M468" s="46"/>
    </row>
    <row r="469" ht="15.75" customHeight="1">
      <c r="A469" s="131" t="str">
        <f>PEDIDOS!B469</f>
        <v/>
      </c>
      <c r="B469" s="131" t="str">
        <f>PEDIDOS!C469</f>
        <v/>
      </c>
      <c r="C469" s="131" t="str">
        <f>PEDIDOS!D469</f>
        <v/>
      </c>
      <c r="D469" s="131" t="str">
        <f>PEDIDOS!E469</f>
        <v/>
      </c>
      <c r="E469" s="132" t="str">
        <f>PEDIDOS!G469</f>
        <v/>
      </c>
      <c r="F469" s="46"/>
      <c r="G469" s="46"/>
      <c r="H469" s="45"/>
      <c r="I469" s="45"/>
      <c r="J469" s="45"/>
      <c r="K469" s="136"/>
      <c r="L469" s="136"/>
      <c r="M469" s="136"/>
    </row>
    <row r="470" ht="15.75" customHeight="1">
      <c r="A470" s="143"/>
      <c r="B470" s="143"/>
      <c r="C470" s="143"/>
      <c r="D470" s="143"/>
      <c r="E470" s="144"/>
      <c r="F470" s="46"/>
      <c r="G470" s="46"/>
      <c r="H470" s="46"/>
      <c r="I470" s="46"/>
      <c r="J470" s="46"/>
      <c r="K470" s="46"/>
      <c r="L470" s="46"/>
      <c r="M470" s="46"/>
    </row>
    <row r="471" ht="15.75" customHeight="1">
      <c r="A471" s="145"/>
      <c r="B471" s="145"/>
      <c r="C471" s="145"/>
      <c r="D471" s="145"/>
      <c r="E471" s="146"/>
      <c r="F471" s="136"/>
      <c r="G471" s="136"/>
      <c r="H471" s="136"/>
      <c r="I471" s="136"/>
      <c r="J471" s="136"/>
      <c r="K471" s="136"/>
      <c r="L471" s="136"/>
      <c r="M471" s="136"/>
    </row>
    <row r="472" ht="15.75" customHeight="1">
      <c r="A472" s="143"/>
      <c r="B472" s="143"/>
      <c r="C472" s="143"/>
      <c r="D472" s="143"/>
      <c r="E472" s="144"/>
      <c r="F472" s="46"/>
      <c r="G472" s="46"/>
      <c r="H472" s="46"/>
      <c r="I472" s="46"/>
      <c r="J472" s="46"/>
      <c r="K472" s="46"/>
      <c r="L472" s="46"/>
      <c r="M472" s="46"/>
    </row>
    <row r="473" ht="15.75" customHeight="1">
      <c r="A473" s="145"/>
      <c r="B473" s="145"/>
      <c r="C473" s="145"/>
      <c r="D473" s="145"/>
      <c r="E473" s="146"/>
      <c r="F473" s="136"/>
      <c r="G473" s="136"/>
      <c r="H473" s="136"/>
      <c r="I473" s="136"/>
      <c r="J473" s="136"/>
      <c r="K473" s="136"/>
      <c r="L473" s="136"/>
      <c r="M473" s="136"/>
    </row>
    <row r="474" ht="15.75" customHeight="1">
      <c r="A474" s="143"/>
      <c r="B474" s="143"/>
      <c r="C474" s="143"/>
      <c r="D474" s="143"/>
      <c r="E474" s="144"/>
      <c r="F474" s="46"/>
      <c r="G474" s="46"/>
      <c r="H474" s="46"/>
      <c r="I474" s="46"/>
      <c r="J474" s="46"/>
      <c r="K474" s="46"/>
      <c r="L474" s="46"/>
      <c r="M474" s="46"/>
    </row>
    <row r="475" ht="15.75" customHeight="1">
      <c r="A475" s="145"/>
      <c r="B475" s="145"/>
      <c r="C475" s="145"/>
      <c r="D475" s="145"/>
      <c r="E475" s="146"/>
      <c r="F475" s="136"/>
      <c r="G475" s="136"/>
      <c r="H475" s="136"/>
      <c r="I475" s="136"/>
      <c r="J475" s="136"/>
      <c r="K475" s="136"/>
      <c r="L475" s="136"/>
      <c r="M475" s="136"/>
    </row>
    <row r="476" ht="15.75" customHeight="1">
      <c r="A476" s="143"/>
      <c r="B476" s="143"/>
      <c r="C476" s="143"/>
      <c r="D476" s="143"/>
      <c r="E476" s="144"/>
      <c r="F476" s="46"/>
      <c r="G476" s="46"/>
      <c r="H476" s="46"/>
      <c r="I476" s="46"/>
      <c r="J476" s="46"/>
      <c r="K476" s="46"/>
      <c r="L476" s="46"/>
      <c r="M476" s="46"/>
    </row>
    <row r="477" ht="15.75" customHeight="1">
      <c r="A477" s="145"/>
      <c r="B477" s="145"/>
      <c r="C477" s="145"/>
      <c r="D477" s="145"/>
      <c r="E477" s="146"/>
      <c r="F477" s="136"/>
      <c r="G477" s="136"/>
      <c r="H477" s="136"/>
      <c r="I477" s="136"/>
      <c r="J477" s="136"/>
      <c r="K477" s="136"/>
      <c r="L477" s="136"/>
      <c r="M477" s="136"/>
    </row>
    <row r="478" ht="15.75" customHeight="1">
      <c r="A478" s="143"/>
      <c r="B478" s="143"/>
      <c r="C478" s="143"/>
      <c r="D478" s="143"/>
      <c r="E478" s="144"/>
      <c r="F478" s="46"/>
      <c r="G478" s="46"/>
      <c r="H478" s="46"/>
      <c r="I478" s="46"/>
      <c r="J478" s="46"/>
      <c r="K478" s="46"/>
      <c r="L478" s="46"/>
      <c r="M478" s="46"/>
    </row>
    <row r="479" ht="15.75" customHeight="1">
      <c r="A479" s="145"/>
      <c r="B479" s="145"/>
      <c r="C479" s="145"/>
      <c r="D479" s="145"/>
      <c r="E479" s="146"/>
      <c r="F479" s="136"/>
      <c r="G479" s="136"/>
      <c r="H479" s="136"/>
      <c r="I479" s="136"/>
      <c r="J479" s="136"/>
      <c r="K479" s="136"/>
      <c r="L479" s="136"/>
      <c r="M479" s="136"/>
    </row>
    <row r="480" ht="15.75" customHeight="1">
      <c r="A480" s="143"/>
      <c r="B480" s="143"/>
      <c r="C480" s="143"/>
      <c r="D480" s="143"/>
      <c r="E480" s="144"/>
      <c r="F480" s="46"/>
      <c r="G480" s="46"/>
      <c r="H480" s="46"/>
      <c r="I480" s="46"/>
      <c r="J480" s="46"/>
      <c r="K480" s="46"/>
      <c r="L480" s="46"/>
      <c r="M480" s="46"/>
    </row>
    <row r="481" ht="15.75" customHeight="1">
      <c r="A481" s="145"/>
      <c r="B481" s="145"/>
      <c r="C481" s="145"/>
      <c r="D481" s="145"/>
      <c r="E481" s="146"/>
      <c r="F481" s="136"/>
      <c r="G481" s="136"/>
      <c r="H481" s="136"/>
      <c r="I481" s="136"/>
      <c r="J481" s="136"/>
      <c r="K481" s="136"/>
      <c r="L481" s="136"/>
      <c r="M481" s="136"/>
    </row>
    <row r="482" ht="15.75" customHeight="1">
      <c r="A482" s="143"/>
      <c r="B482" s="143"/>
      <c r="C482" s="143"/>
      <c r="D482" s="143"/>
      <c r="E482" s="144"/>
      <c r="F482" s="46"/>
      <c r="G482" s="46"/>
      <c r="H482" s="46"/>
      <c r="I482" s="46"/>
      <c r="J482" s="46"/>
      <c r="K482" s="46"/>
      <c r="L482" s="46"/>
      <c r="M482" s="46"/>
    </row>
    <row r="483" ht="15.75" customHeight="1">
      <c r="A483" s="145"/>
      <c r="B483" s="145"/>
      <c r="C483" s="145"/>
      <c r="D483" s="145"/>
      <c r="E483" s="146"/>
      <c r="F483" s="136"/>
      <c r="G483" s="136"/>
      <c r="H483" s="136"/>
      <c r="I483" s="136"/>
      <c r="J483" s="136"/>
      <c r="K483" s="136"/>
      <c r="L483" s="136"/>
      <c r="M483" s="136"/>
    </row>
    <row r="484" ht="15.75" customHeight="1">
      <c r="A484" s="143"/>
      <c r="B484" s="143"/>
      <c r="C484" s="143"/>
      <c r="D484" s="143"/>
      <c r="E484" s="144"/>
      <c r="F484" s="46"/>
      <c r="G484" s="46"/>
      <c r="H484" s="46"/>
      <c r="I484" s="46"/>
      <c r="J484" s="46"/>
      <c r="K484" s="46"/>
      <c r="L484" s="46"/>
      <c r="M484" s="46"/>
    </row>
    <row r="485" ht="15.75" customHeight="1">
      <c r="A485" s="145"/>
      <c r="B485" s="145"/>
      <c r="C485" s="145"/>
      <c r="D485" s="145"/>
      <c r="E485" s="146"/>
      <c r="F485" s="136"/>
      <c r="G485" s="136"/>
      <c r="H485" s="136"/>
      <c r="I485" s="136"/>
      <c r="J485" s="136"/>
      <c r="K485" s="136"/>
      <c r="L485" s="136"/>
      <c r="M485" s="136"/>
    </row>
    <row r="486" ht="15.75" customHeight="1">
      <c r="A486" s="143"/>
      <c r="B486" s="143"/>
      <c r="C486" s="143"/>
      <c r="D486" s="143"/>
      <c r="E486" s="144"/>
      <c r="F486" s="46"/>
      <c r="G486" s="46"/>
      <c r="H486" s="46"/>
      <c r="I486" s="46"/>
      <c r="J486" s="46"/>
      <c r="K486" s="46"/>
      <c r="L486" s="46"/>
      <c r="M486" s="46"/>
    </row>
    <row r="487" ht="15.75" customHeight="1">
      <c r="A487" s="145"/>
      <c r="B487" s="145"/>
      <c r="C487" s="145"/>
      <c r="D487" s="145"/>
      <c r="E487" s="146"/>
      <c r="F487" s="136"/>
      <c r="G487" s="136"/>
      <c r="H487" s="136"/>
      <c r="I487" s="136"/>
      <c r="J487" s="136"/>
      <c r="K487" s="136"/>
      <c r="L487" s="136"/>
      <c r="M487" s="136"/>
    </row>
    <row r="488" ht="15.75" customHeight="1">
      <c r="A488" s="143"/>
      <c r="B488" s="143"/>
      <c r="C488" s="143"/>
      <c r="D488" s="143"/>
      <c r="E488" s="144"/>
      <c r="F488" s="46"/>
      <c r="G488" s="46"/>
      <c r="H488" s="46"/>
      <c r="I488" s="46"/>
      <c r="J488" s="46"/>
      <c r="K488" s="46"/>
      <c r="L488" s="46"/>
      <c r="M488" s="46"/>
    </row>
    <row r="489" ht="15.75" customHeight="1">
      <c r="A489" s="145"/>
      <c r="B489" s="145"/>
      <c r="C489" s="145"/>
      <c r="D489" s="145"/>
      <c r="E489" s="146"/>
      <c r="F489" s="136"/>
      <c r="G489" s="136"/>
      <c r="H489" s="136"/>
      <c r="I489" s="136"/>
      <c r="J489" s="136"/>
      <c r="K489" s="136"/>
      <c r="L489" s="136"/>
      <c r="M489" s="136"/>
    </row>
    <row r="490" ht="15.75" customHeight="1">
      <c r="A490" s="143"/>
      <c r="B490" s="143"/>
      <c r="C490" s="143"/>
      <c r="D490" s="143"/>
      <c r="E490" s="144"/>
      <c r="F490" s="46"/>
      <c r="G490" s="46"/>
      <c r="H490" s="46"/>
      <c r="I490" s="46"/>
      <c r="J490" s="46"/>
      <c r="K490" s="46"/>
      <c r="L490" s="46"/>
      <c r="M490" s="46"/>
    </row>
    <row r="491" ht="15.75" customHeight="1">
      <c r="A491" s="145"/>
      <c r="B491" s="145"/>
      <c r="C491" s="145"/>
      <c r="D491" s="145"/>
      <c r="E491" s="146"/>
      <c r="F491" s="136"/>
      <c r="G491" s="136"/>
      <c r="H491" s="136"/>
      <c r="I491" s="136"/>
      <c r="J491" s="136"/>
      <c r="K491" s="136"/>
      <c r="L491" s="136"/>
      <c r="M491" s="136"/>
    </row>
    <row r="492" ht="15.75" customHeight="1">
      <c r="A492" s="143"/>
      <c r="B492" s="143"/>
      <c r="C492" s="143"/>
      <c r="D492" s="143"/>
      <c r="E492" s="144"/>
      <c r="F492" s="46"/>
      <c r="G492" s="46"/>
      <c r="H492" s="46"/>
      <c r="I492" s="46"/>
      <c r="J492" s="46"/>
      <c r="K492" s="46"/>
      <c r="L492" s="46"/>
      <c r="M492" s="46"/>
    </row>
    <row r="493" ht="15.75" customHeight="1">
      <c r="A493" s="145"/>
      <c r="B493" s="145"/>
      <c r="C493" s="145"/>
      <c r="D493" s="145"/>
      <c r="E493" s="146"/>
      <c r="F493" s="136"/>
      <c r="G493" s="136"/>
      <c r="H493" s="136"/>
      <c r="I493" s="136"/>
      <c r="J493" s="136"/>
      <c r="K493" s="136"/>
      <c r="L493" s="136"/>
      <c r="M493" s="136"/>
    </row>
    <row r="494" ht="15.75" customHeight="1">
      <c r="A494" s="143"/>
      <c r="B494" s="143"/>
      <c r="C494" s="143"/>
      <c r="D494" s="143"/>
      <c r="E494" s="144"/>
      <c r="F494" s="46"/>
      <c r="G494" s="46"/>
      <c r="H494" s="46"/>
      <c r="I494" s="46"/>
      <c r="J494" s="46"/>
      <c r="K494" s="46"/>
      <c r="L494" s="46"/>
      <c r="M494" s="46"/>
    </row>
    <row r="495" ht="15.75" customHeight="1">
      <c r="A495" s="145"/>
      <c r="B495" s="145"/>
      <c r="C495" s="145"/>
      <c r="D495" s="145"/>
      <c r="E495" s="146"/>
      <c r="F495" s="136"/>
      <c r="G495" s="136"/>
      <c r="H495" s="136"/>
      <c r="I495" s="136"/>
      <c r="J495" s="136"/>
      <c r="K495" s="136"/>
      <c r="L495" s="136"/>
      <c r="M495" s="136"/>
    </row>
    <row r="496" ht="15.75" customHeight="1">
      <c r="A496" s="143"/>
      <c r="B496" s="143"/>
      <c r="C496" s="143"/>
      <c r="D496" s="143"/>
      <c r="E496" s="144"/>
      <c r="F496" s="46"/>
      <c r="G496" s="46"/>
      <c r="H496" s="46"/>
      <c r="I496" s="46"/>
      <c r="J496" s="46"/>
      <c r="K496" s="46"/>
      <c r="L496" s="46"/>
      <c r="M496" s="46"/>
    </row>
    <row r="497" ht="15.75" customHeight="1">
      <c r="A497" s="145"/>
      <c r="B497" s="145"/>
      <c r="C497" s="145"/>
      <c r="D497" s="145"/>
      <c r="E497" s="146"/>
      <c r="F497" s="136"/>
      <c r="G497" s="136"/>
      <c r="H497" s="136"/>
      <c r="I497" s="136"/>
      <c r="J497" s="136"/>
      <c r="K497" s="136"/>
      <c r="L497" s="136"/>
      <c r="M497" s="136"/>
    </row>
    <row r="498" ht="15.75" customHeight="1">
      <c r="A498" s="143"/>
      <c r="B498" s="143"/>
      <c r="C498" s="143"/>
      <c r="D498" s="143"/>
      <c r="E498" s="144"/>
      <c r="F498" s="46"/>
      <c r="G498" s="46"/>
      <c r="H498" s="46"/>
      <c r="I498" s="46"/>
      <c r="J498" s="46"/>
      <c r="K498" s="46"/>
      <c r="L498" s="46"/>
      <c r="M498" s="46"/>
    </row>
    <row r="499" ht="15.75" customHeight="1">
      <c r="A499" s="145"/>
      <c r="B499" s="145"/>
      <c r="C499" s="145"/>
      <c r="D499" s="145"/>
      <c r="E499" s="146"/>
      <c r="F499" s="136"/>
      <c r="G499" s="136"/>
      <c r="H499" s="136"/>
      <c r="I499" s="136"/>
      <c r="J499" s="136"/>
      <c r="K499" s="136"/>
      <c r="L499" s="136"/>
      <c r="M499" s="136"/>
    </row>
    <row r="500" ht="15.75" customHeight="1">
      <c r="A500" s="143"/>
      <c r="B500" s="143"/>
      <c r="C500" s="143"/>
      <c r="D500" s="143"/>
      <c r="E500" s="144"/>
      <c r="F500" s="46"/>
      <c r="G500" s="46"/>
      <c r="H500" s="46"/>
      <c r="I500" s="46"/>
      <c r="J500" s="46"/>
      <c r="K500" s="46"/>
      <c r="L500" s="46"/>
      <c r="M500" s="46"/>
    </row>
    <row r="501" ht="15.75" customHeight="1">
      <c r="A501" s="145"/>
      <c r="B501" s="145"/>
      <c r="C501" s="145"/>
      <c r="D501" s="145"/>
      <c r="E501" s="146"/>
      <c r="F501" s="136"/>
      <c r="G501" s="136"/>
      <c r="H501" s="136"/>
      <c r="I501" s="136"/>
      <c r="J501" s="136"/>
      <c r="K501" s="136"/>
      <c r="L501" s="136"/>
      <c r="M501" s="136"/>
    </row>
    <row r="502" ht="15.75" customHeight="1">
      <c r="A502" s="143"/>
      <c r="B502" s="143"/>
      <c r="C502" s="143"/>
      <c r="D502" s="143"/>
      <c r="E502" s="144"/>
      <c r="F502" s="46"/>
      <c r="G502" s="46"/>
      <c r="H502" s="46"/>
      <c r="I502" s="46"/>
      <c r="J502" s="46"/>
      <c r="K502" s="46"/>
      <c r="L502" s="46"/>
      <c r="M502" s="46"/>
    </row>
    <row r="503" ht="15.75" customHeight="1">
      <c r="A503" s="145"/>
      <c r="B503" s="145"/>
      <c r="C503" s="145"/>
      <c r="D503" s="145"/>
      <c r="E503" s="146"/>
      <c r="F503" s="136"/>
      <c r="G503" s="136"/>
      <c r="H503" s="136"/>
      <c r="I503" s="136"/>
      <c r="J503" s="136"/>
      <c r="K503" s="136"/>
      <c r="L503" s="136"/>
      <c r="M503" s="136"/>
    </row>
    <row r="504" ht="15.75" customHeight="1">
      <c r="A504" s="143"/>
      <c r="B504" s="143"/>
      <c r="C504" s="143"/>
      <c r="D504" s="143"/>
      <c r="E504" s="144"/>
      <c r="F504" s="46"/>
      <c r="G504" s="46"/>
      <c r="H504" s="46"/>
      <c r="I504" s="46"/>
      <c r="J504" s="46"/>
      <c r="K504" s="46"/>
      <c r="L504" s="46"/>
      <c r="M504" s="46"/>
    </row>
    <row r="505" ht="15.75" customHeight="1">
      <c r="A505" s="145"/>
      <c r="B505" s="145"/>
      <c r="C505" s="145"/>
      <c r="D505" s="145"/>
      <c r="E505" s="146"/>
      <c r="F505" s="136"/>
      <c r="G505" s="136"/>
      <c r="H505" s="136"/>
      <c r="I505" s="136"/>
      <c r="J505" s="136"/>
      <c r="K505" s="136"/>
      <c r="L505" s="136"/>
      <c r="M505" s="136"/>
    </row>
    <row r="506" ht="15.75" customHeight="1">
      <c r="A506" s="143"/>
      <c r="B506" s="143"/>
      <c r="C506" s="143"/>
      <c r="D506" s="143"/>
      <c r="E506" s="144"/>
      <c r="F506" s="46"/>
      <c r="G506" s="46"/>
      <c r="H506" s="46"/>
      <c r="I506" s="46"/>
      <c r="J506" s="46"/>
      <c r="K506" s="46"/>
      <c r="L506" s="46"/>
      <c r="M506" s="46"/>
    </row>
    <row r="507" ht="15.75" customHeight="1">
      <c r="A507" s="145"/>
      <c r="B507" s="145"/>
      <c r="C507" s="145"/>
      <c r="D507" s="145"/>
      <c r="E507" s="146"/>
      <c r="F507" s="136"/>
      <c r="G507" s="136"/>
      <c r="H507" s="136"/>
      <c r="I507" s="136"/>
      <c r="J507" s="136"/>
      <c r="K507" s="136"/>
      <c r="L507" s="136"/>
      <c r="M507" s="136"/>
    </row>
    <row r="508" ht="15.75" customHeight="1">
      <c r="A508" s="143"/>
      <c r="B508" s="143"/>
      <c r="C508" s="143"/>
      <c r="D508" s="143"/>
      <c r="E508" s="144"/>
      <c r="F508" s="46"/>
      <c r="G508" s="46"/>
      <c r="H508" s="46"/>
      <c r="I508" s="46"/>
      <c r="J508" s="46"/>
      <c r="K508" s="46"/>
      <c r="L508" s="46"/>
      <c r="M508" s="46"/>
    </row>
    <row r="509" ht="15.75" customHeight="1">
      <c r="A509" s="145"/>
      <c r="B509" s="145"/>
      <c r="C509" s="145"/>
      <c r="D509" s="145"/>
      <c r="E509" s="146"/>
      <c r="F509" s="136"/>
      <c r="G509" s="136"/>
      <c r="H509" s="136"/>
      <c r="I509" s="136"/>
      <c r="J509" s="136"/>
      <c r="K509" s="136"/>
      <c r="L509" s="136"/>
      <c r="M509" s="136"/>
    </row>
    <row r="510" ht="15.75" customHeight="1">
      <c r="A510" s="143"/>
      <c r="B510" s="143"/>
      <c r="C510" s="143"/>
      <c r="D510" s="143"/>
      <c r="E510" s="144"/>
      <c r="F510" s="46"/>
      <c r="G510" s="46"/>
      <c r="H510" s="46"/>
      <c r="I510" s="46"/>
      <c r="J510" s="46"/>
      <c r="K510" s="46"/>
      <c r="L510" s="46"/>
      <c r="M510" s="46"/>
    </row>
    <row r="511" ht="15.75" customHeight="1">
      <c r="A511" s="145"/>
      <c r="B511" s="145"/>
      <c r="C511" s="145"/>
      <c r="D511" s="145"/>
      <c r="E511" s="146"/>
      <c r="F511" s="136"/>
      <c r="G511" s="136"/>
      <c r="H511" s="136"/>
      <c r="I511" s="136"/>
      <c r="J511" s="136"/>
      <c r="K511" s="136"/>
      <c r="L511" s="136"/>
      <c r="M511" s="136"/>
    </row>
    <row r="512" ht="15.75" customHeight="1">
      <c r="A512" s="143"/>
      <c r="B512" s="143"/>
      <c r="C512" s="143"/>
      <c r="D512" s="143"/>
      <c r="E512" s="144"/>
      <c r="F512" s="46"/>
      <c r="G512" s="46"/>
      <c r="H512" s="46"/>
      <c r="I512" s="46"/>
      <c r="J512" s="46"/>
      <c r="K512" s="46"/>
      <c r="L512" s="46"/>
      <c r="M512" s="46"/>
    </row>
    <row r="513" ht="15.75" customHeight="1">
      <c r="A513" s="145"/>
      <c r="B513" s="145"/>
      <c r="C513" s="145"/>
      <c r="D513" s="145"/>
      <c r="E513" s="146"/>
      <c r="F513" s="136"/>
      <c r="G513" s="136"/>
      <c r="H513" s="136"/>
      <c r="I513" s="136"/>
      <c r="J513" s="136"/>
      <c r="K513" s="136"/>
      <c r="L513" s="136"/>
      <c r="M513" s="136"/>
    </row>
    <row r="514" ht="15.75" customHeight="1">
      <c r="A514" s="143"/>
      <c r="B514" s="143"/>
      <c r="C514" s="143"/>
      <c r="D514" s="143"/>
      <c r="E514" s="144"/>
      <c r="F514" s="46"/>
      <c r="G514" s="46"/>
      <c r="H514" s="46"/>
      <c r="I514" s="46"/>
      <c r="J514" s="46"/>
      <c r="K514" s="46"/>
      <c r="L514" s="46"/>
      <c r="M514" s="46"/>
    </row>
    <row r="515" ht="15.75" customHeight="1">
      <c r="A515" s="145"/>
      <c r="B515" s="145"/>
      <c r="C515" s="145"/>
      <c r="D515" s="145"/>
      <c r="E515" s="146"/>
      <c r="F515" s="136"/>
      <c r="G515" s="136"/>
      <c r="H515" s="136"/>
      <c r="I515" s="136"/>
      <c r="J515" s="136"/>
      <c r="K515" s="136"/>
      <c r="L515" s="136"/>
      <c r="M515" s="136"/>
    </row>
    <row r="516" ht="15.75" customHeight="1">
      <c r="A516" s="143"/>
      <c r="B516" s="143"/>
      <c r="C516" s="143"/>
      <c r="D516" s="143"/>
      <c r="E516" s="144"/>
      <c r="F516" s="46"/>
      <c r="G516" s="46"/>
      <c r="H516" s="46"/>
      <c r="I516" s="46"/>
      <c r="J516" s="46"/>
      <c r="K516" s="46"/>
      <c r="L516" s="46"/>
      <c r="M516" s="46"/>
    </row>
    <row r="517" ht="15.75" customHeight="1">
      <c r="A517" s="145"/>
      <c r="B517" s="145"/>
      <c r="C517" s="145"/>
      <c r="D517" s="145"/>
      <c r="E517" s="146"/>
      <c r="F517" s="136"/>
      <c r="G517" s="136"/>
      <c r="H517" s="136"/>
      <c r="I517" s="136"/>
      <c r="J517" s="136"/>
      <c r="K517" s="136"/>
      <c r="L517" s="136"/>
      <c r="M517" s="136"/>
    </row>
    <row r="518" ht="15.75" customHeight="1">
      <c r="A518" s="143"/>
      <c r="B518" s="143"/>
      <c r="C518" s="143"/>
      <c r="D518" s="143"/>
      <c r="E518" s="144"/>
      <c r="F518" s="46"/>
      <c r="G518" s="46"/>
      <c r="H518" s="46"/>
      <c r="I518" s="46"/>
      <c r="J518" s="46"/>
      <c r="K518" s="46"/>
      <c r="L518" s="46"/>
      <c r="M518" s="46"/>
    </row>
    <row r="519" ht="15.75" customHeight="1">
      <c r="A519" s="145"/>
      <c r="B519" s="145"/>
      <c r="C519" s="145"/>
      <c r="D519" s="145"/>
      <c r="E519" s="146"/>
      <c r="F519" s="136"/>
      <c r="G519" s="136"/>
      <c r="H519" s="136"/>
      <c r="I519" s="136"/>
      <c r="J519" s="136"/>
      <c r="K519" s="136"/>
      <c r="L519" s="136"/>
      <c r="M519" s="136"/>
    </row>
    <row r="520" ht="15.75" customHeight="1">
      <c r="A520" s="143"/>
      <c r="B520" s="143"/>
      <c r="C520" s="143"/>
      <c r="D520" s="143"/>
      <c r="E520" s="144"/>
      <c r="F520" s="46"/>
      <c r="G520" s="46"/>
      <c r="H520" s="46"/>
      <c r="I520" s="46"/>
      <c r="J520" s="46"/>
      <c r="K520" s="46"/>
      <c r="L520" s="46"/>
      <c r="M520" s="46"/>
    </row>
    <row r="521" ht="15.75" customHeight="1">
      <c r="A521" s="145"/>
      <c r="B521" s="145"/>
      <c r="C521" s="145"/>
      <c r="D521" s="145"/>
      <c r="E521" s="146"/>
      <c r="F521" s="136"/>
      <c r="G521" s="136"/>
      <c r="H521" s="136"/>
      <c r="I521" s="136"/>
      <c r="J521" s="136"/>
      <c r="K521" s="136"/>
      <c r="L521" s="136"/>
      <c r="M521" s="136"/>
    </row>
    <row r="522" ht="15.75" customHeight="1">
      <c r="A522" s="143"/>
      <c r="B522" s="143"/>
      <c r="C522" s="143"/>
      <c r="D522" s="143"/>
      <c r="E522" s="144"/>
      <c r="F522" s="46"/>
      <c r="G522" s="46"/>
      <c r="H522" s="46"/>
      <c r="I522" s="46"/>
      <c r="J522" s="46"/>
      <c r="K522" s="46"/>
      <c r="L522" s="46"/>
      <c r="M522" s="46"/>
    </row>
    <row r="523" ht="15.75" customHeight="1">
      <c r="A523" s="145"/>
      <c r="B523" s="145"/>
      <c r="C523" s="145"/>
      <c r="D523" s="145"/>
      <c r="E523" s="146"/>
      <c r="F523" s="136"/>
      <c r="G523" s="136"/>
      <c r="H523" s="136"/>
      <c r="I523" s="136"/>
      <c r="J523" s="136"/>
      <c r="K523" s="136"/>
      <c r="L523" s="136"/>
      <c r="M523" s="136"/>
    </row>
    <row r="524" ht="15.75" customHeight="1">
      <c r="A524" s="143"/>
      <c r="B524" s="143"/>
      <c r="C524" s="143"/>
      <c r="D524" s="143"/>
      <c r="E524" s="144"/>
      <c r="F524" s="46"/>
      <c r="G524" s="46"/>
      <c r="H524" s="46"/>
      <c r="I524" s="46"/>
      <c r="J524" s="46"/>
      <c r="K524" s="46"/>
      <c r="L524" s="46"/>
      <c r="M524" s="46"/>
    </row>
    <row r="525" ht="15.75" customHeight="1">
      <c r="A525" s="145"/>
      <c r="B525" s="145"/>
      <c r="C525" s="145"/>
      <c r="D525" s="145"/>
      <c r="E525" s="146"/>
      <c r="F525" s="136"/>
      <c r="G525" s="136"/>
      <c r="H525" s="136"/>
      <c r="I525" s="136"/>
      <c r="J525" s="136"/>
      <c r="K525" s="136"/>
      <c r="L525" s="136"/>
      <c r="M525" s="136"/>
    </row>
    <row r="526" ht="15.75" customHeight="1">
      <c r="A526" s="143"/>
      <c r="B526" s="143"/>
      <c r="C526" s="143"/>
      <c r="D526" s="143"/>
      <c r="E526" s="144"/>
      <c r="F526" s="46"/>
      <c r="G526" s="46"/>
      <c r="H526" s="46"/>
      <c r="I526" s="46"/>
      <c r="J526" s="46"/>
      <c r="K526" s="46"/>
      <c r="L526" s="46"/>
      <c r="M526" s="46"/>
    </row>
    <row r="527" ht="15.75" customHeight="1">
      <c r="A527" s="145"/>
      <c r="B527" s="145"/>
      <c r="C527" s="145"/>
      <c r="D527" s="145"/>
      <c r="E527" s="146"/>
      <c r="F527" s="136"/>
      <c r="G527" s="136"/>
      <c r="H527" s="136"/>
      <c r="I527" s="136"/>
      <c r="J527" s="136"/>
      <c r="K527" s="136"/>
      <c r="L527" s="136"/>
      <c r="M527" s="136"/>
    </row>
    <row r="528" ht="15.75" customHeight="1">
      <c r="A528" s="143"/>
      <c r="B528" s="143"/>
      <c r="C528" s="143"/>
      <c r="D528" s="143"/>
      <c r="E528" s="144"/>
      <c r="F528" s="46"/>
      <c r="G528" s="46"/>
      <c r="H528" s="46"/>
      <c r="I528" s="46"/>
      <c r="J528" s="46"/>
      <c r="K528" s="46"/>
      <c r="L528" s="46"/>
      <c r="M528" s="46"/>
    </row>
    <row r="529" ht="15.75" customHeight="1">
      <c r="A529" s="145"/>
      <c r="B529" s="145"/>
      <c r="C529" s="145"/>
      <c r="D529" s="145"/>
      <c r="E529" s="146"/>
      <c r="F529" s="136"/>
      <c r="G529" s="136"/>
      <c r="H529" s="136"/>
      <c r="I529" s="136"/>
      <c r="J529" s="136"/>
      <c r="K529" s="136"/>
      <c r="L529" s="136"/>
      <c r="M529" s="136"/>
    </row>
    <row r="530" ht="15.75" customHeight="1">
      <c r="A530" s="143"/>
      <c r="B530" s="143"/>
      <c r="C530" s="143"/>
      <c r="D530" s="143"/>
      <c r="E530" s="144"/>
      <c r="F530" s="46"/>
      <c r="G530" s="46"/>
      <c r="H530" s="46"/>
      <c r="I530" s="46"/>
      <c r="J530" s="46"/>
      <c r="K530" s="46"/>
      <c r="L530" s="46"/>
      <c r="M530" s="46"/>
    </row>
    <row r="531" ht="15.75" customHeight="1">
      <c r="A531" s="145"/>
      <c r="B531" s="145"/>
      <c r="C531" s="145"/>
      <c r="D531" s="145"/>
      <c r="E531" s="146"/>
      <c r="F531" s="136"/>
      <c r="G531" s="136"/>
      <c r="H531" s="136"/>
      <c r="I531" s="136"/>
      <c r="J531" s="136"/>
      <c r="K531" s="136"/>
      <c r="L531" s="136"/>
      <c r="M531" s="136"/>
    </row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21"/>
  <conditionalFormatting sqref="A1:M1000">
    <cfRule type="expression" dxfId="11" priority="1">
      <formula>$M:$M= "ENVASADO"</formula>
    </cfRule>
  </conditionalFormatting>
  <conditionalFormatting sqref="H1:H1000">
    <cfRule type="containsText" dxfId="12" priority="2" operator="containsText" text="Completo">
      <formula>NOT(ISERROR(SEARCH(("Completo"),(H1))))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2.57"/>
    <col customWidth="1" min="4" max="4" width="51.86"/>
    <col customWidth="1" min="5" max="6" width="20.43"/>
    <col customWidth="1" min="7" max="7" width="14.86"/>
    <col customWidth="1" min="8" max="8" width="18.14"/>
  </cols>
  <sheetData>
    <row r="1" ht="22.5" customHeight="1">
      <c r="A1" s="147" t="s">
        <v>1</v>
      </c>
      <c r="B1" s="147" t="s">
        <v>2</v>
      </c>
      <c r="C1" s="147" t="s">
        <v>3</v>
      </c>
      <c r="D1" s="147" t="s">
        <v>4</v>
      </c>
      <c r="E1" s="148" t="s">
        <v>1102</v>
      </c>
      <c r="F1" s="147" t="s">
        <v>9</v>
      </c>
      <c r="G1" s="149" t="s">
        <v>1103</v>
      </c>
      <c r="H1" s="150" t="s">
        <v>1104</v>
      </c>
      <c r="I1" s="151" t="s">
        <v>1105</v>
      </c>
    </row>
    <row r="2">
      <c r="A2" s="152">
        <f>PEDIDOS!B2</f>
        <v>46035</v>
      </c>
      <c r="B2" s="153">
        <f>PEDIDOS!C2</f>
        <v>163</v>
      </c>
      <c r="C2" s="153" t="str">
        <f>PEDIDOS!D2</f>
        <v>THE MINIMAL CO</v>
      </c>
      <c r="D2" s="153" t="str">
        <f>PEDIDOS!E2</f>
        <v>MILKY TONER</v>
      </c>
      <c r="E2" s="153" t="str">
        <f>PEDIDOS!F2</f>
        <v>P</v>
      </c>
      <c r="F2" s="154" t="str">
        <f>PEDIDOS!M2</f>
        <v>F26021</v>
      </c>
      <c r="G2" s="155">
        <f>-PEDIDOS!B2+EXPEDICION!K2</f>
        <v>41</v>
      </c>
      <c r="H2" s="156">
        <f>EXPEDICION!I2</f>
        <v>0.9988888889</v>
      </c>
      <c r="I2" s="157"/>
    </row>
    <row r="3">
      <c r="A3" s="152">
        <f>PEDIDOS!B3</f>
        <v>46035</v>
      </c>
      <c r="B3" s="153">
        <f>PEDIDOS!C3</f>
        <v>14297</v>
      </c>
      <c r="C3" s="153" t="str">
        <f>PEDIDOS!D3</f>
        <v>JACTANS</v>
      </c>
      <c r="D3" s="153" t="str">
        <f>PEDIDOS!E3</f>
        <v>JS-941 AGUA MICELAR BIFASCIA</v>
      </c>
      <c r="E3" s="153" t="str">
        <f>PEDIDOS!F3</f>
        <v>P</v>
      </c>
      <c r="F3" s="154" t="str">
        <f>PEDIDOS!M3</f>
        <v>F26031</v>
      </c>
      <c r="G3" s="155">
        <f>-PEDIDOS!B3+EXPEDICION!K3</f>
        <v>45</v>
      </c>
      <c r="H3" s="156">
        <f>EXPEDICION!I3</f>
        <v>1.011</v>
      </c>
    </row>
    <row r="4">
      <c r="A4" s="152">
        <f>PEDIDOS!B4</f>
        <v>46035</v>
      </c>
      <c r="B4" s="153">
        <f>PEDIDOS!C4</f>
        <v>15074</v>
      </c>
      <c r="C4" s="153" t="str">
        <f>PEDIDOS!D4</f>
        <v>THELMA Y LOUISE</v>
      </c>
      <c r="D4" s="153" t="str">
        <f>PEDIDOS!E4</f>
        <v>AGUA TERMAL</v>
      </c>
      <c r="E4" s="153" t="str">
        <f>PEDIDOS!F4</f>
        <v>P</v>
      </c>
      <c r="F4" s="154" t="str">
        <f>PEDIDOS!M4</f>
        <v>F26041</v>
      </c>
      <c r="G4" s="155">
        <f>-PEDIDOS!B4+EXPEDICION!K4</f>
        <v>48</v>
      </c>
      <c r="H4" s="156">
        <f>EXPEDICION!I4</f>
        <v>0.9904761905</v>
      </c>
    </row>
    <row r="5">
      <c r="A5" s="152">
        <f>PEDIDOS!B5</f>
        <v>46035</v>
      </c>
      <c r="B5" s="153" t="str">
        <f>PEDIDOS!C5</f>
        <v/>
      </c>
      <c r="C5" s="153" t="str">
        <f>PEDIDOS!D5</f>
        <v>LIORA</v>
      </c>
      <c r="D5" s="153" t="str">
        <f>PEDIDOS!E5</f>
        <v>CREMA PARA PEINAR RULOS</v>
      </c>
      <c r="E5" s="153" t="str">
        <f>PEDIDOS!F5</f>
        <v>P</v>
      </c>
      <c r="F5" s="154" t="str">
        <f>PEDIDOS!M5</f>
        <v>Y26039</v>
      </c>
      <c r="G5" s="155">
        <f>-PEDIDOS!B5+EXPEDICION!K5</f>
        <v>126</v>
      </c>
      <c r="H5" s="156">
        <f>EXPEDICION!I5</f>
        <v>0.8647058824</v>
      </c>
    </row>
    <row r="6">
      <c r="A6" s="152">
        <f>PEDIDOS!B6</f>
        <v>46042</v>
      </c>
      <c r="B6" s="153" t="str">
        <f>PEDIDOS!C6</f>
        <v>P01203</v>
      </c>
      <c r="C6" s="153" t="str">
        <f>PEDIDOS!D6</f>
        <v>BIOESENCIA</v>
      </c>
      <c r="D6" s="153" t="str">
        <f>PEDIDOS!E6</f>
        <v>SERUM ORIGENES</v>
      </c>
      <c r="E6" s="153" t="str">
        <f>PEDIDOS!F6</f>
        <v>P</v>
      </c>
      <c r="F6" s="154">
        <f>PEDIDOS!M6</f>
        <v>240201</v>
      </c>
      <c r="G6" s="155">
        <f>-PEDIDOS!B6+EXPEDICION!K6</f>
        <v>35</v>
      </c>
      <c r="H6" s="156">
        <f>EXPEDICION!I6</f>
        <v>1.00125</v>
      </c>
    </row>
    <row r="7">
      <c r="A7" s="152">
        <f>PEDIDOS!B7</f>
        <v>46042</v>
      </c>
      <c r="B7" s="153" t="str">
        <f>PEDIDOS!C7</f>
        <v/>
      </c>
      <c r="C7" s="153" t="str">
        <f>PEDIDOS!D7</f>
        <v>WSABI</v>
      </c>
      <c r="D7" s="153" t="str">
        <f>PEDIDOS!E7</f>
        <v>SERUM INTIMO</v>
      </c>
      <c r="E7" s="153" t="str">
        <f>PEDIDOS!F7</f>
        <v>P</v>
      </c>
      <c r="F7" s="154" t="str">
        <f>PEDIDOS!M7</f>
        <v>F26049</v>
      </c>
      <c r="G7" s="155">
        <f>-PEDIDOS!B7+EXPEDICION!K7</f>
        <v>45</v>
      </c>
      <c r="H7" s="156">
        <f>EXPEDICION!I7</f>
        <v>0.9766666667</v>
      </c>
    </row>
    <row r="8">
      <c r="A8" s="152">
        <f>PEDIDOS!B8</f>
        <v>46042</v>
      </c>
      <c r="B8" s="153" t="str">
        <f>PEDIDOS!C8</f>
        <v/>
      </c>
      <c r="C8" s="153" t="str">
        <f>PEDIDOS!D8</f>
        <v>MERMER</v>
      </c>
      <c r="D8" s="153" t="str">
        <f>PEDIDOS!E8</f>
        <v>ACEITE CORPORAL LAVANDA</v>
      </c>
      <c r="E8" s="153" t="str">
        <f>PEDIDOS!F8</f>
        <v>P</v>
      </c>
      <c r="F8" s="154" t="str">
        <f>PEDIDOS!M8</f>
        <v>E26087</v>
      </c>
      <c r="G8" s="155">
        <f>-PEDIDOS!B8+EXPEDICION!K8</f>
        <v>8</v>
      </c>
      <c r="H8" s="156">
        <f>EXPEDICION!I8</f>
        <v>1.696666667</v>
      </c>
    </row>
    <row r="9">
      <c r="A9" s="152">
        <f>PEDIDOS!B9</f>
        <v>46042</v>
      </c>
      <c r="B9" s="153" t="str">
        <f>PEDIDOS!C9</f>
        <v/>
      </c>
      <c r="C9" s="153" t="str">
        <f>PEDIDOS!D9</f>
        <v>MERMER</v>
      </c>
      <c r="D9" s="153" t="str">
        <f>PEDIDOS!E9</f>
        <v>ACEITE CORPORAL ALMENDRA</v>
      </c>
      <c r="E9" s="153" t="str">
        <f>PEDIDOS!F9</f>
        <v>P</v>
      </c>
      <c r="F9" s="154" t="str">
        <f>PEDIDOS!M9</f>
        <v>E26088</v>
      </c>
      <c r="G9" s="155">
        <f>-PEDIDOS!B9+EXPEDICION!K9</f>
        <v>8</v>
      </c>
      <c r="H9" s="156">
        <f>EXPEDICION!I9</f>
        <v>1.02</v>
      </c>
    </row>
    <row r="10">
      <c r="A10" s="152">
        <f>PEDIDOS!B10</f>
        <v>46042</v>
      </c>
      <c r="B10" s="153" t="str">
        <f>PEDIDOS!C10</f>
        <v/>
      </c>
      <c r="C10" s="153" t="str">
        <f>PEDIDOS!D10</f>
        <v>MERMER</v>
      </c>
      <c r="D10" s="153" t="str">
        <f>PEDIDOS!E10</f>
        <v>ACEITE CORPORAL ROSAS</v>
      </c>
      <c r="E10" s="153" t="str">
        <f>PEDIDOS!F10</f>
        <v>P</v>
      </c>
      <c r="F10" s="154" t="str">
        <f>PEDIDOS!M10</f>
        <v>E26089</v>
      </c>
      <c r="G10" s="155">
        <f>-PEDIDOS!B10+EXPEDICION!K10</f>
        <v>8</v>
      </c>
      <c r="H10" s="156">
        <f>EXPEDICION!I10</f>
        <v>1.01</v>
      </c>
    </row>
    <row r="11">
      <c r="A11" s="152">
        <f>PEDIDOS!B11</f>
        <v>46042</v>
      </c>
      <c r="B11" s="153" t="str">
        <f>PEDIDOS!C11</f>
        <v/>
      </c>
      <c r="C11" s="153" t="str">
        <f>PEDIDOS!D11</f>
        <v>MERMER</v>
      </c>
      <c r="D11" s="153" t="str">
        <f>PEDIDOS!E11</f>
        <v>ACEITE CORPORAL SESAMO</v>
      </c>
      <c r="E11" s="153" t="str">
        <f>PEDIDOS!F11</f>
        <v>P</v>
      </c>
      <c r="F11" s="154" t="str">
        <f>PEDIDOS!M11</f>
        <v>E26090</v>
      </c>
      <c r="G11" s="155">
        <f>-PEDIDOS!B11+EXPEDICION!K11</f>
        <v>8</v>
      </c>
      <c r="H11" s="156">
        <f>EXPEDICION!I11</f>
        <v>1.04</v>
      </c>
    </row>
    <row r="12">
      <c r="A12" s="152">
        <f>PEDIDOS!B12</f>
        <v>46042</v>
      </c>
      <c r="B12" s="153" t="str">
        <f>PEDIDOS!C12</f>
        <v/>
      </c>
      <c r="C12" s="153" t="str">
        <f>PEDIDOS!D12</f>
        <v>MERMER</v>
      </c>
      <c r="D12" s="153" t="str">
        <f>PEDIDOS!E12</f>
        <v>ACEITE CORPORAL INCIENSO</v>
      </c>
      <c r="E12" s="153" t="str">
        <f>PEDIDOS!F12</f>
        <v>P</v>
      </c>
      <c r="F12" s="154" t="str">
        <f>PEDIDOS!M12</f>
        <v>E26091</v>
      </c>
      <c r="G12" s="155">
        <f>-PEDIDOS!B12+EXPEDICION!K12</f>
        <v>8</v>
      </c>
      <c r="H12" s="156">
        <f>EXPEDICION!I12</f>
        <v>1.02</v>
      </c>
    </row>
    <row r="13">
      <c r="A13" s="152">
        <f>PEDIDOS!B13</f>
        <v>46042</v>
      </c>
      <c r="B13" s="153" t="str">
        <f>PEDIDOS!C13</f>
        <v/>
      </c>
      <c r="C13" s="153" t="str">
        <f>PEDIDOS!D13</f>
        <v>MERMER</v>
      </c>
      <c r="D13" s="153" t="str">
        <f>PEDIDOS!E13</f>
        <v>ACEITE CORPORAL ARNICA</v>
      </c>
      <c r="E13" s="153" t="str">
        <f>PEDIDOS!F13</f>
        <v>P</v>
      </c>
      <c r="F13" s="154" t="str">
        <f>PEDIDOS!M13</f>
        <v>E26092</v>
      </c>
      <c r="G13" s="155">
        <f>-PEDIDOS!B13+EXPEDICION!K13</f>
        <v>8</v>
      </c>
      <c r="H13" s="156">
        <f>EXPEDICION!I13</f>
        <v>1.013333333</v>
      </c>
    </row>
    <row r="14">
      <c r="A14" s="152">
        <f>PEDIDOS!B14</f>
        <v>46042</v>
      </c>
      <c r="B14" s="153" t="str">
        <f>PEDIDOS!C14</f>
        <v/>
      </c>
      <c r="C14" s="153" t="str">
        <f>PEDIDOS!D14</f>
        <v>MERMER</v>
      </c>
      <c r="D14" s="153" t="str">
        <f>PEDIDOS!E14</f>
        <v>LOCION CAPILAR</v>
      </c>
      <c r="E14" s="153" t="str">
        <f>PEDIDOS!F14</f>
        <v>P</v>
      </c>
      <c r="F14" s="154" t="str">
        <f>PEDIDOS!M14</f>
        <v>M26042</v>
      </c>
      <c r="G14" s="155">
        <f>-PEDIDOS!B14+EXPEDICION!K14</f>
        <v>69</v>
      </c>
      <c r="H14" s="156">
        <f>EXPEDICION!I14</f>
        <v>1</v>
      </c>
    </row>
    <row r="15">
      <c r="A15" s="152">
        <f>PEDIDOS!B15</f>
        <v>46042</v>
      </c>
      <c r="B15" s="153" t="str">
        <f>PEDIDOS!C15</f>
        <v/>
      </c>
      <c r="C15" s="153" t="str">
        <f>PEDIDOS!D15</f>
        <v>MERMER</v>
      </c>
      <c r="D15" s="153" t="str">
        <f>PEDIDOS!E15</f>
        <v>SERUM CAPILAR</v>
      </c>
      <c r="E15" s="153" t="str">
        <f>PEDIDOS!F15</f>
        <v>P</v>
      </c>
      <c r="F15" s="154" t="str">
        <f>PEDIDOS!M15</f>
        <v>M26030</v>
      </c>
      <c r="G15" s="155">
        <f>-PEDIDOS!B15+EXPEDICION!K15</f>
        <v>70</v>
      </c>
      <c r="H15" s="156">
        <f>EXPEDICION!I15</f>
        <v>1.0375</v>
      </c>
    </row>
    <row r="16">
      <c r="A16" s="152">
        <f>PEDIDOS!B16</f>
        <v>46049</v>
      </c>
      <c r="B16" s="153">
        <f>PEDIDOS!C16</f>
        <v>1708</v>
      </c>
      <c r="C16" s="153" t="str">
        <f>PEDIDOS!D16</f>
        <v>LABORATORIO ONCE</v>
      </c>
      <c r="D16" s="153" t="str">
        <f>PEDIDOS!E16</f>
        <v>SERUM ACIDO HIALURONICO + NIACINAMIDA</v>
      </c>
      <c r="E16" s="153" t="str">
        <f>PEDIDOS!F16</f>
        <v>P</v>
      </c>
      <c r="F16" s="154" t="str">
        <f>PEDIDOS!M16</f>
        <v>F26048</v>
      </c>
      <c r="G16" s="155">
        <f>-PEDIDOS!B16+EXPEDICION!K16</f>
        <v>34</v>
      </c>
      <c r="H16" s="156">
        <f>EXPEDICION!I16</f>
        <v>0.9370840895</v>
      </c>
    </row>
    <row r="17">
      <c r="A17" s="152">
        <f>PEDIDOS!B17</f>
        <v>46050</v>
      </c>
      <c r="B17" s="153">
        <f>PEDIDOS!C17</f>
        <v>15098</v>
      </c>
      <c r="C17" s="153" t="str">
        <f>PEDIDOS!D17</f>
        <v>THELMA Y LOUISE</v>
      </c>
      <c r="D17" s="153" t="str">
        <f>PEDIDOS!E17</f>
        <v>CREMA BIFASICA CHERRY</v>
      </c>
      <c r="E17" s="153" t="str">
        <f>PEDIDOS!F17</f>
        <v>M</v>
      </c>
      <c r="F17" s="154" t="str">
        <f>PEDIDOS!M17</f>
        <v/>
      </c>
      <c r="G17" s="155">
        <f>-PEDIDOS!B17+EXPEDICION!K17</f>
        <v>-46050</v>
      </c>
      <c r="H17" s="156">
        <f>EXPEDICION!I17</f>
        <v>0.8481707317</v>
      </c>
    </row>
    <row r="18">
      <c r="A18" s="152">
        <f>PEDIDOS!B18</f>
        <v>46052</v>
      </c>
      <c r="B18" s="153" t="str">
        <f>PEDIDOS!C18</f>
        <v/>
      </c>
      <c r="C18" s="153" t="str">
        <f>PEDIDOS!D18</f>
        <v>ALL BEAUTY</v>
      </c>
      <c r="D18" s="153" t="str">
        <f>PEDIDOS!E18</f>
        <v>SERUM ACIDO HIALURONICO</v>
      </c>
      <c r="E18" s="153" t="str">
        <f>PEDIDOS!F18</f>
        <v>P</v>
      </c>
      <c r="F18" s="154" t="str">
        <f>PEDIDOS!M18</f>
        <v>E26083</v>
      </c>
      <c r="G18" s="155">
        <f>-PEDIDOS!B18+EXPEDICION!K18</f>
        <v>25</v>
      </c>
      <c r="H18" s="156">
        <f>EXPEDICION!I18</f>
        <v>0.925</v>
      </c>
    </row>
    <row r="19">
      <c r="A19" s="152">
        <f>PEDIDOS!B19</f>
        <v>46044</v>
      </c>
      <c r="B19" s="153" t="str">
        <f>PEDIDOS!C19</f>
        <v/>
      </c>
      <c r="C19" s="153" t="str">
        <f>PEDIDOS!D19</f>
        <v>DWUAM</v>
      </c>
      <c r="D19" s="153" t="str">
        <f>PEDIDOS!E19</f>
        <v>BASE DE MAQUILLAJE TONO 1</v>
      </c>
      <c r="E19" s="153" t="str">
        <f>PEDIDOS!F19</f>
        <v>P</v>
      </c>
      <c r="F19" s="154" t="str">
        <f>PEDIDOS!M19</f>
        <v>E26104</v>
      </c>
      <c r="G19" s="155">
        <f>-PEDIDOS!B19+EXPEDICION!K19</f>
        <v>7</v>
      </c>
      <c r="H19" s="156">
        <f>EXPEDICION!I19</f>
        <v>0.838</v>
      </c>
    </row>
    <row r="20">
      <c r="A20" s="152">
        <f>PEDIDOS!B20</f>
        <v>46071</v>
      </c>
      <c r="B20" s="153">
        <f>PEDIDOS!C20</f>
        <v>6433</v>
      </c>
      <c r="C20" s="153" t="str">
        <f>PEDIDOS!D20</f>
        <v>HEBURN</v>
      </c>
      <c r="D20" s="153" t="str">
        <f>PEDIDOS!E20</f>
        <v>BRUMA FIJADORA de MAQUILLAJE x 125 cc</v>
      </c>
      <c r="E20" s="153" t="str">
        <f>PEDIDOS!F20</f>
        <v>P</v>
      </c>
      <c r="F20" s="154" t="str">
        <f>PEDIDOS!M20</f>
        <v>M26003</v>
      </c>
      <c r="G20" s="155">
        <f>-PEDIDOS!B20+EXPEDICION!K20</f>
        <v>15</v>
      </c>
      <c r="H20" s="156">
        <f>EXPEDICION!I20</f>
        <v>0.8166666667</v>
      </c>
    </row>
    <row r="21" ht="15.75" customHeight="1">
      <c r="A21" s="152">
        <f>PEDIDOS!B21</f>
        <v>46052</v>
      </c>
      <c r="B21" s="153" t="str">
        <f>PEDIDOS!C21</f>
        <v/>
      </c>
      <c r="C21" s="153" t="str">
        <f>PEDIDOS!D21</f>
        <v>ALL BEAUTY</v>
      </c>
      <c r="D21" s="153" t="str">
        <f>PEDIDOS!E21</f>
        <v>CREMA FACIAL HIDRATANTE X 50gr (DIA)</v>
      </c>
      <c r="E21" s="153" t="str">
        <f>PEDIDOS!F21</f>
        <v>P</v>
      </c>
      <c r="F21" s="154" t="str">
        <f>PEDIDOS!M21</f>
        <v>F26040</v>
      </c>
      <c r="G21" s="155">
        <f>-PEDIDOS!B21+EXPEDICION!K21</f>
        <v>27</v>
      </c>
      <c r="H21" s="156">
        <f>EXPEDICION!I21</f>
        <v>0.933</v>
      </c>
    </row>
    <row r="22" ht="15.75" customHeight="1">
      <c r="A22" s="152">
        <f>PEDIDOS!B22</f>
        <v>46052</v>
      </c>
      <c r="B22" s="153" t="str">
        <f>PEDIDOS!C22</f>
        <v/>
      </c>
      <c r="C22" s="153" t="str">
        <f>PEDIDOS!D22</f>
        <v>ALL BEAUTY</v>
      </c>
      <c r="D22" s="153" t="str">
        <f>PEDIDOS!E22</f>
        <v>UNGÜENTO POMADA OLEO 30 + 1 X 10gr</v>
      </c>
      <c r="E22" s="153" t="str">
        <f>PEDIDOS!F22</f>
        <v>P</v>
      </c>
      <c r="F22" s="154" t="str">
        <f>PEDIDOS!M22</f>
        <v>F26045</v>
      </c>
      <c r="G22" s="155">
        <f>-PEDIDOS!B22+EXPEDICION!K22</f>
        <v>33</v>
      </c>
      <c r="H22" s="156">
        <f>EXPEDICION!I22</f>
        <v>0.981</v>
      </c>
    </row>
    <row r="23" ht="15.75" customHeight="1">
      <c r="A23" s="152">
        <f>PEDIDOS!B23</f>
        <v>46052</v>
      </c>
      <c r="B23" s="153" t="str">
        <f>PEDIDOS!C23</f>
        <v/>
      </c>
      <c r="C23" s="153" t="str">
        <f>PEDIDOS!D23</f>
        <v>ALL BEAUTY</v>
      </c>
      <c r="D23" s="153" t="str">
        <f>PEDIDOS!E23</f>
        <v>CREMA DE ORDEÑE X 300gr</v>
      </c>
      <c r="E23" s="153" t="str">
        <f>PEDIDOS!F23</f>
        <v>M</v>
      </c>
      <c r="F23" s="154" t="str">
        <f>PEDIDOS!M23</f>
        <v>F26039</v>
      </c>
      <c r="G23" s="155">
        <f>-PEDIDOS!B23+EXPEDICION!K23</f>
        <v>28</v>
      </c>
      <c r="H23" s="156">
        <f>EXPEDICION!I23</f>
        <v>0.9886666667</v>
      </c>
    </row>
    <row r="24" ht="15.75" customHeight="1">
      <c r="A24" s="152">
        <f>PEDIDOS!B24</f>
        <v>46043</v>
      </c>
      <c r="B24" s="153">
        <f>PEDIDOS!C24</f>
        <v>103</v>
      </c>
      <c r="C24" s="153" t="str">
        <f>PEDIDOS!D24</f>
        <v>UNICA</v>
      </c>
      <c r="D24" s="153" t="str">
        <f>PEDIDOS!E24</f>
        <v>CREMA ENEBRO</v>
      </c>
      <c r="E24" s="153" t="str">
        <f>PEDIDOS!F24</f>
        <v>M</v>
      </c>
      <c r="F24" s="154">
        <f>PEDIDOS!M24</f>
        <v>200301</v>
      </c>
      <c r="G24" s="155">
        <f>-PEDIDOS!B24+EXPEDICION!K24</f>
        <v>58</v>
      </c>
      <c r="H24" s="156">
        <f>EXPEDICION!I24</f>
        <v>1.01</v>
      </c>
    </row>
    <row r="25" ht="15.75" customHeight="1">
      <c r="A25" s="152">
        <f>PEDIDOS!B25</f>
        <v>46066</v>
      </c>
      <c r="B25" s="153">
        <f>PEDIDOS!C25</f>
        <v>15114</v>
      </c>
      <c r="C25" s="153" t="str">
        <f>PEDIDOS!D25</f>
        <v>THELMA Y LOUISE</v>
      </c>
      <c r="D25" s="153" t="str">
        <f>PEDIDOS!E25</f>
        <v>SERUM BIFASICO JOJOBA-POMELO</v>
      </c>
      <c r="E25" s="153" t="str">
        <f>PEDIDOS!F25</f>
        <v>M</v>
      </c>
      <c r="F25" s="154" t="str">
        <f>PEDIDOS!M25</f>
        <v>M26024</v>
      </c>
      <c r="G25" s="155">
        <f>-PEDIDOS!B25+EXPEDICION!K25</f>
        <v>33</v>
      </c>
      <c r="H25" s="156">
        <f>EXPEDICION!I25</f>
        <v>0.9970238095</v>
      </c>
    </row>
    <row r="26" ht="15.75" customHeight="1">
      <c r="A26" s="152">
        <f>PEDIDOS!B26</f>
        <v>46066</v>
      </c>
      <c r="B26" s="153">
        <f>PEDIDOS!C26</f>
        <v>15114</v>
      </c>
      <c r="C26" s="153" t="str">
        <f>PEDIDOS!D26</f>
        <v>THELMA Y LOUISE</v>
      </c>
      <c r="D26" s="153" t="str">
        <f>PEDIDOS!E26</f>
        <v>SERUM BIFASICO PEPINO-HAMAMELIS</v>
      </c>
      <c r="E26" s="153" t="str">
        <f>PEDIDOS!F26</f>
        <v>M</v>
      </c>
      <c r="F26" s="154" t="str">
        <f>PEDIDOS!M26</f>
        <v>M26083</v>
      </c>
      <c r="G26" s="155">
        <f>-PEDIDOS!B26+EXPEDICION!K26</f>
        <v>41</v>
      </c>
      <c r="H26" s="156">
        <f>EXPEDICION!I26</f>
        <v>0.9930555556</v>
      </c>
    </row>
    <row r="27" ht="15.75" customHeight="1">
      <c r="A27" s="152">
        <f>PEDIDOS!B27</f>
        <v>46066</v>
      </c>
      <c r="B27" s="153">
        <f>PEDIDOS!C27</f>
        <v>15114</v>
      </c>
      <c r="C27" s="153" t="str">
        <f>PEDIDOS!D27</f>
        <v>THELMA Y LOUISE</v>
      </c>
      <c r="D27" s="153" t="str">
        <f>PEDIDOS!E27</f>
        <v>SERUM BIFASICO LAVANDA-BLUEBERRY</v>
      </c>
      <c r="E27" s="153" t="str">
        <f>PEDIDOS!F27</f>
        <v>M</v>
      </c>
      <c r="F27" s="154" t="str">
        <f>PEDIDOS!M27</f>
        <v>M26022</v>
      </c>
      <c r="G27" s="155">
        <f>-PEDIDOS!B27+EXPEDICION!K27</f>
        <v>27</v>
      </c>
      <c r="H27" s="156">
        <f>EXPEDICION!I27</f>
        <v>0.9973544974</v>
      </c>
    </row>
    <row r="28" ht="15.75" customHeight="1">
      <c r="A28" s="152">
        <f>PEDIDOS!B28</f>
        <v>46066</v>
      </c>
      <c r="B28" s="153">
        <f>PEDIDOS!C28</f>
        <v>15114</v>
      </c>
      <c r="C28" s="153" t="str">
        <f>PEDIDOS!D28</f>
        <v>THELMA Y LOUISE</v>
      </c>
      <c r="D28" s="153" t="str">
        <f>PEDIDOS!E28</f>
        <v>SERUM BIFASICO ROSA MOSQUETA-ROSAS</v>
      </c>
      <c r="E28" s="153" t="str">
        <f>PEDIDOS!F28</f>
        <v>M</v>
      </c>
      <c r="F28" s="154" t="str">
        <f>PEDIDOS!M28</f>
        <v>M26084</v>
      </c>
      <c r="G28" s="155">
        <f>-PEDIDOS!B28+EXPEDICION!K28</f>
        <v>42</v>
      </c>
      <c r="H28" s="156">
        <f>EXPEDICION!I28</f>
        <v>0.9963624339</v>
      </c>
    </row>
    <row r="29" ht="15.75" customHeight="1">
      <c r="A29" s="152">
        <f>PEDIDOS!B29</f>
        <v>46071</v>
      </c>
      <c r="B29" s="153">
        <f>PEDIDOS!C29</f>
        <v>772</v>
      </c>
      <c r="C29" s="153" t="str">
        <f>PEDIDOS!D29</f>
        <v>CAV</v>
      </c>
      <c r="D29" s="153" t="str">
        <f>PEDIDOS!E29</f>
        <v>SHAMPOO BIO MOLECULAR X400ML VITAMIN SHOCK</v>
      </c>
      <c r="E29" s="153" t="str">
        <f>PEDIDOS!F29</f>
        <v>M</v>
      </c>
      <c r="F29" s="154" t="str">
        <f>PEDIDOS!M29</f>
        <v>E26064</v>
      </c>
      <c r="G29" s="155">
        <f>-PEDIDOS!B29+EXPEDICION!K29</f>
        <v>16</v>
      </c>
      <c r="H29" s="156">
        <f>EXPEDICION!I29</f>
        <v>0.1814285714</v>
      </c>
    </row>
    <row r="30" ht="15.75" customHeight="1">
      <c r="A30" s="152">
        <f>PEDIDOS!B30</f>
        <v>46071</v>
      </c>
      <c r="B30" s="153">
        <f>PEDIDOS!C30</f>
        <v>772</v>
      </c>
      <c r="C30" s="153" t="str">
        <f>PEDIDOS!D30</f>
        <v>CAV</v>
      </c>
      <c r="D30" s="153" t="str">
        <f>PEDIDOS!E30</f>
        <v>SERUM BIO MOLUECULAR X30ML VITAMIN SHOCK</v>
      </c>
      <c r="E30" s="153" t="str">
        <f>PEDIDOS!F30</f>
        <v>P</v>
      </c>
      <c r="F30" s="154" t="str">
        <f>PEDIDOS!M30</f>
        <v>M26009</v>
      </c>
      <c r="G30" s="155">
        <f>-PEDIDOS!B30+EXPEDICION!K30</f>
        <v>23</v>
      </c>
      <c r="H30" s="156">
        <f>EXPEDICION!I30</f>
        <v>1.153333333</v>
      </c>
    </row>
    <row r="31" ht="15.75" customHeight="1">
      <c r="A31" s="152">
        <f>PEDIDOS!B31</f>
        <v>46071</v>
      </c>
      <c r="B31" s="153">
        <f>PEDIDOS!C31</f>
        <v>772</v>
      </c>
      <c r="C31" s="153" t="str">
        <f>PEDIDOS!D31</f>
        <v>CAV</v>
      </c>
      <c r="D31" s="153" t="str">
        <f>PEDIDOS!E31</f>
        <v>BALSAMO X400ML BIOMIC C/ ACIDO HIAL + CAPIMAX</v>
      </c>
      <c r="E31" s="153" t="str">
        <f>PEDIDOS!F31</f>
        <v>M</v>
      </c>
      <c r="F31" s="154" t="str">
        <f>PEDIDOS!M31</f>
        <v/>
      </c>
      <c r="G31" s="155">
        <f>-PEDIDOS!B31+EXPEDICION!K31</f>
        <v>-46071</v>
      </c>
      <c r="H31" s="156" t="str">
        <f>EXPEDICION!I31</f>
        <v/>
      </c>
    </row>
    <row r="32" ht="15.75" customHeight="1">
      <c r="A32" s="152">
        <f>PEDIDOS!B32</f>
        <v>46071</v>
      </c>
      <c r="B32" s="153">
        <f>PEDIDOS!C32</f>
        <v>772</v>
      </c>
      <c r="C32" s="153" t="str">
        <f>PEDIDOS!D32</f>
        <v>CAV</v>
      </c>
      <c r="D32" s="153" t="str">
        <f>PEDIDOS!E32</f>
        <v>MASCARA BIO MOLECULAR VITAMIN SHOCK X300ML</v>
      </c>
      <c r="E32" s="153" t="str">
        <f>PEDIDOS!F32</f>
        <v>M</v>
      </c>
      <c r="F32" s="154" t="str">
        <f>PEDIDOS!M32</f>
        <v>M26045</v>
      </c>
      <c r="G32" s="155">
        <f>-PEDIDOS!B32+EXPEDICION!K32</f>
        <v>26</v>
      </c>
      <c r="H32" s="156">
        <f>EXPEDICION!I32</f>
        <v>0.79</v>
      </c>
    </row>
    <row r="33" ht="15.75" customHeight="1">
      <c r="A33" s="152">
        <f>PEDIDOS!B33</f>
        <v>46071</v>
      </c>
      <c r="B33" s="153">
        <f>PEDIDOS!C33</f>
        <v>14329</v>
      </c>
      <c r="C33" s="153" t="str">
        <f>PEDIDOS!D33</f>
        <v>JACTANS - DISNEY</v>
      </c>
      <c r="D33" s="153" t="str">
        <f>PEDIDOS!E33</f>
        <v>DSH-41823-Shampoo infantil fco pvc x45ml</v>
      </c>
      <c r="E33" s="153" t="str">
        <f>PEDIDOS!F33</f>
        <v>M</v>
      </c>
      <c r="F33" s="154" t="str">
        <f>PEDIDOS!M33</f>
        <v>M26002</v>
      </c>
      <c r="G33" s="155">
        <f>-PEDIDOS!B33+EXPEDICION!K33</f>
        <v>15</v>
      </c>
      <c r="H33" s="156">
        <f>EXPEDICION!I33</f>
        <v>0.963</v>
      </c>
    </row>
    <row r="34" ht="15.75" customHeight="1">
      <c r="A34" s="152">
        <f>PEDIDOS!B34</f>
        <v>46071</v>
      </c>
      <c r="B34" s="153">
        <f>PEDIDOS!C34</f>
        <v>14329</v>
      </c>
      <c r="C34" s="153" t="str">
        <f>PEDIDOS!D34</f>
        <v>JACTANS - DISNEY</v>
      </c>
      <c r="D34" s="153" t="str">
        <f>PEDIDOS!E34</f>
        <v>DES-41823-Espuma de Baño infantil fco pvc x45ml</v>
      </c>
      <c r="E34" s="153" t="str">
        <f>PEDIDOS!F34</f>
        <v>M</v>
      </c>
      <c r="F34" s="154" t="str">
        <f>PEDIDOS!M34</f>
        <v>M26001</v>
      </c>
      <c r="G34" s="155">
        <f>-PEDIDOS!B34+EXPEDICION!K34</f>
        <v>14</v>
      </c>
      <c r="H34" s="156">
        <f>EXPEDICION!I34</f>
        <v>0.9616666667</v>
      </c>
    </row>
    <row r="35" ht="15.75" customHeight="1">
      <c r="A35" s="152">
        <f>PEDIDOS!B35</f>
        <v>46071</v>
      </c>
      <c r="B35" s="153" t="str">
        <f>PEDIDOS!C35</f>
        <v/>
      </c>
      <c r="C35" s="153" t="str">
        <f>PEDIDOS!D35</f>
        <v>BL COSMETICS</v>
      </c>
      <c r="D35" s="153" t="str">
        <f>PEDIDOS!E35</f>
        <v>ALISADO EXPERT</v>
      </c>
      <c r="E35" s="153" t="str">
        <f>PEDIDOS!F35</f>
        <v>M</v>
      </c>
      <c r="F35" s="154" t="str">
        <f>PEDIDOS!M35</f>
        <v>M26007</v>
      </c>
      <c r="G35" s="155">
        <f>-PEDIDOS!B35+EXPEDICION!K35</f>
        <v>14</v>
      </c>
      <c r="H35" s="156">
        <f>EXPEDICION!I35</f>
        <v>1</v>
      </c>
    </row>
    <row r="36" ht="15.75" customHeight="1">
      <c r="A36" s="152">
        <f>PEDIDOS!B36</f>
        <v>46071</v>
      </c>
      <c r="B36" s="153" t="str">
        <f>PEDIDOS!C36</f>
        <v/>
      </c>
      <c r="C36" s="153" t="str">
        <f>PEDIDOS!D36</f>
        <v>BL COSMETICS</v>
      </c>
      <c r="D36" s="153" t="str">
        <f>PEDIDOS!E36</f>
        <v>ALISADO EXPERT X1KG</v>
      </c>
      <c r="E36" s="153" t="str">
        <f>PEDIDOS!F36</f>
        <v>M</v>
      </c>
      <c r="F36" s="154" t="str">
        <f>PEDIDOS!M36</f>
        <v>M26007</v>
      </c>
      <c r="G36" s="155">
        <f>-PEDIDOS!B36+EXPEDICION!K36</f>
        <v>16</v>
      </c>
      <c r="H36" s="156">
        <f>EXPEDICION!I36</f>
        <v>0.92</v>
      </c>
    </row>
    <row r="37" ht="15.75" customHeight="1">
      <c r="A37" s="152">
        <f>PEDIDOS!B37</f>
        <v>46071</v>
      </c>
      <c r="B37" s="153" t="str">
        <f>PEDIDOS!C37</f>
        <v/>
      </c>
      <c r="C37" s="153" t="str">
        <f>PEDIDOS!D37</f>
        <v>BL COSMETICS</v>
      </c>
      <c r="D37" s="153" t="str">
        <f>PEDIDOS!E37</f>
        <v>ALISADO KERATIN</v>
      </c>
      <c r="E37" s="153" t="str">
        <f>PEDIDOS!F37</f>
        <v>M</v>
      </c>
      <c r="F37" s="154" t="str">
        <f>PEDIDOS!M37</f>
        <v>M26008</v>
      </c>
      <c r="G37" s="155">
        <f>-PEDIDOS!B37+EXPEDICION!K37</f>
        <v>19</v>
      </c>
      <c r="H37" s="156">
        <f>EXPEDICION!I37</f>
        <v>1.003</v>
      </c>
    </row>
    <row r="38" ht="15.75" customHeight="1">
      <c r="A38" s="152">
        <f>PEDIDOS!B38</f>
        <v>46071</v>
      </c>
      <c r="B38" s="153" t="str">
        <f>PEDIDOS!C38</f>
        <v>P00147</v>
      </c>
      <c r="C38" s="153" t="str">
        <f>PEDIDOS!D38</f>
        <v>LURE</v>
      </c>
      <c r="D38" s="153" t="str">
        <f>PEDIDOS!E38</f>
        <v>GOLD MASK</v>
      </c>
      <c r="E38" s="153" t="str">
        <f>PEDIDOS!F38</f>
        <v>M</v>
      </c>
      <c r="F38" s="154" t="str">
        <f>PEDIDOS!M38</f>
        <v>F26025</v>
      </c>
      <c r="G38" s="155">
        <f>-PEDIDOS!B38+EXPEDICION!K38</f>
        <v>9</v>
      </c>
      <c r="H38" s="156">
        <f>EXPEDICION!I38</f>
        <v>0.975</v>
      </c>
    </row>
    <row r="39" ht="15.75" customHeight="1">
      <c r="A39" s="152">
        <f>PEDIDOS!B39</f>
        <v>46071</v>
      </c>
      <c r="B39" s="153" t="str">
        <f>PEDIDOS!C39</f>
        <v>TCL 2025-02-28</v>
      </c>
      <c r="C39" s="153" t="str">
        <f>PEDIDOS!D39</f>
        <v>THE CHEMIST LOOK</v>
      </c>
      <c r="D39" s="153" t="str">
        <f>PEDIDOS!E39</f>
        <v>MANCHAS 5ML - PIGMENT PROTOCOL</v>
      </c>
      <c r="E39" s="153" t="str">
        <f>PEDIDOS!F39</f>
        <v>P</v>
      </c>
      <c r="F39" s="154" t="str">
        <f>PEDIDOS!M39</f>
        <v>M26015</v>
      </c>
      <c r="G39" s="155">
        <f>-PEDIDOS!B39+EXPEDICION!K39</f>
        <v>29</v>
      </c>
      <c r="H39" s="156">
        <f>EXPEDICION!I39</f>
        <v>0.357</v>
      </c>
    </row>
    <row r="40" ht="15.75" customHeight="1">
      <c r="A40" s="152">
        <f>PEDIDOS!B40</f>
        <v>46071</v>
      </c>
      <c r="B40" s="153" t="str">
        <f>PEDIDOS!C40</f>
        <v>TCL 2025-02-28</v>
      </c>
      <c r="C40" s="153" t="str">
        <f>PEDIDOS!D40</f>
        <v>THE CHEMIST LOOK</v>
      </c>
      <c r="D40" s="153" t="str">
        <f>PEDIDOS!E40</f>
        <v>MANCHAS 30ML - PIGMENT PROTOCOL</v>
      </c>
      <c r="E40" s="153" t="str">
        <f>PEDIDOS!F40</f>
        <v>P</v>
      </c>
      <c r="F40" s="154" t="str">
        <f>PEDIDOS!M40</f>
        <v>M26015</v>
      </c>
      <c r="G40" s="155">
        <f>-PEDIDOS!B40+EXPEDICION!K40</f>
        <v>29</v>
      </c>
      <c r="H40" s="156">
        <f>EXPEDICION!I40</f>
        <v>0.995</v>
      </c>
    </row>
    <row r="41" ht="15.75" customHeight="1">
      <c r="A41" s="152">
        <f>PEDIDOS!B41</f>
        <v>46071</v>
      </c>
      <c r="B41" s="153" t="str">
        <f>PEDIDOS!C41</f>
        <v>TCL 2025-02-28</v>
      </c>
      <c r="C41" s="153" t="str">
        <f>PEDIDOS!D41</f>
        <v>THE CHEMIST LOOK</v>
      </c>
      <c r="D41" s="153" t="str">
        <f>PEDIDOS!E41</f>
        <v>BOOSTER VIT C/GLUT</v>
      </c>
      <c r="E41" s="153" t="str">
        <f>PEDIDOS!F41</f>
        <v>P</v>
      </c>
      <c r="F41" s="154" t="str">
        <f>PEDIDOS!M41</f>
        <v>F26059</v>
      </c>
      <c r="G41" s="155">
        <f>-PEDIDOS!B41+EXPEDICION!K41</f>
        <v>16</v>
      </c>
      <c r="H41" s="156">
        <f>EXPEDICION!I41</f>
        <v>0.966</v>
      </c>
    </row>
    <row r="42" ht="15.75" customHeight="1">
      <c r="A42" s="152">
        <f>PEDIDOS!B42</f>
        <v>46071</v>
      </c>
      <c r="B42" s="153" t="str">
        <f>PEDIDOS!C42</f>
        <v>TCL 2025-02-28</v>
      </c>
      <c r="C42" s="153" t="str">
        <f>PEDIDOS!D42</f>
        <v>THE CHEMIST LOOK</v>
      </c>
      <c r="D42" s="153" t="str">
        <f>PEDIDOS!E42</f>
        <v>BOOSTER NIACI/ZN</v>
      </c>
      <c r="E42" s="153" t="str">
        <f>PEDIDOS!F42</f>
        <v>P</v>
      </c>
      <c r="F42" s="154" t="str">
        <f>PEDIDOS!M42</f>
        <v>F26058</v>
      </c>
      <c r="G42" s="155">
        <f>-PEDIDOS!B42+EXPEDICION!K42</f>
        <v>16</v>
      </c>
      <c r="H42" s="156">
        <f>EXPEDICION!I42</f>
        <v>1.013142857</v>
      </c>
    </row>
    <row r="43" ht="15.75" customHeight="1">
      <c r="A43" s="152">
        <f>PEDIDOS!B43</f>
        <v>46071</v>
      </c>
      <c r="B43" s="153" t="str">
        <f>PEDIDOS!C43</f>
        <v>TCL 2025-02-28</v>
      </c>
      <c r="C43" s="153" t="str">
        <f>PEDIDOS!D43</f>
        <v>THE CHEMIST LOOK</v>
      </c>
      <c r="D43" s="153" t="str">
        <f>PEDIDOS!E43</f>
        <v>BOOSTER HYALU-A/SI</v>
      </c>
      <c r="E43" s="153" t="str">
        <f>PEDIDOS!F43</f>
        <v>P</v>
      </c>
      <c r="F43" s="154" t="str">
        <f>PEDIDOS!M43</f>
        <v>F26060</v>
      </c>
      <c r="G43" s="155">
        <f>-PEDIDOS!B43+EXPEDICION!K43</f>
        <v>19</v>
      </c>
      <c r="H43" s="156">
        <f>EXPEDICION!I43</f>
        <v>1.007083333</v>
      </c>
    </row>
    <row r="44" ht="15.75" customHeight="1">
      <c r="A44" s="152">
        <f>PEDIDOS!B44</f>
        <v>46071</v>
      </c>
      <c r="B44" s="153" t="str">
        <f>PEDIDOS!C44</f>
        <v>TCL 2025-02-28</v>
      </c>
      <c r="C44" s="153" t="str">
        <f>PEDIDOS!D44</f>
        <v>THE CHEMIST LOOK</v>
      </c>
      <c r="D44" s="153" t="str">
        <f>PEDIDOS!E44</f>
        <v>BOOSTER MUNAP-18</v>
      </c>
      <c r="E44" s="153" t="str">
        <f>PEDIDOS!F44</f>
        <v>P</v>
      </c>
      <c r="F44" s="154" t="str">
        <f>PEDIDOS!M44</f>
        <v>Y26017</v>
      </c>
      <c r="G44" s="155">
        <f>-PEDIDOS!B44+EXPEDICION!K44</f>
        <v>97</v>
      </c>
      <c r="H44" s="156">
        <f>EXPEDICION!I44</f>
        <v>0.4036666667</v>
      </c>
    </row>
    <row r="45" ht="15.75" customHeight="1">
      <c r="A45" s="152">
        <f>PEDIDOS!B45</f>
        <v>46071</v>
      </c>
      <c r="B45" s="153" t="str">
        <f>PEDIDOS!C45</f>
        <v>TCL 2025-02-28</v>
      </c>
      <c r="C45" s="153" t="str">
        <f>PEDIDOS!D45</f>
        <v>THE CHEMIST LOOK</v>
      </c>
      <c r="D45" s="153" t="str">
        <f>PEDIDOS!E45</f>
        <v>TAN BOOSTER</v>
      </c>
      <c r="E45" s="153" t="str">
        <f>PEDIDOS!F45</f>
        <v>P</v>
      </c>
      <c r="F45" s="154" t="str">
        <f>PEDIDOS!M45</f>
        <v/>
      </c>
      <c r="G45" s="155">
        <f>-PEDIDOS!B45+EXPEDICION!K45</f>
        <v>-46071</v>
      </c>
      <c r="H45" s="156" t="str">
        <f>EXPEDICION!I45</f>
        <v/>
      </c>
    </row>
    <row r="46" ht="15.75" customHeight="1">
      <c r="A46" s="152">
        <f>PEDIDOS!B46</f>
        <v>46071</v>
      </c>
      <c r="B46" s="153" t="str">
        <f>PEDIDOS!C46</f>
        <v>TCL 2025-02-28</v>
      </c>
      <c r="C46" s="153" t="str">
        <f>PEDIDOS!D46</f>
        <v>THE CHEMIST LOOK</v>
      </c>
      <c r="D46" s="153" t="str">
        <f>PEDIDOS!E46</f>
        <v>BOOSTER RETIN</v>
      </c>
      <c r="E46" s="153" t="str">
        <f>PEDIDOS!F46</f>
        <v>P</v>
      </c>
      <c r="F46" s="154" t="str">
        <f>PEDIDOS!M46</f>
        <v>A26018</v>
      </c>
      <c r="G46" s="155">
        <f>-PEDIDOS!B46+EXPEDICION!K46</f>
        <v>71</v>
      </c>
      <c r="H46" s="156">
        <f>EXPEDICION!I46</f>
        <v>0.593</v>
      </c>
    </row>
    <row r="47" ht="15.75" customHeight="1">
      <c r="A47" s="152">
        <f>PEDIDOS!B47</f>
        <v>46071</v>
      </c>
      <c r="B47" s="153" t="str">
        <f>PEDIDOS!C47</f>
        <v>TCL 2025-02-28</v>
      </c>
      <c r="C47" s="153" t="str">
        <f>PEDIDOS!D47</f>
        <v>THE CHEMIST LOOK</v>
      </c>
      <c r="D47" s="153" t="str">
        <f>PEDIDOS!E47</f>
        <v>2ND SKIN</v>
      </c>
      <c r="E47" s="153" t="str">
        <f>PEDIDOS!F47</f>
        <v>P</v>
      </c>
      <c r="F47" s="154" t="str">
        <f>PEDIDOS!M47</f>
        <v/>
      </c>
      <c r="G47" s="155">
        <f>-PEDIDOS!B47+EXPEDICION!K47</f>
        <v>-46071</v>
      </c>
      <c r="H47" s="156" t="str">
        <f>EXPEDICION!I47</f>
        <v/>
      </c>
    </row>
    <row r="48" ht="15.75" customHeight="1">
      <c r="A48" s="152">
        <f>PEDIDOS!B48</f>
        <v>46071</v>
      </c>
      <c r="B48" s="153">
        <f>PEDIDOS!C48</f>
        <v>14331</v>
      </c>
      <c r="C48" s="153" t="str">
        <f>PEDIDOS!D48</f>
        <v>JACTANS</v>
      </c>
      <c r="D48" s="153" t="str">
        <f>PEDIDOS!E48</f>
        <v>JS-736 BRUMA FIJADORA FACIAL</v>
      </c>
      <c r="E48" s="153" t="str">
        <f>PEDIDOS!F48</f>
        <v>M</v>
      </c>
      <c r="F48" s="154" t="str">
        <f>PEDIDOS!M48</f>
        <v>Y26022</v>
      </c>
      <c r="G48" s="155">
        <f>-PEDIDOS!B48+EXPEDICION!K48</f>
        <v>93</v>
      </c>
      <c r="H48" s="156">
        <f>EXPEDICION!I48</f>
        <v>0.764</v>
      </c>
    </row>
    <row r="49" ht="15.75" customHeight="1">
      <c r="A49" s="152">
        <f>PEDIDOS!B49</f>
        <v>46072</v>
      </c>
      <c r="B49" s="153" t="str">
        <f>PEDIDOS!C49</f>
        <v/>
      </c>
      <c r="C49" s="153" t="str">
        <f>PEDIDOS!D49</f>
        <v>KALA</v>
      </c>
      <c r="D49" s="153" t="str">
        <f>PEDIDOS!E49</f>
        <v>AGUA DE ROSAS</v>
      </c>
      <c r="E49" s="153" t="str">
        <f>PEDIDOS!F49</f>
        <v>M</v>
      </c>
      <c r="F49" s="154" t="str">
        <f>PEDIDOS!M49</f>
        <v>F26057</v>
      </c>
      <c r="G49" s="155">
        <f>-PEDIDOS!B49+EXPEDICION!K49</f>
        <v>14</v>
      </c>
      <c r="H49" s="156">
        <f>EXPEDICION!I49</f>
        <v>0.9830769231</v>
      </c>
    </row>
    <row r="50" ht="15.75" customHeight="1">
      <c r="A50" s="152">
        <f>PEDIDOS!B50</f>
        <v>46073</v>
      </c>
      <c r="B50" s="153" t="str">
        <f>PEDIDOS!C50</f>
        <v/>
      </c>
      <c r="C50" s="153" t="str">
        <f>PEDIDOS!D50</f>
        <v>INTENCIONAL</v>
      </c>
      <c r="D50" s="153" t="str">
        <f>PEDIDOS!E50</f>
        <v>CREMA DE ORDEÑE</v>
      </c>
      <c r="E50" s="153" t="str">
        <f>PEDIDOS!F50</f>
        <v>M</v>
      </c>
      <c r="F50" s="154" t="str">
        <f>PEDIDOS!M50</f>
        <v>F26062</v>
      </c>
      <c r="G50" s="155">
        <f>-PEDIDOS!B50+EXPEDICION!K50</f>
        <v>21</v>
      </c>
      <c r="H50" s="156">
        <f>EXPEDICION!I50</f>
        <v>0.999</v>
      </c>
    </row>
    <row r="51" ht="15.75" customHeight="1">
      <c r="A51" s="152">
        <f>PEDIDOS!B51</f>
        <v>46073</v>
      </c>
      <c r="B51" s="153" t="str">
        <f>PEDIDOS!C51</f>
        <v>P01256</v>
      </c>
      <c r="C51" s="153" t="str">
        <f>PEDIDOS!D51</f>
        <v>BIOESENCIA</v>
      </c>
      <c r="D51" s="153" t="str">
        <f>PEDIDOS!E51</f>
        <v>CREMA BABA DE CARACOL</v>
      </c>
      <c r="E51" s="153" t="str">
        <f>PEDIDOS!F51</f>
        <v>M</v>
      </c>
      <c r="F51" s="154">
        <f>PEDIDOS!M51</f>
        <v>270201</v>
      </c>
      <c r="G51" s="155">
        <f>-PEDIDOS!B51+EXPEDICION!K51</f>
        <v>10</v>
      </c>
      <c r="H51" s="156">
        <f>EXPEDICION!I51</f>
        <v>1.013</v>
      </c>
    </row>
    <row r="52" ht="15.75" customHeight="1">
      <c r="A52" s="152">
        <f>PEDIDOS!B52</f>
        <v>46042</v>
      </c>
      <c r="B52" s="153" t="str">
        <f>PEDIDOS!C52</f>
        <v>P01203</v>
      </c>
      <c r="C52" s="153" t="str">
        <f>PEDIDOS!D52</f>
        <v>BIOESENCIA</v>
      </c>
      <c r="D52" s="153" t="str">
        <f>PEDIDOS!E52</f>
        <v>SHAMPOO BABY</v>
      </c>
      <c r="E52" s="153" t="str">
        <f>PEDIDOS!F52</f>
        <v>M</v>
      </c>
      <c r="F52" s="154" t="str">
        <f>PEDIDOS!M52</f>
        <v>F26023</v>
      </c>
      <c r="G52" s="155">
        <f>-PEDIDOS!B52+EXPEDICION!K52</f>
        <v>31</v>
      </c>
      <c r="H52" s="156">
        <f>EXPEDICION!I52</f>
        <v>0.972</v>
      </c>
    </row>
    <row r="53" ht="15.75" customHeight="1">
      <c r="A53" s="152">
        <f>PEDIDOS!B53</f>
        <v>46042</v>
      </c>
      <c r="B53" s="153" t="str">
        <f>PEDIDOS!C53</f>
        <v>P01203</v>
      </c>
      <c r="C53" s="153" t="str">
        <f>PEDIDOS!D53</f>
        <v>BIOESENCIA</v>
      </c>
      <c r="D53" s="153" t="str">
        <f>PEDIDOS!E53</f>
        <v>SERUM PROBIOTICOS</v>
      </c>
      <c r="E53" s="153" t="str">
        <f>PEDIDOS!F53</f>
        <v>M</v>
      </c>
      <c r="F53" s="154" t="str">
        <f>PEDIDOS!M53</f>
        <v>F26022</v>
      </c>
      <c r="G53" s="155">
        <f>-PEDIDOS!B53+EXPEDICION!K53</f>
        <v>31</v>
      </c>
      <c r="H53" s="156">
        <f>EXPEDICION!I53</f>
        <v>1.001</v>
      </c>
    </row>
    <row r="54" ht="15.75" customHeight="1">
      <c r="A54" s="152">
        <f>PEDIDOS!B54</f>
        <v>46073</v>
      </c>
      <c r="B54" s="153" t="str">
        <f>PEDIDOS!C54</f>
        <v/>
      </c>
      <c r="C54" s="153" t="str">
        <f>PEDIDOS!D54</f>
        <v>OSSPRET</v>
      </c>
      <c r="D54" s="153" t="str">
        <f>PEDIDOS!E54</f>
        <v>CREMA DE ORDEÑE</v>
      </c>
      <c r="E54" s="153" t="str">
        <f>PEDIDOS!F54</f>
        <v>M</v>
      </c>
      <c r="F54" s="154" t="str">
        <f>PEDIDOS!M54</f>
        <v>M26004 /M26013</v>
      </c>
      <c r="G54" s="155">
        <f>-PEDIDOS!B54+EXPEDICION!K54</f>
        <v>17</v>
      </c>
      <c r="H54" s="156">
        <f>EXPEDICION!I54</f>
        <v>1</v>
      </c>
    </row>
    <row r="55" ht="15.75" customHeight="1">
      <c r="A55" s="152">
        <f>PEDIDOS!B55</f>
        <v>46073</v>
      </c>
      <c r="B55" s="153" t="str">
        <f>PEDIDOS!C55</f>
        <v>P01256</v>
      </c>
      <c r="C55" s="153" t="str">
        <f>PEDIDOS!D55</f>
        <v>BIOESENCIA</v>
      </c>
      <c r="D55" s="153" t="str">
        <f>PEDIDOS!E55</f>
        <v>UNGUENTO PROPOLEO</v>
      </c>
      <c r="E55" s="153" t="str">
        <f>PEDIDOS!F55</f>
        <v>M</v>
      </c>
      <c r="F55" s="154" t="str">
        <f>PEDIDOS!M55</f>
        <v>M26018</v>
      </c>
      <c r="G55" s="155">
        <f>-PEDIDOS!B55+EXPEDICION!K55</f>
        <v>18</v>
      </c>
      <c r="H55" s="156">
        <f>EXPEDICION!I55</f>
        <v>0.944</v>
      </c>
    </row>
    <row r="56" ht="15.75" customHeight="1">
      <c r="A56" s="152">
        <f>PEDIDOS!B56</f>
        <v>46073</v>
      </c>
      <c r="B56" s="153" t="str">
        <f>PEDIDOS!C56</f>
        <v>P01257</v>
      </c>
      <c r="C56" s="153" t="str">
        <f>PEDIDOS!D56</f>
        <v>BIOESENCIA</v>
      </c>
      <c r="D56" s="153" t="str">
        <f>PEDIDOS!E56</f>
        <v>BAÑO BE KERATINA BE VEGAN</v>
      </c>
      <c r="E56" s="153" t="str">
        <f>PEDIDOS!F56</f>
        <v>M</v>
      </c>
      <c r="F56" s="154">
        <f>PEDIDOS!M56</f>
        <v>180302</v>
      </c>
      <c r="G56" s="155">
        <f>-PEDIDOS!B56+EXPEDICION!K56</f>
        <v>39</v>
      </c>
      <c r="H56" s="156">
        <f>EXPEDICION!I56</f>
        <v>1.001</v>
      </c>
    </row>
    <row r="57" ht="15.75" customHeight="1">
      <c r="A57" s="152">
        <f>PEDIDOS!B57</f>
        <v>46073</v>
      </c>
      <c r="B57" s="153" t="str">
        <f>PEDIDOS!C57</f>
        <v>P01258</v>
      </c>
      <c r="C57" s="153" t="str">
        <f>PEDIDOS!D57</f>
        <v>BIOESENCIA</v>
      </c>
      <c r="D57" s="153" t="str">
        <f>PEDIDOS!E57</f>
        <v>REPARADOR DE PUNTAS</v>
      </c>
      <c r="E57" s="153" t="str">
        <f>PEDIDOS!F57</f>
        <v>P</v>
      </c>
      <c r="F57" s="154">
        <f>PEDIDOS!M57</f>
        <v>100601</v>
      </c>
      <c r="G57" s="155">
        <f>-PEDIDOS!B57+EXPEDICION!K57</f>
        <v>110</v>
      </c>
      <c r="H57" s="156">
        <f>EXPEDICION!I57</f>
        <v>0.982</v>
      </c>
    </row>
    <row r="58" ht="15.75" customHeight="1">
      <c r="A58" s="152">
        <f>PEDIDOS!B58</f>
        <v>46073</v>
      </c>
      <c r="B58" s="153" t="str">
        <f>PEDIDOS!C58</f>
        <v>P01259</v>
      </c>
      <c r="C58" s="153" t="str">
        <f>PEDIDOS!D58</f>
        <v>BIOESENCIA</v>
      </c>
      <c r="D58" s="153" t="str">
        <f>PEDIDOS!E58</f>
        <v>BRUMA FACIAL ORIGENES</v>
      </c>
      <c r="E58" s="153" t="str">
        <f>PEDIDOS!F58</f>
        <v>P</v>
      </c>
      <c r="F58" s="154">
        <f>PEDIDOS!M58</f>
        <v>130302</v>
      </c>
      <c r="G58" s="155">
        <f>-PEDIDOS!B58+EXPEDICION!K58</f>
        <v>26</v>
      </c>
      <c r="H58" s="156">
        <f>EXPEDICION!I58</f>
        <v>1.004</v>
      </c>
    </row>
    <row r="59" ht="15.75" customHeight="1">
      <c r="A59" s="152">
        <f>PEDIDOS!B59</f>
        <v>46073</v>
      </c>
      <c r="B59" s="153" t="str">
        <f>PEDIDOS!C59</f>
        <v>P01260</v>
      </c>
      <c r="C59" s="153" t="str">
        <f>PEDIDOS!D59</f>
        <v>BIOESENCIA</v>
      </c>
      <c r="D59" s="153" t="str">
        <f>PEDIDOS!E59</f>
        <v>EMULSION CORPORAL PROBIOTICOS</v>
      </c>
      <c r="E59" s="153" t="str">
        <f>PEDIDOS!F59</f>
        <v>M</v>
      </c>
      <c r="F59" s="154" t="str">
        <f>PEDIDOS!M59</f>
        <v>M26059</v>
      </c>
      <c r="G59" s="155">
        <f>-PEDIDOS!B59+EXPEDICION!K59</f>
        <v>26</v>
      </c>
      <c r="H59" s="156">
        <f>EXPEDICION!I59</f>
        <v>0.987</v>
      </c>
    </row>
    <row r="60" ht="15.75" customHeight="1">
      <c r="A60" s="152">
        <f>PEDIDOS!B60</f>
        <v>46073</v>
      </c>
      <c r="B60" s="153" t="str">
        <f>PEDIDOS!C60</f>
        <v>P01261</v>
      </c>
      <c r="C60" s="153" t="str">
        <f>PEDIDOS!D60</f>
        <v>BIOESENCIA</v>
      </c>
      <c r="D60" s="153" t="str">
        <f>PEDIDOS!E60</f>
        <v>CREMA DIA/NOCHE ULTRAHIDRATANTE VEGAN</v>
      </c>
      <c r="E60" s="153" t="str">
        <f>PEDIDOS!F60</f>
        <v>M</v>
      </c>
      <c r="F60" s="154">
        <f>PEDIDOS!M60</f>
        <v>120301</v>
      </c>
      <c r="G60" s="155">
        <f>-PEDIDOS!B60+EXPEDICION!K60</f>
        <v>21</v>
      </c>
      <c r="H60" s="156">
        <f>EXPEDICION!I60</f>
        <v>0.923</v>
      </c>
    </row>
    <row r="61" ht="15.75" customHeight="1">
      <c r="A61" s="152">
        <f>PEDIDOS!B61</f>
        <v>46076</v>
      </c>
      <c r="B61" s="153" t="str">
        <f>PEDIDOS!C61</f>
        <v/>
      </c>
      <c r="C61" s="153" t="str">
        <f>PEDIDOS!D61</f>
        <v>AGUEDA REY - ALMA HAIR</v>
      </c>
      <c r="D61" s="153" t="str">
        <f>PEDIDOS!E61</f>
        <v>ACONDICIONADOR CON EXTRACTO DE CEBOLLA</v>
      </c>
      <c r="E61" s="153" t="str">
        <f>PEDIDOS!F61</f>
        <v>M</v>
      </c>
      <c r="F61" s="154" t="str">
        <f>PEDIDOS!M61</f>
        <v>M26088</v>
      </c>
      <c r="G61" s="155">
        <f>-PEDIDOS!B61+EXPEDICION!K61</f>
        <v>42</v>
      </c>
      <c r="H61" s="156">
        <f>EXPEDICION!I61</f>
        <v>0.9714285714</v>
      </c>
    </row>
    <row r="62" ht="15.75" customHeight="1">
      <c r="A62" s="152">
        <f>PEDIDOS!B62</f>
        <v>46076</v>
      </c>
      <c r="B62" s="153">
        <f>PEDIDOS!C62</f>
        <v>774</v>
      </c>
      <c r="C62" s="153" t="str">
        <f>PEDIDOS!D62</f>
        <v>CAV</v>
      </c>
      <c r="D62" s="153" t="str">
        <f>PEDIDOS!E62</f>
        <v>CRISTAL LIQ (BRIGHT CRYSTAL) CAV EXPRESSION</v>
      </c>
      <c r="E62" s="153" t="str">
        <f>PEDIDOS!F62</f>
        <v>P</v>
      </c>
      <c r="F62" s="154" t="str">
        <f>PEDIDOS!M62</f>
        <v>M26040</v>
      </c>
      <c r="G62" s="155">
        <f>-PEDIDOS!B62+EXPEDICION!K62</f>
        <v>18</v>
      </c>
      <c r="H62" s="156">
        <f>EXPEDICION!I62</f>
        <v>0.996</v>
      </c>
    </row>
    <row r="63" ht="15.75" customHeight="1">
      <c r="A63" s="152">
        <f>PEDIDOS!B63</f>
        <v>46076</v>
      </c>
      <c r="B63" s="153">
        <f>PEDIDOS!C63</f>
        <v>774</v>
      </c>
      <c r="C63" s="153" t="str">
        <f>PEDIDOS!D63</f>
        <v>CAV</v>
      </c>
      <c r="D63" s="153" t="str">
        <f>PEDIDOS!E63</f>
        <v>Protector C-Plex x150 Paso 3</v>
      </c>
      <c r="E63" s="153" t="str">
        <f>PEDIDOS!F63</f>
        <v>P</v>
      </c>
      <c r="F63" s="154" t="str">
        <f>PEDIDOS!M63</f>
        <v>M26041</v>
      </c>
      <c r="G63" s="155">
        <f>-PEDIDOS!B63+EXPEDICION!K63</f>
        <v>18</v>
      </c>
      <c r="H63" s="156">
        <f>EXPEDICION!I63</f>
        <v>0.9066666667</v>
      </c>
    </row>
    <row r="64" ht="15.75" customHeight="1">
      <c r="A64" s="152">
        <f>PEDIDOS!B64</f>
        <v>46076</v>
      </c>
      <c r="B64" s="153" t="str">
        <f>PEDIDOS!C64</f>
        <v/>
      </c>
      <c r="C64" s="153" t="str">
        <f>PEDIDOS!D64</f>
        <v>WSABI</v>
      </c>
      <c r="D64" s="153" t="str">
        <f>PEDIDOS!E64</f>
        <v>CONTORNO DE OJOS</v>
      </c>
      <c r="E64" s="153" t="str">
        <f>PEDIDOS!F64</f>
        <v>P</v>
      </c>
      <c r="F64" s="154" t="str">
        <f>PEDIDOS!M64</f>
        <v>M26027</v>
      </c>
      <c r="G64" s="155">
        <f>-PEDIDOS!B64+EXPEDICION!K64</f>
        <v>22</v>
      </c>
      <c r="H64" s="156">
        <f>EXPEDICION!I64</f>
        <v>1</v>
      </c>
    </row>
    <row r="65" ht="15.75" customHeight="1">
      <c r="A65" s="152">
        <f>PEDIDOS!B65</f>
        <v>46076</v>
      </c>
      <c r="B65" s="153" t="str">
        <f>PEDIDOS!C65</f>
        <v/>
      </c>
      <c r="C65" s="153" t="str">
        <f>PEDIDOS!D65</f>
        <v>WSABI</v>
      </c>
      <c r="D65" s="153" t="str">
        <f>PEDIDOS!E65</f>
        <v>LECHE DE LIMPIEZA</v>
      </c>
      <c r="E65" s="153" t="str">
        <f>PEDIDOS!F65</f>
        <v>P</v>
      </c>
      <c r="F65" s="154" t="str">
        <f>PEDIDOS!M65</f>
        <v>M26011</v>
      </c>
      <c r="G65" s="155">
        <f>-PEDIDOS!B65+EXPEDICION!K65</f>
        <v>16</v>
      </c>
      <c r="H65" s="156">
        <f>EXPEDICION!I65</f>
        <v>0.992</v>
      </c>
    </row>
    <row r="66" ht="15.75" customHeight="1">
      <c r="A66" s="152">
        <f>PEDIDOS!B66</f>
        <v>46076</v>
      </c>
      <c r="B66" s="153" t="str">
        <f>PEDIDOS!C66</f>
        <v/>
      </c>
      <c r="C66" s="153" t="str">
        <f>PEDIDOS!D66</f>
        <v>WSABI</v>
      </c>
      <c r="D66" s="153" t="str">
        <f>PEDIDOS!E66</f>
        <v>SERUM ANTIOXIDANTE VIT C</v>
      </c>
      <c r="E66" s="153" t="str">
        <f>PEDIDOS!F66</f>
        <v>P</v>
      </c>
      <c r="F66" s="154" t="str">
        <f>PEDIDOS!M66</f>
        <v>M26026</v>
      </c>
      <c r="G66" s="155">
        <f>-PEDIDOS!B66+EXPEDICION!K66</f>
        <v>22</v>
      </c>
      <c r="H66" s="156">
        <f>EXPEDICION!I66</f>
        <v>1.026666667</v>
      </c>
    </row>
    <row r="67" ht="15.75" customHeight="1">
      <c r="A67" s="152">
        <f>PEDIDOS!B67</f>
        <v>46076</v>
      </c>
      <c r="B67" s="153" t="str">
        <f>PEDIDOS!C67</f>
        <v/>
      </c>
      <c r="C67" s="153" t="str">
        <f>PEDIDOS!D67</f>
        <v>WSABI</v>
      </c>
      <c r="D67" s="153" t="str">
        <f>PEDIDOS!E67</f>
        <v>TONICO CORPORAL EQUILIBRIO</v>
      </c>
      <c r="E67" s="153" t="str">
        <f>PEDIDOS!F67</f>
        <v>P</v>
      </c>
      <c r="F67" s="154" t="str">
        <f>PEDIDOS!M67</f>
        <v>M26012</v>
      </c>
      <c r="G67" s="155">
        <f>-PEDIDOS!B67+EXPEDICION!K67</f>
        <v>17</v>
      </c>
      <c r="H67" s="156">
        <f>EXPEDICION!I67</f>
        <v>1.002</v>
      </c>
    </row>
    <row r="68" ht="15.75" customHeight="1">
      <c r="A68" s="152">
        <f>PEDIDOS!B68</f>
        <v>46063</v>
      </c>
      <c r="B68" s="153">
        <f>PEDIDOS!C68</f>
        <v>15125</v>
      </c>
      <c r="C68" s="153" t="str">
        <f>PEDIDOS!D68</f>
        <v>THELMA Y LOUISE</v>
      </c>
      <c r="D68" s="153" t="str">
        <f>PEDIDOS!E68</f>
        <v>SERUM ANTIAGE</v>
      </c>
      <c r="E68" s="153" t="str">
        <f>PEDIDOS!F68</f>
        <v>M</v>
      </c>
      <c r="F68" s="154" t="str">
        <f>PEDIDOS!M68</f>
        <v>M26023</v>
      </c>
      <c r="G68" s="155">
        <f>-PEDIDOS!B68+EXPEDICION!K68</f>
        <v>27</v>
      </c>
      <c r="H68" s="156">
        <f>EXPEDICION!I68</f>
        <v>0.9938095238</v>
      </c>
    </row>
    <row r="69" ht="15.75" customHeight="1">
      <c r="A69" s="152">
        <f>PEDIDOS!B69</f>
        <v>46063</v>
      </c>
      <c r="B69" s="153">
        <f>PEDIDOS!C69</f>
        <v>15125</v>
      </c>
      <c r="C69" s="153" t="str">
        <f>PEDIDOS!D69</f>
        <v>THELMA Y LOUISE</v>
      </c>
      <c r="D69" s="153" t="str">
        <f>PEDIDOS!E69</f>
        <v>SERUM DESCONGESTIVO</v>
      </c>
      <c r="E69" s="153" t="str">
        <f>PEDIDOS!F69</f>
        <v>M</v>
      </c>
      <c r="F69" s="154" t="str">
        <f>PEDIDOS!M69</f>
        <v>M26021</v>
      </c>
      <c r="G69" s="155">
        <f>-PEDIDOS!B69+EXPEDICION!K69</f>
        <v>29</v>
      </c>
      <c r="H69" s="156">
        <f>EXPEDICION!I69</f>
        <v>0.9938095238</v>
      </c>
    </row>
    <row r="70" ht="15.75" customHeight="1">
      <c r="A70" s="152">
        <f>PEDIDOS!B70</f>
        <v>46076</v>
      </c>
      <c r="B70" s="153">
        <f>PEDIDOS!C70</f>
        <v>775</v>
      </c>
      <c r="C70" s="153" t="str">
        <f>PEDIDOS!D70</f>
        <v>CAV</v>
      </c>
      <c r="D70" s="153" t="str">
        <f>PEDIDOS!E70</f>
        <v>Rebond C-Plex CAV x 500 ml (Paso 1)</v>
      </c>
      <c r="E70" s="153" t="str">
        <f>PEDIDOS!F70</f>
        <v>M</v>
      </c>
      <c r="F70" s="154" t="str">
        <f>PEDIDOS!M70</f>
        <v>M26062</v>
      </c>
      <c r="G70" s="155">
        <f>-PEDIDOS!B70+EXPEDICION!K70</f>
        <v>25</v>
      </c>
      <c r="H70" s="156">
        <f>EXPEDICION!I70</f>
        <v>0.745</v>
      </c>
    </row>
    <row r="71" ht="15.75" customHeight="1">
      <c r="A71" s="152">
        <f>PEDIDOS!B71</f>
        <v>46076</v>
      </c>
      <c r="B71" s="153">
        <f>PEDIDOS!C71</f>
        <v>775</v>
      </c>
      <c r="C71" s="153" t="str">
        <f>PEDIDOS!D71</f>
        <v>CAV</v>
      </c>
      <c r="D71" s="153" t="str">
        <f>PEDIDOS!E71</f>
        <v>Finishing C-Plex CAV x 500 ml (Paso 2)</v>
      </c>
      <c r="E71" s="153" t="str">
        <f>PEDIDOS!F71</f>
        <v>M</v>
      </c>
      <c r="F71" s="154" t="str">
        <f>PEDIDOS!M71</f>
        <v>M26061</v>
      </c>
      <c r="G71" s="155">
        <f>-PEDIDOS!B71+EXPEDICION!K71</f>
        <v>25</v>
      </c>
      <c r="H71" s="156">
        <f>EXPEDICION!I71</f>
        <v>0.86</v>
      </c>
    </row>
    <row r="72" ht="15.75" customHeight="1">
      <c r="A72" s="152">
        <f>PEDIDOS!B72</f>
        <v>46077</v>
      </c>
      <c r="B72" s="153">
        <f>PEDIDOS!C72</f>
        <v>1704</v>
      </c>
      <c r="C72" s="153" t="str">
        <f>PEDIDOS!D72</f>
        <v>LABORATORIO ONCE</v>
      </c>
      <c r="D72" s="153" t="str">
        <f>PEDIDOS!E72</f>
        <v>ALBA SERUM X 30 ML DRA ROSSI</v>
      </c>
      <c r="E72" s="153" t="str">
        <f>PEDIDOS!F72</f>
        <v>P</v>
      </c>
      <c r="F72" s="154" t="str">
        <f>PEDIDOS!M72</f>
        <v/>
      </c>
      <c r="G72" s="155">
        <f>-PEDIDOS!B72+EXPEDICION!K72</f>
        <v>-46077</v>
      </c>
      <c r="H72" s="156" t="str">
        <f>EXPEDICION!I72</f>
        <v/>
      </c>
    </row>
    <row r="73" ht="15.75" customHeight="1">
      <c r="A73" s="152">
        <f>PEDIDOS!B73</f>
        <v>46078</v>
      </c>
      <c r="B73" s="153" t="str">
        <f>PEDIDOS!C73</f>
        <v/>
      </c>
      <c r="C73" s="153" t="str">
        <f>PEDIDOS!D73</f>
        <v>UNICA</v>
      </c>
      <c r="D73" s="153" t="str">
        <f>PEDIDOS!E73</f>
        <v>CREMA CORPORAL HUMECTANTE KARITE</v>
      </c>
      <c r="E73" s="153" t="str">
        <f>PEDIDOS!F73</f>
        <v>M</v>
      </c>
      <c r="F73" s="154">
        <f>PEDIDOS!M73</f>
        <v>110301</v>
      </c>
      <c r="G73" s="155">
        <f>-PEDIDOS!B73+EXPEDICION!K73</f>
        <v>23</v>
      </c>
      <c r="H73" s="156">
        <f>EXPEDICION!I73</f>
        <v>0.972</v>
      </c>
    </row>
    <row r="74" ht="15.75" customHeight="1">
      <c r="A74" s="152">
        <f>PEDIDOS!B74</f>
        <v>46078</v>
      </c>
      <c r="B74" s="153" t="str">
        <f>PEDIDOS!C74</f>
        <v/>
      </c>
      <c r="C74" s="153" t="str">
        <f>PEDIDOS!D74</f>
        <v>OLANN</v>
      </c>
      <c r="D74" s="153" t="str">
        <f>PEDIDOS!E74</f>
        <v>Serum hialurónico 30 ml </v>
      </c>
      <c r="E74" s="153" t="str">
        <f>PEDIDOS!F74</f>
        <v>P</v>
      </c>
      <c r="F74" s="154" t="str">
        <f>PEDIDOS!M74</f>
        <v>M26065</v>
      </c>
      <c r="G74" s="155">
        <f>-PEDIDOS!B74+EXPEDICION!K74</f>
        <v>58</v>
      </c>
      <c r="H74" s="156">
        <f>EXPEDICION!I74</f>
        <v>1.012</v>
      </c>
    </row>
    <row r="75" ht="15.75" customHeight="1">
      <c r="A75" s="152">
        <f>PEDIDOS!B75</f>
        <v>46078</v>
      </c>
      <c r="B75" s="153" t="str">
        <f>PEDIDOS!C75</f>
        <v/>
      </c>
      <c r="C75" s="153" t="str">
        <f>PEDIDOS!D75</f>
        <v>OLANN</v>
      </c>
      <c r="D75" s="153" t="str">
        <f>PEDIDOS!E75</f>
        <v>BRUMA FACIAL</v>
      </c>
      <c r="E75" s="153" t="str">
        <f>PEDIDOS!F75</f>
        <v>P</v>
      </c>
      <c r="F75" s="154" t="str">
        <f>PEDIDOS!M75</f>
        <v>M26060</v>
      </c>
      <c r="G75" s="155">
        <f>-PEDIDOS!B75+EXPEDICION!K75</f>
        <v>58</v>
      </c>
      <c r="H75" s="156">
        <f>EXPEDICION!I75</f>
        <v>1.08</v>
      </c>
    </row>
    <row r="76" ht="15.75" customHeight="1">
      <c r="A76" s="152">
        <f>PEDIDOS!B76</f>
        <v>46078</v>
      </c>
      <c r="B76" s="153" t="str">
        <f>PEDIDOS!C76</f>
        <v/>
      </c>
      <c r="C76" s="153" t="str">
        <f>PEDIDOS!D76</f>
        <v>OLANN</v>
      </c>
      <c r="D76" s="153" t="str">
        <f>PEDIDOS!E76</f>
        <v>CREMA FACIAL DE DIA ULTRAHUMECTANTE</v>
      </c>
      <c r="E76" s="153" t="str">
        <f>PEDIDOS!F76</f>
        <v>P</v>
      </c>
      <c r="F76" s="154" t="str">
        <f>PEDIDOS!M76</f>
        <v>M26031</v>
      </c>
      <c r="G76" s="155">
        <f>-PEDIDOS!B76+EXPEDICION!K76</f>
        <v>40</v>
      </c>
      <c r="H76" s="156">
        <f>EXPEDICION!I76</f>
        <v>0.94</v>
      </c>
    </row>
    <row r="77" ht="15.75" customHeight="1">
      <c r="A77" s="152">
        <f>PEDIDOS!B77</f>
        <v>46078</v>
      </c>
      <c r="B77" s="153" t="str">
        <f>PEDIDOS!C77</f>
        <v/>
      </c>
      <c r="C77" s="153" t="str">
        <f>PEDIDOS!D77</f>
        <v>OLANN</v>
      </c>
      <c r="D77" s="153" t="str">
        <f>PEDIDOS!E77</f>
        <v>CREMA FACIAL DE NOCHE TENSORA</v>
      </c>
      <c r="E77" s="153" t="str">
        <f>PEDIDOS!F77</f>
        <v>P</v>
      </c>
      <c r="F77" s="154" t="str">
        <f>PEDIDOS!M77</f>
        <v>M26032</v>
      </c>
      <c r="G77" s="155">
        <f>-PEDIDOS!B77+EXPEDICION!K77</f>
        <v>40</v>
      </c>
      <c r="H77" s="156">
        <f>EXPEDICION!I77</f>
        <v>0.948</v>
      </c>
    </row>
    <row r="78" ht="15.75" customHeight="1">
      <c r="A78" s="152">
        <f>PEDIDOS!B78</f>
        <v>46078</v>
      </c>
      <c r="B78" s="153" t="str">
        <f>PEDIDOS!C78</f>
        <v/>
      </c>
      <c r="C78" s="153" t="str">
        <f>PEDIDOS!D78</f>
        <v>OLANN</v>
      </c>
      <c r="D78" s="153" t="str">
        <f>PEDIDOS!E78</f>
        <v>CONTORNO DE OJOS</v>
      </c>
      <c r="E78" s="153" t="str">
        <f>PEDIDOS!F78</f>
        <v>P</v>
      </c>
      <c r="F78" s="154" t="str">
        <f>PEDIDOS!M78</f>
        <v>M26033</v>
      </c>
      <c r="G78" s="155">
        <f>-PEDIDOS!B78+EXPEDICION!K78</f>
        <v>58</v>
      </c>
      <c r="H78" s="156">
        <f>EXPEDICION!I78</f>
        <v>1.04</v>
      </c>
    </row>
    <row r="79" ht="15.75" customHeight="1">
      <c r="A79" s="152">
        <f>PEDIDOS!B79</f>
        <v>46083</v>
      </c>
      <c r="B79" s="153" t="str">
        <f>PEDIDOS!C79</f>
        <v/>
      </c>
      <c r="C79" s="153" t="str">
        <f>PEDIDOS!D79</f>
        <v>ECODERM - AGUAZU</v>
      </c>
      <c r="D79" s="153" t="str">
        <f>PEDIDOS!E79</f>
        <v>ESPUMA DE BAÑO ADULTO</v>
      </c>
      <c r="E79" s="153" t="str">
        <f>PEDIDOS!F79</f>
        <v>M</v>
      </c>
      <c r="F79" s="154" t="str">
        <f>PEDIDOS!M79</f>
        <v>M26034</v>
      </c>
      <c r="G79" s="155">
        <f>-PEDIDOS!B79+EXPEDICION!K79</f>
        <v>16</v>
      </c>
      <c r="H79" s="156">
        <f>EXPEDICION!I79</f>
        <v>1</v>
      </c>
    </row>
    <row r="80" ht="15.75" customHeight="1">
      <c r="A80" s="152">
        <f>PEDIDOS!B80</f>
        <v>46083</v>
      </c>
      <c r="B80" s="153" t="str">
        <f>PEDIDOS!C80</f>
        <v/>
      </c>
      <c r="C80" s="153" t="str">
        <f>PEDIDOS!D80</f>
        <v>ECODERM - AGUAZU</v>
      </c>
      <c r="D80" s="153" t="str">
        <f>PEDIDOS!E80</f>
        <v>ESPUMA DE BAÑO BALLENA</v>
      </c>
      <c r="E80" s="153" t="str">
        <f>PEDIDOS!F80</f>
        <v>M</v>
      </c>
      <c r="F80" s="154" t="str">
        <f>PEDIDOS!M80</f>
        <v>M26034</v>
      </c>
      <c r="G80" s="155">
        <f>-PEDIDOS!B80+EXPEDICION!K80</f>
        <v>16</v>
      </c>
      <c r="H80" s="156">
        <f>EXPEDICION!I80</f>
        <v>0.98</v>
      </c>
    </row>
    <row r="81" ht="15.75" customHeight="1">
      <c r="A81" s="152">
        <f>PEDIDOS!B81</f>
        <v>46083</v>
      </c>
      <c r="B81" s="153" t="str">
        <f>PEDIDOS!C81</f>
        <v/>
      </c>
      <c r="C81" s="153" t="str">
        <f>PEDIDOS!D81</f>
        <v>ECODERM - AGUAZU</v>
      </c>
      <c r="D81" s="153" t="str">
        <f>PEDIDOS!E81</f>
        <v>ESPUMA DE BAÑO BALLENA X500</v>
      </c>
      <c r="E81" s="153" t="str">
        <f>PEDIDOS!F81</f>
        <v>M</v>
      </c>
      <c r="F81" s="154" t="str">
        <f>PEDIDOS!M81</f>
        <v>M26034</v>
      </c>
      <c r="G81" s="155">
        <f>-PEDIDOS!B81+EXPEDICION!K81</f>
        <v>16</v>
      </c>
      <c r="H81" s="156">
        <f>EXPEDICION!I81</f>
        <v>0.99</v>
      </c>
    </row>
    <row r="82" ht="15.75" customHeight="1">
      <c r="A82" s="152">
        <f>PEDIDOS!B82</f>
        <v>46083</v>
      </c>
      <c r="B82" s="153" t="str">
        <f>PEDIDOS!C82</f>
        <v/>
      </c>
      <c r="C82" s="153" t="str">
        <f>PEDIDOS!D82</f>
        <v>ECODERM - AGUAZU</v>
      </c>
      <c r="D82" s="153" t="str">
        <f>PEDIDOS!E82</f>
        <v>ESPUMA DE BAÑO ADULTO X500</v>
      </c>
      <c r="E82" s="153" t="str">
        <f>PEDIDOS!F82</f>
        <v>M</v>
      </c>
      <c r="F82" s="154" t="str">
        <f>PEDIDOS!M82</f>
        <v>M26034</v>
      </c>
      <c r="G82" s="155">
        <f>-PEDIDOS!B82+EXPEDICION!K82</f>
        <v>16</v>
      </c>
      <c r="H82" s="156">
        <f>EXPEDICION!I82</f>
        <v>0.99</v>
      </c>
    </row>
    <row r="83" ht="15.75" customHeight="1">
      <c r="A83" s="152">
        <f>PEDIDOS!B83</f>
        <v>46083</v>
      </c>
      <c r="B83" s="153" t="str">
        <f>PEDIDOS!C83</f>
        <v/>
      </c>
      <c r="C83" s="153" t="str">
        <f>PEDIDOS!D83</f>
        <v>ECODERM - AGUAZU</v>
      </c>
      <c r="D83" s="153" t="str">
        <f>PEDIDOS!E83</f>
        <v>BALSAMO HERBAL</v>
      </c>
      <c r="E83" s="153" t="str">
        <f>PEDIDOS!F83</f>
        <v>M</v>
      </c>
      <c r="F83" s="154" t="str">
        <f>PEDIDOS!M83</f>
        <v>M26044</v>
      </c>
      <c r="G83" s="155">
        <f>-PEDIDOS!B83+EXPEDICION!K83</f>
        <v>16</v>
      </c>
      <c r="H83" s="156">
        <f>EXPEDICION!I83</f>
        <v>0.94</v>
      </c>
    </row>
    <row r="84" ht="15.75" customHeight="1">
      <c r="A84" s="152">
        <f>PEDIDOS!B84</f>
        <v>46083</v>
      </c>
      <c r="B84" s="153" t="str">
        <f>PEDIDOS!C84</f>
        <v/>
      </c>
      <c r="C84" s="153" t="str">
        <f>PEDIDOS!D84</f>
        <v>ECODERM - DUGA</v>
      </c>
      <c r="D84" s="153" t="str">
        <f>PEDIDOS!E84</f>
        <v>ACONDICIONADOR INFANTIL</v>
      </c>
      <c r="E84" s="153" t="str">
        <f>PEDIDOS!F84</f>
        <v>P</v>
      </c>
      <c r="F84" s="154" t="str">
        <f>PEDIDOS!M84</f>
        <v>M26078</v>
      </c>
      <c r="G84" s="155">
        <f>-PEDIDOS!B84+EXPEDICION!K84</f>
        <v>24</v>
      </c>
      <c r="H84" s="156">
        <f>EXPEDICION!I84</f>
        <v>0.9333333333</v>
      </c>
    </row>
    <row r="85" ht="15.75" customHeight="1">
      <c r="A85" s="152">
        <f>PEDIDOS!B85</f>
        <v>46083</v>
      </c>
      <c r="B85" s="153">
        <f>PEDIDOS!C85</f>
        <v>15134</v>
      </c>
      <c r="C85" s="153" t="str">
        <f>PEDIDOS!D85</f>
        <v>THELMA Y LOUISE</v>
      </c>
      <c r="D85" s="153" t="str">
        <f>PEDIDOS!E85</f>
        <v>ALCOHOL EN GEL SANDIA FARMACITY KIDS</v>
      </c>
      <c r="E85" s="153" t="str">
        <f>PEDIDOS!F85</f>
        <v>M</v>
      </c>
      <c r="F85" s="154" t="str">
        <f>PEDIDOS!M85</f>
        <v/>
      </c>
      <c r="G85" s="155">
        <f>-PEDIDOS!B85+EXPEDICION!K85</f>
        <v>11</v>
      </c>
      <c r="H85" s="156">
        <f>EXPEDICION!I85</f>
        <v>0.985</v>
      </c>
    </row>
    <row r="86" ht="15.75" customHeight="1">
      <c r="A86" s="152">
        <f>PEDIDOS!B86</f>
        <v>46083</v>
      </c>
      <c r="B86" s="153">
        <f>PEDIDOS!C86</f>
        <v>15134</v>
      </c>
      <c r="C86" s="153" t="str">
        <f>PEDIDOS!D86</f>
        <v>THELMA Y LOUISE</v>
      </c>
      <c r="D86" s="153" t="str">
        <f>PEDIDOS!E86</f>
        <v>ALCOHOL EN GEL CHICLE FARMACITY KIDS</v>
      </c>
      <c r="E86" s="153" t="str">
        <f>PEDIDOS!F86</f>
        <v>M</v>
      </c>
      <c r="F86" s="154">
        <f>PEDIDOS!M86</f>
        <v>120302</v>
      </c>
      <c r="G86" s="155">
        <f>-PEDIDOS!B86+EXPEDICION!K86</f>
        <v>15</v>
      </c>
      <c r="H86" s="156">
        <f>EXPEDICION!I86</f>
        <v>0.9663333333</v>
      </c>
    </row>
    <row r="87" ht="15.75" customHeight="1">
      <c r="A87" s="152">
        <f>PEDIDOS!B87</f>
        <v>46083</v>
      </c>
      <c r="B87" s="153">
        <f>PEDIDOS!C87</f>
        <v>15133</v>
      </c>
      <c r="C87" s="153" t="str">
        <f>PEDIDOS!D87</f>
        <v>THELMA Y LOUISE</v>
      </c>
      <c r="D87" s="153" t="str">
        <f>PEDIDOS!E87</f>
        <v>ALCOHOL EN GEL CHICLE TYL</v>
      </c>
      <c r="E87" s="153" t="str">
        <f>PEDIDOS!F87</f>
        <v>M</v>
      </c>
      <c r="F87" s="154">
        <f>PEDIDOS!M87</f>
        <v>160303</v>
      </c>
      <c r="G87" s="155">
        <f>-PEDIDOS!B87+EXPEDICION!K87</f>
        <v>18</v>
      </c>
      <c r="H87" s="156">
        <f>EXPEDICION!I87</f>
        <v>0.9945</v>
      </c>
    </row>
    <row r="88" ht="15.75" customHeight="1">
      <c r="A88" s="152">
        <f>PEDIDOS!B88</f>
        <v>46083</v>
      </c>
      <c r="B88" s="153">
        <f>PEDIDOS!C88</f>
        <v>15133</v>
      </c>
      <c r="C88" s="153" t="str">
        <f>PEDIDOS!D88</f>
        <v>THELMA Y LOUISE</v>
      </c>
      <c r="D88" s="153" t="str">
        <f>PEDIDOS!E88</f>
        <v>ALCOHOL EN GEL FRUTOS ROJOS TYL</v>
      </c>
      <c r="E88" s="153" t="str">
        <f>PEDIDOS!F88</f>
        <v>M</v>
      </c>
      <c r="F88" s="154" t="str">
        <f>PEDIDOS!M88</f>
        <v/>
      </c>
      <c r="G88" s="155">
        <f>-PEDIDOS!B88+EXPEDICION!K88</f>
        <v>10</v>
      </c>
      <c r="H88" s="156">
        <f>EXPEDICION!I88</f>
        <v>0.9645</v>
      </c>
    </row>
    <row r="89" ht="15.75" customHeight="1">
      <c r="A89" s="152">
        <f>PEDIDOS!B89</f>
        <v>46083</v>
      </c>
      <c r="B89" s="153">
        <f>PEDIDOS!C89</f>
        <v>15133</v>
      </c>
      <c r="C89" s="153" t="str">
        <f>PEDIDOS!D89</f>
        <v>THELMA Y LOUISE</v>
      </c>
      <c r="D89" s="153" t="str">
        <f>PEDIDOS!E89</f>
        <v>ALCOHOL EN GEL DURAZNO TYL</v>
      </c>
      <c r="E89" s="153" t="str">
        <f>PEDIDOS!F89</f>
        <v>M</v>
      </c>
      <c r="F89" s="154" t="str">
        <f>PEDIDOS!M89</f>
        <v/>
      </c>
      <c r="G89" s="155">
        <f>-PEDIDOS!B89+EXPEDICION!K89</f>
        <v>18</v>
      </c>
      <c r="H89" s="156">
        <f>EXPEDICION!I89</f>
        <v>0.965</v>
      </c>
    </row>
    <row r="90" ht="15.75" customHeight="1">
      <c r="A90" s="152">
        <f>PEDIDOS!B90</f>
        <v>46083</v>
      </c>
      <c r="B90" s="153">
        <f>PEDIDOS!C90</f>
        <v>15133</v>
      </c>
      <c r="C90" s="153" t="str">
        <f>PEDIDOS!D90</f>
        <v>THELMA Y LOUISE</v>
      </c>
      <c r="D90" s="153" t="str">
        <f>PEDIDOS!E90</f>
        <v>ALCOHOL EN GEL COCO TYL</v>
      </c>
      <c r="E90" s="153" t="str">
        <f>PEDIDOS!F90</f>
        <v>M</v>
      </c>
      <c r="F90" s="154" t="str">
        <f>PEDIDOS!M90</f>
        <v/>
      </c>
      <c r="G90" s="155">
        <f>-PEDIDOS!B90+EXPEDICION!K90</f>
        <v>18</v>
      </c>
      <c r="H90" s="156">
        <f>EXPEDICION!I90</f>
        <v>1.1345</v>
      </c>
    </row>
    <row r="91" ht="15.75" customHeight="1">
      <c r="A91" s="152">
        <f>PEDIDOS!B91</f>
        <v>46083</v>
      </c>
      <c r="B91" s="153">
        <f>PEDIDOS!C91</f>
        <v>15133</v>
      </c>
      <c r="C91" s="153" t="str">
        <f>PEDIDOS!D91</f>
        <v>THELMA Y LOUISE</v>
      </c>
      <c r="D91" s="153" t="str">
        <f>PEDIDOS!E91</f>
        <v>ALCOHOL EN GEL VAINILLA TYL</v>
      </c>
      <c r="E91" s="153" t="str">
        <f>PEDIDOS!F91</f>
        <v>M</v>
      </c>
      <c r="F91" s="154" t="str">
        <f>PEDIDOS!M91</f>
        <v/>
      </c>
      <c r="G91" s="155">
        <f>-PEDIDOS!B91+EXPEDICION!K91</f>
        <v>18</v>
      </c>
      <c r="H91" s="156">
        <f>EXPEDICION!I91</f>
        <v>0.9915</v>
      </c>
    </row>
    <row r="92" ht="15.75" customHeight="1">
      <c r="A92" s="152">
        <f>PEDIDOS!B92</f>
        <v>46083</v>
      </c>
      <c r="B92" s="153" t="str">
        <f>PEDIDOS!C92</f>
        <v/>
      </c>
      <c r="C92" s="153" t="str">
        <f>PEDIDOS!D92</f>
        <v>DERMION / FRANCO</v>
      </c>
      <c r="D92" s="153" t="str">
        <f>PEDIDOS!E92</f>
        <v>SERUM NIACINAMIDA</v>
      </c>
      <c r="E92" s="153" t="str">
        <f>PEDIDOS!F92</f>
        <v>P</v>
      </c>
      <c r="F92" s="154" t="str">
        <f>PEDIDOS!M92</f>
        <v>M26010</v>
      </c>
      <c r="G92" s="155">
        <f>-PEDIDOS!B92+EXPEDICION!K92</f>
        <v>2</v>
      </c>
      <c r="H92" s="156">
        <f>EXPEDICION!I92</f>
        <v>1.01</v>
      </c>
    </row>
    <row r="93" ht="15.75" customHeight="1">
      <c r="A93" s="152">
        <f>PEDIDOS!B93</f>
        <v>46083</v>
      </c>
      <c r="B93" s="153" t="str">
        <f>PEDIDOS!C93</f>
        <v/>
      </c>
      <c r="C93" s="153" t="str">
        <f>PEDIDOS!D93</f>
        <v>THE GLOW FACTOR</v>
      </c>
      <c r="D93" s="153" t="str">
        <f>PEDIDOS!E93</f>
        <v>CREMA CLARITÉ</v>
      </c>
      <c r="E93" s="153" t="str">
        <f>PEDIDOS!F93</f>
        <v>P</v>
      </c>
      <c r="F93" s="154" t="str">
        <f>PEDIDOS!M93</f>
        <v>M26025</v>
      </c>
      <c r="G93" s="155">
        <f>-PEDIDOS!B93+EXPEDICION!K93</f>
        <v>15</v>
      </c>
      <c r="H93" s="156">
        <f>EXPEDICION!I93</f>
        <v>1.046</v>
      </c>
    </row>
    <row r="94" ht="15.75" customHeight="1">
      <c r="A94" s="152">
        <f>PEDIDOS!B94</f>
        <v>46086</v>
      </c>
      <c r="B94" s="153">
        <f>PEDIDOS!C94</f>
        <v>777</v>
      </c>
      <c r="C94" s="153" t="str">
        <f>PEDIDOS!D94</f>
        <v>CAV</v>
      </c>
      <c r="D94" s="153" t="str">
        <f>PEDIDOS!E94</f>
        <v>SHAMPOO MAXLISS X400ML</v>
      </c>
      <c r="E94" s="153" t="str">
        <f>PEDIDOS!F94</f>
        <v>M</v>
      </c>
      <c r="F94" s="154" t="str">
        <f>PEDIDOS!M94</f>
        <v>M26038</v>
      </c>
      <c r="G94" s="155">
        <f>-PEDIDOS!B94+EXPEDICION!K94</f>
        <v>11</v>
      </c>
      <c r="H94" s="156">
        <f>EXPEDICION!I94</f>
        <v>1.005</v>
      </c>
    </row>
    <row r="95" ht="15.75" customHeight="1">
      <c r="A95" s="152">
        <f>PEDIDOS!B95</f>
        <v>46086</v>
      </c>
      <c r="B95" s="153">
        <f>PEDIDOS!C95</f>
        <v>777</v>
      </c>
      <c r="C95" s="153" t="str">
        <f>PEDIDOS!D95</f>
        <v>CAV</v>
      </c>
      <c r="D95" s="153" t="str">
        <f>PEDIDOS!E95</f>
        <v>CONDITIONER MAXLISS X400G</v>
      </c>
      <c r="E95" s="153" t="str">
        <f>PEDIDOS!F95</f>
        <v>M</v>
      </c>
      <c r="F95" s="154" t="str">
        <f>PEDIDOS!M95</f>
        <v>M26039</v>
      </c>
      <c r="G95" s="155">
        <f>-PEDIDOS!B95+EXPEDICION!K95</f>
        <v>15</v>
      </c>
      <c r="H95" s="156">
        <f>EXPEDICION!I95</f>
        <v>1.06</v>
      </c>
    </row>
    <row r="96" ht="15.75" customHeight="1">
      <c r="A96" s="152">
        <f>PEDIDOS!B96</f>
        <v>46086</v>
      </c>
      <c r="B96" s="153">
        <f>PEDIDOS!C96</f>
        <v>777</v>
      </c>
      <c r="C96" s="153" t="str">
        <f>PEDIDOS!D96</f>
        <v>CAV</v>
      </c>
      <c r="D96" s="153" t="str">
        <f>PEDIDOS!E96</f>
        <v>VITAMIN SHOCK X150G</v>
      </c>
      <c r="E96" s="153" t="str">
        <f>PEDIDOS!F96</f>
        <v>P</v>
      </c>
      <c r="F96" s="154" t="str">
        <f>PEDIDOS!M96</f>
        <v>M26066</v>
      </c>
      <c r="G96" s="155">
        <f>-PEDIDOS!B96+EXPEDICION!K96</f>
        <v>26</v>
      </c>
      <c r="H96" s="156">
        <f>EXPEDICION!I96</f>
        <v>0.9642857143</v>
      </c>
    </row>
    <row r="97" ht="15.75" customHeight="1">
      <c r="A97" s="152">
        <f>PEDIDOS!B97</f>
        <v>46086</v>
      </c>
      <c r="B97" s="153">
        <f>PEDIDOS!C97</f>
        <v>1080</v>
      </c>
      <c r="C97" s="153" t="str">
        <f>PEDIDOS!D97</f>
        <v>NIZA</v>
      </c>
      <c r="D97" s="153" t="str">
        <f>PEDIDOS!E97</f>
        <v>CLEAR ACNE LOTION</v>
      </c>
      <c r="E97" s="153" t="str">
        <f>PEDIDOS!F97</f>
        <v>P</v>
      </c>
      <c r="F97" s="154" t="str">
        <f>PEDIDOS!M97</f>
        <v>M26085</v>
      </c>
      <c r="G97" s="155">
        <f>-PEDIDOS!B97+EXPEDICION!K97</f>
        <v>27</v>
      </c>
      <c r="H97" s="156">
        <f>EXPEDICION!I97</f>
        <v>1</v>
      </c>
    </row>
    <row r="98" ht="15.75" customHeight="1">
      <c r="A98" s="152">
        <f>PEDIDOS!B98</f>
        <v>46086</v>
      </c>
      <c r="B98" s="153">
        <f>PEDIDOS!C98</f>
        <v>1080</v>
      </c>
      <c r="C98" s="153" t="str">
        <f>PEDIDOS!D98</f>
        <v>NIZA</v>
      </c>
      <c r="D98" s="153" t="str">
        <f>PEDIDOS!E98</f>
        <v>SIGNATURE AGE REVERSE</v>
      </c>
      <c r="E98" s="153" t="str">
        <f>PEDIDOS!F98</f>
        <v>P</v>
      </c>
      <c r="F98" s="154" t="str">
        <f>PEDIDOS!M98</f>
        <v>M26086</v>
      </c>
      <c r="G98" s="155">
        <f>-PEDIDOS!B98+EXPEDICION!K98</f>
        <v>27</v>
      </c>
      <c r="H98" s="156">
        <f>EXPEDICION!I98</f>
        <v>1.05</v>
      </c>
    </row>
    <row r="99" ht="15.75" customHeight="1">
      <c r="A99" s="152">
        <f>PEDIDOS!B99</f>
        <v>46086</v>
      </c>
      <c r="B99" s="153" t="str">
        <f>PEDIDOS!C99</f>
        <v/>
      </c>
      <c r="C99" s="153" t="str">
        <f>PEDIDOS!D99</f>
        <v>THE CURIOUS SKIN</v>
      </c>
      <c r="D99" s="153" t="str">
        <f>PEDIDOS!E99</f>
        <v>SERUM  BOOSTER Telangyn </v>
      </c>
      <c r="E99" s="153" t="str">
        <f>PEDIDOS!F99</f>
        <v>P</v>
      </c>
      <c r="F99" s="154" t="str">
        <f>PEDIDOS!M99</f>
        <v>Y26046</v>
      </c>
      <c r="G99" s="155">
        <f>-PEDIDOS!B99+EXPEDICION!K99</f>
        <v>85</v>
      </c>
      <c r="H99" s="156">
        <f>EXPEDICION!I99</f>
        <v>1.004</v>
      </c>
    </row>
    <row r="100" ht="15.75" customHeight="1">
      <c r="A100" s="152">
        <f>PEDIDOS!B100</f>
        <v>46086</v>
      </c>
      <c r="B100" s="153" t="str">
        <f>PEDIDOS!C100</f>
        <v/>
      </c>
      <c r="C100" s="153" t="str">
        <f>PEDIDOS!D100</f>
        <v>THE CURIOUS SKIN</v>
      </c>
      <c r="D100" s="153" t="str">
        <f>PEDIDOS!E100</f>
        <v>CARROT OIL</v>
      </c>
      <c r="E100" s="153" t="str">
        <f>PEDIDOS!F100</f>
        <v>P</v>
      </c>
      <c r="F100" s="154" t="str">
        <f>PEDIDOS!M100</f>
        <v>Y26047</v>
      </c>
      <c r="G100" s="155">
        <f>-PEDIDOS!B100+EXPEDICION!K100</f>
        <v>85</v>
      </c>
      <c r="H100" s="156">
        <f>EXPEDICION!I100</f>
        <v>1.004</v>
      </c>
    </row>
    <row r="101" ht="15.75" customHeight="1">
      <c r="A101" s="152">
        <f>PEDIDOS!B101</f>
        <v>46087</v>
      </c>
      <c r="B101" s="153" t="str">
        <f>PEDIDOS!C101</f>
        <v/>
      </c>
      <c r="C101" s="153" t="str">
        <f>PEDIDOS!D101</f>
        <v>WSABI</v>
      </c>
      <c r="D101" s="153" t="str">
        <f>PEDIDOS!E101</f>
        <v>CREMA HIDTANATE LIGERA</v>
      </c>
      <c r="E101" s="153" t="str">
        <f>PEDIDOS!F101</f>
        <v>P</v>
      </c>
      <c r="F101" s="154" t="str">
        <f>PEDIDOS!M101</f>
        <v>M26064</v>
      </c>
      <c r="G101" s="155">
        <f>-PEDIDOS!B101+EXPEDICION!K101</f>
        <v>32</v>
      </c>
      <c r="H101" s="156">
        <f>EXPEDICION!I101</f>
        <v>0.944</v>
      </c>
    </row>
    <row r="102" ht="15.75" customHeight="1">
      <c r="A102" s="152">
        <f>PEDIDOS!B102</f>
        <v>46087</v>
      </c>
      <c r="B102" s="153">
        <f>PEDIDOS!C102</f>
        <v>1594</v>
      </c>
      <c r="C102" s="153" t="str">
        <f>PEDIDOS!D102</f>
        <v>NE</v>
      </c>
      <c r="D102" s="153" t="str">
        <f>PEDIDOS!E102</f>
        <v>BRUMA FACIAL</v>
      </c>
      <c r="E102" s="153" t="str">
        <f>PEDIDOS!F102</f>
        <v>P</v>
      </c>
      <c r="F102" s="154" t="str">
        <f>PEDIDOS!M102</f>
        <v>M26035</v>
      </c>
      <c r="G102" s="155">
        <f>-PEDIDOS!B102+EXPEDICION!K102</f>
        <v>14</v>
      </c>
      <c r="H102" s="156">
        <f>EXPEDICION!I102</f>
        <v>0.894</v>
      </c>
    </row>
    <row r="103" ht="15.75" customHeight="1">
      <c r="A103" s="152">
        <f>PEDIDOS!B103</f>
        <v>46087</v>
      </c>
      <c r="B103" s="153">
        <f>PEDIDOS!C103</f>
        <v>1594</v>
      </c>
      <c r="C103" s="153" t="str">
        <f>PEDIDOS!D103</f>
        <v>NE</v>
      </c>
      <c r="D103" s="153" t="str">
        <f>PEDIDOS!E103</f>
        <v>CREMA CORPORAL</v>
      </c>
      <c r="E103" s="153" t="str">
        <f>PEDIDOS!F103</f>
        <v>P</v>
      </c>
      <c r="F103" s="154" t="str">
        <f>PEDIDOS!M103</f>
        <v>M26068</v>
      </c>
      <c r="G103" s="155">
        <f>-PEDIDOS!B103+EXPEDICION!K103</f>
        <v>14</v>
      </c>
      <c r="H103" s="156">
        <f>EXPEDICION!I103</f>
        <v>0.596</v>
      </c>
    </row>
    <row r="104" ht="15.75" customHeight="1">
      <c r="A104" s="152">
        <f>PEDIDOS!B104</f>
        <v>46087</v>
      </c>
      <c r="B104" s="153">
        <f>PEDIDOS!C104</f>
        <v>1597</v>
      </c>
      <c r="C104" s="153" t="str">
        <f>PEDIDOS!D104</f>
        <v>NE</v>
      </c>
      <c r="D104" s="153" t="str">
        <f>PEDIDOS!E104</f>
        <v>CREMA FACIAL NOCHE</v>
      </c>
      <c r="E104" s="153" t="str">
        <f>PEDIDOS!F104</f>
        <v>P</v>
      </c>
      <c r="F104" s="154" t="str">
        <f>PEDIDOS!M104</f>
        <v>M26036</v>
      </c>
      <c r="G104" s="155">
        <f>-PEDIDOS!B104+EXPEDICION!K104</f>
        <v>14</v>
      </c>
      <c r="H104" s="156">
        <f>EXPEDICION!I104</f>
        <v>0.992</v>
      </c>
    </row>
    <row r="105" ht="15.75" customHeight="1">
      <c r="A105" s="152">
        <f>PEDIDOS!B105</f>
        <v>46087</v>
      </c>
      <c r="B105" s="153">
        <f>PEDIDOS!C105</f>
        <v>140</v>
      </c>
      <c r="C105" s="153" t="str">
        <f>PEDIDOS!D105</f>
        <v>ICONO</v>
      </c>
      <c r="D105" s="153" t="str">
        <f>PEDIDOS!E105</f>
        <v>MASCARA DESINCRUSTANTE DE PAPAYA x 250GR.</v>
      </c>
      <c r="E105" s="153" t="str">
        <f>PEDIDOS!F105</f>
        <v>M</v>
      </c>
      <c r="F105" s="154" t="str">
        <f>PEDIDOS!M105</f>
        <v>M26079</v>
      </c>
      <c r="G105" s="155">
        <f>-PEDIDOS!B105+EXPEDICION!K105</f>
        <v>21</v>
      </c>
      <c r="H105" s="156">
        <f>EXPEDICION!I105</f>
        <v>1.034333333</v>
      </c>
    </row>
    <row r="106" ht="15.75" customHeight="1">
      <c r="A106" s="152">
        <f>PEDIDOS!B106</f>
        <v>46087</v>
      </c>
      <c r="B106" s="153">
        <f>PEDIDOS!C106</f>
        <v>140</v>
      </c>
      <c r="C106" s="153" t="str">
        <f>PEDIDOS!D106</f>
        <v>ICONO</v>
      </c>
      <c r="D106" s="153" t="str">
        <f>PEDIDOS!E106</f>
        <v>CREMA EFECTO TENSOR x 50GR.</v>
      </c>
      <c r="E106" s="153" t="str">
        <f>PEDIDOS!F106</f>
        <v>P</v>
      </c>
      <c r="F106" s="154" t="str">
        <f>PEDIDOS!M106</f>
        <v>M26067</v>
      </c>
      <c r="G106" s="155">
        <f>-PEDIDOS!B106+EXPEDICION!K106</f>
        <v>21</v>
      </c>
      <c r="H106" s="156">
        <f>EXPEDICION!I106</f>
        <v>0.99</v>
      </c>
    </row>
    <row r="107" ht="15.75" customHeight="1">
      <c r="A107" s="152">
        <f>PEDIDOS!B107</f>
        <v>46090</v>
      </c>
      <c r="B107" s="153" t="str">
        <f>PEDIDOS!C107</f>
        <v>15170/15169</v>
      </c>
      <c r="C107" s="153" t="str">
        <f>PEDIDOS!D107</f>
        <v>THELMA Y LOUISE</v>
      </c>
      <c r="D107" s="153" t="str">
        <f>PEDIDOS!E107</f>
        <v>ALCOHOL EN GEL CHICLE FRUTILLA</v>
      </c>
      <c r="E107" s="153" t="str">
        <f>PEDIDOS!F107</f>
        <v>M</v>
      </c>
      <c r="F107" s="154" t="str">
        <f>PEDIDOS!M107</f>
        <v/>
      </c>
      <c r="G107" s="155">
        <f>-PEDIDOS!B107+EXPEDICION!K107</f>
        <v>21</v>
      </c>
      <c r="H107" s="156">
        <f>EXPEDICION!I107</f>
        <v>0.9335</v>
      </c>
    </row>
    <row r="108" ht="15.75" customHeight="1">
      <c r="A108" s="152">
        <f>PEDIDOS!B108</f>
        <v>46090</v>
      </c>
      <c r="B108" s="153" t="str">
        <f>PEDIDOS!C108</f>
        <v>15170/15169</v>
      </c>
      <c r="C108" s="153" t="str">
        <f>PEDIDOS!D108</f>
        <v>THELMA Y LOUISE</v>
      </c>
      <c r="D108" s="153" t="str">
        <f>PEDIDOS!E108</f>
        <v>ALCOHOL EN GEL CHERRY</v>
      </c>
      <c r="E108" s="153" t="str">
        <f>PEDIDOS!F108</f>
        <v>M</v>
      </c>
      <c r="F108" s="154" t="str">
        <f>PEDIDOS!M108</f>
        <v/>
      </c>
      <c r="G108" s="155">
        <f>-PEDIDOS!B108+EXPEDICION!K108</f>
        <v>21</v>
      </c>
      <c r="H108" s="156">
        <f>EXPEDICION!I108</f>
        <v>0.7776</v>
      </c>
    </row>
    <row r="109" ht="15.75" customHeight="1">
      <c r="A109" s="152">
        <f>PEDIDOS!B109</f>
        <v>46090</v>
      </c>
      <c r="B109" s="153">
        <f>PEDIDOS!C109</f>
        <v>15170</v>
      </c>
      <c r="C109" s="153" t="str">
        <f>PEDIDOS!D109</f>
        <v>THELMA Y LOUISE</v>
      </c>
      <c r="D109" s="153" t="str">
        <f>PEDIDOS!E109</f>
        <v>ALCOHOL EN GEL CAPUCHINO - esencia vany love</v>
      </c>
      <c r="E109" s="153" t="str">
        <f>PEDIDOS!F109</f>
        <v>M</v>
      </c>
      <c r="F109" s="154" t="str">
        <f>PEDIDOS!M109</f>
        <v/>
      </c>
      <c r="G109" s="155">
        <f>-PEDIDOS!B109+EXPEDICION!K109</f>
        <v>35</v>
      </c>
      <c r="H109" s="156">
        <f>EXPEDICION!I109</f>
        <v>1.001</v>
      </c>
    </row>
    <row r="110" ht="15.75" customHeight="1">
      <c r="A110" s="152">
        <f>PEDIDOS!B110</f>
        <v>46090</v>
      </c>
      <c r="B110" s="153">
        <f>PEDIDOS!C110</f>
        <v>15170</v>
      </c>
      <c r="C110" s="153" t="str">
        <f>PEDIDOS!D110</f>
        <v>THELMA Y LOUISE</v>
      </c>
      <c r="D110" s="153" t="str">
        <f>PEDIDOS!E110</f>
        <v>ALCOHOL EN GL NEUTRO PERRO SALCHICHA</v>
      </c>
      <c r="E110" s="153" t="str">
        <f>PEDIDOS!F110</f>
        <v>M</v>
      </c>
      <c r="F110" s="154" t="str">
        <f>PEDIDOS!M110</f>
        <v/>
      </c>
      <c r="G110" s="155">
        <f>-PEDIDOS!B110+EXPEDICION!K110</f>
        <v>29</v>
      </c>
      <c r="H110" s="156">
        <f>EXPEDICION!I110</f>
        <v>1.008</v>
      </c>
    </row>
    <row r="111" ht="15.75" customHeight="1">
      <c r="A111" s="152">
        <f>PEDIDOS!B111</f>
        <v>46090</v>
      </c>
      <c r="B111" s="153" t="str">
        <f>PEDIDOS!C111</f>
        <v/>
      </c>
      <c r="C111" s="153" t="str">
        <f>PEDIDOS!D111</f>
        <v>PROFESSIONAL BEAUTY</v>
      </c>
      <c r="D111" s="153" t="str">
        <f>PEDIDOS!E111</f>
        <v>ADVANCE ACIDO HIALURONICO 1%</v>
      </c>
      <c r="E111" s="153" t="str">
        <f>PEDIDOS!F111</f>
        <v>P</v>
      </c>
      <c r="F111" s="154" t="str">
        <f>PEDIDOS!M111</f>
        <v>M26073</v>
      </c>
      <c r="G111" s="155">
        <f>-PEDIDOS!B111+EXPEDICION!K111</f>
        <v>17</v>
      </c>
      <c r="H111" s="156">
        <f>EXPEDICION!I111</f>
        <v>0.964</v>
      </c>
    </row>
    <row r="112" ht="15.75" customHeight="1">
      <c r="A112" s="152">
        <f>PEDIDOS!B112</f>
        <v>46090</v>
      </c>
      <c r="B112" s="153" t="str">
        <f>PEDIDOS!C112</f>
        <v/>
      </c>
      <c r="C112" s="153" t="str">
        <f>PEDIDOS!D112</f>
        <v>PROFESSIONAL BEAUTY</v>
      </c>
      <c r="D112" s="153" t="str">
        <f>PEDIDOS!E112</f>
        <v>ADVANCE SILICIO+ OLIGOELEMENTOS</v>
      </c>
      <c r="E112" s="153" t="str">
        <f>PEDIDOS!F112</f>
        <v>P</v>
      </c>
      <c r="F112" s="154" t="str">
        <f>PEDIDOS!M112</f>
        <v>M26074</v>
      </c>
      <c r="G112" s="155">
        <f>-PEDIDOS!B112+EXPEDICION!K112</f>
        <v>21</v>
      </c>
      <c r="H112" s="156">
        <f>EXPEDICION!I112</f>
        <v>0.992</v>
      </c>
    </row>
    <row r="113" ht="15.75" customHeight="1">
      <c r="A113" s="152">
        <f>PEDIDOS!B113</f>
        <v>46090</v>
      </c>
      <c r="B113" s="153" t="str">
        <f>PEDIDOS!C113</f>
        <v/>
      </c>
      <c r="C113" s="153" t="str">
        <f>PEDIDOS!D113</f>
        <v>PROFESSIONAL BEAUTY</v>
      </c>
      <c r="D113" s="153" t="str">
        <f>PEDIDOS!E113</f>
        <v>ADVANCE VIT C</v>
      </c>
      <c r="E113" s="153" t="str">
        <f>PEDIDOS!F113</f>
        <v>P</v>
      </c>
      <c r="F113" s="154" t="str">
        <f>PEDIDOS!M113</f>
        <v>M26075</v>
      </c>
      <c r="G113" s="155">
        <f>-PEDIDOS!B113+EXPEDICION!K113</f>
        <v>21</v>
      </c>
      <c r="H113" s="156">
        <f>EXPEDICION!I113</f>
        <v>1</v>
      </c>
    </row>
    <row r="114" ht="15.75" customHeight="1">
      <c r="A114" s="152">
        <f>PEDIDOS!B114</f>
        <v>46090</v>
      </c>
      <c r="B114" s="153" t="str">
        <f>PEDIDOS!C114</f>
        <v/>
      </c>
      <c r="C114" s="153" t="str">
        <f>PEDIDOS!D114</f>
        <v>PROFESSIONAL BEAUTY</v>
      </c>
      <c r="D114" s="153" t="str">
        <f>PEDIDOS!E114</f>
        <v>ADVANCE CONTROL CAIDA</v>
      </c>
      <c r="E114" s="153" t="str">
        <f>PEDIDOS!F114</f>
        <v>P</v>
      </c>
      <c r="F114" s="154" t="str">
        <f>PEDIDOS!M114</f>
        <v>M26076</v>
      </c>
      <c r="G114" s="155">
        <f>-PEDIDOS!B114+EXPEDICION!K114</f>
        <v>21</v>
      </c>
      <c r="H114" s="156">
        <f>EXPEDICION!I114</f>
        <v>1</v>
      </c>
    </row>
    <row r="115" ht="15.75" customHeight="1">
      <c r="A115" s="152">
        <f>PEDIDOS!B115</f>
        <v>46090</v>
      </c>
      <c r="B115" s="153" t="str">
        <f>PEDIDOS!C115</f>
        <v/>
      </c>
      <c r="C115" s="153" t="str">
        <f>PEDIDOS!D115</f>
        <v>PROFESSIONAL BEAUTY</v>
      </c>
      <c r="D115" s="153" t="str">
        <f>PEDIDOS!E115</f>
        <v>ADVANCE DMAE 7%</v>
      </c>
      <c r="E115" s="153" t="str">
        <f>PEDIDOS!F115</f>
        <v>P</v>
      </c>
      <c r="F115" s="154" t="str">
        <f>PEDIDOS!M115</f>
        <v>M26077</v>
      </c>
      <c r="G115" s="155">
        <f>-PEDIDOS!B115+EXPEDICION!K115</f>
        <v>21</v>
      </c>
      <c r="H115" s="156">
        <f>EXPEDICION!I115</f>
        <v>1.002</v>
      </c>
    </row>
    <row r="116" ht="15.75" customHeight="1">
      <c r="A116" s="152">
        <f>PEDIDOS!B116</f>
        <v>46090</v>
      </c>
      <c r="B116" s="153">
        <f>PEDIDOS!C116</f>
        <v>14348</v>
      </c>
      <c r="C116" s="153" t="str">
        <f>PEDIDOS!D116</f>
        <v>JACTANS</v>
      </c>
      <c r="D116" s="153" t="str">
        <f>PEDIDOS!E116</f>
        <v>Agua Micelar JS-693</v>
      </c>
      <c r="E116" s="153" t="str">
        <f>PEDIDOS!F116</f>
        <v>M</v>
      </c>
      <c r="F116" s="154" t="str">
        <f>PEDIDOS!M116</f>
        <v>M26071</v>
      </c>
      <c r="G116" s="155">
        <f>-PEDIDOS!B116+EXPEDICION!K116</f>
        <v>18</v>
      </c>
      <c r="H116" s="156">
        <f>EXPEDICION!I116</f>
        <v>1.028</v>
      </c>
    </row>
    <row r="117" ht="15.75" customHeight="1">
      <c r="A117" s="152">
        <f>PEDIDOS!B117</f>
        <v>46090</v>
      </c>
      <c r="B117" s="153">
        <f>PEDIDOS!C117</f>
        <v>14348</v>
      </c>
      <c r="C117" s="153" t="str">
        <f>PEDIDOS!D117</f>
        <v>JACTANS</v>
      </c>
      <c r="D117" s="153" t="str">
        <f>PEDIDOS!E117</f>
        <v>Bruma Fijadora Facial JS-736</v>
      </c>
      <c r="E117" s="153" t="str">
        <f>PEDIDOS!F117</f>
        <v>M</v>
      </c>
      <c r="F117" s="154" t="str">
        <f>PEDIDOS!M117</f>
        <v>M26072</v>
      </c>
      <c r="G117" s="155">
        <f>-PEDIDOS!B117+EXPEDICION!K117</f>
        <v>18</v>
      </c>
      <c r="H117" s="156">
        <f>EXPEDICION!I117</f>
        <v>1.2385</v>
      </c>
    </row>
    <row r="118" ht="15.75" customHeight="1">
      <c r="A118" s="152">
        <f>PEDIDOS!B118</f>
        <v>46090</v>
      </c>
      <c r="B118" s="153">
        <f>PEDIDOS!C118</f>
        <v>14348</v>
      </c>
      <c r="C118" s="153" t="str">
        <f>PEDIDOS!D118</f>
        <v>JACTANS</v>
      </c>
      <c r="D118" s="153" t="str">
        <f>PEDIDOS!E118</f>
        <v>Agua Micelar Bifasica x 105ml JS-941</v>
      </c>
      <c r="E118" s="153" t="str">
        <f>PEDIDOS!F118</f>
        <v>M</v>
      </c>
      <c r="F118" s="154" t="str">
        <f>PEDIDOS!M118</f>
        <v>M26070</v>
      </c>
      <c r="G118" s="155">
        <f>-PEDIDOS!B118+EXPEDICION!K118</f>
        <v>22</v>
      </c>
      <c r="H118" s="156">
        <f>EXPEDICION!I118</f>
        <v>1.018</v>
      </c>
    </row>
    <row r="119" ht="15.75" customHeight="1">
      <c r="A119" s="152">
        <f>PEDIDOS!B119</f>
        <v>46034</v>
      </c>
      <c r="B119" s="153">
        <f>PEDIDOS!C119</f>
        <v>14258</v>
      </c>
      <c r="C119" s="153" t="str">
        <f>PEDIDOS!D119</f>
        <v>JACTANS</v>
      </c>
      <c r="D119" s="153" t="str">
        <f>PEDIDOS!E119</f>
        <v>Desmaquillante Bifasico JS-737</v>
      </c>
      <c r="E119" s="153" t="str">
        <f>PEDIDOS!F119</f>
        <v>M</v>
      </c>
      <c r="F119" s="154" t="str">
        <f>PEDIDOS!M119</f>
        <v>M26069</v>
      </c>
      <c r="G119" s="155">
        <f>-PEDIDOS!B119+EXPEDICION!K119</f>
        <v>67</v>
      </c>
      <c r="H119" s="156">
        <f>EXPEDICION!I119</f>
        <v>0.9866666667</v>
      </c>
    </row>
    <row r="120" ht="15.75" customHeight="1">
      <c r="A120" s="152">
        <f>PEDIDOS!B120</f>
        <v>46076</v>
      </c>
      <c r="B120" s="153">
        <f>PEDIDOS!C120</f>
        <v>1716</v>
      </c>
      <c r="C120" s="153" t="str">
        <f>PEDIDOS!D120</f>
        <v>LABORATORIO ONCE</v>
      </c>
      <c r="D120" s="153" t="str">
        <f>PEDIDOS!E120</f>
        <v>SERUM CONCENTRADO AH</v>
      </c>
      <c r="E120" s="153" t="str">
        <f>PEDIDOS!F120</f>
        <v>P</v>
      </c>
      <c r="F120" s="154" t="str">
        <f>PEDIDOS!M120</f>
        <v>M26063</v>
      </c>
      <c r="G120" s="155">
        <f>-PEDIDOS!B120+EXPEDICION!K120</f>
        <v>25</v>
      </c>
      <c r="H120" s="156">
        <f>EXPEDICION!I120</f>
        <v>1.004666667</v>
      </c>
    </row>
    <row r="121" ht="15.75" customHeight="1">
      <c r="A121" s="152">
        <f>PEDIDOS!B121</f>
        <v>46076</v>
      </c>
      <c r="B121" s="153">
        <f>PEDIDOS!C121</f>
        <v>1715</v>
      </c>
      <c r="C121" s="153" t="str">
        <f>PEDIDOS!D121</f>
        <v>LABORATORIO ONCE</v>
      </c>
      <c r="D121" s="153" t="str">
        <f>PEDIDOS!E121</f>
        <v>GEL UNIESFERAS VITAMINA C</v>
      </c>
      <c r="E121" s="153" t="str">
        <f>PEDIDOS!F121</f>
        <v>P</v>
      </c>
      <c r="F121" s="154" t="str">
        <f>PEDIDOS!M121</f>
        <v>F26061</v>
      </c>
      <c r="G121" s="155">
        <f>-PEDIDOS!B121+EXPEDICION!K121</f>
        <v>21</v>
      </c>
      <c r="H121" s="156">
        <f>EXPEDICION!I121</f>
        <v>0.9525</v>
      </c>
    </row>
    <row r="122" ht="15.75" customHeight="1">
      <c r="A122" s="152">
        <f>PEDIDOS!B122</f>
        <v>46168</v>
      </c>
      <c r="B122" s="153" t="str">
        <f>PEDIDOS!C122</f>
        <v/>
      </c>
      <c r="C122" s="153" t="str">
        <f>PEDIDOS!D122</f>
        <v>AGUEDA REY - IHC CAPILARES</v>
      </c>
      <c r="D122" s="153" t="str">
        <f>PEDIDOS!E122</f>
        <v>Shampoo Fortalecedor Anticaida D: 250203-3</v>
      </c>
      <c r="E122" s="153" t="str">
        <f>PEDIDOS!F122</f>
        <v>P</v>
      </c>
      <c r="F122" s="154" t="str">
        <f>PEDIDOS!M122</f>
        <v>A26025</v>
      </c>
      <c r="G122" s="155">
        <f>-PEDIDOS!B122+EXPEDICION!K122</f>
        <v>9</v>
      </c>
      <c r="H122" s="156">
        <f>EXPEDICION!I122</f>
        <v>0.997</v>
      </c>
    </row>
    <row r="123" ht="15.75" customHeight="1">
      <c r="A123" s="152">
        <f>PEDIDOS!B123</f>
        <v>46168</v>
      </c>
      <c r="B123" s="153" t="str">
        <f>PEDIDOS!C123</f>
        <v/>
      </c>
      <c r="C123" s="153" t="str">
        <f>PEDIDOS!D123</f>
        <v>AGUEDA REY - IHC CAPILARES</v>
      </c>
      <c r="D123" s="153" t="str">
        <f>PEDIDOS!E123</f>
        <v>Shampoo Anti Caspa D250204-3</v>
      </c>
      <c r="E123" s="153" t="str">
        <f>PEDIDOS!F123</f>
        <v>P</v>
      </c>
      <c r="F123" s="154" t="str">
        <f>PEDIDOS!M123</f>
        <v>A26026</v>
      </c>
      <c r="G123" s="155">
        <f>-PEDIDOS!B123+EXPEDICION!K123</f>
        <v>9</v>
      </c>
      <c r="H123" s="156">
        <f>EXPEDICION!I123</f>
        <v>1.02</v>
      </c>
    </row>
    <row r="124" ht="15.75" customHeight="1">
      <c r="A124" s="152">
        <f>PEDIDOS!B124</f>
        <v>46168</v>
      </c>
      <c r="B124" s="153" t="str">
        <f>PEDIDOS!C124</f>
        <v/>
      </c>
      <c r="C124" s="153" t="str">
        <f>PEDIDOS!D124</f>
        <v>AGUEDA REY - IHC CAPILARES</v>
      </c>
      <c r="D124" s="153" t="str">
        <f>PEDIDOS!E124</f>
        <v>Shampoo Anti Sebo D250205-3</v>
      </c>
      <c r="E124" s="153" t="str">
        <f>PEDIDOS!F124</f>
        <v>P</v>
      </c>
      <c r="F124" s="154" t="str">
        <f>PEDIDOS!M124</f>
        <v>A26024</v>
      </c>
      <c r="G124" s="155">
        <f>-PEDIDOS!B124+EXPEDICION!K124</f>
        <v>9</v>
      </c>
      <c r="H124" s="156">
        <f>EXPEDICION!I124</f>
        <v>0.992</v>
      </c>
    </row>
    <row r="125" ht="15.75" customHeight="1">
      <c r="A125" s="152">
        <f>PEDIDOS!B125</f>
        <v>46168</v>
      </c>
      <c r="B125" s="153" t="str">
        <f>PEDIDOS!C125</f>
        <v/>
      </c>
      <c r="C125" s="153" t="str">
        <f>PEDIDOS!D125</f>
        <v>AGUEDA REY - IHC CAPILARES</v>
      </c>
      <c r="D125" s="153" t="str">
        <f>PEDIDOS!E125</f>
        <v>Shampo Engrosador D250210-3</v>
      </c>
      <c r="E125" s="153" t="str">
        <f>PEDIDOS!F125</f>
        <v>P</v>
      </c>
      <c r="F125" s="154" t="str">
        <f>PEDIDOS!M125</f>
        <v>A26041</v>
      </c>
      <c r="G125" s="155">
        <f>-PEDIDOS!B125+EXPEDICION!K125</f>
        <v>9</v>
      </c>
      <c r="H125" s="156">
        <f>EXPEDICION!I125</f>
        <v>0.977</v>
      </c>
    </row>
    <row r="126" ht="15.75" customHeight="1">
      <c r="A126" s="152">
        <f>PEDIDOS!B126</f>
        <v>46168</v>
      </c>
      <c r="B126" s="153" t="str">
        <f>PEDIDOS!C126</f>
        <v/>
      </c>
      <c r="C126" s="153" t="str">
        <f>PEDIDOS!D126</f>
        <v>AGUEDA REY - IHC CAPILARES</v>
      </c>
      <c r="D126" s="153" t="str">
        <f>PEDIDOS!E126</f>
        <v>Acondicionador Biotina D: 250207-3</v>
      </c>
      <c r="E126" s="153" t="str">
        <f>PEDIDOS!F126</f>
        <v>P</v>
      </c>
      <c r="F126" s="154" t="str">
        <f>PEDIDOS!M126</f>
        <v>A26040</v>
      </c>
      <c r="G126" s="155">
        <f>-PEDIDOS!B126+EXPEDICION!K126</f>
        <v>9</v>
      </c>
      <c r="H126" s="156">
        <f>EXPEDICION!I126</f>
        <v>0.994</v>
      </c>
    </row>
    <row r="127" ht="15.75" customHeight="1">
      <c r="A127" s="152">
        <f>PEDIDOS!B127</f>
        <v>46162</v>
      </c>
      <c r="B127" s="153" t="str">
        <f>PEDIDOS!C127</f>
        <v/>
      </c>
      <c r="C127" s="153" t="str">
        <f>PEDIDOS!D127</f>
        <v>LABORATORIO ONCE</v>
      </c>
      <c r="D127" s="153" t="str">
        <f>PEDIDOS!E127</f>
        <v>SERUM HOME PEEL SERUM PEPITAS DE UVA</v>
      </c>
      <c r="E127" s="153" t="str">
        <f>PEDIDOS!F127</f>
        <v>P</v>
      </c>
      <c r="F127" s="154" t="str">
        <f>PEDIDOS!M127</f>
        <v>A26010</v>
      </c>
      <c r="G127" s="155">
        <f>-PEDIDOS!B127+EXPEDICION!K127</f>
        <v>15</v>
      </c>
      <c r="H127" s="156">
        <f>EXPEDICION!I127</f>
        <v>1.015</v>
      </c>
    </row>
    <row r="128" ht="15.75" customHeight="1">
      <c r="A128" s="152">
        <f>PEDIDOS!B128</f>
        <v>46097</v>
      </c>
      <c r="B128" s="153" t="str">
        <f>PEDIDOS!C128</f>
        <v/>
      </c>
      <c r="C128" s="153" t="str">
        <f>PEDIDOS!D128</f>
        <v>BL COSMETICS</v>
      </c>
      <c r="D128" s="153" t="str">
        <f>PEDIDOS!E128</f>
        <v>GEL ANTIFRIZZ </v>
      </c>
      <c r="E128" s="153" t="str">
        <f>PEDIDOS!F128</f>
        <v>P</v>
      </c>
      <c r="F128" s="154" t="str">
        <f>PEDIDOS!M128</f>
        <v>A26043</v>
      </c>
      <c r="G128" s="155">
        <f>-PEDIDOS!B128+EXPEDICION!K128</f>
        <v>44</v>
      </c>
      <c r="H128" s="156">
        <f>EXPEDICION!I128</f>
        <v>0.985</v>
      </c>
    </row>
    <row r="129" ht="15.75" customHeight="1">
      <c r="A129" s="152">
        <f>PEDIDOS!B129</f>
        <v>46097</v>
      </c>
      <c r="B129" s="153" t="str">
        <f>PEDIDOS!C129</f>
        <v/>
      </c>
      <c r="C129" s="153" t="str">
        <f>PEDIDOS!D129</f>
        <v>BL COSMETICS</v>
      </c>
      <c r="D129" s="153" t="str">
        <f>PEDIDOS!E129</f>
        <v>SHAMPOO CONTROL LISS</v>
      </c>
      <c r="E129" s="153" t="str">
        <f>PEDIDOS!F129</f>
        <v>M</v>
      </c>
      <c r="F129" s="154" t="str">
        <f>PEDIDOS!M129</f>
        <v>M26098</v>
      </c>
      <c r="G129" s="155">
        <f>-PEDIDOS!B129+EXPEDICION!K129</f>
        <v>31</v>
      </c>
      <c r="H129" s="156">
        <f>EXPEDICION!I129</f>
        <v>0.9996666667</v>
      </c>
    </row>
    <row r="130" ht="15.75" customHeight="1">
      <c r="A130" s="152">
        <f>PEDIDOS!B130</f>
        <v>46097</v>
      </c>
      <c r="B130" s="153" t="str">
        <f>PEDIDOS!C130</f>
        <v/>
      </c>
      <c r="C130" s="153" t="str">
        <f>PEDIDOS!D130</f>
        <v>BL COSMETICS</v>
      </c>
      <c r="D130" s="153" t="str">
        <f>PEDIDOS!E130</f>
        <v>ACONDICIONADOR CONTROL LISS</v>
      </c>
      <c r="E130" s="153" t="str">
        <f>PEDIDOS!F130</f>
        <v>M</v>
      </c>
      <c r="F130" s="154" t="str">
        <f>PEDIDOS!M130</f>
        <v>M26099</v>
      </c>
      <c r="G130" s="155">
        <f>-PEDIDOS!B130+EXPEDICION!K130</f>
        <v>31</v>
      </c>
      <c r="H130" s="156">
        <f>EXPEDICION!I130</f>
        <v>0.9456666667</v>
      </c>
    </row>
    <row r="131" ht="15.75" customHeight="1">
      <c r="A131" s="152">
        <f>PEDIDOS!B131</f>
        <v>46097</v>
      </c>
      <c r="B131" s="153" t="str">
        <f>PEDIDOS!C131</f>
        <v/>
      </c>
      <c r="C131" s="153" t="str">
        <f>PEDIDOS!D131</f>
        <v>BL COSMETICS</v>
      </c>
      <c r="D131" s="153" t="str">
        <f>PEDIDOS!E131</f>
        <v>SERUM ARGAN (nuevo)</v>
      </c>
      <c r="E131" s="153" t="str">
        <f>PEDIDOS!F131</f>
        <v>P</v>
      </c>
      <c r="F131" s="154" t="str">
        <f>PEDIDOS!M131</f>
        <v>A26042</v>
      </c>
      <c r="G131" s="155">
        <f>-PEDIDOS!B131+EXPEDICION!K131</f>
        <v>32</v>
      </c>
      <c r="H131" s="156">
        <f>EXPEDICION!I131</f>
        <v>0.9983333333</v>
      </c>
    </row>
    <row r="132" ht="15.75" customHeight="1">
      <c r="A132" s="152">
        <f>PEDIDOS!B132</f>
        <v>46098</v>
      </c>
      <c r="B132" s="153" t="str">
        <f>PEDIDOS!C132</f>
        <v/>
      </c>
      <c r="C132" s="153" t="str">
        <f>PEDIDOS!D132</f>
        <v>AGUEDA REY - IKIGAI</v>
      </c>
      <c r="D132" s="153" t="str">
        <f>PEDIDOS!E132</f>
        <v>Serum VITAMINA C Cod 230345</v>
      </c>
      <c r="E132" s="153" t="str">
        <f>PEDIDOS!F132</f>
        <v>P</v>
      </c>
      <c r="F132" s="154" t="str">
        <f>PEDIDOS!M132</f>
        <v>A26091</v>
      </c>
      <c r="G132" s="155">
        <f>-PEDIDOS!B132+EXPEDICION!K132</f>
        <v>49</v>
      </c>
      <c r="H132" s="156">
        <f>EXPEDICION!I132</f>
        <v>0.955</v>
      </c>
    </row>
    <row r="133" ht="15.75" customHeight="1">
      <c r="A133" s="152">
        <f>PEDIDOS!B133</f>
        <v>46098</v>
      </c>
      <c r="B133" s="153" t="str">
        <f>PEDIDOS!C133</f>
        <v/>
      </c>
      <c r="C133" s="153" t="str">
        <f>PEDIDOS!D133</f>
        <v>ORIGINAL BLACK</v>
      </c>
      <c r="D133" s="153" t="str">
        <f>PEDIDOS!E133</f>
        <v>AFTER SHAVE VIOLETA</v>
      </c>
      <c r="E133" s="153" t="str">
        <f>PEDIDOS!F133</f>
        <v>M</v>
      </c>
      <c r="F133" s="154" t="str">
        <f>PEDIDOS!M133</f>
        <v/>
      </c>
      <c r="G133" s="155">
        <f>-PEDIDOS!B133+EXPEDICION!K133</f>
        <v>-46098</v>
      </c>
      <c r="H133" s="156" t="str">
        <f>EXPEDICION!I133</f>
        <v/>
      </c>
    </row>
    <row r="134" ht="15.75" customHeight="1">
      <c r="A134" s="152">
        <f>PEDIDOS!B134</f>
        <v>46098</v>
      </c>
      <c r="B134" s="153" t="str">
        <f>PEDIDOS!C134</f>
        <v/>
      </c>
      <c r="C134" s="153" t="str">
        <f>PEDIDOS!D134</f>
        <v>ORIGINAL BLACK</v>
      </c>
      <c r="D134" s="153" t="str">
        <f>PEDIDOS!E134</f>
        <v>AFTER SHAVE AZUL</v>
      </c>
      <c r="E134" s="153" t="str">
        <f>PEDIDOS!F134</f>
        <v>M</v>
      </c>
      <c r="F134" s="154" t="str">
        <f>PEDIDOS!M134</f>
        <v>M26091</v>
      </c>
      <c r="G134" s="155">
        <f>-PEDIDOS!B134+EXPEDICION!K134</f>
        <v>20</v>
      </c>
      <c r="H134" s="156" t="str">
        <f>EXPEDICION!I134</f>
        <v/>
      </c>
    </row>
    <row r="135" ht="15.75" customHeight="1">
      <c r="A135" s="152">
        <f>PEDIDOS!B135</f>
        <v>46098</v>
      </c>
      <c r="B135" s="153" t="str">
        <f>PEDIDOS!C135</f>
        <v/>
      </c>
      <c r="C135" s="153" t="str">
        <f>PEDIDOS!D135</f>
        <v>ORIGINAL BLACK</v>
      </c>
      <c r="D135" s="153" t="str">
        <f>PEDIDOS!E135</f>
        <v>AFTER SHAVE VERDE</v>
      </c>
      <c r="E135" s="153" t="str">
        <f>PEDIDOS!F135</f>
        <v>M</v>
      </c>
      <c r="F135" s="154" t="str">
        <f>PEDIDOS!M135</f>
        <v>M26090</v>
      </c>
      <c r="G135" s="155">
        <f>-PEDIDOS!B135+EXPEDICION!K135</f>
        <v>21</v>
      </c>
      <c r="H135" s="156">
        <f>EXPEDICION!I135</f>
        <v>0.933</v>
      </c>
    </row>
    <row r="136" ht="15.75" customHeight="1">
      <c r="A136" s="152">
        <f>PEDIDOS!B136</f>
        <v>46098</v>
      </c>
      <c r="B136" s="153" t="str">
        <f>PEDIDOS!C136</f>
        <v/>
      </c>
      <c r="C136" s="153" t="str">
        <f>PEDIDOS!D136</f>
        <v>ORIGINAL BLACK</v>
      </c>
      <c r="D136" s="153" t="str">
        <f>PEDIDOS!E136</f>
        <v>POMADA MATE X50G</v>
      </c>
      <c r="E136" s="153" t="str">
        <f>PEDIDOS!F136</f>
        <v>M</v>
      </c>
      <c r="F136" s="154" t="str">
        <f>PEDIDOS!M136</f>
        <v>A26002</v>
      </c>
      <c r="G136" s="155">
        <f>-PEDIDOS!B136+EXPEDICION!K136</f>
        <v>23</v>
      </c>
      <c r="H136" s="156">
        <f>EXPEDICION!I136</f>
        <v>0.9963414634</v>
      </c>
    </row>
    <row r="137" ht="15.75" customHeight="1">
      <c r="A137" s="152">
        <f>PEDIDOS!B137</f>
        <v>46098</v>
      </c>
      <c r="B137" s="153" t="str">
        <f>PEDIDOS!C137</f>
        <v/>
      </c>
      <c r="C137" s="153" t="str">
        <f>PEDIDOS!D137</f>
        <v>ORIGINAL BLACK</v>
      </c>
      <c r="D137" s="153" t="str">
        <f>PEDIDOS!E137</f>
        <v>POMADA RED WAX X100G</v>
      </c>
      <c r="E137" s="153" t="str">
        <f>PEDIDOS!F137</f>
        <v>M</v>
      </c>
      <c r="F137" s="154" t="str">
        <f>PEDIDOS!M137</f>
        <v>A26003</v>
      </c>
      <c r="G137" s="155">
        <f>-PEDIDOS!B137+EXPEDICION!K137</f>
        <v>42</v>
      </c>
      <c r="H137" s="156">
        <f>EXPEDICION!I137</f>
        <v>0.9895833333</v>
      </c>
    </row>
    <row r="138" ht="15.75" customHeight="1">
      <c r="A138" s="152">
        <f>PEDIDOS!B138</f>
        <v>46098</v>
      </c>
      <c r="B138" s="153" t="str">
        <f>PEDIDOS!C138</f>
        <v>TCL 2026-01-02</v>
      </c>
      <c r="C138" s="153" t="str">
        <f>PEDIDOS!D138</f>
        <v>THE CHEMIST LOOK</v>
      </c>
      <c r="D138" s="153" t="str">
        <f>PEDIDOS!E138</f>
        <v>BOOSTER HYALU-A/SI</v>
      </c>
      <c r="E138" s="153" t="str">
        <f>PEDIDOS!F138</f>
        <v>P</v>
      </c>
      <c r="F138" s="154" t="str">
        <f>PEDIDOS!M138</f>
        <v/>
      </c>
      <c r="G138" s="155">
        <f>-PEDIDOS!B138+EXPEDICION!K138</f>
        <v>-46098</v>
      </c>
      <c r="H138" s="156" t="str">
        <f>EXPEDICION!I138</f>
        <v/>
      </c>
    </row>
    <row r="139" ht="15.75" customHeight="1">
      <c r="A139" s="152">
        <f>PEDIDOS!B139</f>
        <v>46098</v>
      </c>
      <c r="B139" s="153" t="str">
        <f>PEDIDOS!C139</f>
        <v>TCL 2026-01-02</v>
      </c>
      <c r="C139" s="153" t="str">
        <f>PEDIDOS!D139</f>
        <v>THE CHEMIST LOOK</v>
      </c>
      <c r="D139" s="153" t="str">
        <f>PEDIDOS!E139</f>
        <v>BOOSTER HYALU-A/SI</v>
      </c>
      <c r="E139" s="153" t="str">
        <f>PEDIDOS!F139</f>
        <v>P</v>
      </c>
      <c r="F139" s="154" t="str">
        <f>PEDIDOS!M139</f>
        <v>A26028</v>
      </c>
      <c r="G139" s="155">
        <f>-PEDIDOS!B139+EXPEDICION!K139</f>
        <v>41</v>
      </c>
      <c r="H139" s="156">
        <f>EXPEDICION!I139</f>
        <v>1.004</v>
      </c>
    </row>
    <row r="140" ht="15.75" customHeight="1">
      <c r="A140" s="152">
        <f>PEDIDOS!B140</f>
        <v>46098</v>
      </c>
      <c r="B140" s="153" t="str">
        <f>PEDIDOS!C140</f>
        <v>TCL 2026-01-02</v>
      </c>
      <c r="C140" s="153" t="str">
        <f>PEDIDOS!D140</f>
        <v>THE CHEMIST LOOK</v>
      </c>
      <c r="D140" s="153" t="str">
        <f>PEDIDOS!E140</f>
        <v>BOOSTER NIACI/ZN</v>
      </c>
      <c r="E140" s="153" t="str">
        <f>PEDIDOS!F140</f>
        <v>P</v>
      </c>
      <c r="F140" s="154" t="str">
        <f>PEDIDOS!M140</f>
        <v>A26029</v>
      </c>
      <c r="G140" s="155">
        <f>-PEDIDOS!B140+EXPEDICION!K140</f>
        <v>38</v>
      </c>
      <c r="H140" s="156">
        <f>EXPEDICION!I140</f>
        <v>1.009</v>
      </c>
    </row>
    <row r="141" ht="15.75" customHeight="1">
      <c r="A141" s="152">
        <f>PEDIDOS!B141</f>
        <v>46098</v>
      </c>
      <c r="B141" s="153" t="str">
        <f>PEDIDOS!C141</f>
        <v>TCL 2026-01-02</v>
      </c>
      <c r="C141" s="153" t="str">
        <f>PEDIDOS!D141</f>
        <v>THE CHEMIST LOOK</v>
      </c>
      <c r="D141" s="153" t="str">
        <f>PEDIDOS!E141</f>
        <v>BOOSTER VIT C/GLUT</v>
      </c>
      <c r="E141" s="153" t="str">
        <f>PEDIDOS!F141</f>
        <v>P</v>
      </c>
      <c r="F141" s="154" t="str">
        <f>PEDIDOS!M141</f>
        <v>J26008</v>
      </c>
      <c r="G141" s="155">
        <f>-PEDIDOS!B141+EXPEDICION!K141</f>
        <v>84</v>
      </c>
      <c r="H141" s="156">
        <f>EXPEDICION!I141</f>
        <v>0.7644</v>
      </c>
    </row>
    <row r="142" ht="15.75" customHeight="1">
      <c r="A142" s="152">
        <f>PEDIDOS!B142</f>
        <v>46098</v>
      </c>
      <c r="B142" s="153" t="str">
        <f>PEDIDOS!C142</f>
        <v>TCL 2026-01-02</v>
      </c>
      <c r="C142" s="153" t="str">
        <f>PEDIDOS!D142</f>
        <v>THE CHEMIST LOOK</v>
      </c>
      <c r="D142" s="153" t="str">
        <f>PEDIDOS!E142</f>
        <v>COLLAGENE</v>
      </c>
      <c r="E142" s="153" t="str">
        <f>PEDIDOS!F142</f>
        <v>P</v>
      </c>
      <c r="F142" s="154" t="str">
        <f>PEDIDOS!M142</f>
        <v>Y26064</v>
      </c>
      <c r="G142" s="155">
        <f>-PEDIDOS!B142+EXPEDICION!K142</f>
        <v>85</v>
      </c>
      <c r="H142" s="156">
        <f>EXPEDICION!I142</f>
        <v>0.81</v>
      </c>
    </row>
    <row r="143" ht="15.75" customHeight="1">
      <c r="A143" s="152">
        <f>PEDIDOS!B143</f>
        <v>46098</v>
      </c>
      <c r="B143" s="153" t="str">
        <f>PEDIDOS!C143</f>
        <v>TCL 2026-01-02</v>
      </c>
      <c r="C143" s="153" t="str">
        <f>PEDIDOS!D143</f>
        <v>THE CHEMIST LOOK</v>
      </c>
      <c r="D143" s="153" t="str">
        <f>PEDIDOS!E143</f>
        <v>EXFOLIANTE GA</v>
      </c>
      <c r="E143" s="153" t="str">
        <f>PEDIDOS!F143</f>
        <v>P</v>
      </c>
      <c r="F143" s="154" t="str">
        <f>PEDIDOS!M143</f>
        <v>M26092</v>
      </c>
      <c r="G143" s="155">
        <f>-PEDIDOS!B143+EXPEDICION!K143</f>
        <v>37</v>
      </c>
      <c r="H143" s="156">
        <f>EXPEDICION!I143</f>
        <v>0.985</v>
      </c>
    </row>
    <row r="144" ht="15.75" customHeight="1">
      <c r="A144" s="152">
        <f>PEDIDOS!B144</f>
        <v>46098</v>
      </c>
      <c r="B144" s="153" t="str">
        <f>PEDIDOS!C144</f>
        <v/>
      </c>
      <c r="C144" s="153" t="str">
        <f>PEDIDOS!D144</f>
        <v>COSMECEUTICALS</v>
      </c>
      <c r="D144" s="153" t="str">
        <f>PEDIDOS!E144</f>
        <v>SERUM DEEP</v>
      </c>
      <c r="E144" s="153" t="str">
        <f>PEDIDOS!F144</f>
        <v>P</v>
      </c>
      <c r="F144" s="154" t="str">
        <f>PEDIDOS!M144</f>
        <v>M26093</v>
      </c>
      <c r="G144" s="155">
        <f>-PEDIDOS!B144+EXPEDICION!K144</f>
        <v>28</v>
      </c>
      <c r="H144" s="156">
        <f>EXPEDICION!I144</f>
        <v>0.996</v>
      </c>
    </row>
    <row r="145" ht="15.75" customHeight="1">
      <c r="A145" s="152">
        <f>PEDIDOS!B145</f>
        <v>46098</v>
      </c>
      <c r="B145" s="153" t="str">
        <f>PEDIDOS!C145</f>
        <v/>
      </c>
      <c r="C145" s="153" t="str">
        <f>PEDIDOS!D145</f>
        <v>COSMECEUTICALS</v>
      </c>
      <c r="D145" s="153" t="str">
        <f>PEDIDOS!E145</f>
        <v>SERUM VITAMINA C</v>
      </c>
      <c r="E145" s="153" t="str">
        <f>PEDIDOS!F145</f>
        <v>P</v>
      </c>
      <c r="F145" s="154" t="str">
        <f>PEDIDOS!M145</f>
        <v>M26094</v>
      </c>
      <c r="G145" s="155">
        <f>-PEDIDOS!B145+EXPEDICION!K145</f>
        <v>29</v>
      </c>
      <c r="H145" s="156">
        <f>EXPEDICION!I145</f>
        <v>0.872</v>
      </c>
    </row>
    <row r="146" ht="15.75" customHeight="1">
      <c r="A146" s="152">
        <f>PEDIDOS!B146</f>
        <v>46099</v>
      </c>
      <c r="B146" s="153">
        <f>PEDIDOS!C146</f>
        <v>15190</v>
      </c>
      <c r="C146" s="153" t="str">
        <f>PEDIDOS!D146</f>
        <v>THELMA Y LOUISE</v>
      </c>
      <c r="D146" s="153" t="str">
        <f>PEDIDOS!E146</f>
        <v>ALCOHOL EN GEL SANDIA FARMACITY KIDS</v>
      </c>
      <c r="E146" s="153" t="str">
        <f>PEDIDOS!F146</f>
        <v>M</v>
      </c>
      <c r="F146" s="154" t="str">
        <f>PEDIDOS!M146</f>
        <v/>
      </c>
      <c r="G146" s="155">
        <f>-PEDIDOS!B146+EXPEDICION!K146</f>
        <v>26</v>
      </c>
      <c r="H146" s="156">
        <f>EXPEDICION!I146</f>
        <v>0.9871666667</v>
      </c>
    </row>
    <row r="147" ht="15.75" customHeight="1">
      <c r="A147" s="152">
        <f>PEDIDOS!B147</f>
        <v>46099</v>
      </c>
      <c r="B147" s="153">
        <f>PEDIDOS!C147</f>
        <v>15190</v>
      </c>
      <c r="C147" s="153" t="str">
        <f>PEDIDOS!D147</f>
        <v>THELMA Y LOUISE</v>
      </c>
      <c r="D147" s="153" t="str">
        <f>PEDIDOS!E147</f>
        <v>ALCOHOL EN GEL CHICLE FARMACITY KIDS</v>
      </c>
      <c r="E147" s="153" t="str">
        <f>PEDIDOS!F147</f>
        <v>M</v>
      </c>
      <c r="F147" s="154" t="str">
        <f>PEDIDOS!M147</f>
        <v/>
      </c>
      <c r="G147" s="155">
        <f>-PEDIDOS!B147+EXPEDICION!K147</f>
        <v>26</v>
      </c>
      <c r="H147" s="156">
        <f>EXPEDICION!I147</f>
        <v>1.064833333</v>
      </c>
    </row>
    <row r="148" ht="15.75" customHeight="1">
      <c r="A148" s="152">
        <f>PEDIDOS!B148</f>
        <v>46099</v>
      </c>
      <c r="B148" s="153">
        <f>PEDIDOS!C148</f>
        <v>141</v>
      </c>
      <c r="C148" s="153" t="str">
        <f>PEDIDOS!D148</f>
        <v>ICONO</v>
      </c>
      <c r="D148" s="153" t="str">
        <f>PEDIDOS!E148</f>
        <v>CREMA EFECTO TENSOR x 250 GR.</v>
      </c>
      <c r="E148" s="153" t="str">
        <f>PEDIDOS!F148</f>
        <v>M</v>
      </c>
      <c r="F148" s="154" t="str">
        <f>PEDIDOS!M148</f>
        <v>A26012</v>
      </c>
      <c r="G148" s="155">
        <f>-PEDIDOS!B148+EXPEDICION!K148</f>
        <v>27</v>
      </c>
      <c r="H148" s="156">
        <f>EXPEDICION!I148</f>
        <v>1.0395</v>
      </c>
    </row>
    <row r="149" ht="15.75" customHeight="1">
      <c r="A149" s="152">
        <f>PEDIDOS!B149</f>
        <v>46099</v>
      </c>
      <c r="B149" s="153">
        <f>PEDIDOS!C149</f>
        <v>141</v>
      </c>
      <c r="C149" s="153" t="str">
        <f>PEDIDOS!D149</f>
        <v>ICONO</v>
      </c>
      <c r="D149" s="153" t="str">
        <f>PEDIDOS!E149</f>
        <v>MASCARA EFECTO TENSOR x 95 GR.</v>
      </c>
      <c r="E149" s="153" t="str">
        <f>PEDIDOS!F149</f>
        <v>P</v>
      </c>
      <c r="F149" s="154" t="str">
        <f>PEDIDOS!M149</f>
        <v>A26011</v>
      </c>
      <c r="G149" s="155">
        <f>-PEDIDOS!B149+EXPEDICION!K149</f>
        <v>26</v>
      </c>
      <c r="H149" s="156">
        <f>EXPEDICION!I149</f>
        <v>1.029</v>
      </c>
    </row>
    <row r="150" ht="15.75" customHeight="1">
      <c r="A150" s="152">
        <f>PEDIDOS!B150</f>
        <v>46099</v>
      </c>
      <c r="B150" s="153">
        <f>PEDIDOS!C150</f>
        <v>141</v>
      </c>
      <c r="C150" s="153" t="str">
        <f>PEDIDOS!D150</f>
        <v>ICONO</v>
      </c>
      <c r="D150" s="153" t="str">
        <f>PEDIDOS!E150</f>
        <v>MASCARA EFECTO TENSOR x 250 GR.</v>
      </c>
      <c r="E150" s="153" t="str">
        <f>PEDIDOS!F150</f>
        <v>M</v>
      </c>
      <c r="F150" s="154" t="str">
        <f>PEDIDOS!M150</f>
        <v>A26011</v>
      </c>
      <c r="G150" s="155">
        <f>-PEDIDOS!B150+EXPEDICION!K150</f>
        <v>29</v>
      </c>
      <c r="H150" s="156">
        <f>EXPEDICION!I150</f>
        <v>0.936</v>
      </c>
    </row>
    <row r="151" ht="15.75" customHeight="1">
      <c r="A151" s="152">
        <f>PEDIDOS!B151</f>
        <v>46099</v>
      </c>
      <c r="B151" s="153" t="str">
        <f>PEDIDOS!C151</f>
        <v/>
      </c>
      <c r="C151" s="153" t="str">
        <f>PEDIDOS!D151</f>
        <v>LUCENT</v>
      </c>
      <c r="D151" s="153" t="str">
        <f>PEDIDOS!E151</f>
        <v>BB LIPS natural Lips</v>
      </c>
      <c r="E151" s="153" t="str">
        <f>PEDIDOS!F151</f>
        <v>P</v>
      </c>
      <c r="F151" s="154" t="str">
        <f>PEDIDOS!M151</f>
        <v>M26095</v>
      </c>
      <c r="G151" s="155">
        <f>-PEDIDOS!B151+EXPEDICION!K151</f>
        <v>-12</v>
      </c>
      <c r="H151" s="156">
        <f>EXPEDICION!I151</f>
        <v>0.984</v>
      </c>
    </row>
    <row r="152" ht="15.75" customHeight="1">
      <c r="A152" s="152">
        <f>PEDIDOS!B152</f>
        <v>46100</v>
      </c>
      <c r="B152" s="153">
        <f>PEDIDOS!C152</f>
        <v>169</v>
      </c>
      <c r="C152" s="153" t="str">
        <f>PEDIDOS!D152</f>
        <v>THE MINIMAL CO</v>
      </c>
      <c r="D152" s="153" t="str">
        <f>PEDIDOS!E152</f>
        <v>Serum Oil Reparador</v>
      </c>
      <c r="E152" s="153" t="str">
        <f>PEDIDOS!F152</f>
        <v>P</v>
      </c>
      <c r="F152" s="154" t="str">
        <f>PEDIDOS!M152</f>
        <v>A26090</v>
      </c>
      <c r="G152" s="155">
        <f>-PEDIDOS!B152+EXPEDICION!K152</f>
        <v>42</v>
      </c>
      <c r="H152" s="156">
        <f>EXPEDICION!I152</f>
        <v>0.9916666667</v>
      </c>
    </row>
    <row r="153" ht="15.75" customHeight="1">
      <c r="A153" s="152">
        <f>PEDIDOS!B153</f>
        <v>46101</v>
      </c>
      <c r="B153" s="153">
        <f>PEDIDOS!C153</f>
        <v>14363</v>
      </c>
      <c r="C153" s="153" t="str">
        <f>PEDIDOS!D153</f>
        <v>JACTANS - DISNEY</v>
      </c>
      <c r="D153" s="153" t="str">
        <f>PEDIDOS!E153</f>
        <v>DJ-48235-Jabon liquido PERSONAJES 2D 250ML</v>
      </c>
      <c r="E153" s="153" t="str">
        <f>PEDIDOS!F153</f>
        <v>M</v>
      </c>
      <c r="F153" s="154" t="str">
        <f>PEDIDOS!M153</f>
        <v>A26007</v>
      </c>
      <c r="G153" s="155">
        <f>-PEDIDOS!B153+EXPEDICION!K153</f>
        <v>46</v>
      </c>
      <c r="H153" s="156">
        <f>EXPEDICION!I153</f>
        <v>1.0048</v>
      </c>
    </row>
    <row r="154" ht="15.75" customHeight="1">
      <c r="A154" s="152">
        <f>PEDIDOS!B154</f>
        <v>46104</v>
      </c>
      <c r="B154" s="153">
        <f>PEDIDOS!C154</f>
        <v>15198</v>
      </c>
      <c r="C154" s="153" t="str">
        <f>PEDIDOS!D154</f>
        <v>THELMA Y LOUISE</v>
      </c>
      <c r="D154" s="153" t="str">
        <f>PEDIDOS!E154</f>
        <v>ALCOHOL EN GEL NEUTRO VAMOS ARGENTINA</v>
      </c>
      <c r="E154" s="153" t="str">
        <f>PEDIDOS!F154</f>
        <v>M</v>
      </c>
      <c r="F154" s="154" t="str">
        <f>PEDIDOS!M154</f>
        <v/>
      </c>
      <c r="G154" s="155">
        <f>-PEDIDOS!B154+EXPEDICION!K154</f>
        <v>32</v>
      </c>
      <c r="H154" s="156">
        <f>EXPEDICION!I154</f>
        <v>1.011</v>
      </c>
    </row>
    <row r="155" ht="15.75" customHeight="1">
      <c r="A155" s="152">
        <f>PEDIDOS!B155</f>
        <v>46104</v>
      </c>
      <c r="B155" s="153">
        <f>PEDIDOS!C155</f>
        <v>15198</v>
      </c>
      <c r="C155" s="153" t="str">
        <f>PEDIDOS!D155</f>
        <v>THELMA Y LOUISE</v>
      </c>
      <c r="D155" s="153" t="str">
        <f>PEDIDOS!E155</f>
        <v>ALCOHOL EN GEL NEUTRO CORONADOS DE GLORIA</v>
      </c>
      <c r="E155" s="153" t="str">
        <f>PEDIDOS!F155</f>
        <v>M</v>
      </c>
      <c r="F155" s="154" t="str">
        <f>PEDIDOS!M155</f>
        <v/>
      </c>
      <c r="G155" s="155">
        <f>-PEDIDOS!B155+EXPEDICION!K155</f>
        <v>32</v>
      </c>
      <c r="H155" s="156">
        <f>EXPEDICION!I155</f>
        <v>0.9693333333</v>
      </c>
    </row>
    <row r="156" ht="15.75" customHeight="1">
      <c r="A156" s="152">
        <f>PEDIDOS!B156</f>
        <v>46104</v>
      </c>
      <c r="B156" s="153">
        <f>PEDIDOS!C156</f>
        <v>141</v>
      </c>
      <c r="C156" s="153" t="str">
        <f>PEDIDOS!D156</f>
        <v>PROFESSIONAL BEAUTY</v>
      </c>
      <c r="D156" s="153" t="str">
        <f>PEDIDOS!E156</f>
        <v>ADVANCE ACIDO HIALURONICO 1%</v>
      </c>
      <c r="E156" s="153" t="str">
        <f>PEDIDOS!F156</f>
        <v>P</v>
      </c>
      <c r="F156" s="154" t="str">
        <f>PEDIDOS!M156</f>
        <v>A26021</v>
      </c>
      <c r="G156" s="155">
        <f>-PEDIDOS!B156+EXPEDICION!K156</f>
        <v>28</v>
      </c>
      <c r="H156" s="156">
        <f>EXPEDICION!I156</f>
        <v>1.018</v>
      </c>
    </row>
    <row r="157" ht="15.75" customHeight="1">
      <c r="A157" s="152">
        <f>PEDIDOS!B157</f>
        <v>46104</v>
      </c>
      <c r="B157" s="153">
        <f>PEDIDOS!C157</f>
        <v>141</v>
      </c>
      <c r="C157" s="153" t="str">
        <f>PEDIDOS!D157</f>
        <v>PROFESSIONAL BEAUTY</v>
      </c>
      <c r="D157" s="153" t="str">
        <f>PEDIDOS!E157</f>
        <v>ADVANCE COLAGENO 10%</v>
      </c>
      <c r="E157" s="153" t="str">
        <f>PEDIDOS!F157</f>
        <v>P</v>
      </c>
      <c r="F157" s="154" t="str">
        <f>PEDIDOS!M157</f>
        <v>A26048</v>
      </c>
      <c r="G157" s="155">
        <f>-PEDIDOS!B157+EXPEDICION!K157</f>
        <v>29</v>
      </c>
      <c r="H157" s="156">
        <f>EXPEDICION!I157</f>
        <v>0.996</v>
      </c>
    </row>
    <row r="158" ht="15.75" customHeight="1">
      <c r="A158" s="152">
        <f>PEDIDOS!B158</f>
        <v>46104</v>
      </c>
      <c r="B158" s="153">
        <f>PEDIDOS!C158</f>
        <v>141</v>
      </c>
      <c r="C158" s="153" t="str">
        <f>PEDIDOS!D158</f>
        <v>PROFESSIONAL BEAUTY</v>
      </c>
      <c r="D158" s="153" t="str">
        <f>PEDIDOS!E158</f>
        <v>ADVANCE ACIDO HIALURONICO 2%</v>
      </c>
      <c r="E158" s="153" t="str">
        <f>PEDIDOS!F158</f>
        <v>P</v>
      </c>
      <c r="F158" s="154" t="str">
        <f>PEDIDOS!M158</f>
        <v>A26009</v>
      </c>
      <c r="G158" s="155">
        <f>-PEDIDOS!B158+EXPEDICION!K158</f>
        <v>28</v>
      </c>
      <c r="H158" s="156">
        <f>EXPEDICION!I158</f>
        <v>1.056</v>
      </c>
    </row>
    <row r="159" ht="15.75" customHeight="1">
      <c r="A159" s="152">
        <f>PEDIDOS!B159</f>
        <v>46104</v>
      </c>
      <c r="B159" s="153" t="str">
        <f>PEDIDOS!C159</f>
        <v/>
      </c>
      <c r="C159" s="153" t="str">
        <f>PEDIDOS!D159</f>
        <v>AGUEDA REY - EPICA</v>
      </c>
      <c r="D159" s="153" t="str">
        <f>PEDIDOS!E159</f>
        <v>SHAMPOO NEUTRO</v>
      </c>
      <c r="E159" s="153" t="str">
        <f>PEDIDOS!F159</f>
        <v>M</v>
      </c>
      <c r="F159" s="154" t="str">
        <f>PEDIDOS!M159</f>
        <v>A26004</v>
      </c>
      <c r="G159" s="155">
        <f>-PEDIDOS!B159+EXPEDICION!K159</f>
        <v>30</v>
      </c>
      <c r="H159" s="156">
        <f>EXPEDICION!I159</f>
        <v>1.003125</v>
      </c>
    </row>
    <row r="160" ht="15.75" customHeight="1">
      <c r="A160" s="152">
        <f>PEDIDOS!B160</f>
        <v>46104</v>
      </c>
      <c r="B160" s="153" t="str">
        <f>PEDIDOS!C160</f>
        <v/>
      </c>
      <c r="C160" s="153" t="str">
        <f>PEDIDOS!D160</f>
        <v>BEKIM</v>
      </c>
      <c r="D160" s="153" t="str">
        <f>PEDIDOS!E160</f>
        <v>SHAMPOO SOLIDO ARGAN</v>
      </c>
      <c r="E160" s="153" t="str">
        <f>PEDIDOS!F160</f>
        <v>P</v>
      </c>
      <c r="F160" s="154" t="str">
        <f>PEDIDOS!M160</f>
        <v>M26096</v>
      </c>
      <c r="G160" s="155">
        <f>-PEDIDOS!B160+EXPEDICION!K160</f>
        <v>14</v>
      </c>
      <c r="H160" s="156">
        <f>EXPEDICION!I160</f>
        <v>0.9</v>
      </c>
    </row>
    <row r="161" ht="15.75" customHeight="1">
      <c r="A161" s="152">
        <f>PEDIDOS!B161</f>
        <v>46104</v>
      </c>
      <c r="B161" s="153" t="str">
        <f>PEDIDOS!C161</f>
        <v/>
      </c>
      <c r="C161" s="153" t="str">
        <f>PEDIDOS!D161</f>
        <v>BEKIM</v>
      </c>
      <c r="D161" s="153" t="str">
        <f>PEDIDOS!E161</f>
        <v>ACONDICIONADOR SOLIDO ARGAN</v>
      </c>
      <c r="E161" s="153" t="str">
        <f>PEDIDOS!F161</f>
        <v>P</v>
      </c>
      <c r="F161" s="154" t="str">
        <f>PEDIDOS!M161</f>
        <v>M26097</v>
      </c>
      <c r="G161" s="155">
        <f>-PEDIDOS!B161+EXPEDICION!K161</f>
        <v>14</v>
      </c>
      <c r="H161" s="156">
        <f>EXPEDICION!I161</f>
        <v>1.052</v>
      </c>
    </row>
    <row r="162" ht="15.75" customHeight="1">
      <c r="A162" s="152">
        <f>PEDIDOS!B162</f>
        <v>46107</v>
      </c>
      <c r="B162" s="153" t="str">
        <f>PEDIDOS!C162</f>
        <v/>
      </c>
      <c r="C162" s="153" t="str">
        <f>PEDIDOS!D162</f>
        <v>CAV</v>
      </c>
      <c r="D162" s="153" t="str">
        <f>PEDIDOS!E162</f>
        <v>AMPOLLA HAIR REPAIR</v>
      </c>
      <c r="E162" s="153" t="str">
        <f>PEDIDOS!F162</f>
        <v>P</v>
      </c>
      <c r="F162" s="154" t="str">
        <f>PEDIDOS!M162</f>
        <v>A26016</v>
      </c>
      <c r="G162" s="155">
        <f>-PEDIDOS!B162+EXPEDICION!K162</f>
        <v>16</v>
      </c>
      <c r="H162" s="156">
        <f>EXPEDICION!I162</f>
        <v>1.07</v>
      </c>
    </row>
    <row r="163" ht="15.75" customHeight="1">
      <c r="A163" s="152">
        <f>PEDIDOS!B163</f>
        <v>46107</v>
      </c>
      <c r="B163" s="153" t="str">
        <f>PEDIDOS!C163</f>
        <v/>
      </c>
      <c r="C163" s="153" t="str">
        <f>PEDIDOS!D163</f>
        <v>CAV</v>
      </c>
      <c r="D163" s="153" t="str">
        <f>PEDIDOS!E163</f>
        <v>AMPOLLA COLOR SHINE</v>
      </c>
      <c r="E163" s="153" t="str">
        <f>PEDIDOS!F163</f>
        <v>P</v>
      </c>
      <c r="F163" s="154" t="str">
        <f>PEDIDOS!M163</f>
        <v>A26017</v>
      </c>
      <c r="G163" s="155">
        <f>-PEDIDOS!B163+EXPEDICION!K163</f>
        <v>16</v>
      </c>
      <c r="H163" s="156">
        <f>EXPEDICION!I163</f>
        <v>1.065714286</v>
      </c>
    </row>
    <row r="164" ht="15.75" customHeight="1">
      <c r="A164" s="152">
        <f>PEDIDOS!B164</f>
        <v>46107</v>
      </c>
      <c r="B164" s="153" t="str">
        <f>PEDIDOS!C164</f>
        <v/>
      </c>
      <c r="C164" s="153" t="str">
        <f>PEDIDOS!D164</f>
        <v>DEL ARCA BOTANICA</v>
      </c>
      <c r="D164" s="153" t="str">
        <f>PEDIDOS!E164</f>
        <v>CREMA HIDRATANTE LIVIANA</v>
      </c>
      <c r="E164" s="153" t="str">
        <f>PEDIDOS!F164</f>
        <v>P</v>
      </c>
      <c r="F164" s="154" t="str">
        <f>PEDIDOS!M164</f>
        <v>Y26038</v>
      </c>
      <c r="G164" s="155">
        <f>-PEDIDOS!B164+EXPEDICION!K164</f>
        <v>55</v>
      </c>
      <c r="H164" s="156">
        <f>EXPEDICION!I164</f>
        <v>0.958</v>
      </c>
    </row>
    <row r="165" ht="15.75" customHeight="1">
      <c r="A165" s="152">
        <f>PEDIDOS!B165</f>
        <v>46101</v>
      </c>
      <c r="B165" s="153" t="str">
        <f>PEDIDOS!C165</f>
        <v/>
      </c>
      <c r="C165" s="153" t="str">
        <f>PEDIDOS!D165</f>
        <v>PLANTAE</v>
      </c>
      <c r="D165" s="153" t="str">
        <f>PEDIDOS!E165</f>
        <v>SHAMPOO HENNA</v>
      </c>
      <c r="E165" s="153" t="str">
        <f>PEDIDOS!F165</f>
        <v>P</v>
      </c>
      <c r="F165" s="154" t="str">
        <f>PEDIDOS!M165</f>
        <v>M26029</v>
      </c>
      <c r="G165" s="155">
        <f>-PEDIDOS!B165+EXPEDICION!K165</f>
        <v>7</v>
      </c>
      <c r="H165" s="156">
        <f>EXPEDICION!I165</f>
        <v>0.955</v>
      </c>
    </row>
    <row r="166" ht="15.75" customHeight="1">
      <c r="A166" s="152">
        <f>PEDIDOS!B166</f>
        <v>46101</v>
      </c>
      <c r="B166" s="153" t="str">
        <f>PEDIDOS!C166</f>
        <v/>
      </c>
      <c r="C166" s="153" t="str">
        <f>PEDIDOS!D166</f>
        <v>PLANTAE</v>
      </c>
      <c r="D166" s="153" t="str">
        <f>PEDIDOS!E166</f>
        <v>SHAMPOO KARITE</v>
      </c>
      <c r="E166" s="153" t="str">
        <f>PEDIDOS!F166</f>
        <v>P</v>
      </c>
      <c r="F166" s="154" t="str">
        <f>PEDIDOS!M166</f>
        <v>M26043</v>
      </c>
      <c r="G166" s="155">
        <f>-PEDIDOS!B166+EXPEDICION!K166</f>
        <v>7</v>
      </c>
      <c r="H166" s="156">
        <f>EXPEDICION!I166</f>
        <v>0.915</v>
      </c>
    </row>
    <row r="167" ht="15.75" customHeight="1">
      <c r="A167" s="152">
        <f>PEDIDOS!B167</f>
        <v>46111</v>
      </c>
      <c r="B167" s="153" t="str">
        <f>PEDIDOS!C167</f>
        <v/>
      </c>
      <c r="C167" s="153" t="str">
        <f>PEDIDOS!D167</f>
        <v>COSMECEUTICALS</v>
      </c>
      <c r="D167" s="153" t="str">
        <f>PEDIDOS!E167</f>
        <v>CREMA PDND NAD+ (airless)</v>
      </c>
      <c r="E167" s="153" t="str">
        <f>PEDIDOS!F167</f>
        <v>P</v>
      </c>
      <c r="F167" s="154" t="str">
        <f>PEDIDOS!M167</f>
        <v>A26019</v>
      </c>
      <c r="G167" s="155">
        <f>-PEDIDOS!B167+EXPEDICION!K167</f>
        <v>16</v>
      </c>
      <c r="H167" s="156">
        <f>EXPEDICION!I167</f>
        <v>1.088</v>
      </c>
    </row>
    <row r="168" ht="15.75" customHeight="1">
      <c r="A168" s="152">
        <f>PEDIDOS!B168</f>
        <v>46111</v>
      </c>
      <c r="B168" s="153" t="str">
        <f>PEDIDOS!C168</f>
        <v/>
      </c>
      <c r="C168" s="153" t="str">
        <f>PEDIDOS!D168</f>
        <v>COSMECEUTICALS</v>
      </c>
      <c r="D168" s="153" t="str">
        <f>PEDIDOS!E168</f>
        <v>CREMA RADIANCE ABSOLUTE (pote ambar)</v>
      </c>
      <c r="E168" s="153" t="str">
        <f>PEDIDOS!F168</f>
        <v>P</v>
      </c>
      <c r="F168" s="154" t="str">
        <f>PEDIDOS!M168</f>
        <v>A26020</v>
      </c>
      <c r="G168" s="155">
        <f>-PEDIDOS!B168+EXPEDICION!K168</f>
        <v>16</v>
      </c>
      <c r="H168" s="156">
        <f>EXPEDICION!I168</f>
        <v>1.02</v>
      </c>
    </row>
    <row r="169" ht="15.75" customHeight="1">
      <c r="A169" s="152">
        <f>PEDIDOS!B169</f>
        <v>46112</v>
      </c>
      <c r="B169" s="153">
        <f>PEDIDOS!C169</f>
        <v>786</v>
      </c>
      <c r="C169" s="153" t="str">
        <f>PEDIDOS!D169</f>
        <v>CAV</v>
      </c>
      <c r="D169" s="153" t="str">
        <f>PEDIDOS!E169</f>
        <v>SHAMPOO BIONIC X400ML</v>
      </c>
      <c r="E169" s="153" t="str">
        <f>PEDIDOS!F169</f>
        <v>M</v>
      </c>
      <c r="F169" s="154" t="str">
        <f>PEDIDOS!M169</f>
        <v>A26005</v>
      </c>
      <c r="G169" s="155">
        <f>-PEDIDOS!B169+EXPEDICION!K169</f>
        <v>17</v>
      </c>
      <c r="H169" s="156">
        <f>EXPEDICION!I169</f>
        <v>1.188</v>
      </c>
    </row>
    <row r="170" ht="15.75" customHeight="1">
      <c r="A170" s="152">
        <f>PEDIDOS!B170</f>
        <v>46112</v>
      </c>
      <c r="B170" s="153">
        <f>PEDIDOS!C170</f>
        <v>786</v>
      </c>
      <c r="C170" s="153" t="str">
        <f>PEDIDOS!D170</f>
        <v>CAV</v>
      </c>
      <c r="D170" s="153" t="str">
        <f>PEDIDOS!E170</f>
        <v>BALSAMO BIONIC X400ML</v>
      </c>
      <c r="E170" s="153" t="str">
        <f>PEDIDOS!F170</f>
        <v>M</v>
      </c>
      <c r="F170" s="154" t="str">
        <f>PEDIDOS!M170</f>
        <v>A26006</v>
      </c>
      <c r="G170" s="155">
        <f>-PEDIDOS!B170+EXPEDICION!K170</f>
        <v>17</v>
      </c>
      <c r="H170" s="156">
        <f>EXPEDICION!I170</f>
        <v>0.992</v>
      </c>
    </row>
    <row r="171" ht="15.75" customHeight="1">
      <c r="A171" s="152">
        <f>PEDIDOS!B171</f>
        <v>46112</v>
      </c>
      <c r="B171" s="153">
        <f>PEDIDOS!C171</f>
        <v>786</v>
      </c>
      <c r="C171" s="153" t="str">
        <f>PEDIDOS!D171</f>
        <v>CAV</v>
      </c>
      <c r="D171" s="153" t="str">
        <f>PEDIDOS!E171</f>
        <v>MASCARA VITAMIN SHOCK</v>
      </c>
      <c r="E171" s="153" t="str">
        <f>PEDIDOS!F171</f>
        <v>P</v>
      </c>
      <c r="F171" s="154" t="str">
        <f>PEDIDOS!M171</f>
        <v>A26027</v>
      </c>
      <c r="G171" s="155">
        <f>-PEDIDOS!B171+EXPEDICION!K171</f>
        <v>24</v>
      </c>
      <c r="H171" s="156">
        <f>EXPEDICION!I171</f>
        <v>1.082857143</v>
      </c>
    </row>
    <row r="172" ht="15.75" customHeight="1">
      <c r="A172" s="152">
        <f>PEDIDOS!B172</f>
        <v>46112</v>
      </c>
      <c r="B172" s="153">
        <f>PEDIDOS!C172</f>
        <v>786</v>
      </c>
      <c r="C172" s="153" t="str">
        <f>PEDIDOS!D172</f>
        <v>CAV</v>
      </c>
      <c r="D172" s="153" t="str">
        <f>PEDIDOS!E172</f>
        <v>PROTECTOR C-PLEX CAV (PASO 3)</v>
      </c>
      <c r="E172" s="153" t="str">
        <f>PEDIDOS!F172</f>
        <v>P</v>
      </c>
      <c r="F172" s="154" t="str">
        <f>PEDIDOS!M172</f>
        <v>M26041</v>
      </c>
      <c r="G172" s="155">
        <f>-PEDIDOS!B172+EXPEDICION!K172</f>
        <v>45</v>
      </c>
      <c r="H172" s="156">
        <f>EXPEDICION!I172</f>
        <v>0.69</v>
      </c>
    </row>
    <row r="173" ht="15.75" customHeight="1">
      <c r="A173" s="152">
        <f>PEDIDOS!B173</f>
        <v>46112</v>
      </c>
      <c r="B173" s="153">
        <f>PEDIDOS!C173</f>
        <v>786</v>
      </c>
      <c r="C173" s="153" t="str">
        <f>PEDIDOS!D173</f>
        <v>CAV</v>
      </c>
      <c r="D173" s="153" t="str">
        <f>PEDIDOS!E173</f>
        <v>SHAMPOO MAXLISS X400ML</v>
      </c>
      <c r="E173" s="153" t="str">
        <f>PEDIDOS!F173</f>
        <v>M</v>
      </c>
      <c r="F173" s="154" t="str">
        <f>PEDIDOS!M173</f>
        <v>A26078</v>
      </c>
      <c r="G173" s="155">
        <f>-PEDIDOS!B173+EXPEDICION!K173</f>
        <v>5</v>
      </c>
      <c r="H173" s="156">
        <f>EXPEDICION!I173</f>
        <v>1.156</v>
      </c>
    </row>
    <row r="174" ht="15.75" customHeight="1">
      <c r="A174" s="152">
        <f>PEDIDOS!B174</f>
        <v>46112</v>
      </c>
      <c r="B174" s="153">
        <f>PEDIDOS!C174</f>
        <v>786</v>
      </c>
      <c r="C174" s="153" t="str">
        <f>PEDIDOS!D174</f>
        <v>CAV</v>
      </c>
      <c r="D174" s="153" t="str">
        <f>PEDIDOS!E174</f>
        <v>CONDITIONER MAXLISS X400G</v>
      </c>
      <c r="E174" s="153" t="str">
        <f>PEDIDOS!F174</f>
        <v>M</v>
      </c>
      <c r="F174" s="154" t="str">
        <f>PEDIDOS!M174</f>
        <v>A26079</v>
      </c>
      <c r="G174" s="155">
        <f>-PEDIDOS!B174+EXPEDICION!K174</f>
        <v>5</v>
      </c>
      <c r="H174" s="156">
        <f>EXPEDICION!I174</f>
        <v>0.856</v>
      </c>
    </row>
    <row r="175" ht="15.75" customHeight="1">
      <c r="A175" s="152">
        <f>PEDIDOS!B175</f>
        <v>46112</v>
      </c>
      <c r="B175" s="153">
        <f>PEDIDOS!C175</f>
        <v>786</v>
      </c>
      <c r="C175" s="153" t="str">
        <f>PEDIDOS!D175</f>
        <v>CAV</v>
      </c>
      <c r="D175" s="153" t="str">
        <f>PEDIDOS!E175</f>
        <v>DISCIPLINADOR MAXLISS X125ML</v>
      </c>
      <c r="E175" s="153" t="str">
        <f>PEDIDOS!F175</f>
        <v>M</v>
      </c>
      <c r="F175" s="154" t="str">
        <f>PEDIDOS!M175</f>
        <v>A26083</v>
      </c>
      <c r="G175" s="155">
        <f>-PEDIDOS!B175+EXPEDICION!K175</f>
        <v>5</v>
      </c>
      <c r="H175" s="156">
        <f>EXPEDICION!I175</f>
        <v>0.99</v>
      </c>
    </row>
    <row r="176" ht="15.75" customHeight="1">
      <c r="A176" s="152">
        <f>PEDIDOS!B176</f>
        <v>46112</v>
      </c>
      <c r="B176" s="153">
        <f>PEDIDOS!C176</f>
        <v>15223</v>
      </c>
      <c r="C176" s="153" t="str">
        <f>PEDIDOS!D176</f>
        <v>THELMA Y LOUISE</v>
      </c>
      <c r="D176" s="153" t="str">
        <f>PEDIDOS!E176</f>
        <v>SANITIZANTE MUNDIAL CORONADOS DE GLORIA (neutro)</v>
      </c>
      <c r="E176" s="153" t="str">
        <f>PEDIDOS!F176</f>
        <v>M</v>
      </c>
      <c r="F176" s="154">
        <f>PEDIDOS!M176</f>
        <v>140401</v>
      </c>
      <c r="G176" s="155">
        <f>-PEDIDOS!B176+EXPEDICION!K176</f>
        <v>15</v>
      </c>
      <c r="H176" s="156">
        <f>EXPEDICION!I176</f>
        <v>1.000235294</v>
      </c>
    </row>
    <row r="177" ht="15.75" customHeight="1">
      <c r="A177" s="152">
        <f>PEDIDOS!B177</f>
        <v>46112</v>
      </c>
      <c r="B177" s="153">
        <f>PEDIDOS!C177</f>
        <v>15223</v>
      </c>
      <c r="C177" s="153" t="str">
        <f>PEDIDOS!D177</f>
        <v>THELMA Y LOUISE</v>
      </c>
      <c r="D177" s="153" t="str">
        <f>PEDIDOS!E177</f>
        <v>SANITIZANTE MUNDIAL VAMOS ARGENTINA! (neutro)</v>
      </c>
      <c r="E177" s="153" t="str">
        <f>PEDIDOS!F177</f>
        <v>M</v>
      </c>
      <c r="F177" s="154">
        <f>PEDIDOS!M177</f>
        <v>150401</v>
      </c>
      <c r="G177" s="155">
        <f>-PEDIDOS!B177+EXPEDICION!K177</f>
        <v>16</v>
      </c>
      <c r="H177" s="156">
        <f>EXPEDICION!I177</f>
        <v>0.9379411765</v>
      </c>
    </row>
    <row r="178" ht="15.75" customHeight="1">
      <c r="A178" s="152">
        <f>PEDIDOS!B178</f>
        <v>46112</v>
      </c>
      <c r="B178" s="153">
        <f>PEDIDOS!C178</f>
        <v>15223</v>
      </c>
      <c r="C178" s="153" t="str">
        <f>PEDIDOS!D178</f>
        <v>THELMA Y LOUISE</v>
      </c>
      <c r="D178" s="153" t="str">
        <f>PEDIDOS!E178</f>
        <v>SANITIZANTE AZUL</v>
      </c>
      <c r="E178" s="153" t="str">
        <f>PEDIDOS!F178</f>
        <v>M</v>
      </c>
      <c r="F178" s="154" t="str">
        <f>PEDIDOS!M178</f>
        <v/>
      </c>
      <c r="G178" s="155">
        <f>-PEDIDOS!B178+EXPEDICION!K178</f>
        <v>38</v>
      </c>
      <c r="H178" s="156">
        <f>EXPEDICION!I178</f>
        <v>0.9502469136</v>
      </c>
    </row>
    <row r="179" ht="15.75" customHeight="1">
      <c r="A179" s="152">
        <f>PEDIDOS!B179</f>
        <v>46112</v>
      </c>
      <c r="B179" s="153">
        <f>PEDIDOS!C179</f>
        <v>15220</v>
      </c>
      <c r="C179" s="153" t="str">
        <f>PEDIDOS!D179</f>
        <v>THELMA Y LOUISE</v>
      </c>
      <c r="D179" s="153" t="str">
        <f>PEDIDOS!E179</f>
        <v>SANITIZANTE TODO MODA COCO</v>
      </c>
      <c r="E179" s="153" t="str">
        <f>PEDIDOS!F179</f>
        <v>M</v>
      </c>
      <c r="F179" s="154">
        <f>PEDIDOS!M179</f>
        <v>80402</v>
      </c>
      <c r="G179" s="155">
        <f>-PEDIDOS!B179+EXPEDICION!K179</f>
        <v>15</v>
      </c>
      <c r="H179" s="156">
        <f>EXPEDICION!I179</f>
        <v>1.005714286</v>
      </c>
    </row>
    <row r="180" ht="15.75" customHeight="1">
      <c r="A180" s="152">
        <f>PEDIDOS!B180</f>
        <v>46112</v>
      </c>
      <c r="B180" s="153">
        <f>PEDIDOS!C180</f>
        <v>15220</v>
      </c>
      <c r="C180" s="153" t="str">
        <f>PEDIDOS!D180</f>
        <v>THELMA Y LOUISE</v>
      </c>
      <c r="D180" s="153" t="str">
        <f>PEDIDOS!E180</f>
        <v>SANITIZANTE TODO MODA FRAMBUESA</v>
      </c>
      <c r="E180" s="153" t="str">
        <f>PEDIDOS!F180</f>
        <v>M</v>
      </c>
      <c r="F180" s="154">
        <f>PEDIDOS!M180</f>
        <v>90402</v>
      </c>
      <c r="G180" s="155">
        <f>-PEDIDOS!B180+EXPEDICION!K180</f>
        <v>20</v>
      </c>
      <c r="H180" s="156">
        <f>EXPEDICION!I180</f>
        <v>0.9971428571</v>
      </c>
    </row>
    <row r="181" ht="15.75" customHeight="1">
      <c r="A181" s="152">
        <f>PEDIDOS!B181</f>
        <v>46112</v>
      </c>
      <c r="B181" s="153">
        <f>PEDIDOS!C181</f>
        <v>15226</v>
      </c>
      <c r="C181" s="153" t="str">
        <f>PEDIDOS!D181</f>
        <v>THELMA Y LOUISE</v>
      </c>
      <c r="D181" s="153" t="str">
        <f>PEDIDOS!E181</f>
        <v>SANITIZANTE BLANCO - AGUA DE COCO </v>
      </c>
      <c r="E181" s="153" t="str">
        <f>PEDIDOS!F181</f>
        <v>M</v>
      </c>
      <c r="F181" s="154" t="str">
        <f>PEDIDOS!M181</f>
        <v/>
      </c>
      <c r="G181" s="155">
        <f>-PEDIDOS!B181+EXPEDICION!K181</f>
        <v>44</v>
      </c>
      <c r="H181" s="156">
        <f>EXPEDICION!I181</f>
        <v>1.024102564</v>
      </c>
    </row>
    <row r="182" ht="15.75" customHeight="1">
      <c r="A182" s="152">
        <f>PEDIDOS!B182</f>
        <v>46112</v>
      </c>
      <c r="B182" s="153">
        <f>PEDIDOS!C182</f>
        <v>15226</v>
      </c>
      <c r="C182" s="153" t="str">
        <f>PEDIDOS!D182</f>
        <v>THELMA Y LOUISE</v>
      </c>
      <c r="D182" s="153" t="str">
        <f>PEDIDOS!E182</f>
        <v>SANITIZANTE VIOLETA - UVA</v>
      </c>
      <c r="E182" s="153" t="str">
        <f>PEDIDOS!F182</f>
        <v>M</v>
      </c>
      <c r="F182" s="154" t="str">
        <f>PEDIDOS!M182</f>
        <v/>
      </c>
      <c r="G182" s="155">
        <f>-PEDIDOS!B182+EXPEDICION!K182</f>
        <v>44</v>
      </c>
      <c r="H182" s="156">
        <f>EXPEDICION!I182</f>
        <v>1.001666667</v>
      </c>
    </row>
    <row r="183" ht="15.75" customHeight="1">
      <c r="A183" s="152">
        <f>PEDIDOS!B183</f>
        <v>46112</v>
      </c>
      <c r="B183" s="153">
        <f>PEDIDOS!C183</f>
        <v>15226</v>
      </c>
      <c r="C183" s="153" t="str">
        <f>PEDIDOS!D183</f>
        <v>THELMA Y LOUISE</v>
      </c>
      <c r="D183" s="153" t="str">
        <f>PEDIDOS!E183</f>
        <v>SANITIZANTE ROJO - CHERRY</v>
      </c>
      <c r="E183" s="153" t="str">
        <f>PEDIDOS!F183</f>
        <v>M</v>
      </c>
      <c r="F183" s="154" t="str">
        <f>PEDIDOS!M183</f>
        <v/>
      </c>
      <c r="G183" s="155">
        <f>-PEDIDOS!B183+EXPEDICION!K183</f>
        <v>41</v>
      </c>
      <c r="H183" s="156">
        <f>EXPEDICION!I183</f>
        <v>0.997</v>
      </c>
    </row>
    <row r="184" ht="15.75" customHeight="1">
      <c r="A184" s="152">
        <f>PEDIDOS!B184</f>
        <v>46112</v>
      </c>
      <c r="B184" s="153">
        <f>PEDIDOS!C184</f>
        <v>15226</v>
      </c>
      <c r="C184" s="153" t="str">
        <f>PEDIDOS!D184</f>
        <v>THELMA Y LOUISE</v>
      </c>
      <c r="D184" s="153" t="str">
        <f>PEDIDOS!E184</f>
        <v>SANITIZANTE ROSA - FRUTILLA</v>
      </c>
      <c r="E184" s="153" t="str">
        <f>PEDIDOS!F184</f>
        <v>M</v>
      </c>
      <c r="F184" s="154" t="str">
        <f>PEDIDOS!M184</f>
        <v/>
      </c>
      <c r="G184" s="155">
        <f>-PEDIDOS!B184+EXPEDICION!K184</f>
        <v>44</v>
      </c>
      <c r="H184" s="156">
        <f>EXPEDICION!I184</f>
        <v>0.9968</v>
      </c>
    </row>
    <row r="185" ht="15.75" customHeight="1">
      <c r="A185" s="152">
        <f>PEDIDOS!B185</f>
        <v>46113</v>
      </c>
      <c r="B185" s="153">
        <f>PEDIDOS!C185</f>
        <v>14362</v>
      </c>
      <c r="C185" s="153" t="str">
        <f>PEDIDOS!D185</f>
        <v>JACTANS - DISNEY</v>
      </c>
      <c r="D185" s="153" t="str">
        <f>PEDIDOS!E185</f>
        <v>DP-50051-Perfume infantil fco mini goya x5ml 1980AN</v>
      </c>
      <c r="E185" s="153" t="str">
        <f>PEDIDOS!F185</f>
        <v>M</v>
      </c>
      <c r="F185" s="154" t="str">
        <f>PEDIDOS!M185</f>
        <v/>
      </c>
      <c r="G185" s="155">
        <f>-PEDIDOS!B185+EXPEDICION!K185</f>
        <v>-46113</v>
      </c>
      <c r="H185" s="156" t="str">
        <f>EXPEDICION!I185</f>
        <v/>
      </c>
    </row>
    <row r="186" ht="15.75" customHeight="1">
      <c r="A186" s="152">
        <f>PEDIDOS!B186</f>
        <v>46113</v>
      </c>
      <c r="B186" s="153">
        <f>PEDIDOS!C186</f>
        <v>14362</v>
      </c>
      <c r="C186" s="153" t="str">
        <f>PEDIDOS!D186</f>
        <v>JACTANS - DISNEY</v>
      </c>
      <c r="D186" s="153" t="str">
        <f>PEDIDOS!E186</f>
        <v>DP-50068-Perfume infantil fco mini goya x5ml 0297TS</v>
      </c>
      <c r="E186" s="153" t="str">
        <f>PEDIDOS!F186</f>
        <v>M</v>
      </c>
      <c r="F186" s="154" t="str">
        <f>PEDIDOS!M186</f>
        <v/>
      </c>
      <c r="G186" s="155">
        <f>-PEDIDOS!B186+EXPEDICION!K186</f>
        <v>-46113</v>
      </c>
      <c r="H186" s="156" t="str">
        <f>EXPEDICION!I186</f>
        <v/>
      </c>
    </row>
    <row r="187" ht="15.75" customHeight="1">
      <c r="A187" s="152">
        <f>PEDIDOS!B187</f>
        <v>46113</v>
      </c>
      <c r="B187" s="153">
        <f>PEDIDOS!C187</f>
        <v>14362</v>
      </c>
      <c r="C187" s="153" t="str">
        <f>PEDIDOS!D187</f>
        <v>JACTANS - DISNEY</v>
      </c>
      <c r="D187" s="153" t="str">
        <f>PEDIDOS!E187</f>
        <v>DP-50082-Perfume infantil fco mini goya x5ml 0280BD</v>
      </c>
      <c r="E187" s="153" t="str">
        <f>PEDIDOS!F187</f>
        <v>M</v>
      </c>
      <c r="F187" s="154" t="str">
        <f>PEDIDOS!M187</f>
        <v/>
      </c>
      <c r="G187" s="155">
        <f>-PEDIDOS!B187+EXPEDICION!K187</f>
        <v>-46113</v>
      </c>
      <c r="H187" s="156" t="str">
        <f>EXPEDICION!I187</f>
        <v/>
      </c>
    </row>
    <row r="188" ht="15.75" customHeight="1">
      <c r="A188" s="152">
        <f>PEDIDOS!B188</f>
        <v>46113</v>
      </c>
      <c r="B188" s="153">
        <f>PEDIDOS!C188</f>
        <v>14362</v>
      </c>
      <c r="C188" s="153" t="str">
        <f>PEDIDOS!D188</f>
        <v>JACTANS - DISNEY</v>
      </c>
      <c r="D188" s="153" t="str">
        <f>PEDIDOS!E188</f>
        <v>DP-50099-Perfume infantil fco mini goya x5ml 0296LS</v>
      </c>
      <c r="E188" s="153" t="str">
        <f>PEDIDOS!F188</f>
        <v>M</v>
      </c>
      <c r="F188" s="154" t="str">
        <f>PEDIDOS!M188</f>
        <v/>
      </c>
      <c r="G188" s="155">
        <f>-PEDIDOS!B188+EXPEDICION!K188</f>
        <v>-46113</v>
      </c>
      <c r="H188" s="156" t="str">
        <f>EXPEDICION!I188</f>
        <v/>
      </c>
    </row>
    <row r="189" ht="15.75" customHeight="1">
      <c r="A189" s="152">
        <f>PEDIDOS!B189</f>
        <v>46113</v>
      </c>
      <c r="B189" s="153">
        <f>PEDIDOS!C189</f>
        <v>14362</v>
      </c>
      <c r="C189" s="153" t="str">
        <f>PEDIDOS!D189</f>
        <v>JACTANS - DISNEY</v>
      </c>
      <c r="D189" s="153" t="str">
        <f>PEDIDOS!E189</f>
        <v>DP-50846-Perf inf fco Frutilla roja x50ml 0390FR</v>
      </c>
      <c r="E189" s="153" t="str">
        <f>PEDIDOS!F189</f>
        <v>M</v>
      </c>
      <c r="F189" s="154" t="str">
        <f>PEDIDOS!M189</f>
        <v>J26015</v>
      </c>
      <c r="G189" s="155">
        <f>-PEDIDOS!B189+EXPEDICION!K189</f>
        <v>84</v>
      </c>
      <c r="H189" s="156">
        <f>EXPEDICION!I189</f>
        <v>0.9725</v>
      </c>
    </row>
    <row r="190" ht="15.75" customHeight="1">
      <c r="A190" s="152">
        <f>PEDIDOS!B190</f>
        <v>46113</v>
      </c>
      <c r="B190" s="153">
        <f>PEDIDOS!C190</f>
        <v>14362</v>
      </c>
      <c r="C190" s="153" t="str">
        <f>PEDIDOS!D190</f>
        <v>JACTANS - DISNEY</v>
      </c>
      <c r="D190" s="153" t="str">
        <f>PEDIDOS!E190</f>
        <v>DP-50853-Perfume infantil fco True star x50ml 0368CT</v>
      </c>
      <c r="E190" s="153" t="str">
        <f>PEDIDOS!F190</f>
        <v>M</v>
      </c>
      <c r="F190" s="154" t="str">
        <f>PEDIDOS!M190</f>
        <v>J26041</v>
      </c>
      <c r="G190" s="155">
        <f>-PEDIDOS!B190+EXPEDICION!K190</f>
        <v>89</v>
      </c>
      <c r="H190" s="156">
        <f>EXPEDICION!I190</f>
        <v>0.9173333333</v>
      </c>
    </row>
    <row r="191" ht="15.75" customHeight="1">
      <c r="A191" s="152">
        <f>PEDIDOS!B191</f>
        <v>46113</v>
      </c>
      <c r="B191" s="153">
        <f>PEDIDOS!C191</f>
        <v>14362</v>
      </c>
      <c r="C191" s="153" t="str">
        <f>PEDIDOS!D191</f>
        <v>JACTANS - DISNEY</v>
      </c>
      <c r="D191" s="153" t="str">
        <f>PEDIDOS!E191</f>
        <v>DP-50624-Perf inf Fco manzanita roja x25ml 0364AL</v>
      </c>
      <c r="E191" s="153" t="str">
        <f>PEDIDOS!F191</f>
        <v>M</v>
      </c>
      <c r="F191" s="154" t="str">
        <f>PEDIDOS!M191</f>
        <v>A26084</v>
      </c>
      <c r="G191" s="155">
        <f>-PEDIDOS!B191+EXPEDICION!K191</f>
        <v>48</v>
      </c>
      <c r="H191" s="156">
        <f>EXPEDICION!I191</f>
        <v>0.9633333333</v>
      </c>
    </row>
    <row r="192" ht="15.75" customHeight="1">
      <c r="A192" s="152">
        <f>PEDIDOS!B192</f>
        <v>46113</v>
      </c>
      <c r="B192" s="153">
        <f>PEDIDOS!C192</f>
        <v>14362</v>
      </c>
      <c r="C192" s="153" t="str">
        <f>PEDIDOS!D192</f>
        <v>JACTANS - DISNEY</v>
      </c>
      <c r="D192" s="153" t="str">
        <f>PEDIDOS!E192</f>
        <v>DP-50990-Perfume inf. fco Mariana x50ml 0369RD</v>
      </c>
      <c r="E192" s="153" t="str">
        <f>PEDIDOS!F192</f>
        <v>M</v>
      </c>
      <c r="F192" s="154" t="str">
        <f>PEDIDOS!M192</f>
        <v>A26080</v>
      </c>
      <c r="G192" s="155">
        <f>-PEDIDOS!B192+EXPEDICION!K192</f>
        <v>26</v>
      </c>
      <c r="H192" s="156">
        <f>EXPEDICION!I192</f>
        <v>0.9795</v>
      </c>
    </row>
    <row r="193" ht="15.75" customHeight="1">
      <c r="A193" s="152">
        <f>PEDIDOS!B193</f>
        <v>46113</v>
      </c>
      <c r="B193" s="153">
        <f>PEDIDOS!C193</f>
        <v>14362</v>
      </c>
      <c r="C193" s="153" t="str">
        <f>PEDIDOS!D193</f>
        <v>JACTANS - DISNEY</v>
      </c>
      <c r="D193" s="153" t="str">
        <f>PEDIDOS!E193</f>
        <v>DP-1943-Perfume inf. Fco Candela x50ml 0301BG</v>
      </c>
      <c r="E193" s="153" t="str">
        <f>PEDIDOS!F193</f>
        <v>M</v>
      </c>
      <c r="F193" s="154" t="str">
        <f>PEDIDOS!M193</f>
        <v>Y26067</v>
      </c>
      <c r="G193" s="155">
        <f>-PEDIDOS!B193+EXPEDICION!K193</f>
        <v>68</v>
      </c>
      <c r="H193" s="156">
        <f>EXPEDICION!I193</f>
        <v>1.009333333</v>
      </c>
    </row>
    <row r="194" ht="15.75" customHeight="1">
      <c r="A194" s="152">
        <f>PEDIDOS!B194</f>
        <v>46113</v>
      </c>
      <c r="B194" s="153">
        <f>PEDIDOS!C194</f>
        <v>14362</v>
      </c>
      <c r="C194" s="153" t="str">
        <f>PEDIDOS!D194</f>
        <v>JACTANS - DISNEY</v>
      </c>
      <c r="D194" s="153" t="str">
        <f>PEDIDOS!E194</f>
        <v>DP-50617-Perfume inf. fco silueta pvc x45ml 0368PB</v>
      </c>
      <c r="E194" s="153" t="str">
        <f>PEDIDOS!F194</f>
        <v>M</v>
      </c>
      <c r="F194" s="154" t="str">
        <f>PEDIDOS!M194</f>
        <v>Y26007</v>
      </c>
      <c r="G194" s="155">
        <f>-PEDIDOS!B194+EXPEDICION!K194</f>
        <v>41</v>
      </c>
      <c r="H194" s="156">
        <f>EXPEDICION!I194</f>
        <v>1.044</v>
      </c>
    </row>
    <row r="195" ht="15.75" customHeight="1">
      <c r="A195" s="152">
        <f>PEDIDOS!B195</f>
        <v>46113</v>
      </c>
      <c r="B195" s="153">
        <f>PEDIDOS!C195</f>
        <v>14362</v>
      </c>
      <c r="C195" s="153" t="str">
        <f>PEDIDOS!D195</f>
        <v>JACTANS - DISNEY</v>
      </c>
      <c r="D195" s="153" t="str">
        <f>PEDIDOS!E195</f>
        <v>DP-50815-Perfume inf. fco silueta pvc x45ML 0367AG</v>
      </c>
      <c r="E195" s="153" t="str">
        <f>PEDIDOS!F195</f>
        <v>M</v>
      </c>
      <c r="F195" s="154" t="str">
        <f>PEDIDOS!M195</f>
        <v>Y26008</v>
      </c>
      <c r="G195" s="155">
        <f>-PEDIDOS!B195+EXPEDICION!K195</f>
        <v>42</v>
      </c>
      <c r="H195" s="156">
        <f>EXPEDICION!I195</f>
        <v>0.8853333333</v>
      </c>
    </row>
    <row r="196" ht="15.75" customHeight="1">
      <c r="A196" s="152">
        <f>PEDIDOS!B196</f>
        <v>46113</v>
      </c>
      <c r="B196" s="153">
        <f>PEDIDOS!C196</f>
        <v>14362</v>
      </c>
      <c r="C196" s="153" t="str">
        <f>PEDIDOS!D196</f>
        <v>JACTANS - DISNEY</v>
      </c>
      <c r="D196" s="153" t="str">
        <f>PEDIDOS!E196</f>
        <v>DP-50853-Perfume infantil fco True star x50ml 0368CT</v>
      </c>
      <c r="E196" s="153" t="str">
        <f>PEDIDOS!F196</f>
        <v>M</v>
      </c>
      <c r="F196" s="154" t="str">
        <f>PEDIDOS!M196</f>
        <v>Y26066</v>
      </c>
      <c r="G196" s="155">
        <f>-PEDIDOS!B196+EXPEDICION!K196</f>
        <v>63</v>
      </c>
      <c r="H196" s="156">
        <f>EXPEDICION!I196</f>
        <v>0.896</v>
      </c>
    </row>
    <row r="197" ht="15.75" customHeight="1">
      <c r="A197" s="152">
        <f>PEDIDOS!B197</f>
        <v>46113</v>
      </c>
      <c r="B197" s="153">
        <f>PEDIDOS!C197</f>
        <v>14362</v>
      </c>
      <c r="C197" s="153" t="str">
        <f>PEDIDOS!D197</f>
        <v>JACTANS - DISNEY</v>
      </c>
      <c r="D197" s="153" t="str">
        <f>PEDIDOS!E197</f>
        <v>DP-50891-Perfume inf Fco penelope x50ml 0390FR</v>
      </c>
      <c r="E197" s="153" t="str">
        <f>PEDIDOS!F197</f>
        <v>M</v>
      </c>
      <c r="F197" s="154" t="str">
        <f>PEDIDOS!M197</f>
        <v>J26016</v>
      </c>
      <c r="G197" s="155">
        <f>-PEDIDOS!B197+EXPEDICION!K197</f>
        <v>76</v>
      </c>
      <c r="H197" s="156">
        <f>EXPEDICION!I197</f>
        <v>1.017</v>
      </c>
    </row>
    <row r="198" ht="15.75" customHeight="1">
      <c r="A198" s="152">
        <f>PEDIDOS!B198</f>
        <v>46113</v>
      </c>
      <c r="B198" s="153" t="str">
        <f>PEDIDOS!C198</f>
        <v/>
      </c>
      <c r="C198" s="153" t="str">
        <f>PEDIDOS!D198</f>
        <v>BLE LIPS</v>
      </c>
      <c r="D198" s="153" t="str">
        <f>PEDIDOS!E198</f>
        <v>LIP INJECTION</v>
      </c>
      <c r="E198" s="153" t="str">
        <f>PEDIDOS!F198</f>
        <v>P</v>
      </c>
      <c r="F198" s="154" t="str">
        <f>PEDIDOS!M198</f>
        <v>A26047</v>
      </c>
      <c r="G198" s="155">
        <f>-PEDIDOS!B198+EXPEDICION!K198</f>
        <v>21</v>
      </c>
      <c r="H198" s="156">
        <f>EXPEDICION!I198</f>
        <v>1</v>
      </c>
    </row>
    <row r="199" ht="15.75" customHeight="1">
      <c r="A199" s="152">
        <f>PEDIDOS!B199</f>
        <v>46113</v>
      </c>
      <c r="B199" s="153" t="str">
        <f>PEDIDOS!C199</f>
        <v/>
      </c>
      <c r="C199" s="153" t="str">
        <f>PEDIDOS!D199</f>
        <v>BLE LIPS</v>
      </c>
      <c r="D199" s="153" t="str">
        <f>PEDIDOS!E199</f>
        <v>LIP INJECTION</v>
      </c>
      <c r="E199" s="153" t="str">
        <f>PEDIDOS!F199</f>
        <v>P</v>
      </c>
      <c r="F199" s="154" t="str">
        <f>PEDIDOS!M199</f>
        <v>A26088</v>
      </c>
      <c r="G199" s="155">
        <f>-PEDIDOS!B199+EXPEDICION!K199</f>
        <v>43</v>
      </c>
      <c r="H199" s="156">
        <f>EXPEDICION!I199</f>
        <v>1</v>
      </c>
    </row>
    <row r="200" ht="15.75" customHeight="1">
      <c r="A200" s="152">
        <f>PEDIDOS!B200</f>
        <v>46119</v>
      </c>
      <c r="B200" s="153" t="str">
        <f>PEDIDOS!C200</f>
        <v/>
      </c>
      <c r="C200" s="153" t="str">
        <f>PEDIDOS!D200</f>
        <v>BIOESENCIA</v>
      </c>
      <c r="D200" s="153" t="str">
        <f>PEDIDOS!E200</f>
        <v>AGUA MICELAR PROBIOTICS</v>
      </c>
      <c r="E200" s="153" t="str">
        <f>PEDIDOS!F200</f>
        <v>M</v>
      </c>
      <c r="F200" s="154" t="str">
        <f>PEDIDOS!M200</f>
        <v>A26032</v>
      </c>
      <c r="G200" s="155">
        <f>-PEDIDOS!B200+EXPEDICION!K200</f>
        <v>20</v>
      </c>
      <c r="H200" s="156">
        <f>EXPEDICION!I200</f>
        <v>0.993</v>
      </c>
    </row>
    <row r="201" ht="15.75" customHeight="1">
      <c r="A201" s="152">
        <f>PEDIDOS!B201</f>
        <v>46119</v>
      </c>
      <c r="B201" s="153" t="str">
        <f>PEDIDOS!C201</f>
        <v/>
      </c>
      <c r="C201" s="153" t="str">
        <f>PEDIDOS!D201</f>
        <v>BIOESENCIA</v>
      </c>
      <c r="D201" s="153" t="str">
        <f>PEDIDOS!E201</f>
        <v>CREMA FACIAL PROBIOTICS</v>
      </c>
      <c r="E201" s="153" t="str">
        <f>PEDIDOS!F201</f>
        <v>M</v>
      </c>
      <c r="F201" s="154" t="str">
        <f>PEDIDOS!M201</f>
        <v>A26044</v>
      </c>
      <c r="G201" s="155">
        <f>-PEDIDOS!B201+EXPEDICION!K201</f>
        <v>15</v>
      </c>
      <c r="H201" s="156">
        <f>EXPEDICION!I201</f>
        <v>0.982</v>
      </c>
    </row>
    <row r="202" ht="15.75" customHeight="1">
      <c r="A202" s="152">
        <f>PEDIDOS!B202</f>
        <v>46119</v>
      </c>
      <c r="B202" s="153" t="str">
        <f>PEDIDOS!C202</f>
        <v/>
      </c>
      <c r="C202" s="153" t="str">
        <f>PEDIDOS!D202</f>
        <v>BIOESENCIA</v>
      </c>
      <c r="D202" s="153" t="str">
        <f>PEDIDOS!E202</f>
        <v>CREMA EXFOLIANTE PROBIOTICS</v>
      </c>
      <c r="E202" s="153" t="str">
        <f>PEDIDOS!F202</f>
        <v>M</v>
      </c>
      <c r="F202" s="154" t="str">
        <f>PEDIDOS!M202</f>
        <v>A26044</v>
      </c>
      <c r="G202" s="155">
        <f>-PEDIDOS!B202+EXPEDICION!K202</f>
        <v>50</v>
      </c>
      <c r="H202" s="156">
        <f>EXPEDICION!I202</f>
        <v>0.99</v>
      </c>
    </row>
    <row r="203" ht="15.75" customHeight="1">
      <c r="A203" s="152">
        <f>PEDIDOS!B203</f>
        <v>46128</v>
      </c>
      <c r="B203" s="153">
        <f>PEDIDOS!C203</f>
        <v>143</v>
      </c>
      <c r="C203" s="153" t="str">
        <f>PEDIDOS!D203</f>
        <v>PROFESSIONAL BEAUTY</v>
      </c>
      <c r="D203" s="153" t="str">
        <f>PEDIDOS!E203</f>
        <v>ADVANCE CONTROL CAIDA</v>
      </c>
      <c r="E203" s="153" t="str">
        <f>PEDIDOS!F203</f>
        <v>P</v>
      </c>
      <c r="F203" s="154" t="str">
        <f>PEDIDOS!M203</f>
        <v>A26068</v>
      </c>
      <c r="G203" s="155">
        <f>-PEDIDOS!B203+EXPEDICION!K203</f>
        <v>12</v>
      </c>
      <c r="H203" s="156">
        <f>EXPEDICION!I203</f>
        <v>0.928</v>
      </c>
    </row>
    <row r="204" ht="15.75" customHeight="1">
      <c r="A204" s="152">
        <f>PEDIDOS!B204</f>
        <v>46128</v>
      </c>
      <c r="B204" s="153">
        <f>PEDIDOS!C204</f>
        <v>143</v>
      </c>
      <c r="C204" s="153" t="str">
        <f>PEDIDOS!D204</f>
        <v>PROFESSIONAL BEAUTY</v>
      </c>
      <c r="D204" s="153" t="str">
        <f>PEDIDOS!E204</f>
        <v>ADVANCE ARG</v>
      </c>
      <c r="E204" s="153" t="str">
        <f>PEDIDOS!F204</f>
        <v>P</v>
      </c>
      <c r="F204" s="154" t="str">
        <f>PEDIDOS!M204</f>
        <v>A26067</v>
      </c>
      <c r="G204" s="155">
        <f>-PEDIDOS!B204+EXPEDICION!K204</f>
        <v>12</v>
      </c>
      <c r="H204" s="156">
        <f>EXPEDICION!I204</f>
        <v>0.984</v>
      </c>
    </row>
    <row r="205" ht="15.75" customHeight="1">
      <c r="A205" s="152">
        <f>PEDIDOS!B205</f>
        <v>46119</v>
      </c>
      <c r="B205" s="153">
        <f>PEDIDOS!C205</f>
        <v>142</v>
      </c>
      <c r="C205" s="153" t="str">
        <f>PEDIDOS!D205</f>
        <v>PROFESSIONAL BEAUTY</v>
      </c>
      <c r="D205" s="153" t="str">
        <f>PEDIDOS!E205</f>
        <v>ADVANCE PLACENTA 5%</v>
      </c>
      <c r="E205" s="153" t="str">
        <f>PEDIDOS!F205</f>
        <v>P</v>
      </c>
      <c r="F205" s="154" t="str">
        <f>PEDIDOS!M205</f>
        <v>A26037</v>
      </c>
      <c r="G205" s="155">
        <f>-PEDIDOS!B205+EXPEDICION!K205</f>
        <v>21</v>
      </c>
      <c r="H205" s="156">
        <f>EXPEDICION!I205</f>
        <v>0.996</v>
      </c>
    </row>
    <row r="206" ht="15.75" customHeight="1">
      <c r="A206" s="152">
        <f>PEDIDOS!B206</f>
        <v>46119</v>
      </c>
      <c r="B206" s="153">
        <f>PEDIDOS!C206</f>
        <v>142</v>
      </c>
      <c r="C206" s="153" t="str">
        <f>PEDIDOS!D206</f>
        <v>PROFESSIONAL BEAUTY</v>
      </c>
      <c r="D206" s="153" t="str">
        <f>PEDIDOS!E206</f>
        <v>BB WHITE TONO 2</v>
      </c>
      <c r="E206" s="153" t="str">
        <f>PEDIDOS!F206</f>
        <v>P</v>
      </c>
      <c r="F206" s="154" t="str">
        <f>PEDIDOS!M206</f>
        <v>A26034</v>
      </c>
      <c r="G206" s="155">
        <f>-PEDIDOS!B206+EXPEDICION!K206</f>
        <v>23</v>
      </c>
      <c r="H206" s="156">
        <f>EXPEDICION!I206</f>
        <v>1</v>
      </c>
    </row>
    <row r="207" ht="15.75" customHeight="1">
      <c r="A207" s="152">
        <f>PEDIDOS!B207</f>
        <v>46119</v>
      </c>
      <c r="B207" s="153">
        <f>PEDIDOS!C207</f>
        <v>142</v>
      </c>
      <c r="C207" s="153" t="str">
        <f>PEDIDOS!D207</f>
        <v>PROFESSIONAL BEAUTY</v>
      </c>
      <c r="D207" s="153" t="str">
        <f>PEDIDOS!E207</f>
        <v>ADVANCE ACIDO HIALURONICO 1%</v>
      </c>
      <c r="E207" s="153" t="str">
        <f>PEDIDOS!F207</f>
        <v>P</v>
      </c>
      <c r="F207" s="154" t="str">
        <f>PEDIDOS!M207</f>
        <v>A26021</v>
      </c>
      <c r="G207" s="155">
        <f>-PEDIDOS!B207+EXPEDICION!K207</f>
        <v>21</v>
      </c>
      <c r="H207" s="156">
        <f>EXPEDICION!I207</f>
        <v>1</v>
      </c>
    </row>
    <row r="208" ht="15.75" customHeight="1">
      <c r="A208" s="152">
        <f>PEDIDOS!B208</f>
        <v>46119</v>
      </c>
      <c r="B208" s="153">
        <f>PEDIDOS!C208</f>
        <v>142</v>
      </c>
      <c r="C208" s="153" t="str">
        <f>PEDIDOS!D208</f>
        <v>PROFESSIONAL BEAUTY</v>
      </c>
      <c r="D208" s="153" t="str">
        <f>PEDIDOS!E208</f>
        <v>ADVANCE VIT C</v>
      </c>
      <c r="E208" s="153" t="str">
        <f>PEDIDOS!F208</f>
        <v>P</v>
      </c>
      <c r="F208" s="154" t="str">
        <f>PEDIDOS!M208</f>
        <v>A26022</v>
      </c>
      <c r="G208" s="155">
        <f>-PEDIDOS!B208+EXPEDICION!K208</f>
        <v>21</v>
      </c>
      <c r="H208" s="156">
        <f>EXPEDICION!I208</f>
        <v>1.024</v>
      </c>
    </row>
    <row r="209" ht="15.75" customHeight="1">
      <c r="A209" s="152">
        <f>PEDIDOS!B209</f>
        <v>46119</v>
      </c>
      <c r="B209" s="153">
        <f>PEDIDOS!C209</f>
        <v>142</v>
      </c>
      <c r="C209" s="153" t="str">
        <f>PEDIDOS!D209</f>
        <v>PROFESSIONAL BEAUTY</v>
      </c>
      <c r="D209" s="153" t="str">
        <f>PEDIDOS!E209</f>
        <v>ADVANCE DMAE 7%</v>
      </c>
      <c r="E209" s="153" t="str">
        <f>PEDIDOS!F209</f>
        <v>P</v>
      </c>
      <c r="F209" s="154" t="str">
        <f>PEDIDOS!M209</f>
        <v>A26036</v>
      </c>
      <c r="G209" s="155">
        <f>-PEDIDOS!B209+EXPEDICION!K209</f>
        <v>21</v>
      </c>
      <c r="H209" s="156">
        <f>EXPEDICION!I209</f>
        <v>1.002</v>
      </c>
    </row>
    <row r="210" ht="15.75" customHeight="1">
      <c r="A210" s="152">
        <f>PEDIDOS!B210</f>
        <v>46119</v>
      </c>
      <c r="B210" s="153">
        <f>PEDIDOS!C210</f>
        <v>142</v>
      </c>
      <c r="C210" s="153" t="str">
        <f>PEDIDOS!D210</f>
        <v>PROFESSIONAL BEAUTY</v>
      </c>
      <c r="D210" s="153" t="str">
        <f>PEDIDOS!E210</f>
        <v>ADVANCE ACIDO HIALURONICO 2%</v>
      </c>
      <c r="E210" s="153" t="str">
        <f>PEDIDOS!F210</f>
        <v>P</v>
      </c>
      <c r="F210" s="154" t="str">
        <f>PEDIDOS!M210</f>
        <v>A26009</v>
      </c>
      <c r="G210" s="155">
        <f>-PEDIDOS!B210+EXPEDICION!K210</f>
        <v>21</v>
      </c>
      <c r="H210" s="156">
        <f>EXPEDICION!I210</f>
        <v>1</v>
      </c>
    </row>
    <row r="211" ht="15.75" customHeight="1">
      <c r="A211" s="152">
        <f>PEDIDOS!B211</f>
        <v>46118</v>
      </c>
      <c r="B211" s="153">
        <f>PEDIDOS!C211</f>
        <v>15231</v>
      </c>
      <c r="C211" s="153" t="str">
        <f>PEDIDOS!D211</f>
        <v>THELMA Y LOUISE</v>
      </c>
      <c r="D211" s="153" t="str">
        <f>PEDIDOS!E211</f>
        <v>BRUMA FACIAL DE ROSAS</v>
      </c>
      <c r="E211" s="153" t="str">
        <f>PEDIDOS!F211</f>
        <v>M</v>
      </c>
      <c r="F211" s="154" t="str">
        <f>PEDIDOS!M211</f>
        <v>A26001</v>
      </c>
      <c r="G211" s="155">
        <f>-PEDIDOS!B211+EXPEDICION!K211</f>
        <v>2</v>
      </c>
      <c r="H211" s="156">
        <f>EXPEDICION!I211</f>
        <v>0.9985740477</v>
      </c>
    </row>
    <row r="212" ht="15.75" customHeight="1">
      <c r="A212" s="152">
        <f>PEDIDOS!B212</f>
        <v>46118</v>
      </c>
      <c r="B212" s="153">
        <f>PEDIDOS!C212</f>
        <v>15228</v>
      </c>
      <c r="C212" s="153" t="str">
        <f>PEDIDOS!D212</f>
        <v>THELMA Y LOUISE</v>
      </c>
      <c r="D212" s="153" t="str">
        <f>PEDIDOS!E212</f>
        <v>AGUA MICELAR BIFASICA</v>
      </c>
      <c r="E212" s="153" t="str">
        <f>PEDIDOS!F212</f>
        <v>M</v>
      </c>
      <c r="F212" s="154">
        <f>PEDIDOS!M212</f>
        <v>70401</v>
      </c>
      <c r="G212" s="155">
        <f>-PEDIDOS!B212+EXPEDICION!K212</f>
        <v>22</v>
      </c>
      <c r="H212" s="156">
        <f>EXPEDICION!I212</f>
        <v>0.9746</v>
      </c>
    </row>
    <row r="213" ht="15.75" customHeight="1">
      <c r="A213" s="152">
        <f>PEDIDOS!B213</f>
        <v>46118</v>
      </c>
      <c r="B213" s="153">
        <f>PEDIDOS!C213</f>
        <v>15233</v>
      </c>
      <c r="C213" s="153" t="str">
        <f>PEDIDOS!D213</f>
        <v>THELMA Y LOUISE</v>
      </c>
      <c r="D213" s="153" t="str">
        <f>PEDIDOS!E213</f>
        <v>BALSAMO LABIAL EXFOLIANTE COCO</v>
      </c>
      <c r="E213" s="153" t="str">
        <f>PEDIDOS!F213</f>
        <v>M</v>
      </c>
      <c r="F213" s="154" t="str">
        <f>PEDIDOS!M213</f>
        <v>A26058</v>
      </c>
      <c r="G213" s="155">
        <f>-PEDIDOS!B213+EXPEDICION!K213</f>
        <v>29</v>
      </c>
      <c r="H213" s="156">
        <f>EXPEDICION!I213</f>
        <v>1.025</v>
      </c>
    </row>
    <row r="214" ht="15.75" customHeight="1">
      <c r="A214" s="152">
        <f>PEDIDOS!B214</f>
        <v>46118</v>
      </c>
      <c r="B214" s="153">
        <f>PEDIDOS!C214</f>
        <v>15233</v>
      </c>
      <c r="C214" s="153" t="str">
        <f>PEDIDOS!D214</f>
        <v>THELMA Y LOUISE</v>
      </c>
      <c r="D214" s="153" t="str">
        <f>PEDIDOS!E214</f>
        <v>BALSAMO LABIAL EXFOLIANTE CORAL SANDIA (CHERRY)</v>
      </c>
      <c r="E214" s="153" t="str">
        <f>PEDIDOS!F214</f>
        <v>M</v>
      </c>
      <c r="F214" s="154" t="str">
        <f>PEDIDOS!M214</f>
        <v>A26069</v>
      </c>
      <c r="G214" s="155">
        <f>-PEDIDOS!B214+EXPEDICION!K214</f>
        <v>29</v>
      </c>
      <c r="H214" s="156">
        <f>EXPEDICION!I214</f>
        <v>0.9833333333</v>
      </c>
    </row>
    <row r="215" ht="15.75" customHeight="1">
      <c r="A215" s="152">
        <f>PEDIDOS!B215</f>
        <v>46118</v>
      </c>
      <c r="B215" s="153">
        <f>PEDIDOS!C215</f>
        <v>15233</v>
      </c>
      <c r="C215" s="153" t="str">
        <f>PEDIDOS!D215</f>
        <v>THELMA Y LOUISE</v>
      </c>
      <c r="D215" s="153" t="str">
        <f>PEDIDOS!E215</f>
        <v>BALSAMO LABIAL ROSA CHICLE</v>
      </c>
      <c r="E215" s="153" t="str">
        <f>PEDIDOS!F215</f>
        <v>M</v>
      </c>
      <c r="F215" s="154" t="str">
        <f>PEDIDOS!M215</f>
        <v>A26031</v>
      </c>
      <c r="G215" s="155">
        <f>-PEDIDOS!B215+EXPEDICION!K215</f>
        <v>29</v>
      </c>
      <c r="H215" s="156">
        <f>EXPEDICION!I215</f>
        <v>0.9088888889</v>
      </c>
    </row>
    <row r="216" ht="15.75" customHeight="1">
      <c r="A216" s="152">
        <f>PEDIDOS!B216</f>
        <v>46121</v>
      </c>
      <c r="B216" s="153" t="str">
        <f>PEDIDOS!C216</f>
        <v/>
      </c>
      <c r="C216" s="153" t="str">
        <f>PEDIDOS!D216</f>
        <v>BL COSMETICS</v>
      </c>
      <c r="D216" s="153" t="str">
        <f>PEDIDOS!E216</f>
        <v>SERUM JOJOBA</v>
      </c>
      <c r="E216" s="153" t="str">
        <f>PEDIDOS!F216</f>
        <v>P</v>
      </c>
      <c r="F216" s="154" t="str">
        <f>PEDIDOS!M216</f>
        <v>A26089</v>
      </c>
      <c r="G216" s="155">
        <f>-PEDIDOS!B216+EXPEDICION!K216</f>
        <v>33</v>
      </c>
      <c r="H216" s="156">
        <f>EXPEDICION!I216</f>
        <v>0.8616</v>
      </c>
    </row>
    <row r="217" ht="15.75" customHeight="1">
      <c r="A217" s="152">
        <f>PEDIDOS!B217</f>
        <v>46121</v>
      </c>
      <c r="B217" s="153" t="str">
        <f>PEDIDOS!C217</f>
        <v/>
      </c>
      <c r="C217" s="153" t="str">
        <f>PEDIDOS!D217</f>
        <v>BL COSMETICS</v>
      </c>
      <c r="D217" s="153" t="str">
        <f>PEDIDOS!E217</f>
        <v>SPRAY REPAIR PLEX</v>
      </c>
      <c r="E217" s="153" t="str">
        <f>PEDIDOS!F217</f>
        <v>P</v>
      </c>
      <c r="F217" s="154" t="str">
        <f>PEDIDOS!M217</f>
        <v>A26081</v>
      </c>
      <c r="G217" s="155">
        <f>-PEDIDOS!B217+EXPEDICION!K217</f>
        <v>36</v>
      </c>
      <c r="H217" s="156">
        <f>EXPEDICION!I217</f>
        <v>0.999</v>
      </c>
    </row>
    <row r="218" ht="15.75" customHeight="1">
      <c r="A218" s="152">
        <f>PEDIDOS!B218</f>
        <v>46121</v>
      </c>
      <c r="B218" s="153" t="str">
        <f>PEDIDOS!C218</f>
        <v/>
      </c>
      <c r="C218" s="153" t="str">
        <f>PEDIDOS!D218</f>
        <v>BL COSMETICS</v>
      </c>
      <c r="D218" s="153" t="str">
        <f>PEDIDOS!E218</f>
        <v>SHAMPOO CONTROL LISS</v>
      </c>
      <c r="E218" s="153" t="str">
        <f>PEDIDOS!F218</f>
        <v>M</v>
      </c>
      <c r="F218" s="154" t="str">
        <f>PEDIDOS!M218</f>
        <v>Y26013</v>
      </c>
      <c r="G218" s="155">
        <f>-PEDIDOS!B218+EXPEDICION!K218</f>
        <v>36</v>
      </c>
      <c r="H218" s="156">
        <f>EXPEDICION!I218</f>
        <v>1.093333333</v>
      </c>
    </row>
    <row r="219" ht="15.75" customHeight="1">
      <c r="A219" s="152">
        <f>PEDIDOS!B219</f>
        <v>46121</v>
      </c>
      <c r="B219" s="153" t="str">
        <f>PEDIDOS!C219</f>
        <v/>
      </c>
      <c r="C219" s="153" t="str">
        <f>PEDIDOS!D219</f>
        <v>BL COSMETICS</v>
      </c>
      <c r="D219" s="153" t="str">
        <f>PEDIDOS!E219</f>
        <v>ACONDICIONADOR CONTROL LISS</v>
      </c>
      <c r="E219" s="153" t="str">
        <f>PEDIDOS!F219</f>
        <v>M</v>
      </c>
      <c r="F219" s="154" t="str">
        <f>PEDIDOS!M219</f>
        <v>Y26014</v>
      </c>
      <c r="G219" s="155">
        <f>-PEDIDOS!B219+EXPEDICION!K219</f>
        <v>29</v>
      </c>
      <c r="H219" s="156">
        <f>EXPEDICION!I219</f>
        <v>1.04</v>
      </c>
    </row>
    <row r="220" ht="15.75" customHeight="1">
      <c r="A220" s="152">
        <f>PEDIDOS!B220</f>
        <v>46121</v>
      </c>
      <c r="B220" s="153" t="str">
        <f>PEDIDOS!C220</f>
        <v/>
      </c>
      <c r="C220" s="153" t="str">
        <f>PEDIDOS!D220</f>
        <v>BL COSMETICS</v>
      </c>
      <c r="D220" s="153" t="str">
        <f>PEDIDOS!E220</f>
        <v>ALISADO KERATIN LISS X1KG</v>
      </c>
      <c r="E220" s="153" t="str">
        <f>PEDIDOS!F220</f>
        <v>M</v>
      </c>
      <c r="F220" s="154" t="str">
        <f>PEDIDOS!M220</f>
        <v>Y26010</v>
      </c>
      <c r="G220" s="155">
        <f>-PEDIDOS!B220+EXPEDICION!K220</f>
        <v>54</v>
      </c>
      <c r="H220" s="156">
        <f>EXPEDICION!I220</f>
        <v>0.952</v>
      </c>
    </row>
    <row r="221" ht="15.75" customHeight="1">
      <c r="A221" s="152">
        <f>PEDIDOS!B221</f>
        <v>46121</v>
      </c>
      <c r="B221" s="153" t="str">
        <f>PEDIDOS!C221</f>
        <v/>
      </c>
      <c r="C221" s="153" t="str">
        <f>PEDIDOS!D221</f>
        <v>BL COSMETICS</v>
      </c>
      <c r="D221" s="153" t="str">
        <f>PEDIDOS!E221</f>
        <v>ALISADO KERATIN LISS</v>
      </c>
      <c r="E221" s="153" t="str">
        <f>PEDIDOS!F221</f>
        <v>P</v>
      </c>
      <c r="F221" s="154" t="str">
        <f>PEDIDOS!M221</f>
        <v>Y26010</v>
      </c>
      <c r="G221" s="155">
        <f>-PEDIDOS!B221+EXPEDICION!K221</f>
        <v>54</v>
      </c>
      <c r="H221" s="156">
        <f>EXPEDICION!I221</f>
        <v>0.983</v>
      </c>
    </row>
    <row r="222" ht="15.75" customHeight="1">
      <c r="A222" s="152">
        <f>PEDIDOS!B222</f>
        <v>46121</v>
      </c>
      <c r="B222" s="153" t="str">
        <f>PEDIDOS!C222</f>
        <v/>
      </c>
      <c r="C222" s="153" t="str">
        <f>PEDIDOS!D222</f>
        <v>BL COSMETICS</v>
      </c>
      <c r="D222" s="153" t="str">
        <f>PEDIDOS!E222</f>
        <v>ALISADO EXPERT X1KG</v>
      </c>
      <c r="E222" s="153" t="str">
        <f>PEDIDOS!F222</f>
        <v>P</v>
      </c>
      <c r="F222" s="154" t="str">
        <f>PEDIDOS!M222</f>
        <v>Y26002</v>
      </c>
      <c r="G222" s="155">
        <f>-PEDIDOS!B222+EXPEDICION!K222</f>
        <v>-27</v>
      </c>
      <c r="H222" s="156">
        <f>EXPEDICION!I222</f>
        <v>0.985</v>
      </c>
    </row>
    <row r="223" ht="15.75" customHeight="1">
      <c r="A223" s="152">
        <f>PEDIDOS!B223</f>
        <v>46122</v>
      </c>
      <c r="B223" s="153" t="str">
        <f>PEDIDOS!C223</f>
        <v/>
      </c>
      <c r="C223" s="153" t="str">
        <f>PEDIDOS!D223</f>
        <v>DERMION / FRANCO</v>
      </c>
      <c r="D223" s="153" t="str">
        <f>PEDIDOS!E223</f>
        <v>SERUM AH + NIACI</v>
      </c>
      <c r="E223" s="153" t="str">
        <f>PEDIDOS!F223</f>
        <v>P</v>
      </c>
      <c r="F223" s="154" t="str">
        <f>PEDIDOS!M223</f>
        <v>A26035</v>
      </c>
      <c r="G223" s="155">
        <f>-PEDIDOS!B223+EXPEDICION!K223</f>
        <v>11</v>
      </c>
      <c r="H223" s="156">
        <f>EXPEDICION!I223</f>
        <v>1.09</v>
      </c>
    </row>
    <row r="224" ht="15.75" customHeight="1">
      <c r="A224" s="152">
        <f>PEDIDOS!B224</f>
        <v>46126</v>
      </c>
      <c r="B224" s="153" t="str">
        <f>PEDIDOS!C224</f>
        <v/>
      </c>
      <c r="C224" s="153" t="str">
        <f>PEDIDOS!D224</f>
        <v>AGUEDA REY - YOUTHFUL</v>
      </c>
      <c r="D224" s="153" t="str">
        <f>PEDIDOS!E224</f>
        <v>Crema facial Dia (Version D250215/2)</v>
      </c>
      <c r="E224" s="153" t="str">
        <f>PEDIDOS!F224</f>
        <v>P</v>
      </c>
      <c r="F224" s="154" t="str">
        <f>PEDIDOS!M224</f>
        <v>A26085</v>
      </c>
      <c r="G224" s="155">
        <f>-PEDIDOS!B224+EXPEDICION!K224</f>
        <v>22</v>
      </c>
      <c r="H224" s="156">
        <f>EXPEDICION!I224</f>
        <v>0.939</v>
      </c>
    </row>
    <row r="225" ht="15.75" customHeight="1">
      <c r="A225" s="152">
        <f>PEDIDOS!B225</f>
        <v>46126</v>
      </c>
      <c r="B225" s="153" t="str">
        <f>PEDIDOS!C225</f>
        <v/>
      </c>
      <c r="C225" s="153" t="str">
        <f>PEDIDOS!D225</f>
        <v>AGUEDA REY - YOUTHFUL</v>
      </c>
      <c r="D225" s="153" t="str">
        <f>PEDIDOS!E225</f>
        <v>Bruma facial Version D250211/2 (B)</v>
      </c>
      <c r="E225" s="153" t="str">
        <f>PEDIDOS!F225</f>
        <v>P</v>
      </c>
      <c r="F225" s="154" t="str">
        <f>PEDIDOS!M225</f>
        <v>A26086</v>
      </c>
      <c r="G225" s="155">
        <f>-PEDIDOS!B225+EXPEDICION!K225</f>
        <v>22</v>
      </c>
      <c r="H225" s="156">
        <f>EXPEDICION!I225</f>
        <v>0.977</v>
      </c>
    </row>
    <row r="226" ht="15.75" customHeight="1">
      <c r="A226" s="152">
        <f>PEDIDOS!B226</f>
        <v>46127</v>
      </c>
      <c r="B226" s="153" t="str">
        <f>PEDIDOS!C226</f>
        <v/>
      </c>
      <c r="C226" s="153" t="str">
        <f>PEDIDOS!D226</f>
        <v>LUCENT</v>
      </c>
      <c r="D226" s="153" t="str">
        <f>PEDIDOS!E226</f>
        <v>Serum hial 1%</v>
      </c>
      <c r="E226" s="153" t="str">
        <f>PEDIDOS!F226</f>
        <v>P</v>
      </c>
      <c r="F226" s="154" t="str">
        <f>PEDIDOS!M226</f>
        <v>A26054</v>
      </c>
      <c r="G226" s="155">
        <f>-PEDIDOS!B226+EXPEDICION!K226</f>
        <v>26</v>
      </c>
      <c r="H226" s="156">
        <f>EXPEDICION!I226</f>
        <v>0.988</v>
      </c>
    </row>
    <row r="227" ht="15.75" customHeight="1">
      <c r="A227" s="152">
        <f>PEDIDOS!B227</f>
        <v>46127</v>
      </c>
      <c r="B227" s="153" t="str">
        <f>PEDIDOS!C227</f>
        <v/>
      </c>
      <c r="C227" s="153" t="str">
        <f>PEDIDOS!D227</f>
        <v>LUCENT</v>
      </c>
      <c r="D227" s="153" t="str">
        <f>PEDIDOS!E227</f>
        <v>Serum hial 2%</v>
      </c>
      <c r="E227" s="153" t="str">
        <f>PEDIDOS!F227</f>
        <v>P</v>
      </c>
      <c r="F227" s="154" t="str">
        <f>PEDIDOS!M227</f>
        <v>A26055</v>
      </c>
      <c r="G227" s="155">
        <f>-PEDIDOS!B227+EXPEDICION!K227</f>
        <v>26</v>
      </c>
      <c r="H227" s="156">
        <f>EXPEDICION!I227</f>
        <v>1.029</v>
      </c>
    </row>
    <row r="228" ht="15.75" customHeight="1">
      <c r="A228" s="152">
        <f>PEDIDOS!B228</f>
        <v>46127</v>
      </c>
      <c r="B228" s="153" t="str">
        <f>PEDIDOS!C228</f>
        <v/>
      </c>
      <c r="C228" s="153" t="str">
        <f>PEDIDOS!D228</f>
        <v>LUCENT</v>
      </c>
      <c r="D228" s="153" t="str">
        <f>PEDIDOS!E228</f>
        <v>Serum colageno y elastina</v>
      </c>
      <c r="E228" s="153" t="str">
        <f>PEDIDOS!F228</f>
        <v>P</v>
      </c>
      <c r="F228" s="154" t="str">
        <f>PEDIDOS!M228</f>
        <v>A26056</v>
      </c>
      <c r="G228" s="155">
        <f>-PEDIDOS!B228+EXPEDICION!K228</f>
        <v>27</v>
      </c>
      <c r="H228" s="156">
        <f>EXPEDICION!I228</f>
        <v>0.98</v>
      </c>
    </row>
    <row r="229" ht="15.75" customHeight="1">
      <c r="A229" s="152">
        <f>PEDIDOS!B229</f>
        <v>46127</v>
      </c>
      <c r="B229" s="153" t="str">
        <f>PEDIDOS!C229</f>
        <v/>
      </c>
      <c r="C229" s="153" t="str">
        <f>PEDIDOS!D229</f>
        <v>LUCENT</v>
      </c>
      <c r="D229" s="153" t="str">
        <f>PEDIDOS!E229</f>
        <v>Serum argireline</v>
      </c>
      <c r="E229" s="153" t="str">
        <f>PEDIDOS!F229</f>
        <v>P</v>
      </c>
      <c r="F229" s="154" t="str">
        <f>PEDIDOS!M229</f>
        <v>A26057</v>
      </c>
      <c r="G229" s="155">
        <f>-PEDIDOS!B229+EXPEDICION!K229</f>
        <v>27</v>
      </c>
      <c r="H229" s="156">
        <f>EXPEDICION!I229</f>
        <v>0.988</v>
      </c>
    </row>
    <row r="230" ht="15.75" customHeight="1">
      <c r="A230" s="152">
        <f>PEDIDOS!B230</f>
        <v>46127</v>
      </c>
      <c r="B230" s="153" t="str">
        <f>PEDIDOS!C230</f>
        <v/>
      </c>
      <c r="C230" s="153" t="str">
        <f>PEDIDOS!D230</f>
        <v>LUCENT</v>
      </c>
      <c r="D230" s="153" t="str">
        <f>PEDIDOS!E230</f>
        <v>Serum dmae</v>
      </c>
      <c r="E230" s="153" t="str">
        <f>PEDIDOS!F230</f>
        <v>P</v>
      </c>
      <c r="F230" s="154" t="str">
        <f>PEDIDOS!M230</f>
        <v>A26066</v>
      </c>
      <c r="G230" s="155">
        <f>-PEDIDOS!B230+EXPEDICION!K230</f>
        <v>27</v>
      </c>
      <c r="H230" s="156">
        <f>EXPEDICION!I230</f>
        <v>0.972</v>
      </c>
    </row>
    <row r="231" ht="15.75" customHeight="1">
      <c r="A231" s="152">
        <f>PEDIDOS!B231</f>
        <v>46127</v>
      </c>
      <c r="B231" s="153" t="str">
        <f>PEDIDOS!C231</f>
        <v/>
      </c>
      <c r="C231" s="153" t="str">
        <f>PEDIDOS!D231</f>
        <v>LUCENT</v>
      </c>
      <c r="D231" s="153" t="str">
        <f>PEDIDOS!E231</f>
        <v>Serum shock vit</v>
      </c>
      <c r="E231" s="153" t="str">
        <f>PEDIDOS!F231</f>
        <v>P</v>
      </c>
      <c r="F231" s="154" t="str">
        <f>PEDIDOS!M231</f>
        <v>A26059</v>
      </c>
      <c r="G231" s="155">
        <f>-PEDIDOS!B231+EXPEDICION!K231</f>
        <v>27</v>
      </c>
      <c r="H231" s="156">
        <f>EXPEDICION!I231</f>
        <v>1.018</v>
      </c>
    </row>
    <row r="232" ht="15.75" customHeight="1">
      <c r="A232" s="152">
        <f>PEDIDOS!B232</f>
        <v>46127</v>
      </c>
      <c r="B232" s="153" t="str">
        <f>PEDIDOS!C232</f>
        <v/>
      </c>
      <c r="C232" s="153" t="str">
        <f>PEDIDOS!D232</f>
        <v>LUCENT</v>
      </c>
      <c r="D232" s="153" t="str">
        <f>PEDIDOS!E232</f>
        <v>Serum fosfatidilcolina</v>
      </c>
      <c r="E232" s="153" t="str">
        <f>PEDIDOS!F232</f>
        <v>P</v>
      </c>
      <c r="F232" s="154" t="str">
        <f>PEDIDOS!M232</f>
        <v>A26060</v>
      </c>
      <c r="G232" s="155">
        <f>-PEDIDOS!B232+EXPEDICION!K232</f>
        <v>27</v>
      </c>
      <c r="H232" s="156">
        <f>EXPEDICION!I232</f>
        <v>1</v>
      </c>
    </row>
    <row r="233" ht="15.75" customHeight="1">
      <c r="A233" s="152">
        <f>PEDIDOS!B233</f>
        <v>46127</v>
      </c>
      <c r="B233" s="153" t="str">
        <f>PEDIDOS!C233</f>
        <v/>
      </c>
      <c r="C233" s="153" t="str">
        <f>PEDIDOS!D233</f>
        <v>LUCENT</v>
      </c>
      <c r="D233" s="153" t="str">
        <f>PEDIDOS!E233</f>
        <v>Serum P+ (peptide)</v>
      </c>
      <c r="E233" s="153" t="str">
        <f>PEDIDOS!F233</f>
        <v>P</v>
      </c>
      <c r="F233" s="154" t="str">
        <f>PEDIDOS!M233</f>
        <v>A26061</v>
      </c>
      <c r="G233" s="155">
        <f>-PEDIDOS!B233+EXPEDICION!K233</f>
        <v>14</v>
      </c>
      <c r="H233" s="156">
        <f>EXPEDICION!I233</f>
        <v>1.008</v>
      </c>
    </row>
    <row r="234" ht="15.75" customHeight="1">
      <c r="A234" s="152">
        <f>PEDIDOS!B234</f>
        <v>46127</v>
      </c>
      <c r="B234" s="153" t="str">
        <f>PEDIDOS!C234</f>
        <v/>
      </c>
      <c r="C234" s="153" t="str">
        <f>PEDIDOS!D234</f>
        <v>LUCENT</v>
      </c>
      <c r="D234" s="153" t="str">
        <f>PEDIDOS!E234</f>
        <v>Serum adn</v>
      </c>
      <c r="E234" s="153" t="str">
        <f>PEDIDOS!F234</f>
        <v>P</v>
      </c>
      <c r="F234" s="154" t="str">
        <f>PEDIDOS!M234</f>
        <v>A26062</v>
      </c>
      <c r="G234" s="155">
        <f>-PEDIDOS!B234+EXPEDICION!K234</f>
        <v>27</v>
      </c>
      <c r="H234" s="156">
        <f>EXPEDICION!I234</f>
        <v>1.034</v>
      </c>
    </row>
    <row r="235" ht="15.75" customHeight="1">
      <c r="A235" s="152">
        <f>PEDIDOS!B235</f>
        <v>46127</v>
      </c>
      <c r="B235" s="153" t="str">
        <f>PEDIDOS!C235</f>
        <v/>
      </c>
      <c r="C235" s="153" t="str">
        <f>PEDIDOS!D235</f>
        <v>LUCENT</v>
      </c>
      <c r="D235" s="153" t="str">
        <f>PEDIDOS!E235</f>
        <v>melena de leon</v>
      </c>
      <c r="E235" s="153" t="str">
        <f>PEDIDOS!F235</f>
        <v>P</v>
      </c>
      <c r="F235" s="154" t="str">
        <f>PEDIDOS!M235</f>
        <v>A26063</v>
      </c>
      <c r="G235" s="155">
        <f>-PEDIDOS!B235+EXPEDICION!K235</f>
        <v>-10</v>
      </c>
      <c r="H235" s="156">
        <f>EXPEDICION!I235</f>
        <v>0.97</v>
      </c>
    </row>
    <row r="236" ht="15.75" customHeight="1">
      <c r="A236" s="152">
        <f>PEDIDOS!B236</f>
        <v>46127</v>
      </c>
      <c r="B236" s="153" t="str">
        <f>PEDIDOS!C236</f>
        <v/>
      </c>
      <c r="C236" s="153" t="str">
        <f>PEDIDOS!D236</f>
        <v>LUCENT</v>
      </c>
      <c r="D236" s="153" t="str">
        <f>PEDIDOS!E236</f>
        <v>reishi</v>
      </c>
      <c r="E236" s="153" t="str">
        <f>PEDIDOS!F236</f>
        <v>P</v>
      </c>
      <c r="F236" s="154" t="str">
        <f>PEDIDOS!M236</f>
        <v>A26064</v>
      </c>
      <c r="G236" s="155">
        <f>-PEDIDOS!B236+EXPEDICION!K236</f>
        <v>-10</v>
      </c>
      <c r="H236" s="156">
        <f>EXPEDICION!I236</f>
        <v>1.006</v>
      </c>
    </row>
    <row r="237" ht="15.75" customHeight="1">
      <c r="A237" s="152">
        <f>PEDIDOS!B237</f>
        <v>46127</v>
      </c>
      <c r="B237" s="153" t="str">
        <f>PEDIDOS!C237</f>
        <v/>
      </c>
      <c r="C237" s="153" t="str">
        <f>PEDIDOS!D237</f>
        <v>LUCENT</v>
      </c>
      <c r="D237" s="153" t="str">
        <f>PEDIDOS!E237</f>
        <v>Ashwaganda</v>
      </c>
      <c r="E237" s="153" t="str">
        <f>PEDIDOS!F237</f>
        <v>P</v>
      </c>
      <c r="F237" s="154" t="str">
        <f>PEDIDOS!M237</f>
        <v>A26065</v>
      </c>
      <c r="G237" s="155">
        <f>-PEDIDOS!B237+EXPEDICION!K237</f>
        <v>-10</v>
      </c>
      <c r="H237" s="156">
        <f>EXPEDICION!I237</f>
        <v>1.02</v>
      </c>
    </row>
    <row r="238" ht="15.75" customHeight="1">
      <c r="A238" s="152">
        <f>PEDIDOS!B238</f>
        <v>46127</v>
      </c>
      <c r="B238" s="153">
        <f>PEDIDOS!C238</f>
        <v>15254</v>
      </c>
      <c r="C238" s="153" t="str">
        <f>PEDIDOS!D238</f>
        <v>THELMA Y LOUISE</v>
      </c>
      <c r="D238" s="153" t="str">
        <f>PEDIDOS!E238</f>
        <v>SERUM FACIAL PORCELANA</v>
      </c>
      <c r="E238" s="153" t="str">
        <f>PEDIDOS!F238</f>
        <v>M</v>
      </c>
      <c r="F238" s="154" t="str">
        <f>PEDIDOS!M238</f>
        <v>A26071</v>
      </c>
      <c r="G238" s="155">
        <f>-PEDIDOS!B238+EXPEDICION!K238</f>
        <v>-8</v>
      </c>
      <c r="H238" s="156">
        <f>EXPEDICION!I238</f>
        <v>1.081349206</v>
      </c>
    </row>
    <row r="239" ht="15.75" customHeight="1">
      <c r="A239" s="152">
        <f>PEDIDOS!B239</f>
        <v>46127</v>
      </c>
      <c r="B239" s="153">
        <f>PEDIDOS!C239</f>
        <v>15254</v>
      </c>
      <c r="C239" s="153" t="str">
        <f>PEDIDOS!D239</f>
        <v>THELMA Y LOUISE</v>
      </c>
      <c r="D239" s="153" t="str">
        <f>PEDIDOS!E239</f>
        <v>SERUM FACIAL HIDRATANTE</v>
      </c>
      <c r="E239" s="153" t="str">
        <f>PEDIDOS!F239</f>
        <v>M</v>
      </c>
      <c r="F239" s="154" t="str">
        <f>PEDIDOS!M239</f>
        <v>A26070</v>
      </c>
      <c r="G239" s="155">
        <f>-PEDIDOS!B239+EXPEDICION!K239</f>
        <v>-8</v>
      </c>
      <c r="H239" s="156">
        <f>EXPEDICION!I239</f>
        <v>0.9689153439</v>
      </c>
    </row>
    <row r="240" ht="15.75" customHeight="1">
      <c r="A240" s="152">
        <f>PEDIDOS!B240</f>
        <v>46127</v>
      </c>
      <c r="B240" s="153">
        <f>PEDIDOS!C240</f>
        <v>15255</v>
      </c>
      <c r="C240" s="153" t="str">
        <f>PEDIDOS!D240</f>
        <v>THELMA Y LOUISE</v>
      </c>
      <c r="D240" s="153" t="str">
        <f>PEDIDOS!E240</f>
        <v>AGUA TERMAL</v>
      </c>
      <c r="E240" s="153" t="str">
        <f>PEDIDOS!F240</f>
        <v>M</v>
      </c>
      <c r="F240" s="154" t="str">
        <f>PEDIDOS!M240</f>
        <v>Y26026</v>
      </c>
      <c r="G240" s="155">
        <f>-PEDIDOS!B240+EXPEDICION!K240</f>
        <v>34</v>
      </c>
      <c r="H240" s="156">
        <f>EXPEDICION!I240</f>
        <v>0.9912698413</v>
      </c>
    </row>
    <row r="241" ht="15.75" customHeight="1">
      <c r="A241" s="152">
        <f>PEDIDOS!B241</f>
        <v>46127</v>
      </c>
      <c r="B241" s="153">
        <f>PEDIDOS!C241</f>
        <v>15255</v>
      </c>
      <c r="C241" s="153" t="str">
        <f>PEDIDOS!D241</f>
        <v>THELMA Y LOUISE</v>
      </c>
      <c r="D241" s="153" t="str">
        <f>PEDIDOS!E241</f>
        <v>DESENRREDANTE BIFASICO</v>
      </c>
      <c r="E241" s="153" t="str">
        <f>PEDIDOS!F241</f>
        <v>M</v>
      </c>
      <c r="F241" s="154" t="str">
        <f>PEDIDOS!M241</f>
        <v>Y26016</v>
      </c>
      <c r="G241" s="155">
        <f>-PEDIDOS!B241+EXPEDICION!K241</f>
        <v>26</v>
      </c>
      <c r="H241" s="156">
        <f>EXPEDICION!I241</f>
        <v>0.9345238095</v>
      </c>
    </row>
    <row r="242" ht="15.75" customHeight="1">
      <c r="A242" s="152">
        <f>PEDIDOS!B242</f>
        <v>46127</v>
      </c>
      <c r="B242" s="153" t="str">
        <f>PEDIDOS!C242</f>
        <v/>
      </c>
      <c r="C242" s="153" t="str">
        <f>PEDIDOS!D242</f>
        <v>ECODERM - DUGA</v>
      </c>
      <c r="D242" s="153" t="str">
        <f>PEDIDOS!E242</f>
        <v>SHAMPOO INFANTIL</v>
      </c>
      <c r="E242" s="153" t="str">
        <f>PEDIDOS!F242</f>
        <v>P</v>
      </c>
      <c r="F242" s="154" t="str">
        <f>PEDIDOS!M242</f>
        <v>A26038</v>
      </c>
      <c r="G242" s="155">
        <f>-PEDIDOS!B242+EXPEDICION!K242</f>
        <v>15</v>
      </c>
      <c r="H242" s="156">
        <f>EXPEDICION!I242</f>
        <v>0.9433333333</v>
      </c>
    </row>
    <row r="243" ht="15.75" customHeight="1">
      <c r="A243" s="152">
        <f>PEDIDOS!B243</f>
        <v>46127</v>
      </c>
      <c r="B243" s="153" t="str">
        <f>PEDIDOS!C243</f>
        <v/>
      </c>
      <c r="C243" s="153" t="str">
        <f>PEDIDOS!D243</f>
        <v>ECODERM - DUGA</v>
      </c>
      <c r="D243" s="153" t="str">
        <f>PEDIDOS!E243</f>
        <v>CREMA INFANTIL</v>
      </c>
      <c r="E243" s="153" t="str">
        <f>PEDIDOS!F243</f>
        <v>P</v>
      </c>
      <c r="F243" s="154" t="str">
        <f>PEDIDOS!M243</f>
        <v>A26033</v>
      </c>
      <c r="G243" s="155">
        <f>-PEDIDOS!B243+EXPEDICION!K243</f>
        <v>15</v>
      </c>
      <c r="H243" s="156">
        <f>EXPEDICION!I243</f>
        <v>0.9566666667</v>
      </c>
    </row>
    <row r="244" ht="15.75" customHeight="1">
      <c r="A244" s="152">
        <f>PEDIDOS!B244</f>
        <v>46129</v>
      </c>
      <c r="B244" s="153" t="str">
        <f>PEDIDOS!C244</f>
        <v/>
      </c>
      <c r="C244" s="153" t="str">
        <f>PEDIDOS!D244</f>
        <v>LUCENT</v>
      </c>
      <c r="D244" s="153" t="str">
        <f>PEDIDOS!E244</f>
        <v>CREMA HANDS AND FEET </v>
      </c>
      <c r="E244" s="153" t="str">
        <f>PEDIDOS!F244</f>
        <v>P</v>
      </c>
      <c r="F244" s="154" t="str">
        <f>PEDIDOS!M244</f>
        <v>A26087</v>
      </c>
      <c r="G244" s="155">
        <f>-PEDIDOS!B244+EXPEDICION!K244</f>
        <v>12</v>
      </c>
      <c r="H244" s="156">
        <f>EXPEDICION!I244</f>
        <v>0.986</v>
      </c>
    </row>
    <row r="245" ht="15.75" customHeight="1">
      <c r="A245" s="152">
        <f>PEDIDOS!B245</f>
        <v>46133</v>
      </c>
      <c r="B245" s="153">
        <f>PEDIDOS!C245</f>
        <v>788</v>
      </c>
      <c r="C245" s="153" t="str">
        <f>PEDIDOS!D245</f>
        <v>CAV</v>
      </c>
      <c r="D245" s="153" t="str">
        <f>PEDIDOS!E245</f>
        <v>SHAMPOO BIO MOLECULAR VITAMIN SHOCK</v>
      </c>
      <c r="E245" s="153" t="str">
        <f>PEDIDOS!F245</f>
        <v>M</v>
      </c>
      <c r="F245" s="154" t="str">
        <f>PEDIDOS!M245</f>
        <v>A26077</v>
      </c>
      <c r="G245" s="155">
        <f>-PEDIDOS!B245+EXPEDICION!K245</f>
        <v>23</v>
      </c>
      <c r="H245" s="156">
        <f>EXPEDICION!I245</f>
        <v>1.005</v>
      </c>
    </row>
    <row r="246" ht="15.75" customHeight="1">
      <c r="A246" s="152">
        <f>PEDIDOS!B246</f>
        <v>46133</v>
      </c>
      <c r="B246" s="153">
        <f>PEDIDOS!C246</f>
        <v>788</v>
      </c>
      <c r="C246" s="153" t="str">
        <f>PEDIDOS!D246</f>
        <v>CAV</v>
      </c>
      <c r="D246" s="153" t="str">
        <f>PEDIDOS!E246</f>
        <v>SHAMPOO BIO MOLECULAR VITAMIN SHOCK X900ML</v>
      </c>
      <c r="E246" s="153" t="str">
        <f>PEDIDOS!F246</f>
        <v>M</v>
      </c>
      <c r="F246" s="154" t="str">
        <f>PEDIDOS!M246</f>
        <v>A26077</v>
      </c>
      <c r="G246" s="155">
        <f>-PEDIDOS!B246+EXPEDICION!K246</f>
        <v>23</v>
      </c>
      <c r="H246" s="156">
        <f>EXPEDICION!I246</f>
        <v>1.04</v>
      </c>
    </row>
    <row r="247" ht="15.75" customHeight="1">
      <c r="A247" s="152">
        <f>PEDIDOS!B247</f>
        <v>46133</v>
      </c>
      <c r="B247" s="153">
        <f>PEDIDOS!C247</f>
        <v>788</v>
      </c>
      <c r="C247" s="153" t="str">
        <f>PEDIDOS!D247</f>
        <v>CAV</v>
      </c>
      <c r="D247" s="153" t="str">
        <f>PEDIDOS!E247</f>
        <v>CONDITIONER BIO MOLECULAR VITAMIN SHOCK </v>
      </c>
      <c r="E247" s="153" t="str">
        <f>PEDIDOS!F247</f>
        <v>M</v>
      </c>
      <c r="F247" s="154" t="str">
        <f>PEDIDOS!M247</f>
        <v>A26093</v>
      </c>
      <c r="G247" s="155">
        <f>-PEDIDOS!B247+EXPEDICION!K247</f>
        <v>22</v>
      </c>
      <c r="H247" s="156">
        <f>EXPEDICION!I247</f>
        <v>1.0025</v>
      </c>
    </row>
    <row r="248" ht="15.75" customHeight="1">
      <c r="A248" s="152">
        <f>PEDIDOS!B248</f>
        <v>46133</v>
      </c>
      <c r="B248" s="153">
        <f>PEDIDOS!C248</f>
        <v>788</v>
      </c>
      <c r="C248" s="153" t="str">
        <f>PEDIDOS!D248</f>
        <v>CAV</v>
      </c>
      <c r="D248" s="153" t="str">
        <f>PEDIDOS!E248</f>
        <v>CONDITIONER BIO MOLECULAR VITAMIN SHOCK  X900</v>
      </c>
      <c r="E248" s="153" t="str">
        <f>PEDIDOS!F248</f>
        <v>M</v>
      </c>
      <c r="F248" s="154" t="str">
        <f>PEDIDOS!M248</f>
        <v>M26100 / A26093</v>
      </c>
      <c r="G248" s="155">
        <f>-PEDIDOS!B248+EXPEDICION!K248</f>
        <v>-15</v>
      </c>
      <c r="H248" s="156">
        <f>EXPEDICION!I248</f>
        <v>1.633333333</v>
      </c>
    </row>
    <row r="249" ht="15.75" customHeight="1">
      <c r="A249" s="152">
        <f>PEDIDOS!B249</f>
        <v>46133</v>
      </c>
      <c r="B249" s="153">
        <f>PEDIDOS!C249</f>
        <v>788</v>
      </c>
      <c r="C249" s="153" t="str">
        <f>PEDIDOS!D249</f>
        <v>CAV</v>
      </c>
      <c r="D249" s="153" t="str">
        <f>PEDIDOS!E249</f>
        <v>SERUM BIO MOLECULAR VITAMIN SHOCK</v>
      </c>
      <c r="E249" s="153" t="str">
        <f>PEDIDOS!F249</f>
        <v>P</v>
      </c>
      <c r="F249" s="154" t="str">
        <f>PEDIDOS!M249</f>
        <v>J26040</v>
      </c>
      <c r="G249" s="155">
        <f>-PEDIDOS!B249+EXPEDICION!K249</f>
        <v>69</v>
      </c>
      <c r="H249" s="156">
        <f>EXPEDICION!I249</f>
        <v>1.04</v>
      </c>
    </row>
    <row r="250" ht="15.75" customHeight="1">
      <c r="A250" s="152">
        <f>PEDIDOS!B250</f>
        <v>46133</v>
      </c>
      <c r="B250" s="153">
        <f>PEDIDOS!C250</f>
        <v>788</v>
      </c>
      <c r="C250" s="153" t="str">
        <f>PEDIDOS!D250</f>
        <v>CAV</v>
      </c>
      <c r="D250" s="153" t="str">
        <f>PEDIDOS!E250</f>
        <v>SHAMPOO BIONIC X900ML</v>
      </c>
      <c r="E250" s="153" t="str">
        <f>PEDIDOS!F250</f>
        <v>M</v>
      </c>
      <c r="F250" s="154" t="str">
        <f>PEDIDOS!M250</f>
        <v>A26005</v>
      </c>
      <c r="G250" s="155">
        <f>-PEDIDOS!B250+EXPEDICION!K250</f>
        <v>24</v>
      </c>
      <c r="H250" s="156">
        <f>EXPEDICION!I250</f>
        <v>1.04</v>
      </c>
    </row>
    <row r="251" ht="15.75" customHeight="1">
      <c r="A251" s="152">
        <f>PEDIDOS!B251</f>
        <v>46133</v>
      </c>
      <c r="B251" s="153">
        <f>PEDIDOS!C251</f>
        <v>788</v>
      </c>
      <c r="C251" s="153" t="str">
        <f>PEDIDOS!D251</f>
        <v>CAV</v>
      </c>
      <c r="D251" s="153" t="str">
        <f>PEDIDOS!E251</f>
        <v>BALSAMO BIONIC X900ML</v>
      </c>
      <c r="E251" s="153" t="str">
        <f>PEDIDOS!F251</f>
        <v>M</v>
      </c>
      <c r="F251" s="154" t="str">
        <f>PEDIDOS!M251</f>
        <v>A26006</v>
      </c>
      <c r="G251" s="155">
        <f>-PEDIDOS!B251+EXPEDICION!K251</f>
        <v>24</v>
      </c>
      <c r="H251" s="156">
        <f>EXPEDICION!I251</f>
        <v>1.12</v>
      </c>
    </row>
    <row r="252" ht="15.75" customHeight="1">
      <c r="A252" s="152">
        <f>PEDIDOS!B252</f>
        <v>46133</v>
      </c>
      <c r="B252" s="153">
        <f>PEDIDOS!C252</f>
        <v>788</v>
      </c>
      <c r="C252" s="153" t="str">
        <f>PEDIDOS!D252</f>
        <v>CAV</v>
      </c>
      <c r="D252" s="153" t="str">
        <f>PEDIDOS!E252</f>
        <v>Rebond C-Plex CAV x 500 ml (Paso 1)</v>
      </c>
      <c r="E252" s="153" t="str">
        <f>PEDIDOS!F252</f>
        <v>M</v>
      </c>
      <c r="F252" s="154" t="str">
        <f>PEDIDOS!M252</f>
        <v>M26062</v>
      </c>
      <c r="G252" s="155">
        <f>-PEDIDOS!B252+EXPEDICION!K252</f>
        <v>24</v>
      </c>
      <c r="H252" s="156">
        <f>EXPEDICION!I252</f>
        <v>0.9733333333</v>
      </c>
    </row>
    <row r="253" ht="15.75" customHeight="1">
      <c r="A253" s="152">
        <f>PEDIDOS!B253</f>
        <v>46133</v>
      </c>
      <c r="B253" s="153">
        <f>PEDIDOS!C253</f>
        <v>788</v>
      </c>
      <c r="C253" s="153" t="str">
        <f>PEDIDOS!D253</f>
        <v>CAV</v>
      </c>
      <c r="D253" s="153" t="str">
        <f>PEDIDOS!E253</f>
        <v>Finishing C-Plex CAV x 500 ml (Paso 2)</v>
      </c>
      <c r="E253" s="153" t="str">
        <f>PEDIDOS!F253</f>
        <v>M</v>
      </c>
      <c r="F253" s="154" t="str">
        <f>PEDIDOS!M253</f>
        <v>M26061</v>
      </c>
      <c r="G253" s="155">
        <f>-PEDIDOS!B253+EXPEDICION!K253</f>
        <v>24</v>
      </c>
      <c r="H253" s="156">
        <f>EXPEDICION!I253</f>
        <v>0.9733333333</v>
      </c>
    </row>
    <row r="254" ht="15.75" customHeight="1">
      <c r="A254" s="152">
        <f>PEDIDOS!B254</f>
        <v>46134</v>
      </c>
      <c r="B254" s="153">
        <f>PEDIDOS!C254</f>
        <v>1083</v>
      </c>
      <c r="C254" s="153" t="str">
        <f>PEDIDOS!D254</f>
        <v>NIZA</v>
      </c>
      <c r="D254" s="153" t="str">
        <f>PEDIDOS!E254</f>
        <v>AQUA BOMB RICH</v>
      </c>
      <c r="E254" s="153" t="str">
        <f>PEDIDOS!F254</f>
        <v>P</v>
      </c>
      <c r="F254" s="154" t="str">
        <f>PEDIDOS!M254</f>
        <v>A2094</v>
      </c>
      <c r="G254" s="155">
        <f>-PEDIDOS!B254+EXPEDICION!K254</f>
        <v>28</v>
      </c>
      <c r="H254" s="156">
        <f>EXPEDICION!I254</f>
        <v>1.146666667</v>
      </c>
    </row>
    <row r="255" ht="15.75" customHeight="1">
      <c r="A255" s="152">
        <f>PEDIDOS!B255</f>
        <v>46134</v>
      </c>
      <c r="B255" s="153">
        <f>PEDIDOS!C255</f>
        <v>1083</v>
      </c>
      <c r="C255" s="153" t="str">
        <f>PEDIDOS!D255</f>
        <v>NIZA</v>
      </c>
      <c r="D255" s="153" t="str">
        <f>PEDIDOS!E255</f>
        <v>BRIGHT AND WITHE EYES</v>
      </c>
      <c r="E255" s="153" t="str">
        <f>PEDIDOS!F255</f>
        <v>P</v>
      </c>
      <c r="F255" s="154" t="str">
        <f>PEDIDOS!M255</f>
        <v>A26095</v>
      </c>
      <c r="G255" s="155">
        <f>-PEDIDOS!B255+EXPEDICION!K255</f>
        <v>27</v>
      </c>
      <c r="H255" s="156">
        <f>EXPEDICION!I255</f>
        <v>0.9959183673</v>
      </c>
    </row>
    <row r="256" ht="15.75" customHeight="1">
      <c r="A256" s="152">
        <f>PEDIDOS!B256</f>
        <v>46134</v>
      </c>
      <c r="B256" s="153">
        <f>PEDIDOS!C256</f>
        <v>1083</v>
      </c>
      <c r="C256" s="153" t="str">
        <f>PEDIDOS!D256</f>
        <v>NIZA</v>
      </c>
      <c r="D256" s="153" t="str">
        <f>PEDIDOS!E256</f>
        <v>SIGNATURE BLEND PRO AGE</v>
      </c>
      <c r="E256" s="153" t="str">
        <f>PEDIDOS!F256</f>
        <v>P</v>
      </c>
      <c r="F256" s="154" t="str">
        <f>PEDIDOS!M256</f>
        <v>A26096</v>
      </c>
      <c r="G256" s="155">
        <f>-PEDIDOS!B256+EXPEDICION!K256</f>
        <v>29</v>
      </c>
      <c r="H256" s="156">
        <f>EXPEDICION!I256</f>
        <v>1.06</v>
      </c>
    </row>
    <row r="257" ht="15.75" customHeight="1">
      <c r="A257" s="152">
        <f>PEDIDOS!B257</f>
        <v>46134</v>
      </c>
      <c r="B257" s="153">
        <f>PEDIDOS!C257</f>
        <v>1083</v>
      </c>
      <c r="C257" s="153" t="str">
        <f>PEDIDOS!D257</f>
        <v>NIZA</v>
      </c>
      <c r="D257" s="153" t="str">
        <f>PEDIDOS!E257</f>
        <v>SIGNATURE BLEND HYDRA PEEL</v>
      </c>
      <c r="E257" s="153" t="str">
        <f>PEDIDOS!F257</f>
        <v>P</v>
      </c>
      <c r="F257" s="154" t="str">
        <f>PEDIDOS!M257</f>
        <v>A26097</v>
      </c>
      <c r="G257" s="155">
        <f>-PEDIDOS!B257+EXPEDICION!K257</f>
        <v>49</v>
      </c>
      <c r="H257" s="156">
        <f>EXPEDICION!I257</f>
        <v>0.8733333333</v>
      </c>
    </row>
    <row r="258" ht="15.75" customHeight="1">
      <c r="A258" s="152">
        <f>PEDIDOS!B258</f>
        <v>46135</v>
      </c>
      <c r="B258" s="153">
        <f>PEDIDOS!C258</f>
        <v>1278</v>
      </c>
      <c r="C258" s="153" t="str">
        <f>PEDIDOS!D258</f>
        <v>BOTIK</v>
      </c>
      <c r="D258" s="153" t="str">
        <f>PEDIDOS!E258</f>
        <v>sHAMPOO SOLIDO ROMERO - TEA TREE x 100g</v>
      </c>
      <c r="E258" s="153" t="str">
        <f>PEDIDOS!F258</f>
        <v>M</v>
      </c>
      <c r="F258" s="154" t="str">
        <f>PEDIDOS!M258</f>
        <v>Y26018</v>
      </c>
      <c r="G258" s="155">
        <f>-PEDIDOS!B258+EXPEDICION!K258</f>
        <v>-12</v>
      </c>
      <c r="H258" s="156">
        <f>EXPEDICION!I258</f>
        <v>1.212</v>
      </c>
    </row>
    <row r="259" ht="15.75" customHeight="1">
      <c r="A259" s="152">
        <f>PEDIDOS!B259</f>
        <v>46135</v>
      </c>
      <c r="B259" s="153">
        <f>PEDIDOS!C259</f>
        <v>1278</v>
      </c>
      <c r="C259" s="153" t="str">
        <f>PEDIDOS!D259</f>
        <v>BOTIK</v>
      </c>
      <c r="D259" s="153" t="str">
        <f>PEDIDOS!E259</f>
        <v>Acondicionador Solido Rosa Rosa Mosqueta x 70g</v>
      </c>
      <c r="E259" s="153" t="str">
        <f>PEDIDOS!F259</f>
        <v>M</v>
      </c>
      <c r="F259" s="154" t="str">
        <f>PEDIDOS!M259</f>
        <v>A26024</v>
      </c>
      <c r="G259" s="155">
        <f>-PEDIDOS!B259+EXPEDICION!K259</f>
        <v>-10</v>
      </c>
      <c r="H259" s="156">
        <f>EXPEDICION!I259</f>
        <v>1.04</v>
      </c>
    </row>
    <row r="260" ht="15.75" customHeight="1">
      <c r="A260" s="152">
        <f>PEDIDOS!B260</f>
        <v>46135</v>
      </c>
      <c r="B260" s="153">
        <f>PEDIDOS!C260</f>
        <v>1278</v>
      </c>
      <c r="C260" s="153" t="str">
        <f>PEDIDOS!D260</f>
        <v>BOTIK</v>
      </c>
      <c r="D260" s="153" t="str">
        <f>PEDIDOS!E260</f>
        <v>Acondicionador Solido Lavanda Lemongrass x 70g</v>
      </c>
      <c r="E260" s="153" t="str">
        <f>PEDIDOS!F260</f>
        <v>M</v>
      </c>
      <c r="F260" s="154" t="str">
        <f>PEDIDOS!M260</f>
        <v>A26025</v>
      </c>
      <c r="G260" s="155">
        <f>-PEDIDOS!B260+EXPEDICION!K260</f>
        <v>-10</v>
      </c>
      <c r="H260" s="156">
        <f>EXPEDICION!I260</f>
        <v>1.04</v>
      </c>
    </row>
    <row r="261" ht="15.75" customHeight="1">
      <c r="A261" s="152">
        <f>PEDIDOS!B261</f>
        <v>46126</v>
      </c>
      <c r="B261" s="153">
        <f>PEDIDOS!C261</f>
        <v>1606</v>
      </c>
      <c r="C261" s="153" t="str">
        <f>PEDIDOS!D261</f>
        <v>NE</v>
      </c>
      <c r="D261" s="153" t="str">
        <f>PEDIDOS!E261</f>
        <v>LECHE DE LIMPIEZA FACIAL 150 gr.</v>
      </c>
      <c r="E261" s="153" t="str">
        <f>PEDIDOS!F261</f>
        <v>P</v>
      </c>
      <c r="F261" s="154" t="str">
        <f>PEDIDOS!M261</f>
        <v>A26030</v>
      </c>
      <c r="G261" s="155">
        <f>-PEDIDOS!B261+EXPEDICION!K261</f>
        <v>44</v>
      </c>
      <c r="H261" s="156">
        <f>EXPEDICION!I261</f>
        <v>0.994</v>
      </c>
    </row>
    <row r="262" ht="15.75" customHeight="1">
      <c r="A262" s="152">
        <f>PEDIDOS!B262</f>
        <v>46140</v>
      </c>
      <c r="B262" s="153">
        <f>PEDIDOS!C262</f>
        <v>144</v>
      </c>
      <c r="C262" s="153" t="str">
        <f>PEDIDOS!D262</f>
        <v>PROFESSIONAL BEAUTY</v>
      </c>
      <c r="D262" s="153" t="str">
        <f>PEDIDOS!E262</f>
        <v>GEL CONDUCTOR NEUTRO</v>
      </c>
      <c r="E262" s="153" t="str">
        <f>PEDIDOS!F262</f>
        <v>M</v>
      </c>
      <c r="F262" s="154" t="str">
        <f>PEDIDOS!M262</f>
        <v>A26092</v>
      </c>
      <c r="G262" s="155">
        <f>-PEDIDOS!B262+EXPEDICION!K262</f>
        <v>8</v>
      </c>
      <c r="H262" s="156">
        <f>EXPEDICION!I262</f>
        <v>0.956</v>
      </c>
    </row>
    <row r="263" ht="15.75" customHeight="1">
      <c r="A263" s="152">
        <f>PEDIDOS!B263</f>
        <v>46140</v>
      </c>
      <c r="B263" s="153">
        <f>PEDIDOS!C263</f>
        <v>144</v>
      </c>
      <c r="C263" s="153" t="str">
        <f>PEDIDOS!D263</f>
        <v>PROFESSIONAL BEAUTY</v>
      </c>
      <c r="D263" s="153" t="str">
        <f>PEDIDOS!E263</f>
        <v>ADVANCE VIT C 5%</v>
      </c>
      <c r="E263" s="153" t="str">
        <f>PEDIDOS!F263</f>
        <v>P</v>
      </c>
      <c r="F263" s="154" t="str">
        <f>PEDIDOS!M263</f>
        <v>Y26056</v>
      </c>
      <c r="G263" s="155">
        <f>-PEDIDOS!B263+EXPEDICION!K263</f>
        <v>42</v>
      </c>
      <c r="H263" s="156">
        <f>EXPEDICION!I263</f>
        <v>1.03</v>
      </c>
    </row>
    <row r="264" ht="15.75" customHeight="1">
      <c r="A264" s="152">
        <f>PEDIDOS!B264</f>
        <v>46140</v>
      </c>
      <c r="B264" s="153">
        <f>PEDIDOS!C264</f>
        <v>144</v>
      </c>
      <c r="C264" s="153" t="str">
        <f>PEDIDOS!D264</f>
        <v>PROFESSIONAL BEAUTY</v>
      </c>
      <c r="D264" s="153" t="str">
        <f>PEDIDOS!E264</f>
        <v>ADVANCE ACIDO HIALURONICO 0,5%</v>
      </c>
      <c r="E264" s="153" t="str">
        <f>PEDIDOS!F264</f>
        <v>P</v>
      </c>
      <c r="F264" s="154" t="str">
        <f>PEDIDOS!M264</f>
        <v>Y26057</v>
      </c>
      <c r="G264" s="155">
        <f>-PEDIDOS!B264+EXPEDICION!K264</f>
        <v>42</v>
      </c>
      <c r="H264" s="156">
        <f>EXPEDICION!I264</f>
        <v>1.054</v>
      </c>
    </row>
    <row r="265" ht="15.75" customHeight="1">
      <c r="A265" s="152">
        <f>PEDIDOS!B265</f>
        <v>46140</v>
      </c>
      <c r="B265" s="153">
        <f>PEDIDOS!C265</f>
        <v>144</v>
      </c>
      <c r="C265" s="153" t="str">
        <f>PEDIDOS!D265</f>
        <v>PROFESSIONAL BEAUTY</v>
      </c>
      <c r="D265" s="153" t="str">
        <f>PEDIDOS!E265</f>
        <v>ADVANCE COMPLEJO MULTIVITAMINICO 1%</v>
      </c>
      <c r="E265" s="153" t="str">
        <f>PEDIDOS!F265</f>
        <v>P</v>
      </c>
      <c r="F265" s="154" t="str">
        <f>PEDIDOS!M265</f>
        <v>Y26058</v>
      </c>
      <c r="G265" s="155">
        <f>-PEDIDOS!B265+EXPEDICION!K265</f>
        <v>42</v>
      </c>
      <c r="H265" s="156">
        <f>EXPEDICION!I265</f>
        <v>0.996</v>
      </c>
    </row>
    <row r="266" ht="15.75" customHeight="1">
      <c r="A266" s="152">
        <f>PEDIDOS!B266</f>
        <v>46140</v>
      </c>
      <c r="B266" s="153">
        <f>PEDIDOS!C266</f>
        <v>15282</v>
      </c>
      <c r="C266" s="153" t="str">
        <f>PEDIDOS!D266</f>
        <v>THELMA Y LOUISE</v>
      </c>
      <c r="D266" s="153" t="str">
        <f>PEDIDOS!E266</f>
        <v>ALCOHOL EN GEL CHICLE FARMACITY KIDS</v>
      </c>
      <c r="E266" s="153" t="str">
        <f>PEDIDOS!F266</f>
        <v>M</v>
      </c>
      <c r="F266" s="154">
        <f>PEDIDOS!M266</f>
        <v>180501</v>
      </c>
      <c r="G266" s="155">
        <f>-PEDIDOS!B266+EXPEDICION!K266</f>
        <v>29</v>
      </c>
      <c r="H266" s="156">
        <f>EXPEDICION!I266</f>
        <v>0.993</v>
      </c>
    </row>
    <row r="267" ht="15.75" customHeight="1">
      <c r="A267" s="152">
        <f>PEDIDOS!B267</f>
        <v>46140</v>
      </c>
      <c r="B267" s="153">
        <f>PEDIDOS!C267</f>
        <v>15282</v>
      </c>
      <c r="C267" s="153" t="str">
        <f>PEDIDOS!D267</f>
        <v>THELMA Y LOUISE</v>
      </c>
      <c r="D267" s="153" t="str">
        <f>PEDIDOS!E267</f>
        <v>ALCOHOL EN GEL SANDIA FARMACITY KIDS</v>
      </c>
      <c r="E267" s="153" t="str">
        <f>PEDIDOS!F267</f>
        <v>M</v>
      </c>
      <c r="F267" s="154">
        <f>PEDIDOS!M267</f>
        <v>150501</v>
      </c>
      <c r="G267" s="155">
        <f>-PEDIDOS!B267+EXPEDICION!K267</f>
        <v>23</v>
      </c>
      <c r="H267" s="156">
        <f>EXPEDICION!I267</f>
        <v>0.9936</v>
      </c>
    </row>
    <row r="268" ht="15.75" customHeight="1">
      <c r="A268" s="152">
        <f>PEDIDOS!B268</f>
        <v>46140</v>
      </c>
      <c r="B268" s="153" t="str">
        <f>PEDIDOS!C268</f>
        <v/>
      </c>
      <c r="C268" s="153" t="str">
        <f>PEDIDOS!D268</f>
        <v>LABORATORIO ONCE</v>
      </c>
      <c r="D268" s="153" t="str">
        <f>PEDIDOS!E268</f>
        <v>SERUM ACIDO GLICOLICO + FERULICO</v>
      </c>
      <c r="E268" s="153" t="str">
        <f>PEDIDOS!F268</f>
        <v>P</v>
      </c>
      <c r="F268" s="154" t="str">
        <f>PEDIDOS!M268</f>
        <v>Y26001</v>
      </c>
      <c r="G268" s="155">
        <f>-PEDIDOS!B268+EXPEDICION!K268</f>
        <v>24</v>
      </c>
      <c r="H268" s="156">
        <f>EXPEDICION!I268</f>
        <v>1</v>
      </c>
    </row>
    <row r="269" ht="15.75" customHeight="1">
      <c r="A269" s="152">
        <f>PEDIDOS!B269</f>
        <v>46141</v>
      </c>
      <c r="B269" s="153" t="str">
        <f>PEDIDOS!C269</f>
        <v/>
      </c>
      <c r="C269" s="153" t="str">
        <f>PEDIDOS!D269</f>
        <v>UNICA</v>
      </c>
      <c r="D269" s="153" t="str">
        <f>PEDIDOS!E269</f>
        <v>CREMA DE ORDEÑE</v>
      </c>
      <c r="E269" s="153" t="str">
        <f>PEDIDOS!F269</f>
        <v>M</v>
      </c>
      <c r="F269" s="154" t="str">
        <f>PEDIDOS!M269</f>
        <v/>
      </c>
      <c r="G269" s="155">
        <f>-PEDIDOS!B269+EXPEDICION!K269</f>
        <v>36</v>
      </c>
      <c r="H269" s="156">
        <f>EXPEDICION!I269</f>
        <v>0.965</v>
      </c>
    </row>
    <row r="270" ht="15.75" customHeight="1">
      <c r="A270" s="152">
        <f>PEDIDOS!B270</f>
        <v>46136</v>
      </c>
      <c r="B270" s="153" t="str">
        <f>PEDIDOS!C270</f>
        <v/>
      </c>
      <c r="C270" s="153" t="str">
        <f>PEDIDOS!D270</f>
        <v>THE MINIMAL CO</v>
      </c>
      <c r="D270" s="153" t="str">
        <f>PEDIDOS!E270</f>
        <v>SERUM RETINOL</v>
      </c>
      <c r="E270" s="153" t="str">
        <f>PEDIDOS!F270</f>
        <v>P</v>
      </c>
      <c r="F270" s="154" t="str">
        <f>PEDIDOS!M270</f>
        <v>A26082</v>
      </c>
      <c r="G270" s="155">
        <f>-PEDIDOS!B270+EXPEDICION!K270</f>
        <v>6</v>
      </c>
      <c r="H270" s="156">
        <f>EXPEDICION!I270</f>
        <v>0.9925</v>
      </c>
    </row>
    <row r="271" ht="15.75" customHeight="1">
      <c r="A271" s="152">
        <f>PEDIDOS!B271</f>
        <v>46142</v>
      </c>
      <c r="B271" s="153" t="str">
        <f>PEDIDOS!C271</f>
        <v/>
      </c>
      <c r="C271" s="153" t="str">
        <f>PEDIDOS!D271</f>
        <v>ECODERM - ROSEHIP</v>
      </c>
      <c r="D271" s="153" t="str">
        <f>PEDIDOS!E271</f>
        <v>SERUM CONTORNO DE OJOS</v>
      </c>
      <c r="E271" s="153" t="str">
        <f>PEDIDOS!F271</f>
        <v>P</v>
      </c>
      <c r="F271" s="154" t="str">
        <f>PEDIDOS!M271</f>
        <v>Y26003</v>
      </c>
      <c r="G271" s="155">
        <f>-PEDIDOS!B271+EXPEDICION!K271</f>
        <v>21</v>
      </c>
      <c r="H271" s="156">
        <f>EXPEDICION!I271</f>
        <v>0.9033333333</v>
      </c>
    </row>
    <row r="272" ht="15.75" customHeight="1">
      <c r="A272" s="152">
        <f>PEDIDOS!B272</f>
        <v>46142</v>
      </c>
      <c r="B272" s="153" t="str">
        <f>PEDIDOS!C272</f>
        <v/>
      </c>
      <c r="C272" s="153" t="str">
        <f>PEDIDOS!D272</f>
        <v>ECODERM - ROSEHIP</v>
      </c>
      <c r="D272" s="153" t="str">
        <f>PEDIDOS!E272</f>
        <v>CREMA FACIAL CON RETINOL</v>
      </c>
      <c r="E272" s="153" t="str">
        <f>PEDIDOS!F272</f>
        <v>P</v>
      </c>
      <c r="F272" s="154" t="str">
        <f>PEDIDOS!M272</f>
        <v>Y26003</v>
      </c>
      <c r="G272" s="155">
        <f>-PEDIDOS!B272+EXPEDICION!K272</f>
        <v>21</v>
      </c>
      <c r="H272" s="156">
        <f>EXPEDICION!I272</f>
        <v>0.9833333333</v>
      </c>
    </row>
    <row r="273" ht="15.75" customHeight="1">
      <c r="A273" s="152">
        <f>PEDIDOS!B273</f>
        <v>46142</v>
      </c>
      <c r="B273" s="153" t="str">
        <f>PEDIDOS!C273</f>
        <v/>
      </c>
      <c r="C273" s="153" t="str">
        <f>PEDIDOS!D273</f>
        <v>ECODERM - ROSEHIP</v>
      </c>
      <c r="D273" s="153" t="str">
        <f>PEDIDOS!E273</f>
        <v>GEL DE LIMPIEZA</v>
      </c>
      <c r="E273" s="153" t="str">
        <f>PEDIDOS!F273</f>
        <v>P</v>
      </c>
      <c r="F273" s="154" t="str">
        <f>PEDIDOS!M273</f>
        <v/>
      </c>
      <c r="G273" s="155">
        <f>-PEDIDOS!B273+EXPEDICION!K273</f>
        <v>-46142</v>
      </c>
      <c r="H273" s="156" t="str">
        <f>EXPEDICION!I273</f>
        <v/>
      </c>
    </row>
    <row r="274" ht="15.75" customHeight="1">
      <c r="A274" s="152">
        <f>PEDIDOS!B274</f>
        <v>46142</v>
      </c>
      <c r="B274" s="153" t="str">
        <f>PEDIDOS!C274</f>
        <v/>
      </c>
      <c r="C274" s="153" t="str">
        <f>PEDIDOS!D274</f>
        <v>ECODERM - ROSEHIP</v>
      </c>
      <c r="D274" s="153" t="str">
        <f>PEDIDOS!E274</f>
        <v>SERUM SEBORREGULADOR</v>
      </c>
      <c r="E274" s="153" t="str">
        <f>PEDIDOS!F274</f>
        <v>P</v>
      </c>
      <c r="F274" s="154" t="str">
        <f>PEDIDOS!M274</f>
        <v>Y26005</v>
      </c>
      <c r="G274" s="155">
        <f>-PEDIDOS!B274+EXPEDICION!K274</f>
        <v>21</v>
      </c>
      <c r="H274" s="156">
        <f>EXPEDICION!I274</f>
        <v>1.01</v>
      </c>
    </row>
    <row r="275" ht="15.75" customHeight="1">
      <c r="A275" s="152">
        <f>PEDIDOS!B275</f>
        <v>46142</v>
      </c>
      <c r="B275" s="153">
        <f>PEDIDOS!C275</f>
        <v>5</v>
      </c>
      <c r="C275" s="153" t="str">
        <f>PEDIDOS!D275</f>
        <v>TIERRAS DEL VOLCAN</v>
      </c>
      <c r="D275" s="153" t="str">
        <f>PEDIDOS!E275</f>
        <v>Jalea Termal Reguladora</v>
      </c>
      <c r="E275" s="153" t="str">
        <f>PEDIDOS!F275</f>
        <v>P</v>
      </c>
      <c r="F275" s="154" t="str">
        <f>PEDIDOS!M275</f>
        <v>Y26045</v>
      </c>
      <c r="G275" s="155">
        <f>-PEDIDOS!B275+EXPEDICION!K275</f>
        <v>42</v>
      </c>
      <c r="H275" s="156">
        <f>EXPEDICION!I275</f>
        <v>1.016</v>
      </c>
    </row>
    <row r="276" ht="15.75" customHeight="1">
      <c r="A276" s="152">
        <f>PEDIDOS!B276</f>
        <v>46142</v>
      </c>
      <c r="B276" s="153" t="str">
        <f>PEDIDOS!C276</f>
        <v/>
      </c>
      <c r="C276" s="153" t="str">
        <f>PEDIDOS!D276</f>
        <v>THE CURIOUS SKIN</v>
      </c>
      <c r="D276" s="153" t="str">
        <f>PEDIDOS!E276</f>
        <v>ESENCIA EQUILIBRIO BIOME</v>
      </c>
      <c r="E276" s="153" t="str">
        <f>PEDIDOS!F276</f>
        <v>P</v>
      </c>
      <c r="F276" s="154" t="str">
        <f>PEDIDOS!M276</f>
        <v/>
      </c>
      <c r="G276" s="155">
        <f>-PEDIDOS!B276+EXPEDICION!K276</f>
        <v>-46142</v>
      </c>
      <c r="H276" s="156" t="str">
        <f>EXPEDICION!I276</f>
        <v/>
      </c>
    </row>
    <row r="277" ht="15.75" customHeight="1">
      <c r="A277" s="152">
        <f>PEDIDOS!B277</f>
        <v>46146</v>
      </c>
      <c r="B277" s="153">
        <f>PEDIDOS!C277</f>
        <v>15276</v>
      </c>
      <c r="C277" s="153" t="str">
        <f>PEDIDOS!D277</f>
        <v>THELMA Y LOUISE</v>
      </c>
      <c r="D277" s="153" t="str">
        <f>PEDIDOS!E277</f>
        <v>CREMA PARA MANOS JULIANA CHICLE</v>
      </c>
      <c r="E277" s="153" t="str">
        <f>PEDIDOS!F277</f>
        <v>M</v>
      </c>
      <c r="F277" s="154">
        <f>PEDIDOS!M277</f>
        <v>180502</v>
      </c>
      <c r="G277" s="155">
        <f>-PEDIDOS!B277+EXPEDICION!K277</f>
        <v>15</v>
      </c>
      <c r="H277" s="156">
        <f>EXPEDICION!I277</f>
        <v>0.9993333333</v>
      </c>
    </row>
    <row r="278" ht="15.75" customHeight="1">
      <c r="A278" s="152">
        <f>PEDIDOS!B278</f>
        <v>46148</v>
      </c>
      <c r="B278" s="153">
        <f>PEDIDOS!C278</f>
        <v>15288</v>
      </c>
      <c r="C278" s="153" t="str">
        <f>PEDIDOS!D278</f>
        <v>THELMA Y LOUISE</v>
      </c>
      <c r="D278" s="153" t="str">
        <f>PEDIDOS!E278</f>
        <v>ALCOHOL EN GEL CHICLE TYL</v>
      </c>
      <c r="E278" s="153" t="str">
        <f>PEDIDOS!F278</f>
        <v>M</v>
      </c>
      <c r="F278" s="154">
        <f>PEDIDOS!M278</f>
        <v>270501</v>
      </c>
      <c r="G278" s="155">
        <f>-PEDIDOS!B278+EXPEDICION!K278</f>
        <v>21</v>
      </c>
      <c r="H278" s="156">
        <f>EXPEDICION!I278</f>
        <v>0.9985</v>
      </c>
    </row>
    <row r="279" ht="15.75" customHeight="1">
      <c r="A279" s="152">
        <f>PEDIDOS!B279</f>
        <v>46148</v>
      </c>
      <c r="B279" s="153">
        <f>PEDIDOS!C279</f>
        <v>15288</v>
      </c>
      <c r="C279" s="153" t="str">
        <f>PEDIDOS!D279</f>
        <v>THELMA Y LOUISE</v>
      </c>
      <c r="D279" s="153" t="str">
        <f>PEDIDOS!E279</f>
        <v>ALCOHOL EN GEL FRUTOS ROJOS TYL</v>
      </c>
      <c r="E279" s="153" t="str">
        <f>PEDIDOS!F279</f>
        <v>M</v>
      </c>
      <c r="F279" s="154">
        <f>PEDIDOS!M279</f>
        <v>280501</v>
      </c>
      <c r="G279" s="155">
        <f>-PEDIDOS!B279+EXPEDICION!K279</f>
        <v>23</v>
      </c>
      <c r="H279" s="156">
        <f>EXPEDICION!I279</f>
        <v>1</v>
      </c>
    </row>
    <row r="280" ht="15.75" customHeight="1">
      <c r="A280" s="152">
        <f>PEDIDOS!B280</f>
        <v>46148</v>
      </c>
      <c r="B280" s="153">
        <f>PEDIDOS!C280</f>
        <v>15288</v>
      </c>
      <c r="C280" s="153" t="str">
        <f>PEDIDOS!D280</f>
        <v>THELMA Y LOUISE</v>
      </c>
      <c r="D280" s="153" t="str">
        <f>PEDIDOS!E280</f>
        <v>ALCOHOL EN GEL DURAZNO TYL</v>
      </c>
      <c r="E280" s="153" t="str">
        <f>PEDIDOS!F280</f>
        <v>M</v>
      </c>
      <c r="F280" s="154">
        <f>PEDIDOS!M280</f>
        <v>270503</v>
      </c>
      <c r="G280" s="155">
        <f>-PEDIDOS!B280+EXPEDICION!K280</f>
        <v>22</v>
      </c>
      <c r="H280" s="156">
        <f>EXPEDICION!I280</f>
        <v>1.054</v>
      </c>
    </row>
    <row r="281" ht="15.75" customHeight="1">
      <c r="A281" s="152">
        <f>PEDIDOS!B281</f>
        <v>46153</v>
      </c>
      <c r="B281" s="153" t="str">
        <f>PEDIDOS!C281</f>
        <v/>
      </c>
      <c r="C281" s="153" t="str">
        <f>PEDIDOS!D281</f>
        <v>NATCEUTICALS</v>
      </c>
      <c r="D281" s="153" t="str">
        <f>PEDIDOS!E281</f>
        <v>SERUM ACIDO HIALURONICO</v>
      </c>
      <c r="E281" s="153" t="str">
        <f>PEDIDOS!F281</f>
        <v>P</v>
      </c>
      <c r="F281" s="154" t="str">
        <f>PEDIDOS!M281</f>
        <v>Y26023</v>
      </c>
      <c r="G281" s="155">
        <f>-PEDIDOS!B281+EXPEDICION!K281</f>
        <v>16</v>
      </c>
      <c r="H281" s="156">
        <f>EXPEDICION!I281</f>
        <v>1.038</v>
      </c>
    </row>
    <row r="282" ht="15.75" customHeight="1">
      <c r="A282" s="152">
        <f>PEDIDOS!B282</f>
        <v>46153</v>
      </c>
      <c r="B282" s="153" t="str">
        <f>PEDIDOS!C282</f>
        <v/>
      </c>
      <c r="C282" s="153" t="str">
        <f>PEDIDOS!D282</f>
        <v>NATCEUTICALS</v>
      </c>
      <c r="D282" s="153" t="str">
        <f>PEDIDOS!E282</f>
        <v>SERUM RETINOL</v>
      </c>
      <c r="E282" s="153" t="str">
        <f>PEDIDOS!F282</f>
        <v>P</v>
      </c>
      <c r="F282" s="154" t="str">
        <f>PEDIDOS!M282</f>
        <v/>
      </c>
      <c r="G282" s="155">
        <f>-PEDIDOS!B282+EXPEDICION!K282</f>
        <v>-46153</v>
      </c>
      <c r="H282" s="156" t="str">
        <f>EXPEDICION!I282</f>
        <v/>
      </c>
    </row>
    <row r="283" ht="15.75" customHeight="1">
      <c r="A283" s="152">
        <f>PEDIDOS!B283</f>
        <v>46153</v>
      </c>
      <c r="B283" s="153" t="str">
        <f>PEDIDOS!C283</f>
        <v/>
      </c>
      <c r="C283" s="153" t="str">
        <f>PEDIDOS!D283</f>
        <v>ECOS DE HUEMUL</v>
      </c>
      <c r="D283" s="153" t="str">
        <f>PEDIDOS!E283</f>
        <v>JABON LIQUIDO NEUTRO</v>
      </c>
      <c r="E283" s="153" t="str">
        <f>PEDIDOS!F283</f>
        <v>M</v>
      </c>
      <c r="F283" s="154" t="str">
        <f>PEDIDOS!M283</f>
        <v/>
      </c>
      <c r="G283" s="155">
        <f>-PEDIDOS!B283+EXPEDICION!K283</f>
        <v>-46153</v>
      </c>
      <c r="H283" s="156" t="str">
        <f>EXPEDICION!I283</f>
        <v/>
      </c>
    </row>
    <row r="284" ht="15.75" customHeight="1">
      <c r="A284" s="152">
        <f>PEDIDOS!B284</f>
        <v>46153</v>
      </c>
      <c r="B284" s="153" t="str">
        <f>PEDIDOS!C284</f>
        <v/>
      </c>
      <c r="C284" s="153" t="str">
        <f>PEDIDOS!D284</f>
        <v>ECOS DE HUEMUL</v>
      </c>
      <c r="D284" s="153" t="str">
        <f>PEDIDOS!E284</f>
        <v>JABON LIQUIDO NEUTRO</v>
      </c>
      <c r="E284" s="153" t="str">
        <f>PEDIDOS!F284</f>
        <v>M</v>
      </c>
      <c r="F284" s="154" t="str">
        <f>PEDIDOS!M284</f>
        <v/>
      </c>
      <c r="G284" s="155">
        <f>-PEDIDOS!B284+EXPEDICION!K284</f>
        <v>-46153</v>
      </c>
      <c r="H284" s="156" t="str">
        <f>EXPEDICION!I284</f>
        <v/>
      </c>
    </row>
    <row r="285" ht="15.75" customHeight="1">
      <c r="A285" s="152">
        <f>PEDIDOS!B285</f>
        <v>46153</v>
      </c>
      <c r="B285" s="153" t="str">
        <f>PEDIDOS!C285</f>
        <v/>
      </c>
      <c r="C285" s="153" t="str">
        <f>PEDIDOS!D285</f>
        <v>ECOS DE HUEMUL</v>
      </c>
      <c r="D285" s="153" t="str">
        <f>PEDIDOS!E285</f>
        <v>JABON LIQUIDO CON FRAGANCIA</v>
      </c>
      <c r="E285" s="153" t="str">
        <f>PEDIDOS!F285</f>
        <v>M</v>
      </c>
      <c r="F285" s="154" t="str">
        <f>PEDIDOS!M285</f>
        <v/>
      </c>
      <c r="G285" s="155">
        <f>-PEDIDOS!B285+EXPEDICION!K285</f>
        <v>-46153</v>
      </c>
      <c r="H285" s="156" t="str">
        <f>EXPEDICION!I285</f>
        <v/>
      </c>
    </row>
    <row r="286" ht="15.75" customHeight="1">
      <c r="A286" s="152">
        <f>PEDIDOS!B286</f>
        <v>46153</v>
      </c>
      <c r="B286" s="153" t="str">
        <f>PEDIDOS!C286</f>
        <v/>
      </c>
      <c r="C286" s="153" t="str">
        <f>PEDIDOS!D286</f>
        <v>ECOS DE HUEMUL</v>
      </c>
      <c r="D286" s="153" t="str">
        <f>PEDIDOS!E286</f>
        <v>JABON LIQUIDO CON FRAGANCIA</v>
      </c>
      <c r="E286" s="153" t="str">
        <f>PEDIDOS!F286</f>
        <v>M</v>
      </c>
      <c r="F286" s="154" t="str">
        <f>PEDIDOS!M286</f>
        <v/>
      </c>
      <c r="G286" s="155">
        <f>-PEDIDOS!B286+EXPEDICION!K286</f>
        <v>-46153</v>
      </c>
      <c r="H286" s="156" t="str">
        <f>EXPEDICION!I286</f>
        <v/>
      </c>
    </row>
    <row r="287" ht="15.75" customHeight="1">
      <c r="A287" s="152">
        <f>PEDIDOS!B287</f>
        <v>46154</v>
      </c>
      <c r="B287" s="153" t="str">
        <f>PEDIDOS!C287</f>
        <v>#P01338</v>
      </c>
      <c r="C287" s="153" t="str">
        <f>PEDIDOS!D287</f>
        <v>BIOESENCIA</v>
      </c>
      <c r="D287" s="153" t="str">
        <f>PEDIDOS!E287</f>
        <v>JABON LIQUIDO ANTIBACTERIAL</v>
      </c>
      <c r="E287" s="153" t="str">
        <f>PEDIDOS!F287</f>
        <v>M</v>
      </c>
      <c r="F287" s="154">
        <f>PEDIDOS!M287</f>
        <v>200501</v>
      </c>
      <c r="G287" s="155">
        <f>-PEDIDOS!B287+EXPEDICION!K287</f>
        <v>9</v>
      </c>
      <c r="H287" s="156">
        <f>EXPEDICION!I287</f>
        <v>0.9775</v>
      </c>
    </row>
    <row r="288" ht="15.75" customHeight="1">
      <c r="A288" s="152">
        <f>PEDIDOS!B288</f>
        <v>46154</v>
      </c>
      <c r="B288" s="153" t="str">
        <f>PEDIDOS!C288</f>
        <v>#P01338</v>
      </c>
      <c r="C288" s="153" t="str">
        <f>PEDIDOS!D288</f>
        <v>BIOESENCIA</v>
      </c>
      <c r="D288" s="153" t="str">
        <f>PEDIDOS!E288</f>
        <v>SHAMPOO BABY 2 EN 1 VEGAN</v>
      </c>
      <c r="E288" s="153" t="str">
        <f>PEDIDOS!F288</f>
        <v>M</v>
      </c>
      <c r="F288" s="154" t="str">
        <f>PEDIDOS!M288</f>
        <v>Y26021</v>
      </c>
      <c r="G288" s="155">
        <f>-PEDIDOS!B288+EXPEDICION!K288</f>
        <v>9</v>
      </c>
      <c r="H288" s="156">
        <f>EXPEDICION!I288</f>
        <v>0.978</v>
      </c>
    </row>
    <row r="289" ht="15.75" customHeight="1">
      <c r="A289" s="152">
        <f>PEDIDOS!B289</f>
        <v>46154</v>
      </c>
      <c r="B289" s="153" t="str">
        <f>PEDIDOS!C289</f>
        <v>#P01289</v>
      </c>
      <c r="C289" s="153" t="str">
        <f>PEDIDOS!D289</f>
        <v>BIOESENCIA</v>
      </c>
      <c r="D289" s="153" t="str">
        <f>PEDIDOS!E289</f>
        <v>CREMA PARA PEINAR</v>
      </c>
      <c r="E289" s="153" t="str">
        <f>PEDIDOS!F289</f>
        <v>M</v>
      </c>
      <c r="F289" s="154">
        <f>PEDIDOS!M289</f>
        <v>200502</v>
      </c>
      <c r="G289" s="155">
        <f>-PEDIDOS!B289+EXPEDICION!K289</f>
        <v>9</v>
      </c>
      <c r="H289" s="156">
        <f>EXPEDICION!I289</f>
        <v>0.998</v>
      </c>
    </row>
    <row r="290" ht="15.75" customHeight="1">
      <c r="A290" s="152">
        <f>PEDIDOS!B290</f>
        <v>46147</v>
      </c>
      <c r="B290" s="153" t="str">
        <f>PEDIDOS!C290</f>
        <v/>
      </c>
      <c r="C290" s="153" t="str">
        <f>PEDIDOS!D290</f>
        <v>LABORATORIO ONCE</v>
      </c>
      <c r="D290" s="153" t="str">
        <f>PEDIDOS!E290</f>
        <v>SERUM AH CONCENTRADO</v>
      </c>
      <c r="E290" s="153" t="str">
        <f>PEDIDOS!F290</f>
        <v>P</v>
      </c>
      <c r="F290" s="154" t="str">
        <f>PEDIDOS!M290</f>
        <v>Y26019</v>
      </c>
      <c r="G290" s="155">
        <f>-PEDIDOS!B290+EXPEDICION!K290</f>
        <v>30</v>
      </c>
      <c r="H290" s="156">
        <f>EXPEDICION!I290</f>
        <v>1.052</v>
      </c>
    </row>
    <row r="291" ht="15.75" customHeight="1">
      <c r="A291" s="152">
        <f>PEDIDOS!B291</f>
        <v>46147</v>
      </c>
      <c r="B291" s="153" t="str">
        <f>PEDIDOS!C291</f>
        <v/>
      </c>
      <c r="C291" s="153" t="str">
        <f>PEDIDOS!D291</f>
        <v>LABORATORIO ONCE</v>
      </c>
      <c r="D291" s="153" t="str">
        <f>PEDIDOS!E291</f>
        <v>SERUM AH + NIACI</v>
      </c>
      <c r="E291" s="153" t="str">
        <f>PEDIDOS!F291</f>
        <v>P</v>
      </c>
      <c r="F291" s="154" t="str">
        <f>PEDIDOS!M291</f>
        <v>Y26020</v>
      </c>
      <c r="G291" s="155">
        <f>-PEDIDOS!B291+EXPEDICION!K291</f>
        <v>30</v>
      </c>
      <c r="H291" s="156">
        <f>EXPEDICION!I291</f>
        <v>1</v>
      </c>
    </row>
    <row r="292" ht="15.75" customHeight="1">
      <c r="A292" s="152">
        <f>PEDIDOS!B292</f>
        <v>46153</v>
      </c>
      <c r="B292" s="153">
        <f>PEDIDOS!C292</f>
        <v>14442</v>
      </c>
      <c r="C292" s="153" t="str">
        <f>PEDIDOS!D292</f>
        <v>JACTANS - DISNEY</v>
      </c>
      <c r="D292" s="153" t="str">
        <f>PEDIDOS!E292</f>
        <v>DP-50990-Perfume inf. fco Mariana x50ml/ Es. 0369RD</v>
      </c>
      <c r="E292" s="153" t="str">
        <f>PEDIDOS!F292</f>
        <v>M</v>
      </c>
      <c r="F292" s="154" t="str">
        <f>PEDIDOS!M292</f>
        <v>J26011</v>
      </c>
      <c r="G292" s="155">
        <f>-PEDIDOS!B292+EXPEDICION!K292</f>
        <v>30</v>
      </c>
      <c r="H292" s="156">
        <f>EXPEDICION!I292</f>
        <v>0.96</v>
      </c>
    </row>
    <row r="293" ht="15.75" customHeight="1">
      <c r="A293" s="152">
        <f>PEDIDOS!B293</f>
        <v>46153</v>
      </c>
      <c r="B293" s="153">
        <f>PEDIDOS!C293</f>
        <v>14442</v>
      </c>
      <c r="C293" s="153" t="str">
        <f>PEDIDOS!D293</f>
        <v>JACTANS - DISNEY</v>
      </c>
      <c r="D293" s="153" t="str">
        <f>PEDIDOS!E293</f>
        <v>DP-50983-Perf. infantil fco Grand Prix x55ml/Es.1192AG</v>
      </c>
      <c r="E293" s="153" t="str">
        <f>PEDIDOS!F293</f>
        <v>M</v>
      </c>
      <c r="F293" s="154" t="str">
        <f>PEDIDOS!M293</f>
        <v>J26012</v>
      </c>
      <c r="G293" s="155">
        <f>-PEDIDOS!B293+EXPEDICION!K293</f>
        <v>29</v>
      </c>
      <c r="H293" s="156">
        <f>EXPEDICION!I293</f>
        <v>0.9846666667</v>
      </c>
    </row>
    <row r="294" ht="15.75" customHeight="1">
      <c r="A294" s="152">
        <f>PEDIDOS!B294</f>
        <v>46153</v>
      </c>
      <c r="B294" s="153">
        <f>PEDIDOS!C294</f>
        <v>14442</v>
      </c>
      <c r="C294" s="153" t="str">
        <f>PEDIDOS!D294</f>
        <v>JACTANS - DISNEY</v>
      </c>
      <c r="D294" s="153" t="str">
        <f>PEDIDOS!E294</f>
        <v>DP-48709-PERFUME INF fco Mariana x 50ml/Es. 0270WT</v>
      </c>
      <c r="E294" s="153" t="str">
        <f>PEDIDOS!F294</f>
        <v>M</v>
      </c>
      <c r="F294" s="154" t="str">
        <f>PEDIDOS!M294</f>
        <v>Y26031</v>
      </c>
      <c r="G294" s="155">
        <f>-PEDIDOS!B294+EXPEDICION!K294</f>
        <v>11</v>
      </c>
      <c r="H294" s="156">
        <f>EXPEDICION!I294</f>
        <v>0.998</v>
      </c>
    </row>
    <row r="295" ht="15.75" customHeight="1">
      <c r="A295" s="152">
        <f>PEDIDOS!B295</f>
        <v>46153</v>
      </c>
      <c r="B295" s="153">
        <f>PEDIDOS!C295</f>
        <v>14442</v>
      </c>
      <c r="C295" s="153" t="str">
        <f>PEDIDOS!D295</f>
        <v>JACTANS - DISNEY</v>
      </c>
      <c r="D295" s="153" t="str">
        <f>PEDIDOS!E295</f>
        <v>DP-42103-Perfume inf.Fco cubic/memor. x50ml/Es. 0300IE</v>
      </c>
      <c r="E295" s="153" t="str">
        <f>PEDIDOS!F295</f>
        <v>M</v>
      </c>
      <c r="F295" s="154" t="str">
        <f>PEDIDOS!M295</f>
        <v/>
      </c>
      <c r="G295" s="155">
        <f>-PEDIDOS!B295+EXPEDICION!K295</f>
        <v>-46153</v>
      </c>
      <c r="H295" s="156" t="str">
        <f>EXPEDICION!I295</f>
        <v/>
      </c>
    </row>
    <row r="296" ht="15.75" customHeight="1">
      <c r="A296" s="152">
        <f>PEDIDOS!B296</f>
        <v>46153</v>
      </c>
      <c r="B296" s="153">
        <f>PEDIDOS!C296</f>
        <v>14441</v>
      </c>
      <c r="C296" s="153" t="str">
        <f>PEDIDOS!D296</f>
        <v>JACTANS - DISNEY</v>
      </c>
      <c r="D296" s="153" t="str">
        <f>PEDIDOS!E296</f>
        <v>DP-51263-Perf infantil fco Armani x50ml/Es. 0434TS</v>
      </c>
      <c r="E296" s="153" t="str">
        <f>PEDIDOS!F296</f>
        <v>M</v>
      </c>
      <c r="F296" s="154" t="str">
        <f>PEDIDOS!M296</f>
        <v>Y26042-1</v>
      </c>
      <c r="G296" s="155">
        <f>-PEDIDOS!B296+EXPEDICION!K296</f>
        <v>21</v>
      </c>
      <c r="H296" s="156">
        <f>EXPEDICION!I296</f>
        <v>1.016</v>
      </c>
    </row>
    <row r="297" ht="15.75" customHeight="1">
      <c r="A297" s="152">
        <f>PEDIDOS!B297</f>
        <v>46153</v>
      </c>
      <c r="B297" s="153">
        <f>PEDIDOS!C297</f>
        <v>14441</v>
      </c>
      <c r="C297" s="153" t="str">
        <f>PEDIDOS!D297</f>
        <v>JACTANS - DISNEY</v>
      </c>
      <c r="D297" s="153" t="str">
        <f>PEDIDOS!E297</f>
        <v>DP-51270-Perf. infan. fco mariana x50ml/Es. 0269IN</v>
      </c>
      <c r="E297" s="153" t="str">
        <f>PEDIDOS!F297</f>
        <v>M</v>
      </c>
      <c r="F297" s="154" t="str">
        <f>PEDIDOS!M297</f>
        <v>Y26041-1</v>
      </c>
      <c r="G297" s="155">
        <f>-PEDIDOS!B297+EXPEDICION!K297</f>
        <v>15</v>
      </c>
      <c r="H297" s="156">
        <f>EXPEDICION!I297</f>
        <v>1.032307692</v>
      </c>
    </row>
    <row r="298" ht="15.75" customHeight="1">
      <c r="A298" s="152">
        <f>PEDIDOS!B298</f>
        <v>46153</v>
      </c>
      <c r="B298" s="153">
        <f>PEDIDOS!C298</f>
        <v>14441</v>
      </c>
      <c r="C298" s="153" t="str">
        <f>PEDIDOS!D298</f>
        <v>JACTANS - DISNEY</v>
      </c>
      <c r="D298" s="153" t="str">
        <f>PEDIDOS!E298</f>
        <v>DP-51287-Perf infantil fco PVC x 65ml/Es. 0279BD</v>
      </c>
      <c r="E298" s="153" t="str">
        <f>PEDIDOS!F298</f>
        <v>M</v>
      </c>
      <c r="F298" s="154" t="str">
        <f>PEDIDOS!M298</f>
        <v>Y26041</v>
      </c>
      <c r="G298" s="155">
        <f>-PEDIDOS!B298+EXPEDICION!K298</f>
        <v>15</v>
      </c>
      <c r="H298" s="156">
        <f>EXPEDICION!I298</f>
        <v>1</v>
      </c>
    </row>
    <row r="299" ht="15.75" customHeight="1">
      <c r="A299" s="152">
        <f>PEDIDOS!B299</f>
        <v>46153</v>
      </c>
      <c r="B299" s="153">
        <f>PEDIDOS!C299</f>
        <v>14441</v>
      </c>
      <c r="C299" s="153" t="str">
        <f>PEDIDOS!D299</f>
        <v>JACTANS - DISNEY</v>
      </c>
      <c r="D299" s="153" t="str">
        <f>PEDIDOS!E299</f>
        <v>DP-51294-Perfume infantil fco PVC x65ml/Es. 0429UX</v>
      </c>
      <c r="E299" s="153" t="str">
        <f>PEDIDOS!F299</f>
        <v>M</v>
      </c>
      <c r="F299" s="154" t="str">
        <f>PEDIDOS!M299</f>
        <v>Y26042</v>
      </c>
      <c r="G299" s="155">
        <f>-PEDIDOS!B299+EXPEDICION!K299</f>
        <v>15</v>
      </c>
      <c r="H299" s="156">
        <f>EXPEDICION!I299</f>
        <v>1.006153846</v>
      </c>
    </row>
    <row r="300" ht="15.75" customHeight="1">
      <c r="A300" s="152">
        <f>PEDIDOS!B300</f>
        <v>46153</v>
      </c>
      <c r="B300" s="153">
        <f>PEDIDOS!C300</f>
        <v>14441</v>
      </c>
      <c r="C300" s="153" t="str">
        <f>PEDIDOS!D300</f>
        <v>JACTANS - DISNEY</v>
      </c>
      <c r="D300" s="153" t="str">
        <f>PEDIDOS!E300</f>
        <v>DP-51300-Perf infantil fco Armani x50ml/Es. 0301BG</v>
      </c>
      <c r="E300" s="153" t="str">
        <f>PEDIDOS!F300</f>
        <v>M</v>
      </c>
      <c r="F300" s="154" t="str">
        <f>PEDIDOS!M300</f>
        <v>Y26042-2</v>
      </c>
      <c r="G300" s="155">
        <f>-PEDIDOS!B300+EXPEDICION!K300</f>
        <v>17</v>
      </c>
      <c r="H300" s="156">
        <f>EXPEDICION!I300</f>
        <v>0.7561538462</v>
      </c>
    </row>
    <row r="301" ht="15.75" customHeight="1">
      <c r="A301" s="152">
        <f>PEDIDOS!B301</f>
        <v>46156</v>
      </c>
      <c r="B301" s="153">
        <f>PEDIDOS!C301</f>
        <v>797</v>
      </c>
      <c r="C301" s="153" t="str">
        <f>PEDIDOS!D301</f>
        <v>CAV</v>
      </c>
      <c r="D301" s="153" t="str">
        <f>PEDIDOS!E301</f>
        <v>SHAMPOO BIONIC X400ML</v>
      </c>
      <c r="E301" s="153" t="str">
        <f>PEDIDOS!F301</f>
        <v>M</v>
      </c>
      <c r="F301" s="154" t="str">
        <f>PEDIDOS!M301</f>
        <v>A26005</v>
      </c>
      <c r="G301" s="155">
        <f>-PEDIDOS!B301+EXPEDICION!K301</f>
        <v>18</v>
      </c>
      <c r="H301" s="156">
        <f>EXPEDICION!I301</f>
        <v>0.965</v>
      </c>
    </row>
    <row r="302" ht="15.75" customHeight="1">
      <c r="A302" s="152">
        <f>PEDIDOS!B302</f>
        <v>46156</v>
      </c>
      <c r="B302" s="153">
        <f>PEDIDOS!C302</f>
        <v>797</v>
      </c>
      <c r="C302" s="153" t="str">
        <f>PEDIDOS!D302</f>
        <v>CAV</v>
      </c>
      <c r="D302" s="153" t="str">
        <f>PEDIDOS!E302</f>
        <v>CONDITIONER BIONIC X400ML</v>
      </c>
      <c r="E302" s="153" t="str">
        <f>PEDIDOS!F302</f>
        <v>M</v>
      </c>
      <c r="F302" s="154" t="str">
        <f>PEDIDOS!M302</f>
        <v>A26006</v>
      </c>
      <c r="G302" s="155">
        <f>-PEDIDOS!B302+EXPEDICION!K302</f>
        <v>18</v>
      </c>
      <c r="H302" s="156">
        <f>EXPEDICION!I302</f>
        <v>0.8975</v>
      </c>
    </row>
    <row r="303" ht="15.75" customHeight="1">
      <c r="A303" s="152">
        <f>PEDIDOS!B303</f>
        <v>46156</v>
      </c>
      <c r="B303" s="153">
        <f>PEDIDOS!C303</f>
        <v>15246</v>
      </c>
      <c r="C303" s="153" t="str">
        <f>PEDIDOS!D303</f>
        <v>THELMA Y LOUISE</v>
      </c>
      <c r="D303" s="153" t="str">
        <f>PEDIDOS!E303</f>
        <v>SANITIZANTE "KEEP IT CLEAN" FLORAL CRUSH - ROSA CLARO</v>
      </c>
      <c r="E303" s="153" t="str">
        <f>PEDIDOS!F303</f>
        <v>M</v>
      </c>
      <c r="F303" s="154">
        <f>PEDIDOS!M303</f>
        <v>270504</v>
      </c>
      <c r="G303" s="155">
        <f>-PEDIDOS!B303+EXPEDICION!K303</f>
        <v>15</v>
      </c>
      <c r="H303" s="156">
        <f>EXPEDICION!I303</f>
        <v>0.9848</v>
      </c>
    </row>
    <row r="304" ht="15.75" customHeight="1">
      <c r="A304" s="152">
        <f>PEDIDOS!B304</f>
        <v>46156</v>
      </c>
      <c r="B304" s="153">
        <f>PEDIDOS!C304</f>
        <v>15246</v>
      </c>
      <c r="C304" s="153" t="str">
        <f>PEDIDOS!D304</f>
        <v>THELMA Y LOUISE</v>
      </c>
      <c r="D304" s="153" t="str">
        <f>PEDIDOS!E304</f>
        <v>SANITIZANTE "KEEP IT CLEAN" FRUIT SMOOTHIE - CORAL</v>
      </c>
      <c r="E304" s="153" t="str">
        <f>PEDIDOS!F304</f>
        <v>M</v>
      </c>
      <c r="F304" s="154">
        <f>PEDIDOS!M304</f>
        <v>260501</v>
      </c>
      <c r="G304" s="155">
        <f>-PEDIDOS!B304+EXPEDICION!K304</f>
        <v>15</v>
      </c>
      <c r="H304" s="156">
        <f>EXPEDICION!I304</f>
        <v>0.9984</v>
      </c>
    </row>
    <row r="305" ht="15.75" customHeight="1">
      <c r="A305" s="152">
        <f>PEDIDOS!B305</f>
        <v>46156</v>
      </c>
      <c r="B305" s="153" t="str">
        <f>PEDIDOS!C305</f>
        <v/>
      </c>
      <c r="C305" s="153" t="str">
        <f>PEDIDOS!D305</f>
        <v>ASHA</v>
      </c>
      <c r="D305" s="153" t="str">
        <f>PEDIDOS!E305</f>
        <v>SERUM TENSOR</v>
      </c>
      <c r="E305" s="153" t="str">
        <f>PEDIDOS!F305</f>
        <v>P</v>
      </c>
      <c r="F305" s="154" t="str">
        <f>PEDIDOS!M305</f>
        <v/>
      </c>
      <c r="G305" s="155">
        <f>-PEDIDOS!B305+EXPEDICION!K305</f>
        <v>-46156</v>
      </c>
      <c r="H305" s="156" t="str">
        <f>EXPEDICION!I305</f>
        <v/>
      </c>
    </row>
    <row r="306" ht="15.75" customHeight="1">
      <c r="A306" s="152">
        <f>PEDIDOS!B306</f>
        <v>46157</v>
      </c>
      <c r="B306" s="153" t="str">
        <f>PEDIDOS!C306</f>
        <v/>
      </c>
      <c r="C306" s="153" t="str">
        <f>PEDIDOS!D306</f>
        <v>THE GLOW FACTOR</v>
      </c>
      <c r="D306" s="153" t="str">
        <f>PEDIDOS!E306</f>
        <v>RADIANT EYES CONTORNO DE OJOS</v>
      </c>
      <c r="E306" s="153" t="str">
        <f>PEDIDOS!F306</f>
        <v>P</v>
      </c>
      <c r="F306" s="154" t="str">
        <f>PEDIDOS!M306</f>
        <v>Y26049</v>
      </c>
      <c r="G306" s="155">
        <f>-PEDIDOS!B306+EXPEDICION!K306</f>
        <v>21</v>
      </c>
      <c r="H306" s="156">
        <f>EXPEDICION!I306</f>
        <v>1.046666667</v>
      </c>
    </row>
    <row r="307" ht="15.75" customHeight="1">
      <c r="A307" s="152">
        <f>PEDIDOS!B307</f>
        <v>46157</v>
      </c>
      <c r="B307" s="153" t="str">
        <f>PEDIDOS!C307</f>
        <v/>
      </c>
      <c r="C307" s="153" t="str">
        <f>PEDIDOS!D307</f>
        <v>THE GLOW FACTOR</v>
      </c>
      <c r="D307" s="153" t="str">
        <f>PEDIDOS!E307</f>
        <v>CREMA FACIAL CLARITÉ</v>
      </c>
      <c r="E307" s="153" t="str">
        <f>PEDIDOS!F307</f>
        <v>P</v>
      </c>
      <c r="F307" s="154" t="str">
        <f>PEDIDOS!M307</f>
        <v>Y26050</v>
      </c>
      <c r="G307" s="155">
        <f>-PEDIDOS!B307+EXPEDICION!K307</f>
        <v>18</v>
      </c>
      <c r="H307" s="156">
        <f>EXPEDICION!I307</f>
        <v>0.927</v>
      </c>
    </row>
    <row r="308" ht="15.75" customHeight="1">
      <c r="A308" s="152">
        <f>PEDIDOS!B308</f>
        <v>46157</v>
      </c>
      <c r="B308" s="153">
        <f>PEDIDOS!C308</f>
        <v>15294</v>
      </c>
      <c r="C308" s="153" t="str">
        <f>PEDIDOS!D308</f>
        <v>THELMA Y LOUISE</v>
      </c>
      <c r="D308" s="153" t="str">
        <f>PEDIDOS!E308</f>
        <v>ALCOHOL EN GEL NEUTRO VAMOS ARGENTINA</v>
      </c>
      <c r="E308" s="153" t="str">
        <f>PEDIDOS!F308</f>
        <v>M</v>
      </c>
      <c r="F308" s="154">
        <f>PEDIDOS!M308</f>
        <v>10601</v>
      </c>
      <c r="G308" s="155">
        <f>-PEDIDOS!B308+EXPEDICION!K308</f>
        <v>18</v>
      </c>
      <c r="H308" s="156">
        <f>EXPEDICION!I308</f>
        <v>0.911</v>
      </c>
    </row>
    <row r="309" ht="15.75" customHeight="1">
      <c r="A309" s="152">
        <f>PEDIDOS!B309</f>
        <v>46157</v>
      </c>
      <c r="B309" s="153">
        <f>PEDIDOS!C309</f>
        <v>15294</v>
      </c>
      <c r="C309" s="153" t="str">
        <f>PEDIDOS!D309</f>
        <v>THELMA Y LOUISE</v>
      </c>
      <c r="D309" s="153" t="str">
        <f>PEDIDOS!E309</f>
        <v>ALCOHOL EN GEL NEUTRO CORONADOS DE GLORIA</v>
      </c>
      <c r="E309" s="153" t="str">
        <f>PEDIDOS!F309</f>
        <v>M</v>
      </c>
      <c r="F309" s="154">
        <f>PEDIDOS!M309</f>
        <v>290501</v>
      </c>
      <c r="G309" s="155">
        <f>-PEDIDOS!B309+EXPEDICION!K309</f>
        <v>17</v>
      </c>
      <c r="H309" s="156">
        <f>EXPEDICION!I309</f>
        <v>1.0425</v>
      </c>
    </row>
    <row r="310" ht="15.75" customHeight="1">
      <c r="A310" s="152">
        <f>PEDIDOS!B310</f>
        <v>46157</v>
      </c>
      <c r="B310" s="153" t="str">
        <f>PEDIDOS!C310</f>
        <v/>
      </c>
      <c r="C310" s="153" t="str">
        <f>PEDIDOS!D310</f>
        <v>OSSPRET</v>
      </c>
      <c r="D310" s="153" t="str">
        <f>PEDIDOS!E310</f>
        <v>CREMA DE ORDEÑE</v>
      </c>
      <c r="E310" s="153" t="str">
        <f>PEDIDOS!F310</f>
        <v>M</v>
      </c>
      <c r="F310" s="154" t="str">
        <f>PEDIDOS!M310</f>
        <v/>
      </c>
      <c r="G310" s="155">
        <f>-PEDIDOS!B310+EXPEDICION!K310</f>
        <v>-46157</v>
      </c>
      <c r="H310" s="156" t="str">
        <f>EXPEDICION!I310</f>
        <v/>
      </c>
    </row>
    <row r="311" ht="15.75" customHeight="1">
      <c r="A311" s="152">
        <f>PEDIDOS!B311</f>
        <v>46157</v>
      </c>
      <c r="B311" s="153" t="str">
        <f>PEDIDOS!C311</f>
        <v/>
      </c>
      <c r="C311" s="153" t="str">
        <f>PEDIDOS!D311</f>
        <v>OSSPRET</v>
      </c>
      <c r="D311" s="153" t="str">
        <f>PEDIDOS!E311</f>
        <v>CREMA BASE</v>
      </c>
      <c r="E311" s="153" t="str">
        <f>PEDIDOS!F311</f>
        <v>M</v>
      </c>
      <c r="F311" s="154" t="str">
        <f>PEDIDOS!M311</f>
        <v/>
      </c>
      <c r="G311" s="155">
        <f>-PEDIDOS!B311+EXPEDICION!K311</f>
        <v>-46157</v>
      </c>
      <c r="H311" s="156" t="str">
        <f>EXPEDICION!I311</f>
        <v/>
      </c>
    </row>
    <row r="312" ht="15.75" customHeight="1">
      <c r="A312" s="152">
        <f>PEDIDOS!B312</f>
        <v>46163</v>
      </c>
      <c r="B312" s="153">
        <f>PEDIDOS!C312</f>
        <v>803</v>
      </c>
      <c r="C312" s="153" t="str">
        <f>PEDIDOS!D312</f>
        <v>CAV</v>
      </c>
      <c r="D312" s="153" t="str">
        <f>PEDIDOS!E312</f>
        <v>Mascara BIO Molecular X 300 ml. Vitamin Shock</v>
      </c>
      <c r="E312" s="153" t="str">
        <f>PEDIDOS!F312</f>
        <v>P</v>
      </c>
      <c r="F312" s="154" t="str">
        <f>PEDIDOS!M312</f>
        <v>Y26063</v>
      </c>
      <c r="G312" s="155">
        <f>-PEDIDOS!B312+EXPEDICION!K312</f>
        <v>13</v>
      </c>
      <c r="H312" s="156">
        <f>EXPEDICION!I312</f>
        <v>0.91</v>
      </c>
    </row>
    <row r="313" ht="15.75" customHeight="1">
      <c r="A313" s="152">
        <f>PEDIDOS!B313</f>
        <v>46163</v>
      </c>
      <c r="B313" s="153" t="str">
        <f>PEDIDOS!C313</f>
        <v/>
      </c>
      <c r="C313" s="153" t="str">
        <f>PEDIDOS!D313</f>
        <v>MURDA</v>
      </c>
      <c r="D313" s="153" t="str">
        <f>PEDIDOS!E313</f>
        <v>SERUM HIDRATANTE PARA CEJAS Y PESTAÑAS X 5 ml</v>
      </c>
      <c r="E313" s="153" t="str">
        <f>PEDIDOS!F313</f>
        <v>P</v>
      </c>
      <c r="F313" s="154" t="str">
        <f>PEDIDOS!M313</f>
        <v/>
      </c>
      <c r="G313" s="155">
        <f>-PEDIDOS!B313+EXPEDICION!K313</f>
        <v>-46163</v>
      </c>
      <c r="H313" s="156" t="str">
        <f>EXPEDICION!I313</f>
        <v/>
      </c>
    </row>
    <row r="314" ht="15.75" customHeight="1">
      <c r="A314" s="152">
        <f>PEDIDOS!B314</f>
        <v>46163</v>
      </c>
      <c r="B314" s="153" t="str">
        <f>PEDIDOS!C314</f>
        <v/>
      </c>
      <c r="C314" s="153" t="str">
        <f>PEDIDOS!D314</f>
        <v>MURDA</v>
      </c>
      <c r="D314" s="153" t="str">
        <f>PEDIDOS!E314</f>
        <v>SERUM HIDRATANTE PARA CEJAS Y PESTAÑAS X 30 ml</v>
      </c>
      <c r="E314" s="153" t="str">
        <f>PEDIDOS!F314</f>
        <v>P</v>
      </c>
      <c r="F314" s="154" t="str">
        <f>PEDIDOS!M314</f>
        <v/>
      </c>
      <c r="G314" s="155">
        <f>-PEDIDOS!B314+EXPEDICION!K314</f>
        <v>-46163</v>
      </c>
      <c r="H314" s="156" t="str">
        <f>EXPEDICION!I314</f>
        <v/>
      </c>
    </row>
    <row r="315" ht="15.75" customHeight="1">
      <c r="A315" s="152">
        <f>PEDIDOS!B315</f>
        <v>46163</v>
      </c>
      <c r="B315" s="153" t="str">
        <f>PEDIDOS!C315</f>
        <v/>
      </c>
      <c r="C315" s="153" t="str">
        <f>PEDIDOS!D315</f>
        <v>ORIGINAL BLACK</v>
      </c>
      <c r="D315" s="153" t="str">
        <f>PEDIDOS!E315</f>
        <v>POMADA MATE X50G</v>
      </c>
      <c r="E315" s="153" t="str">
        <f>PEDIDOS!F315</f>
        <v>M</v>
      </c>
      <c r="F315" s="154" t="str">
        <f>PEDIDOS!M315</f>
        <v>Y26051</v>
      </c>
      <c r="G315" s="155">
        <f>-PEDIDOS!B315+EXPEDICION!K315</f>
        <v>21</v>
      </c>
      <c r="H315" s="156">
        <f>EXPEDICION!I315</f>
        <v>1.12875</v>
      </c>
    </row>
    <row r="316" ht="15.75" customHeight="1">
      <c r="A316" s="152">
        <f>PEDIDOS!B316</f>
        <v>46163</v>
      </c>
      <c r="B316" s="153" t="str">
        <f>PEDIDOS!C316</f>
        <v/>
      </c>
      <c r="C316" s="153" t="str">
        <f>PEDIDOS!D316</f>
        <v>PROFESSIONAL BEAUTY</v>
      </c>
      <c r="D316" s="153" t="str">
        <f>PEDIDOS!E316</f>
        <v>ADVANCE ACIDO HIALURONICO 2%</v>
      </c>
      <c r="E316" s="153" t="str">
        <f>PEDIDOS!F316</f>
        <v>P</v>
      </c>
      <c r="F316" s="154" t="str">
        <f>PEDIDOS!M316</f>
        <v>Y26053</v>
      </c>
      <c r="G316" s="155">
        <f>-PEDIDOS!B316+EXPEDICION!K316</f>
        <v>19</v>
      </c>
      <c r="H316" s="156">
        <f>EXPEDICION!I316</f>
        <v>1.002</v>
      </c>
    </row>
    <row r="317" ht="15.75" customHeight="1">
      <c r="A317" s="152">
        <f>PEDIDOS!B317</f>
        <v>46163</v>
      </c>
      <c r="B317" s="153" t="str">
        <f>PEDIDOS!C317</f>
        <v/>
      </c>
      <c r="C317" s="153" t="str">
        <f>PEDIDOS!D317</f>
        <v>PROFESSIONAL BEAUTY</v>
      </c>
      <c r="D317" s="153" t="str">
        <f>PEDIDOS!E317</f>
        <v>ADVANCE ACIDO HIALURONICO 1%</v>
      </c>
      <c r="E317" s="153" t="str">
        <f>PEDIDOS!F317</f>
        <v>P</v>
      </c>
      <c r="F317" s="154" t="str">
        <f>PEDIDOS!M317</f>
        <v>A26021</v>
      </c>
      <c r="G317" s="155">
        <f>-PEDIDOS!B317+EXPEDICION!K317</f>
        <v>19</v>
      </c>
      <c r="H317" s="156">
        <f>EXPEDICION!I317</f>
        <v>1.016</v>
      </c>
    </row>
    <row r="318" ht="15.75" customHeight="1">
      <c r="A318" s="152">
        <f>PEDIDOS!B318</f>
        <v>46163</v>
      </c>
      <c r="B318" s="153" t="str">
        <f>PEDIDOS!C318</f>
        <v/>
      </c>
      <c r="C318" s="153" t="str">
        <f>PEDIDOS!D318</f>
        <v>PROFESSIONAL BEAUTY</v>
      </c>
      <c r="D318" s="153" t="str">
        <f>PEDIDOS!E318</f>
        <v>ADVANCE DMAE 7%</v>
      </c>
      <c r="E318" s="153" t="str">
        <f>PEDIDOS!F318</f>
        <v>P</v>
      </c>
      <c r="F318" s="154" t="str">
        <f>PEDIDOS!M318</f>
        <v>A26035</v>
      </c>
      <c r="G318" s="155">
        <f>-PEDIDOS!B318+EXPEDICION!K318</f>
        <v>19</v>
      </c>
      <c r="H318" s="156">
        <f>EXPEDICION!I318</f>
        <v>1.08</v>
      </c>
    </row>
    <row r="319" ht="15.75" customHeight="1">
      <c r="A319" s="152">
        <f>PEDIDOS!B319</f>
        <v>46163</v>
      </c>
      <c r="B319" s="153" t="str">
        <f>PEDIDOS!C319</f>
        <v/>
      </c>
      <c r="C319" s="153" t="str">
        <f>PEDIDOS!D319</f>
        <v>PROFESSIONAL BEAUTY</v>
      </c>
      <c r="D319" s="153" t="str">
        <f>PEDIDOS!E319</f>
        <v>AQUAPEEL PG2</v>
      </c>
      <c r="E319" s="153" t="str">
        <f>PEDIDOS!F319</f>
        <v>P</v>
      </c>
      <c r="F319" s="154" t="str">
        <f>PEDIDOS!M319</f>
        <v>Y26052</v>
      </c>
      <c r="G319" s="155">
        <f>-PEDIDOS!B319+EXPEDICION!K319</f>
        <v>28</v>
      </c>
      <c r="H319" s="156">
        <f>EXPEDICION!I319</f>
        <v>1.032</v>
      </c>
    </row>
    <row r="320" ht="15.75" customHeight="1">
      <c r="A320" s="152">
        <f>PEDIDOS!B320</f>
        <v>46163</v>
      </c>
      <c r="B320" s="153" t="str">
        <f>PEDIDOS!C320</f>
        <v/>
      </c>
      <c r="C320" s="153" t="str">
        <f>PEDIDOS!D320</f>
        <v>PROFESSIONAL BEAUTY</v>
      </c>
      <c r="D320" s="153" t="str">
        <f>PEDIDOS!E320</f>
        <v>ADVANCE ARG</v>
      </c>
      <c r="E320" s="153" t="str">
        <f>PEDIDOS!F320</f>
        <v>P</v>
      </c>
      <c r="F320" s="154" t="str">
        <f>PEDIDOS!M320</f>
        <v>A26057</v>
      </c>
      <c r="G320" s="155">
        <f>-PEDIDOS!B320+EXPEDICION!K320</f>
        <v>19</v>
      </c>
      <c r="H320" s="156">
        <f>EXPEDICION!I320</f>
        <v>1.02</v>
      </c>
    </row>
    <row r="321" ht="15.75" customHeight="1">
      <c r="A321" s="152">
        <f>PEDIDOS!B321</f>
        <v>46168</v>
      </c>
      <c r="B321" s="153">
        <f>PEDIDOS!C321</f>
        <v>15303</v>
      </c>
      <c r="C321" s="153" t="str">
        <f>PEDIDOS!D321</f>
        <v>THELMA Y LOUISE</v>
      </c>
      <c r="D321" s="153" t="str">
        <f>PEDIDOS!E321</f>
        <v>ACEITE CORPORAL COCO LIMA</v>
      </c>
      <c r="E321" s="153" t="str">
        <f>PEDIDOS!F321</f>
        <v>M</v>
      </c>
      <c r="F321" s="154" t="str">
        <f>PEDIDOS!M321</f>
        <v>J26009</v>
      </c>
      <c r="G321" s="155">
        <f>-PEDIDOS!B321+EXPEDICION!K321</f>
        <v>35</v>
      </c>
      <c r="H321" s="156">
        <f>EXPEDICION!I321</f>
        <v>0.9327272727</v>
      </c>
    </row>
    <row r="322" ht="15.75" customHeight="1">
      <c r="A322" s="152">
        <f>PEDIDOS!B322</f>
        <v>46160</v>
      </c>
      <c r="B322" s="153" t="str">
        <f>PEDIDOS!C322</f>
        <v/>
      </c>
      <c r="C322" s="153" t="str">
        <f>PEDIDOS!D322</f>
        <v>UNICA</v>
      </c>
      <c r="D322" s="153" t="str">
        <f>PEDIDOS!E322</f>
        <v>AGUA MICELAR</v>
      </c>
      <c r="E322" s="153" t="str">
        <f>PEDIDOS!F322</f>
        <v>M</v>
      </c>
      <c r="F322" s="154">
        <f>PEDIDOS!M322</f>
        <v>110601</v>
      </c>
      <c r="G322" s="155">
        <f>-PEDIDOS!B322+EXPEDICION!K322</f>
        <v>24</v>
      </c>
      <c r="H322" s="156">
        <f>EXPEDICION!I322</f>
        <v>0.98</v>
      </c>
    </row>
    <row r="323" ht="15.75" customHeight="1">
      <c r="A323" s="152">
        <f>PEDIDOS!B323</f>
        <v>46169</v>
      </c>
      <c r="B323" s="153" t="str">
        <f>PEDIDOS!C323</f>
        <v/>
      </c>
      <c r="C323" s="153" t="str">
        <f>PEDIDOS!D323</f>
        <v>COSMECEUTICALS</v>
      </c>
      <c r="D323" s="153" t="str">
        <f>PEDIDOS!E323</f>
        <v>CREMA PDND NAD+ (airless)</v>
      </c>
      <c r="E323" s="153" t="str">
        <f>PEDIDOS!F323</f>
        <v>P</v>
      </c>
      <c r="F323" s="154" t="str">
        <f>PEDIDOS!M323</f>
        <v>Y26044</v>
      </c>
      <c r="G323" s="155">
        <f>-PEDIDOS!B323+EXPEDICION!K323</f>
        <v>16</v>
      </c>
      <c r="H323" s="156">
        <f>EXPEDICION!I323</f>
        <v>0.993</v>
      </c>
    </row>
    <row r="324" ht="15.75" customHeight="1">
      <c r="A324" s="152">
        <f>PEDIDOS!B324</f>
        <v>46169</v>
      </c>
      <c r="B324" s="153" t="str">
        <f>PEDIDOS!C324</f>
        <v/>
      </c>
      <c r="C324" s="153" t="str">
        <f>PEDIDOS!D324</f>
        <v>COSMECEUTICALS</v>
      </c>
      <c r="D324" s="153" t="str">
        <f>PEDIDOS!E324</f>
        <v>ESPUMA MICELAR</v>
      </c>
      <c r="E324" s="153" t="str">
        <f>PEDIDOS!F324</f>
        <v>P</v>
      </c>
      <c r="F324" s="154" t="str">
        <f>PEDIDOS!M324</f>
        <v>Y26043</v>
      </c>
      <c r="G324" s="155">
        <f>-PEDIDOS!B324+EXPEDICION!K324</f>
        <v>14</v>
      </c>
      <c r="H324" s="156">
        <f>EXPEDICION!I324</f>
        <v>1.02</v>
      </c>
    </row>
    <row r="325" ht="15.75" customHeight="1">
      <c r="A325" s="152">
        <f>PEDIDOS!B325</f>
        <v>46170</v>
      </c>
      <c r="B325" s="153" t="str">
        <f>PEDIDOS!C325</f>
        <v/>
      </c>
      <c r="C325" s="153" t="str">
        <f>PEDIDOS!D325</f>
        <v>AGUEDA REY - KUNST</v>
      </c>
      <c r="D325" s="153" t="str">
        <f>PEDIDOS!E325</f>
        <v>Alisado Capilar D260021/2</v>
      </c>
      <c r="E325" s="153" t="str">
        <f>PEDIDOS!F325</f>
        <v>M</v>
      </c>
      <c r="F325" s="154" t="str">
        <f>PEDIDOS!M325</f>
        <v>J26002</v>
      </c>
      <c r="G325" s="155">
        <f>-PEDIDOS!B325+EXPEDICION!K325</f>
        <v>28</v>
      </c>
      <c r="H325" s="156">
        <f>EXPEDICION!I325</f>
        <v>0.9966666667</v>
      </c>
    </row>
    <row r="326" ht="15.75" customHeight="1">
      <c r="A326" s="152">
        <f>PEDIDOS!B326</f>
        <v>46170</v>
      </c>
      <c r="B326" s="153" t="str">
        <f>PEDIDOS!C326</f>
        <v/>
      </c>
      <c r="C326" s="153" t="str">
        <f>PEDIDOS!D326</f>
        <v>AGUEDA REY - KUNST</v>
      </c>
      <c r="D326" s="153" t="str">
        <f>PEDIDOS!E326</f>
        <v>Alisado Capilar D260021/2</v>
      </c>
      <c r="E326" s="153" t="str">
        <f>PEDIDOS!F326</f>
        <v>M</v>
      </c>
      <c r="F326" s="154" t="str">
        <f>PEDIDOS!M326</f>
        <v>J26002</v>
      </c>
      <c r="G326" s="155">
        <f>-PEDIDOS!B326+EXPEDICION!K326</f>
        <v>28</v>
      </c>
      <c r="H326" s="156">
        <f>EXPEDICION!I326</f>
        <v>1</v>
      </c>
    </row>
    <row r="327" ht="15.75" customHeight="1">
      <c r="A327" s="152">
        <f>PEDIDOS!B327</f>
        <v>46170</v>
      </c>
      <c r="B327" s="153" t="str">
        <f>PEDIDOS!C327</f>
        <v/>
      </c>
      <c r="C327" s="153" t="str">
        <f>PEDIDOS!D327</f>
        <v>LUCENT</v>
      </c>
      <c r="D327" s="153" t="str">
        <f>PEDIDOS!E327</f>
        <v>SKIN GLOW HIDROLIZADO DE COLAGENO</v>
      </c>
      <c r="E327" s="153" t="str">
        <f>PEDIDOS!F327</f>
        <v>P</v>
      </c>
      <c r="F327" s="154" t="str">
        <f>PEDIDOS!M327</f>
        <v>Y26059</v>
      </c>
      <c r="G327" s="155">
        <f>-PEDIDOS!B327+EXPEDICION!K327</f>
        <v>4</v>
      </c>
      <c r="H327" s="156">
        <f>EXPEDICION!I327</f>
        <v>0.829</v>
      </c>
    </row>
    <row r="328" ht="15.75" customHeight="1">
      <c r="A328" s="152">
        <f>PEDIDOS!B328</f>
        <v>46174</v>
      </c>
      <c r="B328" s="153">
        <f>PEDIDOS!C328</f>
        <v>147</v>
      </c>
      <c r="C328" s="153" t="str">
        <f>PEDIDOS!D328</f>
        <v>ICONO</v>
      </c>
      <c r="D328" s="153" t="str">
        <f>PEDIDOS!E328</f>
        <v>CREMA EQUILIBRANTE NIACINAMIDA</v>
      </c>
      <c r="E328" s="153" t="str">
        <f>PEDIDOS!F328</f>
        <v>P</v>
      </c>
      <c r="F328" s="154" t="str">
        <f>PEDIDOS!M328</f>
        <v>J26001</v>
      </c>
      <c r="G328" s="155">
        <f>-PEDIDOS!B328+EXPEDICION!K328</f>
        <v>18</v>
      </c>
      <c r="H328" s="156">
        <f>EXPEDICION!I328</f>
        <v>0.98</v>
      </c>
    </row>
    <row r="329" ht="15.75" customHeight="1">
      <c r="A329" s="152">
        <f>PEDIDOS!B329</f>
        <v>46174</v>
      </c>
      <c r="B329" s="153">
        <f>PEDIDOS!C329</f>
        <v>147</v>
      </c>
      <c r="C329" s="153" t="str">
        <f>PEDIDOS!D329</f>
        <v>ICONO</v>
      </c>
      <c r="D329" s="153" t="str">
        <f>PEDIDOS!E329</f>
        <v>MASCARA DESINCRUSTANTE DE PAPAYA x 250GR.</v>
      </c>
      <c r="E329" s="153" t="str">
        <f>PEDIDOS!F329</f>
        <v>M</v>
      </c>
      <c r="F329" s="154" t="str">
        <f>PEDIDOS!M329</f>
        <v>J26005</v>
      </c>
      <c r="G329" s="155">
        <f>-PEDIDOS!B329+EXPEDICION!K329</f>
        <v>21</v>
      </c>
      <c r="H329" s="156">
        <f>EXPEDICION!I329</f>
        <v>0.998</v>
      </c>
    </row>
    <row r="330" ht="15.75" customHeight="1">
      <c r="A330" s="152">
        <f>PEDIDOS!B330</f>
        <v>46174</v>
      </c>
      <c r="B330" s="153" t="str">
        <f>PEDIDOS!C330</f>
        <v>#P01362</v>
      </c>
      <c r="C330" s="153" t="str">
        <f>PEDIDOS!D330</f>
        <v>BIOESENCIA</v>
      </c>
      <c r="D330" s="153" t="str">
        <f>PEDIDOS!E330</f>
        <v>GEL DE LIMPIEZA VEGAN</v>
      </c>
      <c r="E330" s="153" t="str">
        <f>PEDIDOS!F330</f>
        <v>M</v>
      </c>
      <c r="F330" s="154">
        <f>PEDIDOS!M330</f>
        <v>110602</v>
      </c>
      <c r="G330" s="155">
        <f>-PEDIDOS!B330+EXPEDICION!K330</f>
        <v>22</v>
      </c>
      <c r="H330" s="156">
        <f>EXPEDICION!I330</f>
        <v>0.982</v>
      </c>
    </row>
    <row r="331" ht="15.75" customHeight="1">
      <c r="A331" s="152">
        <f>PEDIDOS!B331</f>
        <v>46174</v>
      </c>
      <c r="B331" s="153" t="str">
        <f>PEDIDOS!C331</f>
        <v>#P01362</v>
      </c>
      <c r="C331" s="153" t="str">
        <f>PEDIDOS!D331</f>
        <v>BIOESENCIA</v>
      </c>
      <c r="D331" s="153" t="str">
        <f>PEDIDOS!E331</f>
        <v>CREMA DIA ORIGENES</v>
      </c>
      <c r="E331" s="153" t="str">
        <f>PEDIDOS!F331</f>
        <v>M</v>
      </c>
      <c r="F331" s="154">
        <f>PEDIDOS!M331</f>
        <v>100601</v>
      </c>
      <c r="G331" s="155">
        <f>-PEDIDOS!B331+EXPEDICION!K331</f>
        <v>9</v>
      </c>
      <c r="H331" s="156">
        <f>EXPEDICION!I331</f>
        <v>0.946</v>
      </c>
    </row>
    <row r="332" ht="15.75" customHeight="1">
      <c r="A332" s="152">
        <f>PEDIDOS!B332</f>
        <v>46174</v>
      </c>
      <c r="B332" s="153" t="str">
        <f>PEDIDOS!C332</f>
        <v>#P01362</v>
      </c>
      <c r="C332" s="153" t="str">
        <f>PEDIDOS!D332</f>
        <v>BIOESENCIA</v>
      </c>
      <c r="D332" s="153" t="str">
        <f>PEDIDOS!E332</f>
        <v>CREMA MEN INTENSIVE CARE</v>
      </c>
      <c r="E332" s="153" t="str">
        <f>PEDIDOS!F332</f>
        <v>M</v>
      </c>
      <c r="F332" s="154">
        <f>PEDIDOS!M332</f>
        <v>280502</v>
      </c>
      <c r="G332" s="155">
        <f>-PEDIDOS!B332+EXPEDICION!K332</f>
        <v>2</v>
      </c>
      <c r="H332" s="156">
        <f>EXPEDICION!I332</f>
        <v>0.987</v>
      </c>
    </row>
    <row r="333" ht="15.75" customHeight="1">
      <c r="A333" s="152">
        <f>PEDIDOS!B333</f>
        <v>46169</v>
      </c>
      <c r="B333" s="153" t="str">
        <f>PEDIDOS!C333</f>
        <v>10A</v>
      </c>
      <c r="C333" s="153" t="str">
        <f>PEDIDOS!D333</f>
        <v>ORIGINAL BLACK</v>
      </c>
      <c r="D333" s="153" t="str">
        <f>PEDIDOS!E333</f>
        <v>AFTER SHAVE AZUL</v>
      </c>
      <c r="E333" s="153" t="str">
        <f>PEDIDOS!F333</f>
        <v>M</v>
      </c>
      <c r="F333" s="154" t="str">
        <f>PEDIDOS!M333</f>
        <v/>
      </c>
      <c r="G333" s="155">
        <f>-PEDIDOS!B333+EXPEDICION!K333</f>
        <v>-46169</v>
      </c>
      <c r="H333" s="156">
        <f>EXPEDICION!I333</f>
        <v>0.561</v>
      </c>
    </row>
    <row r="334" ht="15.75" customHeight="1">
      <c r="A334" s="152">
        <f>PEDIDOS!B334</f>
        <v>46169</v>
      </c>
      <c r="B334" s="153" t="str">
        <f>PEDIDOS!C334</f>
        <v>10A</v>
      </c>
      <c r="C334" s="153" t="str">
        <f>PEDIDOS!D334</f>
        <v>ORIGINAL BLACK</v>
      </c>
      <c r="D334" s="153" t="str">
        <f>PEDIDOS!E334</f>
        <v>AFTER SHAVE VERDE</v>
      </c>
      <c r="E334" s="153" t="str">
        <f>PEDIDOS!F334</f>
        <v>M</v>
      </c>
      <c r="F334" s="154" t="str">
        <f>PEDIDOS!M334</f>
        <v/>
      </c>
      <c r="G334" s="155">
        <f>-PEDIDOS!B334+EXPEDICION!K334</f>
        <v>14</v>
      </c>
      <c r="H334" s="156">
        <f>EXPEDICION!I334</f>
        <v>1.05</v>
      </c>
    </row>
    <row r="335" ht="15.75" customHeight="1">
      <c r="A335" s="152">
        <f>PEDIDOS!B335</f>
        <v>46169</v>
      </c>
      <c r="B335" s="153" t="str">
        <f>PEDIDOS!C335</f>
        <v>10A</v>
      </c>
      <c r="C335" s="153" t="str">
        <f>PEDIDOS!D335</f>
        <v>ORIGINAL BLACK</v>
      </c>
      <c r="D335" s="153" t="str">
        <f>PEDIDOS!E335</f>
        <v>AFTER SHAVE VIOLETA</v>
      </c>
      <c r="E335" s="153" t="str">
        <f>PEDIDOS!F335</f>
        <v>M</v>
      </c>
      <c r="F335" s="154" t="str">
        <f>PEDIDOS!M335</f>
        <v/>
      </c>
      <c r="G335" s="155">
        <f>-PEDIDOS!B335+EXPEDICION!K335</f>
        <v>-46169</v>
      </c>
      <c r="H335" s="156">
        <f>EXPEDICION!I335</f>
        <v>0.651</v>
      </c>
    </row>
    <row r="336" ht="15.75" customHeight="1">
      <c r="A336" s="152">
        <f>PEDIDOS!B336</f>
        <v>46181</v>
      </c>
      <c r="B336" s="153">
        <f>PEDIDOS!C336</f>
        <v>1090</v>
      </c>
      <c r="C336" s="153" t="str">
        <f>PEDIDOS!D336</f>
        <v>NIZA</v>
      </c>
      <c r="D336" s="153" t="str">
        <f>PEDIDOS!E336</f>
        <v>AQUA BOMB RICH X 250 ML</v>
      </c>
      <c r="E336" s="153" t="str">
        <f>PEDIDOS!F336</f>
        <v>P</v>
      </c>
      <c r="F336" s="154" t="str">
        <f>PEDIDOS!M336</f>
        <v>J26049</v>
      </c>
      <c r="G336" s="155">
        <f>-PEDIDOS!B336+EXPEDICION!K336</f>
        <v>23</v>
      </c>
      <c r="H336" s="156">
        <f>EXPEDICION!I336</f>
        <v>0.9533333333</v>
      </c>
    </row>
    <row r="337" ht="15.75" customHeight="1">
      <c r="A337" s="152">
        <f>PEDIDOS!B337</f>
        <v>46181</v>
      </c>
      <c r="B337" s="153">
        <f>PEDIDOS!C337</f>
        <v>1090</v>
      </c>
      <c r="C337" s="153" t="str">
        <f>PEDIDOS!D337</f>
        <v>NIZA</v>
      </c>
      <c r="D337" s="153" t="str">
        <f>PEDIDOS!E337</f>
        <v>MIXOLOGY DESVITALIZADA X300ML</v>
      </c>
      <c r="E337" s="153" t="str">
        <f>PEDIDOS!F337</f>
        <v>P</v>
      </c>
      <c r="F337" s="154" t="str">
        <f>PEDIDOS!M337</f>
        <v/>
      </c>
      <c r="G337" s="155">
        <f>-PEDIDOS!B337+EXPEDICION!K337</f>
        <v>-46181</v>
      </c>
      <c r="H337" s="156" t="str">
        <f>EXPEDICION!I337</f>
        <v/>
      </c>
    </row>
    <row r="338" ht="15.75" customHeight="1">
      <c r="A338" s="152">
        <f>PEDIDOS!B338</f>
        <v>46181</v>
      </c>
      <c r="B338" s="153">
        <f>PEDIDOS!C338</f>
        <v>1090</v>
      </c>
      <c r="C338" s="153" t="str">
        <f>PEDIDOS!D338</f>
        <v>NIZA</v>
      </c>
      <c r="D338" s="153" t="str">
        <f>PEDIDOS!E338</f>
        <v>PROBIOTONIC BALANCE X500ML</v>
      </c>
      <c r="E338" s="153" t="str">
        <f>PEDIDOS!F338</f>
        <v>P</v>
      </c>
      <c r="F338" s="154" t="str">
        <f>PEDIDOS!M338</f>
        <v>J26047</v>
      </c>
      <c r="G338" s="155">
        <f>-PEDIDOS!B338+EXPEDICION!K338</f>
        <v>23</v>
      </c>
      <c r="H338" s="156">
        <f>EXPEDICION!I338</f>
        <v>1.006666667</v>
      </c>
    </row>
    <row r="339" ht="15.75" customHeight="1">
      <c r="A339" s="152">
        <f>PEDIDOS!B339</f>
        <v>46181</v>
      </c>
      <c r="B339" s="153">
        <f>PEDIDOS!C339</f>
        <v>1090</v>
      </c>
      <c r="C339" s="153" t="str">
        <f>PEDIDOS!D339</f>
        <v>NIZA</v>
      </c>
      <c r="D339" s="153" t="str">
        <f>PEDIDOS!E339</f>
        <v>PROBIOTONIC HYDRA X500ML</v>
      </c>
      <c r="E339" s="153" t="str">
        <f>PEDIDOS!F339</f>
        <v>P</v>
      </c>
      <c r="F339" s="154" t="str">
        <f>PEDIDOS!M339</f>
        <v>J26048</v>
      </c>
      <c r="G339" s="155">
        <f>-PEDIDOS!B339+EXPEDICION!K339</f>
        <v>23</v>
      </c>
      <c r="H339" s="156">
        <f>EXPEDICION!I339</f>
        <v>1.026666667</v>
      </c>
    </row>
    <row r="340" ht="15.75" customHeight="1">
      <c r="A340" s="152">
        <f>PEDIDOS!B340</f>
        <v>46178</v>
      </c>
      <c r="B340" s="153" t="str">
        <f>PEDIDOS!C340</f>
        <v/>
      </c>
      <c r="C340" s="153" t="str">
        <f>PEDIDOS!D340</f>
        <v>THELMA Y LOUISE</v>
      </c>
      <c r="D340" s="153" t="str">
        <f>PEDIDOS!E340</f>
        <v>ALCOHOL EN GEL TYL CHERRY</v>
      </c>
      <c r="E340" s="153" t="str">
        <f>PEDIDOS!F340</f>
        <v>M</v>
      </c>
      <c r="F340" s="154">
        <f>PEDIDOS!M340</f>
        <v>120601</v>
      </c>
      <c r="G340" s="155">
        <f>-PEDIDOS!B340+EXPEDICION!K340</f>
        <v>14</v>
      </c>
      <c r="H340" s="156">
        <f>EXPEDICION!I340</f>
        <v>1.0274</v>
      </c>
    </row>
    <row r="341" ht="15.75" customHeight="1">
      <c r="A341" s="152">
        <f>PEDIDOS!B341</f>
        <v>46178</v>
      </c>
      <c r="B341" s="153" t="str">
        <f>PEDIDOS!C341</f>
        <v/>
      </c>
      <c r="C341" s="153" t="str">
        <f>PEDIDOS!D341</f>
        <v>THELMA Y LOUISE</v>
      </c>
      <c r="D341" s="153" t="str">
        <f>PEDIDOS!E341</f>
        <v>ALCOHOL EN GEL TYL FRUTILLA</v>
      </c>
      <c r="E341" s="153" t="str">
        <f>PEDIDOS!F341</f>
        <v>M</v>
      </c>
      <c r="F341" s="154">
        <f>PEDIDOS!M341</f>
        <v>190601</v>
      </c>
      <c r="G341" s="155">
        <f>-PEDIDOS!B341+EXPEDICION!K341</f>
        <v>25</v>
      </c>
      <c r="H341" s="156">
        <f>EXPEDICION!I341</f>
        <v>0.986</v>
      </c>
    </row>
    <row r="342" ht="15.75" customHeight="1">
      <c r="A342" s="152">
        <f>PEDIDOS!B342</f>
        <v>46181</v>
      </c>
      <c r="B342" s="153" t="str">
        <f>PEDIDOS!C342</f>
        <v>N° .0703240143</v>
      </c>
      <c r="C342" s="153" t="str">
        <f>PEDIDOS!D342</f>
        <v>BENNIE</v>
      </c>
      <c r="D342" s="153" t="str">
        <f>PEDIDOS!E342</f>
        <v>SERUM BOOBIE DROPS</v>
      </c>
      <c r="E342" s="153" t="str">
        <f>PEDIDOS!F342</f>
        <v>P</v>
      </c>
      <c r="F342" s="154" t="str">
        <f>PEDIDOS!M342</f>
        <v>J26023</v>
      </c>
      <c r="G342" s="155">
        <f>-PEDIDOS!B342+EXPEDICION!K342</f>
        <v>40</v>
      </c>
      <c r="H342" s="156">
        <f>EXPEDICION!I342</f>
        <v>1.014285714</v>
      </c>
    </row>
    <row r="343" ht="15.75" customHeight="1">
      <c r="A343" s="152">
        <f>PEDIDOS!B343</f>
        <v>46182</v>
      </c>
      <c r="B343" s="153" t="str">
        <f>PEDIDOS!C343</f>
        <v/>
      </c>
      <c r="C343" s="153" t="str">
        <f>PEDIDOS!D343</f>
        <v>CRISLY</v>
      </c>
      <c r="D343" s="153" t="str">
        <f>PEDIDOS!E343</f>
        <v>LECHE EMOLIENTE AVENA</v>
      </c>
      <c r="E343" s="153" t="str">
        <f>PEDIDOS!F343</f>
        <v>M</v>
      </c>
      <c r="F343" s="154" t="str">
        <f>PEDIDOS!M343</f>
        <v>J26025</v>
      </c>
      <c r="G343" s="155">
        <f>-PEDIDOS!B343+EXPEDICION!K343</f>
        <v>13</v>
      </c>
      <c r="H343" s="156">
        <f>EXPEDICION!I343</f>
        <v>1.126</v>
      </c>
    </row>
    <row r="344" ht="15.75" customHeight="1">
      <c r="A344" s="152">
        <f>PEDIDOS!B344</f>
        <v>46174</v>
      </c>
      <c r="B344" s="153" t="str">
        <f>PEDIDOS!C344</f>
        <v>10B</v>
      </c>
      <c r="C344" s="153" t="str">
        <f>PEDIDOS!D344</f>
        <v>ORIGINAL BLACK</v>
      </c>
      <c r="D344" s="153" t="str">
        <f>PEDIDOS!E344</f>
        <v>AFTER SHAVE AZUL</v>
      </c>
      <c r="E344" s="153" t="str">
        <f>PEDIDOS!F344</f>
        <v>M</v>
      </c>
      <c r="F344" s="154" t="str">
        <f>PEDIDOS!M344</f>
        <v/>
      </c>
      <c r="G344" s="155">
        <f>-PEDIDOS!B344+EXPEDICION!K344</f>
        <v>-46174</v>
      </c>
      <c r="H344" s="156" t="str">
        <f>EXPEDICION!I344</f>
        <v/>
      </c>
    </row>
    <row r="345" ht="15.75" customHeight="1">
      <c r="A345" s="152">
        <f>PEDIDOS!B345</f>
        <v>46174</v>
      </c>
      <c r="B345" s="153" t="str">
        <f>PEDIDOS!C345</f>
        <v>10B</v>
      </c>
      <c r="C345" s="153" t="str">
        <f>PEDIDOS!D345</f>
        <v>ORIGINAL BLACK</v>
      </c>
      <c r="D345" s="153" t="str">
        <f>PEDIDOS!E345</f>
        <v>AFTER SHAVE VERDE</v>
      </c>
      <c r="E345" s="153" t="str">
        <f>PEDIDOS!F345</f>
        <v>M</v>
      </c>
      <c r="F345" s="154" t="str">
        <f>PEDIDOS!M345</f>
        <v/>
      </c>
      <c r="G345" s="155">
        <f>-PEDIDOS!B345+EXPEDICION!K345</f>
        <v>23</v>
      </c>
      <c r="H345" s="156">
        <f>EXPEDICION!I345</f>
        <v>1.2</v>
      </c>
    </row>
    <row r="346" ht="15.75" customHeight="1">
      <c r="A346" s="152">
        <f>PEDIDOS!B346</f>
        <v>46174</v>
      </c>
      <c r="B346" s="153" t="str">
        <f>PEDIDOS!C346</f>
        <v>10B</v>
      </c>
      <c r="C346" s="153" t="str">
        <f>PEDIDOS!D346</f>
        <v>ORIGINAL BLACK</v>
      </c>
      <c r="D346" s="153" t="str">
        <f>PEDIDOS!E346</f>
        <v>AFTER SHAVE VIOLETA</v>
      </c>
      <c r="E346" s="153" t="str">
        <f>PEDIDOS!F346</f>
        <v>M</v>
      </c>
      <c r="F346" s="154" t="str">
        <f>PEDIDOS!M346</f>
        <v/>
      </c>
      <c r="G346" s="155">
        <f>-PEDIDOS!B346+EXPEDICION!K346</f>
        <v>-46174</v>
      </c>
      <c r="H346" s="156">
        <f>EXPEDICION!I346</f>
        <v>0.999</v>
      </c>
    </row>
    <row r="347" ht="15.75" customHeight="1">
      <c r="A347" s="152">
        <f>PEDIDOS!B347</f>
        <v>46178</v>
      </c>
      <c r="B347" s="153" t="str">
        <f>PEDIDOS!C347</f>
        <v/>
      </c>
      <c r="C347" s="153" t="str">
        <f>PEDIDOS!D347</f>
        <v>BL COSMETICS</v>
      </c>
      <c r="D347" s="153" t="str">
        <f>PEDIDOS!E347</f>
        <v>ALISADO EXPERT </v>
      </c>
      <c r="E347" s="153" t="str">
        <f>PEDIDOS!F347</f>
        <v>M</v>
      </c>
      <c r="F347" s="154" t="str">
        <f>PEDIDOS!M347</f>
        <v>J26037</v>
      </c>
      <c r="G347" s="155">
        <f>-PEDIDOS!B347+EXPEDICION!K347</f>
        <v>25</v>
      </c>
      <c r="H347" s="156">
        <f>EXPEDICION!I347</f>
        <v>1.000666667</v>
      </c>
    </row>
    <row r="348" ht="15.75" customHeight="1">
      <c r="A348" s="152">
        <f>PEDIDOS!B348</f>
        <v>46183</v>
      </c>
      <c r="B348" s="153">
        <f>PEDIDOS!C348</f>
        <v>6455</v>
      </c>
      <c r="C348" s="153" t="str">
        <f>PEDIDOS!D348</f>
        <v>HEBURN</v>
      </c>
      <c r="D348" s="153" t="str">
        <f>PEDIDOS!E348</f>
        <v>BRUMA FIJADORA DE MAQUILLAJE</v>
      </c>
      <c r="E348" s="153" t="str">
        <f>PEDIDOS!F348</f>
        <v>M</v>
      </c>
      <c r="F348" s="154" t="str">
        <f>PEDIDOS!M348</f>
        <v>J26030</v>
      </c>
      <c r="G348" s="155">
        <f>-PEDIDOS!B348+EXPEDICION!K348</f>
        <v>14</v>
      </c>
      <c r="H348" s="156">
        <f>EXPEDICION!I348</f>
        <v>0.994</v>
      </c>
    </row>
    <row r="349" ht="15.75" customHeight="1">
      <c r="A349" s="152">
        <f>PEDIDOS!B349</f>
        <v>46183</v>
      </c>
      <c r="B349" s="153">
        <f>PEDIDOS!C349</f>
        <v>14474</v>
      </c>
      <c r="C349" s="153" t="str">
        <f>PEDIDOS!D349</f>
        <v>JACTANS - DISNEY</v>
      </c>
      <c r="D349" s="153" t="str">
        <f>PEDIDOS!E349</f>
        <v>DL-019-Laca infantil ROSA (+6)</v>
      </c>
      <c r="E349" s="153" t="str">
        <f>PEDIDOS!F349</f>
        <v>M</v>
      </c>
      <c r="F349" s="154" t="str">
        <f>PEDIDOS!M349</f>
        <v>J26017</v>
      </c>
      <c r="G349" s="155">
        <f>-PEDIDOS!B349+EXPEDICION!K349</f>
        <v>14</v>
      </c>
      <c r="H349" s="156">
        <f>EXPEDICION!I349</f>
        <v>1</v>
      </c>
    </row>
    <row r="350" ht="15.75" customHeight="1">
      <c r="A350" s="152">
        <f>PEDIDOS!B350</f>
        <v>46183</v>
      </c>
      <c r="B350" s="153">
        <f>PEDIDOS!C350</f>
        <v>14474</v>
      </c>
      <c r="C350" s="153" t="str">
        <f>PEDIDOS!D350</f>
        <v>JACTANS - DISNEY</v>
      </c>
      <c r="D350" s="153" t="str">
        <f>PEDIDOS!E350</f>
        <v>DL-021-Laca infantil CELESTE (+6)</v>
      </c>
      <c r="E350" s="153" t="str">
        <f>PEDIDOS!F350</f>
        <v>M</v>
      </c>
      <c r="F350" s="154" t="str">
        <f>PEDIDOS!M350</f>
        <v>J26018</v>
      </c>
      <c r="G350" s="155">
        <f>-PEDIDOS!B350+EXPEDICION!K350</f>
        <v>14</v>
      </c>
      <c r="H350" s="156">
        <f>EXPEDICION!I350</f>
        <v>1</v>
      </c>
    </row>
    <row r="351" ht="15.75" customHeight="1">
      <c r="A351" s="152">
        <f>PEDIDOS!B351</f>
        <v>46183</v>
      </c>
      <c r="B351" s="153">
        <f>PEDIDOS!C351</f>
        <v>14474</v>
      </c>
      <c r="C351" s="153" t="str">
        <f>PEDIDOS!D351</f>
        <v>JACTANS - DISNEY</v>
      </c>
      <c r="D351" s="153" t="str">
        <f>PEDIDOS!E351</f>
        <v>DL-020-Laca infantil CORAL (+6)</v>
      </c>
      <c r="E351" s="153" t="str">
        <f>PEDIDOS!F351</f>
        <v>M</v>
      </c>
      <c r="F351" s="154" t="str">
        <f>PEDIDOS!M351</f>
        <v>J26019</v>
      </c>
      <c r="G351" s="155">
        <f>-PEDIDOS!B351+EXPEDICION!K351</f>
        <v>14</v>
      </c>
      <c r="H351" s="156">
        <f>EXPEDICION!I351</f>
        <v>1</v>
      </c>
    </row>
    <row r="352" ht="15.75" customHeight="1">
      <c r="A352" s="152">
        <f>PEDIDOS!B352</f>
        <v>46183</v>
      </c>
      <c r="B352" s="153">
        <f>PEDIDOS!C352</f>
        <v>14474</v>
      </c>
      <c r="C352" s="153" t="str">
        <f>PEDIDOS!D352</f>
        <v>JACTANS - DISNEY</v>
      </c>
      <c r="D352" s="153" t="str">
        <f>PEDIDOS!E352</f>
        <v>DL-022-Laca infantil TURQUESA (+6)</v>
      </c>
      <c r="E352" s="153" t="str">
        <f>PEDIDOS!F352</f>
        <v>M</v>
      </c>
      <c r="F352" s="154" t="str">
        <f>PEDIDOS!M352</f>
        <v>J26020</v>
      </c>
      <c r="G352" s="155">
        <f>-PEDIDOS!B352+EXPEDICION!K352</f>
        <v>14</v>
      </c>
      <c r="H352" s="156">
        <f>EXPEDICION!I352</f>
        <v>1</v>
      </c>
    </row>
    <row r="353" ht="15.75" customHeight="1">
      <c r="A353" s="152">
        <f>PEDIDOS!B353</f>
        <v>46183</v>
      </c>
      <c r="B353" s="153">
        <f>PEDIDOS!C353</f>
        <v>14463</v>
      </c>
      <c r="C353" s="153" t="str">
        <f>PEDIDOS!D353</f>
        <v>JACTANS - DISNEY</v>
      </c>
      <c r="D353" s="153" t="str">
        <f>PEDIDOS!E353</f>
        <v>DP-46583-Perfume infantil fco pvc x65ml/Es. 0298RK</v>
      </c>
      <c r="E353" s="153" t="str">
        <f>PEDIDOS!F353</f>
        <v>M</v>
      </c>
      <c r="F353" s="154" t="str">
        <f>PEDIDOS!M353</f>
        <v/>
      </c>
      <c r="G353" s="155">
        <f>-PEDIDOS!B353+EXPEDICION!K353</f>
        <v>-46183</v>
      </c>
      <c r="H353" s="156" t="str">
        <f>EXPEDICION!I353</f>
        <v/>
      </c>
    </row>
    <row r="354" ht="15.75" customHeight="1">
      <c r="A354" s="152">
        <f>PEDIDOS!B354</f>
        <v>46183</v>
      </c>
      <c r="B354" s="153">
        <f>PEDIDOS!C354</f>
        <v>14463</v>
      </c>
      <c r="C354" s="153" t="str">
        <f>PEDIDOS!D354</f>
        <v>JACTANS - DISNEY</v>
      </c>
      <c r="D354" s="153" t="str">
        <f>PEDIDOS!E354</f>
        <v>DP-48617.1-Perf inf Fco Armani x50ml/Es. 0278LS</v>
      </c>
      <c r="E354" s="153" t="str">
        <f>PEDIDOS!F354</f>
        <v>M</v>
      </c>
      <c r="F354" s="154" t="str">
        <f>PEDIDOS!M354</f>
        <v/>
      </c>
      <c r="G354" s="155">
        <f>-PEDIDOS!B354+EXPEDICION!K354</f>
        <v>-46183</v>
      </c>
      <c r="H354" s="156" t="str">
        <f>EXPEDICION!I354</f>
        <v/>
      </c>
    </row>
    <row r="355" ht="15.75" customHeight="1">
      <c r="A355" s="152">
        <f>PEDIDOS!B355</f>
        <v>46183</v>
      </c>
      <c r="B355" s="153">
        <f>PEDIDOS!C355</f>
        <v>14463</v>
      </c>
      <c r="C355" s="153" t="str">
        <f>PEDIDOS!D355</f>
        <v>JACTANS - DISNEY</v>
      </c>
      <c r="D355" s="153" t="str">
        <f>PEDIDOS!E355</f>
        <v>DP-48624.1-Perfume inf. fco. Armani x50ml/Es. 0278LS</v>
      </c>
      <c r="E355" s="153" t="str">
        <f>PEDIDOS!F355</f>
        <v>M</v>
      </c>
      <c r="F355" s="154" t="str">
        <f>PEDIDOS!M355</f>
        <v/>
      </c>
      <c r="G355" s="155">
        <f>-PEDIDOS!B355+EXPEDICION!K355</f>
        <v>-46183</v>
      </c>
      <c r="H355" s="156" t="str">
        <f>EXPEDICION!I355</f>
        <v/>
      </c>
    </row>
    <row r="356" ht="15.75" customHeight="1">
      <c r="A356" s="152">
        <f>PEDIDOS!B356</f>
        <v>46183</v>
      </c>
      <c r="B356" s="153">
        <f>PEDIDOS!C356</f>
        <v>14463</v>
      </c>
      <c r="C356" s="153" t="str">
        <f>PEDIDOS!D356</f>
        <v>JACTANS - DISNEY</v>
      </c>
      <c r="D356" s="153" t="str">
        <f>PEDIDOS!E356</f>
        <v>DP-48631.1-Perf inf fco armani x50ml / ES 20-0264AN</v>
      </c>
      <c r="E356" s="153" t="str">
        <f>PEDIDOS!F356</f>
        <v>M</v>
      </c>
      <c r="F356" s="154" t="str">
        <f>PEDIDOS!M356</f>
        <v/>
      </c>
      <c r="G356" s="155">
        <f>-PEDIDOS!B356+EXPEDICION!K356</f>
        <v>-46183</v>
      </c>
      <c r="H356" s="156" t="str">
        <f>EXPEDICION!I356</f>
        <v/>
      </c>
    </row>
    <row r="357" ht="15.75" customHeight="1">
      <c r="A357" s="152">
        <f>PEDIDOS!B357</f>
        <v>46183</v>
      </c>
      <c r="B357" s="153">
        <f>PEDIDOS!C357</f>
        <v>14463</v>
      </c>
      <c r="C357" s="153" t="str">
        <f>PEDIDOS!D357</f>
        <v>JACTANS - DISNEY</v>
      </c>
      <c r="D357" s="153" t="str">
        <f>PEDIDOS!E357</f>
        <v>DP-48679-Perf. inf. fco Mariana x50ml/Es. 0269IN</v>
      </c>
      <c r="E357" s="153" t="str">
        <f>PEDIDOS!F357</f>
        <v>M</v>
      </c>
      <c r="F357" s="154" t="str">
        <f>PEDIDOS!M357</f>
        <v/>
      </c>
      <c r="G357" s="155">
        <f>-PEDIDOS!B357+EXPEDICION!K357</f>
        <v>-46183</v>
      </c>
      <c r="H357" s="156" t="str">
        <f>EXPEDICION!I357</f>
        <v/>
      </c>
    </row>
    <row r="358" ht="15.75" customHeight="1">
      <c r="A358" s="152">
        <f>PEDIDOS!B358</f>
        <v>46183</v>
      </c>
      <c r="B358" s="153">
        <f>PEDIDOS!C358</f>
        <v>14463</v>
      </c>
      <c r="C358" s="153" t="str">
        <f>PEDIDOS!D358</f>
        <v>JACTANS - DISNEY</v>
      </c>
      <c r="D358" s="153" t="str">
        <f>PEDIDOS!E358</f>
        <v>DP-48686-Perf. inf. Fco Mariana x50ml  0270WT</v>
      </c>
      <c r="E358" s="153" t="str">
        <f>PEDIDOS!F358</f>
        <v>M</v>
      </c>
      <c r="F358" s="154" t="str">
        <f>PEDIDOS!M358</f>
        <v/>
      </c>
      <c r="G358" s="155">
        <f>-PEDIDOS!B358+EXPEDICION!K358</f>
        <v>-46183</v>
      </c>
      <c r="H358" s="156" t="str">
        <f>EXPEDICION!I358</f>
        <v/>
      </c>
    </row>
    <row r="359" ht="15.75" customHeight="1">
      <c r="A359" s="152">
        <f>PEDIDOS!B359</f>
        <v>46183</v>
      </c>
      <c r="B359" s="153">
        <f>PEDIDOS!C359</f>
        <v>14463</v>
      </c>
      <c r="C359" s="153" t="str">
        <f>PEDIDOS!D359</f>
        <v>JACTANS - DISNEY</v>
      </c>
      <c r="D359" s="153" t="str">
        <f>PEDIDOS!E359</f>
        <v>DP-49737-Perf. inf. Fco Mariana x50ml  0269IN</v>
      </c>
      <c r="E359" s="153" t="str">
        <f>PEDIDOS!F359</f>
        <v>M</v>
      </c>
      <c r="F359" s="154" t="str">
        <f>PEDIDOS!M359</f>
        <v/>
      </c>
      <c r="G359" s="155">
        <f>-PEDIDOS!B359+EXPEDICION!K359</f>
        <v>-46183</v>
      </c>
      <c r="H359" s="156" t="str">
        <f>EXPEDICION!I359</f>
        <v/>
      </c>
    </row>
    <row r="360" ht="15.75" customHeight="1">
      <c r="A360" s="152">
        <f>PEDIDOS!B360</f>
        <v>46183</v>
      </c>
      <c r="B360" s="153">
        <f>PEDIDOS!C360</f>
        <v>14463</v>
      </c>
      <c r="C360" s="153" t="str">
        <f>PEDIDOS!D360</f>
        <v>JACTANS - DISNEY</v>
      </c>
      <c r="D360" s="153" t="str">
        <f>PEDIDOS!E360</f>
        <v>DP-50617-Perfume inf. fco silueta pvc x45ml  0368PB</v>
      </c>
      <c r="E360" s="153" t="str">
        <f>PEDIDOS!F360</f>
        <v>M</v>
      </c>
      <c r="F360" s="154" t="str">
        <f>PEDIDOS!M360</f>
        <v/>
      </c>
      <c r="G360" s="155">
        <f>-PEDIDOS!B360+EXPEDICION!K360</f>
        <v>-46183</v>
      </c>
      <c r="H360" s="156" t="str">
        <f>EXPEDICION!I360</f>
        <v/>
      </c>
    </row>
    <row r="361" ht="15.75" customHeight="1">
      <c r="A361" s="152">
        <f>PEDIDOS!B361</f>
        <v>46183</v>
      </c>
      <c r="B361" s="153">
        <f>PEDIDOS!C361</f>
        <v>14463</v>
      </c>
      <c r="C361" s="153" t="str">
        <f>PEDIDOS!D361</f>
        <v>JACTANS - DISNEY</v>
      </c>
      <c r="D361" s="153" t="str">
        <f>PEDIDOS!E361</f>
        <v>DP-50662-Perfume inf. fco Eugenia x50ML/Es. 0369RD</v>
      </c>
      <c r="E361" s="153" t="str">
        <f>PEDIDOS!F361</f>
        <v>M</v>
      </c>
      <c r="F361" s="154" t="str">
        <f>PEDIDOS!M361</f>
        <v/>
      </c>
      <c r="G361" s="155">
        <f>-PEDIDOS!B361+EXPEDICION!K361</f>
        <v>-46183</v>
      </c>
      <c r="H361" s="156" t="str">
        <f>EXPEDICION!I361</f>
        <v/>
      </c>
    </row>
    <row r="362" ht="15.75" customHeight="1">
      <c r="A362" s="152">
        <f>PEDIDOS!B362</f>
        <v>46183</v>
      </c>
      <c r="B362" s="153">
        <f>PEDIDOS!C362</f>
        <v>14463</v>
      </c>
      <c r="C362" s="153" t="str">
        <f>PEDIDOS!D362</f>
        <v>JACTANS - DISNEY</v>
      </c>
      <c r="D362" s="153" t="str">
        <f>PEDIDOS!E362</f>
        <v>DP-50815-Perfume inf. fco silueta pvc x45ML  0367AG</v>
      </c>
      <c r="E362" s="153" t="str">
        <f>PEDIDOS!F362</f>
        <v>M</v>
      </c>
      <c r="F362" s="154" t="str">
        <f>PEDIDOS!M362</f>
        <v/>
      </c>
      <c r="G362" s="155">
        <f>-PEDIDOS!B362+EXPEDICION!K362</f>
        <v>-46183</v>
      </c>
      <c r="H362" s="156" t="str">
        <f>EXPEDICION!I362</f>
        <v/>
      </c>
    </row>
    <row r="363" ht="15.75" customHeight="1">
      <c r="A363" s="152">
        <f>PEDIDOS!B363</f>
        <v>46183</v>
      </c>
      <c r="B363" s="153">
        <f>PEDIDOS!C363</f>
        <v>14463</v>
      </c>
      <c r="C363" s="153" t="str">
        <f>PEDIDOS!D363</f>
        <v>JACTANS - DISNEY</v>
      </c>
      <c r="D363" s="153" t="str">
        <f>PEDIDOS!E363</f>
        <v>DP-50877-Perf inf fco Mariana x50ml 0296LP</v>
      </c>
      <c r="E363" s="153" t="str">
        <f>PEDIDOS!F363</f>
        <v>M</v>
      </c>
      <c r="F363" s="154" t="str">
        <f>PEDIDOS!M363</f>
        <v/>
      </c>
      <c r="G363" s="155">
        <f>-PEDIDOS!B363+EXPEDICION!K363</f>
        <v>-46183</v>
      </c>
      <c r="H363" s="156" t="str">
        <f>EXPEDICION!I363</f>
        <v/>
      </c>
    </row>
    <row r="364" ht="15.75" customHeight="1">
      <c r="A364" s="152">
        <f>PEDIDOS!B364</f>
        <v>46183</v>
      </c>
      <c r="B364" s="153">
        <f>PEDIDOS!C364</f>
        <v>14463</v>
      </c>
      <c r="C364" s="153" t="str">
        <f>PEDIDOS!D364</f>
        <v>JACTANS - DISNEY</v>
      </c>
      <c r="D364" s="153" t="str">
        <f>PEDIDOS!E364</f>
        <v>DP-50907-Perfume inf. fco pvc x65ml/Es. 0436CH</v>
      </c>
      <c r="E364" s="153" t="str">
        <f>PEDIDOS!F364</f>
        <v>M</v>
      </c>
      <c r="F364" s="154" t="str">
        <f>PEDIDOS!M364</f>
        <v/>
      </c>
      <c r="G364" s="155">
        <f>-PEDIDOS!B364+EXPEDICION!K364</f>
        <v>-46183</v>
      </c>
      <c r="H364" s="156" t="str">
        <f>EXPEDICION!I364</f>
        <v/>
      </c>
    </row>
    <row r="365" ht="15.75" customHeight="1">
      <c r="A365" s="152">
        <f>PEDIDOS!B365</f>
        <v>46183</v>
      </c>
      <c r="B365" s="153">
        <f>PEDIDOS!C365</f>
        <v>14463</v>
      </c>
      <c r="C365" s="153" t="str">
        <f>PEDIDOS!D365</f>
        <v>JACTANS - DISNEY</v>
      </c>
      <c r="D365" s="153" t="str">
        <f>PEDIDOS!E365</f>
        <v>DP-51270-Perf. infan. fco mariana x50ml/Es. 0269IN</v>
      </c>
      <c r="E365" s="153" t="str">
        <f>PEDIDOS!F365</f>
        <v>M</v>
      </c>
      <c r="F365" s="154" t="str">
        <f>PEDIDOS!M365</f>
        <v/>
      </c>
      <c r="G365" s="155">
        <f>-PEDIDOS!B365+EXPEDICION!K365</f>
        <v>-46183</v>
      </c>
      <c r="H365" s="156" t="str">
        <f>EXPEDICION!I365</f>
        <v/>
      </c>
    </row>
    <row r="366" ht="15.75" customHeight="1">
      <c r="A366" s="152">
        <f>PEDIDOS!B366</f>
        <v>46183</v>
      </c>
      <c r="B366" s="153">
        <f>PEDIDOS!C366</f>
        <v>14463</v>
      </c>
      <c r="C366" s="153" t="str">
        <f>PEDIDOS!D366</f>
        <v>JACTANS - DISNEY</v>
      </c>
      <c r="D366" s="153" t="str">
        <f>PEDIDOS!E366</f>
        <v>DP-95057-Perfume inf. Fco Imperial  x50ML  0298RK</v>
      </c>
      <c r="E366" s="153" t="str">
        <f>PEDIDOS!F366</f>
        <v>M</v>
      </c>
      <c r="F366" s="154" t="str">
        <f>PEDIDOS!M366</f>
        <v/>
      </c>
      <c r="G366" s="155">
        <f>-PEDIDOS!B366+EXPEDICION!K366</f>
        <v>-46183</v>
      </c>
      <c r="H366" s="156" t="str">
        <f>EXPEDICION!I366</f>
        <v/>
      </c>
    </row>
    <row r="367" ht="15.75" customHeight="1">
      <c r="A367" s="152">
        <f>PEDIDOS!B367</f>
        <v>46183</v>
      </c>
      <c r="B367" s="153">
        <f>PEDIDOS!C367</f>
        <v>14463</v>
      </c>
      <c r="C367" s="153" t="str">
        <f>PEDIDOS!D367</f>
        <v>JACTANS - DISNEY</v>
      </c>
      <c r="D367" s="153" t="str">
        <f>PEDIDOS!E367</f>
        <v>DP-97525-Perfume inf. fco. imperial x50ml 0297UT</v>
      </c>
      <c r="E367" s="153" t="str">
        <f>PEDIDOS!F367</f>
        <v>M</v>
      </c>
      <c r="F367" s="154" t="str">
        <f>PEDIDOS!M367</f>
        <v/>
      </c>
      <c r="G367" s="155">
        <f>-PEDIDOS!B367+EXPEDICION!K367</f>
        <v>-46183</v>
      </c>
      <c r="H367" s="156" t="str">
        <f>EXPEDICION!I367</f>
        <v/>
      </c>
    </row>
    <row r="368" ht="15.75" customHeight="1">
      <c r="A368" s="152">
        <f>PEDIDOS!B368</f>
        <v>46183</v>
      </c>
      <c r="B368" s="153">
        <f>PEDIDOS!C368</f>
        <v>14463</v>
      </c>
      <c r="C368" s="153" t="str">
        <f>PEDIDOS!D368</f>
        <v>JACTANS - DISNEY</v>
      </c>
      <c r="D368" s="153" t="str">
        <f>PEDIDOS!E368</f>
        <v>DP-0304-Perfume inf fco triangular x50ml/Es. 0299RB</v>
      </c>
      <c r="E368" s="153" t="str">
        <f>PEDIDOS!F368</f>
        <v>M</v>
      </c>
      <c r="F368" s="154" t="str">
        <f>PEDIDOS!M368</f>
        <v>J26043</v>
      </c>
      <c r="G368" s="155">
        <f>-PEDIDOS!B368+EXPEDICION!K368</f>
        <v>19</v>
      </c>
      <c r="H368" s="156">
        <f>EXPEDICION!I368</f>
        <v>1.018</v>
      </c>
    </row>
    <row r="369" ht="15.75" customHeight="1">
      <c r="A369" s="152">
        <f>PEDIDOS!B369</f>
        <v>46183</v>
      </c>
      <c r="B369" s="153">
        <f>PEDIDOS!C369</f>
        <v>14463</v>
      </c>
      <c r="C369" s="153" t="str">
        <f>PEDIDOS!D369</f>
        <v>JACTANS - DISNEY</v>
      </c>
      <c r="D369" s="153" t="str">
        <f>PEDIDOS!E369</f>
        <v>DP-0311-Perfume inf fco triangular pvc x50ml 0297UT</v>
      </c>
      <c r="E369" s="153" t="str">
        <f>PEDIDOS!F369</f>
        <v>M</v>
      </c>
      <c r="F369" s="154" t="str">
        <f>PEDIDOS!M369</f>
        <v>J26044</v>
      </c>
      <c r="G369" s="155">
        <f>-PEDIDOS!B369+EXPEDICION!K369</f>
        <v>19</v>
      </c>
      <c r="H369" s="156">
        <f>EXPEDICION!I369</f>
        <v>1.003333333</v>
      </c>
    </row>
    <row r="370" ht="15.75" customHeight="1">
      <c r="A370" s="152">
        <f>PEDIDOS!B370</f>
        <v>46183</v>
      </c>
      <c r="B370" s="153">
        <f>PEDIDOS!C370</f>
        <v>14463</v>
      </c>
      <c r="C370" s="153" t="str">
        <f>PEDIDOS!D370</f>
        <v>JACTANS - DISNEY</v>
      </c>
      <c r="D370" s="153" t="str">
        <f>PEDIDOS!E370</f>
        <v>DP-0328-Perf. inf. fco triang. pvc x50ml/Es. 0280BD</v>
      </c>
      <c r="E370" s="153" t="str">
        <f>PEDIDOS!F370</f>
        <v>M</v>
      </c>
      <c r="F370" s="154" t="str">
        <f>PEDIDOS!M370</f>
        <v>J26045</v>
      </c>
      <c r="G370" s="155">
        <f>-PEDIDOS!B370+EXPEDICION!K370</f>
        <v>20</v>
      </c>
      <c r="H370" s="156">
        <f>EXPEDICION!I370</f>
        <v>1.005333333</v>
      </c>
    </row>
    <row r="371" ht="15.75" customHeight="1">
      <c r="A371" s="152">
        <f>PEDIDOS!B371</f>
        <v>46183</v>
      </c>
      <c r="B371" s="153">
        <f>PEDIDOS!C371</f>
        <v>14463</v>
      </c>
      <c r="C371" s="153" t="str">
        <f>PEDIDOS!D371</f>
        <v>JACTANS - DISNEY</v>
      </c>
      <c r="D371" s="153" t="str">
        <f>PEDIDOS!E371</f>
        <v>DP-1134-Perfume inf fco pvc x120ml/Es. 0298RK</v>
      </c>
      <c r="E371" s="153" t="str">
        <f>PEDIDOS!F371</f>
        <v>M</v>
      </c>
      <c r="F371" s="154" t="str">
        <f>PEDIDOS!M371</f>
        <v/>
      </c>
      <c r="G371" s="155">
        <f>-PEDIDOS!B371+EXPEDICION!K371</f>
        <v>-46183</v>
      </c>
      <c r="H371" s="156" t="str">
        <f>EXPEDICION!I371</f>
        <v/>
      </c>
    </row>
    <row r="372" ht="15.75" customHeight="1">
      <c r="A372" s="152">
        <f>PEDIDOS!B372</f>
        <v>46183</v>
      </c>
      <c r="B372" s="153">
        <f>PEDIDOS!C372</f>
        <v>14463</v>
      </c>
      <c r="C372" s="153" t="str">
        <f>PEDIDOS!D372</f>
        <v>JACTANS - DISNEY</v>
      </c>
      <c r="D372" s="153" t="str">
        <f>PEDIDOS!E372</f>
        <v>DP-1349-Perfume inf. fco corazon pvc x30ml/Es. 0297UT</v>
      </c>
      <c r="E372" s="153" t="str">
        <f>PEDIDOS!F372</f>
        <v>M</v>
      </c>
      <c r="F372" s="154" t="str">
        <f>PEDIDOS!M372</f>
        <v/>
      </c>
      <c r="G372" s="155">
        <f>-PEDIDOS!B372+EXPEDICION!K372</f>
        <v>-46183</v>
      </c>
      <c r="H372" s="156" t="str">
        <f>EXPEDICION!I372</f>
        <v/>
      </c>
    </row>
    <row r="373" ht="15.75" customHeight="1">
      <c r="A373" s="152">
        <f>PEDIDOS!B373</f>
        <v>46183</v>
      </c>
      <c r="B373" s="153">
        <f>PEDIDOS!C373</f>
        <v>14463</v>
      </c>
      <c r="C373" s="153" t="str">
        <f>PEDIDOS!D373</f>
        <v>JACTANS - DISNEY</v>
      </c>
      <c r="D373" s="153" t="str">
        <f>PEDIDOS!E373</f>
        <v>DP-40543-Perfume inf. fco pvc x65ml 0300IE</v>
      </c>
      <c r="E373" s="153" t="str">
        <f>PEDIDOS!F373</f>
        <v>M</v>
      </c>
      <c r="F373" s="154" t="str">
        <f>PEDIDOS!M373</f>
        <v>J26052</v>
      </c>
      <c r="G373" s="155">
        <f>-PEDIDOS!B373+EXPEDICION!K373</f>
        <v>21</v>
      </c>
      <c r="H373" s="156">
        <f>EXPEDICION!I373</f>
        <v>1.007333333</v>
      </c>
    </row>
    <row r="374" ht="15.75" customHeight="1">
      <c r="A374" s="152">
        <f>PEDIDOS!B374</f>
        <v>46183</v>
      </c>
      <c r="B374" s="153">
        <f>PEDIDOS!C374</f>
        <v>14463</v>
      </c>
      <c r="C374" s="153" t="str">
        <f>PEDIDOS!D374</f>
        <v>JACTANS - DISNEY</v>
      </c>
      <c r="D374" s="153" t="str">
        <f>PEDIDOS!E374</f>
        <v>DP-44107-Perfume inf fco Mariana x50ml 0296LP</v>
      </c>
      <c r="E374" s="153" t="str">
        <f>PEDIDOS!F374</f>
        <v>M</v>
      </c>
      <c r="F374" s="154" t="str">
        <f>PEDIDOS!M374</f>
        <v/>
      </c>
      <c r="G374" s="155">
        <f>-PEDIDOS!B374+EXPEDICION!K374</f>
        <v>-46183</v>
      </c>
      <c r="H374" s="156" t="str">
        <f>EXPEDICION!I374</f>
        <v/>
      </c>
    </row>
    <row r="375" ht="15.75" customHeight="1">
      <c r="A375" s="152">
        <f>PEDIDOS!B375</f>
        <v>46183</v>
      </c>
      <c r="B375" s="153">
        <f>PEDIDOS!C375</f>
        <v>14463</v>
      </c>
      <c r="C375" s="153" t="str">
        <f>PEDIDOS!D375</f>
        <v>JACTANS - DISNEY</v>
      </c>
      <c r="D375" s="153" t="str">
        <f>PEDIDOS!E375</f>
        <v>DP-45784-Perfume inf. fco imperial x50ml/0270WT</v>
      </c>
      <c r="E375" s="153" t="str">
        <f>PEDIDOS!F375</f>
        <v>M</v>
      </c>
      <c r="F375" s="154" t="str">
        <f>PEDIDOS!M375</f>
        <v/>
      </c>
      <c r="G375" s="155">
        <f>-PEDIDOS!B375+EXPEDICION!K375</f>
        <v>-46183</v>
      </c>
      <c r="H375" s="156" t="str">
        <f>EXPEDICION!I375</f>
        <v/>
      </c>
    </row>
    <row r="376" ht="15.75" customHeight="1">
      <c r="A376" s="152">
        <f>PEDIDOS!B376</f>
        <v>46183</v>
      </c>
      <c r="B376" s="153">
        <f>PEDIDOS!C376</f>
        <v>14463</v>
      </c>
      <c r="C376" s="153" t="str">
        <f>PEDIDOS!D376</f>
        <v>JACTANS - DISNEY</v>
      </c>
      <c r="D376" s="153" t="str">
        <f>PEDIDOS!E376</f>
        <v>DP-46347-Perfume Inf. fco pvc x65ml/Es. 0278LS</v>
      </c>
      <c r="E376" s="153" t="str">
        <f>PEDIDOS!F376</f>
        <v>M</v>
      </c>
      <c r="F376" s="154" t="str">
        <f>PEDIDOS!M376</f>
        <v/>
      </c>
      <c r="G376" s="155">
        <f>-PEDIDOS!B376+EXPEDICION!K376</f>
        <v>-46183</v>
      </c>
      <c r="H376" s="156" t="str">
        <f>EXPEDICION!I376</f>
        <v/>
      </c>
    </row>
    <row r="377" ht="15.75" customHeight="1">
      <c r="A377" s="152">
        <f>PEDIDOS!B377</f>
        <v>46184</v>
      </c>
      <c r="B377" s="153" t="str">
        <f>PEDIDOS!C377</f>
        <v/>
      </c>
      <c r="C377" s="153" t="str">
        <f>PEDIDOS!D377</f>
        <v>BAHIA EVANS</v>
      </c>
      <c r="D377" s="153" t="str">
        <f>PEDIDOS!E377</f>
        <v>TRATAMIENTO STRAIGHT</v>
      </c>
      <c r="E377" s="153" t="str">
        <f>PEDIDOS!F377</f>
        <v>M</v>
      </c>
      <c r="F377" s="154" t="str">
        <f>PEDIDOS!M377</f>
        <v>J26038</v>
      </c>
      <c r="G377" s="155">
        <f>-PEDIDOS!B377+EXPEDICION!K377</f>
        <v>14</v>
      </c>
      <c r="H377" s="156">
        <f>EXPEDICION!I377</f>
        <v>0.97</v>
      </c>
    </row>
    <row r="378" ht="15.75" customHeight="1">
      <c r="A378" s="152">
        <f>PEDIDOS!B378</f>
        <v>46189</v>
      </c>
      <c r="B378" s="153">
        <f>PEDIDOS!C378</f>
        <v>809</v>
      </c>
      <c r="C378" s="153" t="str">
        <f>PEDIDOS!D378</f>
        <v>CAV</v>
      </c>
      <c r="D378" s="153" t="str">
        <f>PEDIDOS!E378</f>
        <v>CREMA VITAMIN SHOCK X150G</v>
      </c>
      <c r="E378" s="153" t="str">
        <f>PEDIDOS!F378</f>
        <v>M</v>
      </c>
      <c r="F378" s="154" t="str">
        <f>PEDIDOS!M378</f>
        <v/>
      </c>
      <c r="G378" s="155">
        <f>-PEDIDOS!B378+EXPEDICION!K378</f>
        <v>-46189</v>
      </c>
      <c r="H378" s="156" t="str">
        <f>EXPEDICION!I378</f>
        <v/>
      </c>
    </row>
    <row r="379" ht="15.75" customHeight="1">
      <c r="A379" s="152">
        <f>PEDIDOS!B379</f>
        <v>46189</v>
      </c>
      <c r="B379" s="153">
        <f>PEDIDOS!C379</f>
        <v>809</v>
      </c>
      <c r="C379" s="153" t="str">
        <f>PEDIDOS!D379</f>
        <v>CAV</v>
      </c>
      <c r="D379" s="153" t="str">
        <f>PEDIDOS!E379</f>
        <v>SHAMPOO BIO MOLECULAR X400ML VITAMIN SHOCK</v>
      </c>
      <c r="E379" s="153" t="str">
        <f>PEDIDOS!F379</f>
        <v>M</v>
      </c>
      <c r="F379" s="154" t="str">
        <f>PEDIDOS!M379</f>
        <v>J26050</v>
      </c>
      <c r="G379" s="155">
        <f>-PEDIDOS!B379+EXPEDICION!K379</f>
        <v>14</v>
      </c>
      <c r="H379" s="156">
        <f>EXPEDICION!I379</f>
        <v>1.028</v>
      </c>
    </row>
    <row r="380" ht="15.75" customHeight="1">
      <c r="A380" s="152">
        <f>PEDIDOS!B380</f>
        <v>46189</v>
      </c>
      <c r="B380" s="153">
        <f>PEDIDOS!C380</f>
        <v>809</v>
      </c>
      <c r="C380" s="153" t="str">
        <f>PEDIDOS!D380</f>
        <v>CAV</v>
      </c>
      <c r="D380" s="153" t="str">
        <f>PEDIDOS!E380</f>
        <v>SHAMPOO BIO MOLECULAR X900ML VITAMIN SHOCK</v>
      </c>
      <c r="E380" s="153" t="str">
        <f>PEDIDOS!F380</f>
        <v>M</v>
      </c>
      <c r="F380" s="154" t="str">
        <f>PEDIDOS!M380</f>
        <v>J26050</v>
      </c>
      <c r="G380" s="155">
        <f>-PEDIDOS!B380+EXPEDICION!K380</f>
        <v>15</v>
      </c>
      <c r="H380" s="156">
        <f>EXPEDICION!I380</f>
        <v>1.005</v>
      </c>
    </row>
    <row r="381" ht="15.75" customHeight="1">
      <c r="A381" s="152">
        <f>PEDIDOS!B381</f>
        <v>46189</v>
      </c>
      <c r="B381" s="153">
        <f>PEDIDOS!C381</f>
        <v>809</v>
      </c>
      <c r="C381" s="153" t="str">
        <f>PEDIDOS!D381</f>
        <v>CAV</v>
      </c>
      <c r="D381" s="153" t="str">
        <f>PEDIDOS!E381</f>
        <v>CONDITIONER BIO MOLECULAR X400ML VITAMIN SHOCK</v>
      </c>
      <c r="E381" s="153" t="str">
        <f>PEDIDOS!F381</f>
        <v>M</v>
      </c>
      <c r="F381" s="154" t="str">
        <f>PEDIDOS!M381</f>
        <v>J26051</v>
      </c>
      <c r="G381" s="155">
        <f>-PEDIDOS!B381+EXPEDICION!K381</f>
        <v>15</v>
      </c>
      <c r="H381" s="156">
        <f>EXPEDICION!I381</f>
        <v>1.004</v>
      </c>
    </row>
    <row r="382" ht="15.75" customHeight="1">
      <c r="A382" s="152">
        <f>PEDIDOS!B382</f>
        <v>46189</v>
      </c>
      <c r="B382" s="153">
        <f>PEDIDOS!C382</f>
        <v>809</v>
      </c>
      <c r="C382" s="153" t="str">
        <f>PEDIDOS!D382</f>
        <v>CAV</v>
      </c>
      <c r="D382" s="153" t="str">
        <f>PEDIDOS!E382</f>
        <v>CONDITIONER BIO MOLECULAR X900ML VITAMIN SHOCK</v>
      </c>
      <c r="E382" s="153" t="str">
        <f>PEDIDOS!F382</f>
        <v>M</v>
      </c>
      <c r="F382" s="154" t="str">
        <f>PEDIDOS!M382</f>
        <v/>
      </c>
      <c r="G382" s="155">
        <f>-PEDIDOS!B382+EXPEDICION!K382</f>
        <v>-46189</v>
      </c>
      <c r="H382" s="156" t="str">
        <f>EXPEDICION!I382</f>
        <v/>
      </c>
    </row>
    <row r="383" ht="15.75" customHeight="1">
      <c r="A383" s="152">
        <f>PEDIDOS!B383</f>
        <v>46189</v>
      </c>
      <c r="B383" s="153">
        <f>PEDIDOS!C383</f>
        <v>809</v>
      </c>
      <c r="C383" s="153" t="str">
        <f>PEDIDOS!D383</f>
        <v>CAV</v>
      </c>
      <c r="D383" s="153" t="str">
        <f>PEDIDOS!E383</f>
        <v>SHAMPOO BIONIC X900ML</v>
      </c>
      <c r="E383" s="153" t="str">
        <f>PEDIDOS!F383</f>
        <v>M</v>
      </c>
      <c r="F383" s="154" t="str">
        <f>PEDIDOS!M383</f>
        <v/>
      </c>
      <c r="G383" s="155">
        <f>-PEDIDOS!B383+EXPEDICION!K383</f>
        <v>-46189</v>
      </c>
      <c r="H383" s="156" t="str">
        <f>EXPEDICION!I383</f>
        <v/>
      </c>
    </row>
    <row r="384" ht="15.75" customHeight="1">
      <c r="A384" s="152">
        <f>PEDIDOS!B384</f>
        <v>46189</v>
      </c>
      <c r="B384" s="153">
        <f>PEDIDOS!C384</f>
        <v>809</v>
      </c>
      <c r="C384" s="153" t="str">
        <f>PEDIDOS!D384</f>
        <v>CAV</v>
      </c>
      <c r="D384" s="153" t="str">
        <f>PEDIDOS!E384</f>
        <v>BALSAMO BIONIC X900ML</v>
      </c>
      <c r="E384" s="153" t="str">
        <f>PEDIDOS!F384</f>
        <v>M</v>
      </c>
      <c r="F384" s="154" t="str">
        <f>PEDIDOS!M384</f>
        <v/>
      </c>
      <c r="G384" s="155">
        <f>-PEDIDOS!B384+EXPEDICION!K384</f>
        <v>-46189</v>
      </c>
      <c r="H384" s="156" t="str">
        <f>EXPEDICION!I384</f>
        <v/>
      </c>
    </row>
    <row r="385" ht="15.75" customHeight="1">
      <c r="A385" s="152">
        <f>PEDIDOS!B385</f>
        <v>46189</v>
      </c>
      <c r="B385" s="153">
        <f>PEDIDOS!C385</f>
        <v>809</v>
      </c>
      <c r="C385" s="153" t="str">
        <f>PEDIDOS!D385</f>
        <v>CAV</v>
      </c>
      <c r="D385" s="153" t="str">
        <f>PEDIDOS!E385</f>
        <v>PROTECTOR C-PLEX PASO 3X150ML</v>
      </c>
      <c r="E385" s="153" t="str">
        <f>PEDIDOS!F385</f>
        <v>M</v>
      </c>
      <c r="F385" s="154" t="str">
        <f>PEDIDOS!M385</f>
        <v/>
      </c>
      <c r="G385" s="155">
        <f>-PEDIDOS!B385+EXPEDICION!K385</f>
        <v>-46189</v>
      </c>
      <c r="H385" s="156" t="str">
        <f>EXPEDICION!I385</f>
        <v/>
      </c>
    </row>
    <row r="386" ht="15.75" customHeight="1">
      <c r="A386" s="152">
        <f>PEDIDOS!B386</f>
        <v>46189</v>
      </c>
      <c r="B386" s="153">
        <f>PEDIDOS!C386</f>
        <v>809</v>
      </c>
      <c r="C386" s="153" t="str">
        <f>PEDIDOS!D386</f>
        <v>CAV</v>
      </c>
      <c r="D386" s="153" t="str">
        <f>PEDIDOS!E386</f>
        <v>SHAMPOO BIONIC X400ML</v>
      </c>
      <c r="E386" s="153" t="str">
        <f>PEDIDOS!F386</f>
        <v>M</v>
      </c>
      <c r="F386" s="154" t="str">
        <f>PEDIDOS!M386</f>
        <v/>
      </c>
      <c r="G386" s="155">
        <f>-PEDIDOS!B386+EXPEDICION!K386</f>
        <v>-46189</v>
      </c>
      <c r="H386" s="156" t="str">
        <f>EXPEDICION!I386</f>
        <v/>
      </c>
    </row>
    <row r="387" ht="15.75" customHeight="1">
      <c r="A387" s="152">
        <f>PEDIDOS!B387</f>
        <v>46189</v>
      </c>
      <c r="B387" s="153">
        <f>PEDIDOS!C387</f>
        <v>809</v>
      </c>
      <c r="C387" s="153" t="str">
        <f>PEDIDOS!D387</f>
        <v>CAV</v>
      </c>
      <c r="D387" s="153" t="str">
        <f>PEDIDOS!E387</f>
        <v>BALSAMO BIONIC X400ML</v>
      </c>
      <c r="E387" s="153" t="str">
        <f>PEDIDOS!F387</f>
        <v>M</v>
      </c>
      <c r="F387" s="154" t="str">
        <f>PEDIDOS!M387</f>
        <v/>
      </c>
      <c r="G387" s="155">
        <f>-PEDIDOS!B387+EXPEDICION!K387</f>
        <v>-46189</v>
      </c>
      <c r="H387" s="156" t="str">
        <f>EXPEDICION!I387</f>
        <v/>
      </c>
    </row>
    <row r="388" ht="15.75" customHeight="1">
      <c r="A388" s="152">
        <f>PEDIDOS!B388</f>
        <v>46189</v>
      </c>
      <c r="B388" s="153">
        <f>PEDIDOS!C388</f>
        <v>809</v>
      </c>
      <c r="C388" s="153" t="str">
        <f>PEDIDOS!D388</f>
        <v>CAV</v>
      </c>
      <c r="D388" s="153" t="str">
        <f>PEDIDOS!E388</f>
        <v>Mascara BIO Molecular X 300 ml. Vitamin Shock</v>
      </c>
      <c r="E388" s="153" t="str">
        <f>PEDIDOS!F388</f>
        <v>M</v>
      </c>
      <c r="F388" s="154" t="str">
        <f>PEDIDOS!M388</f>
        <v/>
      </c>
      <c r="G388" s="155">
        <f>-PEDIDOS!B388+EXPEDICION!K388</f>
        <v>-46189</v>
      </c>
      <c r="H388" s="156" t="str">
        <f>EXPEDICION!I388</f>
        <v/>
      </c>
    </row>
    <row r="389" ht="15.75" customHeight="1">
      <c r="A389" s="152">
        <f>PEDIDOS!B389</f>
        <v>46189</v>
      </c>
      <c r="B389" s="153" t="str">
        <f>PEDIDOS!C389</f>
        <v/>
      </c>
      <c r="C389" s="153" t="str">
        <f>PEDIDOS!D389</f>
        <v>DERMION / FRANCO</v>
      </c>
      <c r="D389" s="153" t="str">
        <f>PEDIDOS!E389</f>
        <v>SERUM AH + NIACI</v>
      </c>
      <c r="E389" s="153" t="str">
        <f>PEDIDOS!F389</f>
        <v>P</v>
      </c>
      <c r="F389" s="154" t="str">
        <f>PEDIDOS!M389</f>
        <v>J26028</v>
      </c>
      <c r="G389" s="155">
        <f>-PEDIDOS!B389+EXPEDICION!K389</f>
        <v>13</v>
      </c>
      <c r="H389" s="156">
        <f>EXPEDICION!I389</f>
        <v>1.051</v>
      </c>
    </row>
    <row r="390" ht="15.75" customHeight="1">
      <c r="A390" s="152">
        <f>PEDIDOS!B390</f>
        <v>46189</v>
      </c>
      <c r="B390" s="153" t="str">
        <f>PEDIDOS!C390</f>
        <v/>
      </c>
      <c r="C390" s="153" t="str">
        <f>PEDIDOS!D390</f>
        <v>MACA MODAS</v>
      </c>
      <c r="D390" s="153" t="str">
        <f>PEDIDOS!E390</f>
        <v>SERUM AH + NIACI</v>
      </c>
      <c r="E390" s="153" t="str">
        <f>PEDIDOS!F390</f>
        <v>P</v>
      </c>
      <c r="F390" s="154" t="str">
        <f>PEDIDOS!M390</f>
        <v/>
      </c>
      <c r="G390" s="155">
        <f>-PEDIDOS!B390+EXPEDICION!K390</f>
        <v>-46189</v>
      </c>
      <c r="H390" s="156" t="str">
        <f>EXPEDICION!I390</f>
        <v/>
      </c>
    </row>
    <row r="391" ht="15.75" customHeight="1">
      <c r="A391" s="152">
        <f>PEDIDOS!B391</f>
        <v>46189</v>
      </c>
      <c r="B391" s="153" t="str">
        <f>PEDIDOS!C391</f>
        <v/>
      </c>
      <c r="C391" s="153" t="str">
        <f>PEDIDOS!D391</f>
        <v>MACA MODAS</v>
      </c>
      <c r="D391" s="153" t="str">
        <f>PEDIDOS!E391</f>
        <v>CREMA AH + NIACI</v>
      </c>
      <c r="E391" s="153" t="str">
        <f>PEDIDOS!F391</f>
        <v>P</v>
      </c>
      <c r="F391" s="154" t="str">
        <f>PEDIDOS!M391</f>
        <v/>
      </c>
      <c r="G391" s="155">
        <f>-PEDIDOS!B391+EXPEDICION!K391</f>
        <v>-46189</v>
      </c>
      <c r="H391" s="156" t="str">
        <f>EXPEDICION!I391</f>
        <v/>
      </c>
    </row>
    <row r="392" ht="15.75" customHeight="1">
      <c r="A392" s="152">
        <f>PEDIDOS!B392</f>
        <v>46184</v>
      </c>
      <c r="B392" s="153" t="str">
        <f>PEDIDOS!C392</f>
        <v/>
      </c>
      <c r="C392" s="153" t="str">
        <f>PEDIDOS!D392</f>
        <v>LUCENT</v>
      </c>
      <c r="D392" s="153" t="str">
        <f>PEDIDOS!E392</f>
        <v>SERUM VITAMINA C</v>
      </c>
      <c r="E392" s="153" t="str">
        <f>PEDIDOS!F392</f>
        <v>P</v>
      </c>
      <c r="F392" s="154" t="str">
        <f>PEDIDOS!M392</f>
        <v>J26024</v>
      </c>
      <c r="G392" s="155">
        <f>-PEDIDOS!B392+EXPEDICION!K392</f>
        <v>15</v>
      </c>
      <c r="H392" s="156">
        <f>EXPEDICION!I392</f>
        <v>0.857</v>
      </c>
    </row>
    <row r="393" ht="15.75" customHeight="1">
      <c r="A393" s="152">
        <f>PEDIDOS!B393</f>
        <v>46184</v>
      </c>
      <c r="B393" s="153" t="str">
        <f>PEDIDOS!C393</f>
        <v/>
      </c>
      <c r="C393" s="153" t="str">
        <f>PEDIDOS!D393</f>
        <v>BL COSMETICS</v>
      </c>
      <c r="D393" s="153" t="str">
        <f>PEDIDOS!E393</f>
        <v>MASCARA ANTIFRIZZ 300ML</v>
      </c>
      <c r="E393" s="153" t="str">
        <f>PEDIDOS!F393</f>
        <v>M</v>
      </c>
      <c r="F393" s="154" t="str">
        <f>PEDIDOS!M393</f>
        <v/>
      </c>
      <c r="G393" s="155">
        <f>-PEDIDOS!B393+EXPEDICION!K393</f>
        <v>-46184</v>
      </c>
      <c r="H393" s="156" t="str">
        <f>EXPEDICION!I393</f>
        <v/>
      </c>
    </row>
    <row r="394" ht="15.75" customHeight="1">
      <c r="A394" s="152">
        <f>PEDIDOS!B394</f>
        <v>46184</v>
      </c>
      <c r="B394" s="153" t="str">
        <f>PEDIDOS!C394</f>
        <v/>
      </c>
      <c r="C394" s="153" t="str">
        <f>PEDIDOS!D394</f>
        <v>BL COSMETICS</v>
      </c>
      <c r="D394" s="153" t="str">
        <f>PEDIDOS!E394</f>
        <v>MASCARA ANTIFRIZZ 1000ML</v>
      </c>
      <c r="E394" s="153" t="str">
        <f>PEDIDOS!F394</f>
        <v>M</v>
      </c>
      <c r="F394" s="154" t="str">
        <f>PEDIDOS!M394</f>
        <v/>
      </c>
      <c r="G394" s="155">
        <f>-PEDIDOS!B394+EXPEDICION!K394</f>
        <v>-46184</v>
      </c>
      <c r="H394" s="156" t="str">
        <f>EXPEDICION!I394</f>
        <v/>
      </c>
    </row>
    <row r="395" ht="15.75" customHeight="1">
      <c r="A395" s="152">
        <f>PEDIDOS!B395</f>
        <v>46196</v>
      </c>
      <c r="B395" s="153" t="str">
        <f>PEDIDOS!C395</f>
        <v/>
      </c>
      <c r="C395" s="153" t="str">
        <f>PEDIDOS!D395</f>
        <v>AGUEDA REY - IKIGAI</v>
      </c>
      <c r="D395" s="153" t="str">
        <f>PEDIDOS!E395</f>
        <v>GEL DE LIMPIEZA FACIAL</v>
      </c>
      <c r="E395" s="153" t="str">
        <f>PEDIDOS!F395</f>
        <v>P</v>
      </c>
      <c r="F395" s="154" t="str">
        <f>PEDIDOS!M395</f>
        <v/>
      </c>
      <c r="G395" s="155">
        <f>-PEDIDOS!B395+EXPEDICION!K395</f>
        <v>-46196</v>
      </c>
      <c r="H395" s="156" t="str">
        <f>EXPEDICION!I395</f>
        <v/>
      </c>
    </row>
    <row r="396" ht="15.75" customHeight="1">
      <c r="A396" s="152">
        <f>PEDIDOS!B396</f>
        <v>46197</v>
      </c>
      <c r="B396" s="153" t="str">
        <f>PEDIDOS!C396</f>
        <v/>
      </c>
      <c r="C396" s="153" t="str">
        <f>PEDIDOS!D396</f>
        <v>KALA</v>
      </c>
      <c r="D396" s="153" t="str">
        <f>PEDIDOS!E396</f>
        <v>BALSAMO LABIAL SANDIA</v>
      </c>
      <c r="E396" s="153" t="str">
        <f>PEDIDOS!F396</f>
        <v>M</v>
      </c>
      <c r="F396" s="154" t="str">
        <f>PEDIDOS!M396</f>
        <v/>
      </c>
      <c r="G396" s="155">
        <f>-PEDIDOS!B396+EXPEDICION!K396</f>
        <v>-46197</v>
      </c>
      <c r="H396" s="156" t="str">
        <f>EXPEDICION!I396</f>
        <v/>
      </c>
    </row>
    <row r="397" ht="15.75" customHeight="1">
      <c r="A397" s="152">
        <f>PEDIDOS!B397</f>
        <v>46197</v>
      </c>
      <c r="B397" s="153" t="str">
        <f>PEDIDOS!C397</f>
        <v/>
      </c>
      <c r="C397" s="153" t="str">
        <f>PEDIDOS!D397</f>
        <v>KALA</v>
      </c>
      <c r="D397" s="153" t="str">
        <f>PEDIDOS!E397</f>
        <v>BALSAMO LABIAL MANGO</v>
      </c>
      <c r="E397" s="153" t="str">
        <f>PEDIDOS!F397</f>
        <v>M</v>
      </c>
      <c r="F397" s="154" t="str">
        <f>PEDIDOS!M397</f>
        <v/>
      </c>
      <c r="G397" s="155">
        <f>-PEDIDOS!B397+EXPEDICION!K397</f>
        <v>-46197</v>
      </c>
      <c r="H397" s="156" t="str">
        <f>EXPEDICION!I397</f>
        <v/>
      </c>
    </row>
    <row r="398" ht="15.75" customHeight="1">
      <c r="A398" s="152">
        <f>PEDIDOS!B398</f>
        <v>46197</v>
      </c>
      <c r="B398" s="153">
        <f>PEDIDOS!C398</f>
        <v>149</v>
      </c>
      <c r="C398" s="153" t="str">
        <f>PEDIDOS!D398</f>
        <v>ICONO</v>
      </c>
      <c r="D398" s="153" t="str">
        <f>PEDIDOS!E398</f>
        <v>MASCARA LINEA EQUILIBRANTE x 250GR.</v>
      </c>
      <c r="E398" s="153" t="str">
        <f>PEDIDOS!F398</f>
        <v>M</v>
      </c>
      <c r="F398" s="154" t="str">
        <f>PEDIDOS!M398</f>
        <v/>
      </c>
      <c r="G398" s="155">
        <f>-PEDIDOS!B398+EXPEDICION!K398</f>
        <v>-46197</v>
      </c>
      <c r="H398" s="156" t="str">
        <f>EXPEDICION!I398</f>
        <v/>
      </c>
    </row>
    <row r="399" ht="15.75" customHeight="1">
      <c r="A399" s="152">
        <f>PEDIDOS!B399</f>
        <v>46164</v>
      </c>
      <c r="B399" s="153" t="str">
        <f>PEDIDOS!C399</f>
        <v/>
      </c>
      <c r="C399" s="153" t="str">
        <f>PEDIDOS!D399</f>
        <v>LUCENT</v>
      </c>
      <c r="D399" s="153" t="str">
        <f>PEDIDOS!E399</f>
        <v>SERUM W+</v>
      </c>
      <c r="E399" s="153" t="str">
        <f>PEDIDOS!F399</f>
        <v>P</v>
      </c>
      <c r="F399" s="154" t="str">
        <f>PEDIDOS!M399</f>
        <v>J26031</v>
      </c>
      <c r="G399" s="155">
        <f>-PEDIDOS!B399+EXPEDICION!K399</f>
        <v>35</v>
      </c>
      <c r="H399" s="156">
        <f>EXPEDICION!I399</f>
        <v>0.968</v>
      </c>
    </row>
    <row r="400" ht="15.75" customHeight="1">
      <c r="A400" s="152">
        <f>PEDIDOS!B400</f>
        <v>46164</v>
      </c>
      <c r="B400" s="153" t="str">
        <f>PEDIDOS!C400</f>
        <v/>
      </c>
      <c r="C400" s="153" t="str">
        <f>PEDIDOS!D400</f>
        <v>LUCENT</v>
      </c>
      <c r="D400" s="153" t="str">
        <f>PEDIDOS!E400</f>
        <v>SERUM N+</v>
      </c>
      <c r="E400" s="153" t="str">
        <f>PEDIDOS!F400</f>
        <v>P</v>
      </c>
      <c r="F400" s="154" t="str">
        <f>PEDIDOS!M400</f>
        <v>J26032</v>
      </c>
      <c r="G400" s="155">
        <f>-PEDIDOS!B400+EXPEDICION!K400</f>
        <v>35</v>
      </c>
      <c r="H400" s="156">
        <f>EXPEDICION!I400</f>
        <v>1.014</v>
      </c>
    </row>
    <row r="401" ht="15.75" customHeight="1">
      <c r="A401" s="152">
        <f>PEDIDOS!B401</f>
        <v>46192</v>
      </c>
      <c r="B401" s="153">
        <f>PEDIDOS!C401</f>
        <v>15329</v>
      </c>
      <c r="C401" s="153" t="str">
        <f>PEDIDOS!D401</f>
        <v>THELMA Y LOUISE</v>
      </c>
      <c r="D401" s="153" t="str">
        <f>PEDIDOS!E401</f>
        <v>EXFOLIANTE ARROZ</v>
      </c>
      <c r="E401" s="153" t="str">
        <f>PEDIDOS!F401</f>
        <v>M</v>
      </c>
      <c r="F401" s="154" t="str">
        <f>PEDIDOS!M401</f>
        <v>J26026</v>
      </c>
      <c r="G401" s="155">
        <f>-PEDIDOS!B401+EXPEDICION!K401</f>
        <v>11</v>
      </c>
      <c r="H401" s="156">
        <f>EXPEDICION!I401</f>
        <v>0.9893939394</v>
      </c>
    </row>
    <row r="402" ht="15.75" customHeight="1">
      <c r="A402" s="152">
        <f>PEDIDOS!B402</f>
        <v>46192</v>
      </c>
      <c r="B402" s="153">
        <f>PEDIDOS!C402</f>
        <v>15330</v>
      </c>
      <c r="C402" s="153" t="str">
        <f>PEDIDOS!D402</f>
        <v>THELMA Y LOUISE</v>
      </c>
      <c r="D402" s="153" t="str">
        <f>PEDIDOS!E402</f>
        <v>GEL DE LIMPIEZA ROSAS</v>
      </c>
      <c r="E402" s="153" t="str">
        <f>PEDIDOS!F402</f>
        <v>M</v>
      </c>
      <c r="F402" s="154" t="str">
        <f>PEDIDOS!M402</f>
        <v/>
      </c>
      <c r="G402" s="155">
        <f>-PEDIDOS!B402+EXPEDICION!K402</f>
        <v>-46192</v>
      </c>
      <c r="H402" s="156" t="str">
        <f>EXPEDICION!I402</f>
        <v/>
      </c>
    </row>
    <row r="403" ht="15.75" customHeight="1">
      <c r="A403" s="152">
        <f>PEDIDOS!B403</f>
        <v>46198</v>
      </c>
      <c r="B403" s="153">
        <f>PEDIDOS!C403</f>
        <v>15334</v>
      </c>
      <c r="C403" s="153" t="str">
        <f>PEDIDOS!D403</f>
        <v>THELMA Y LOUISE</v>
      </c>
      <c r="D403" s="153" t="str">
        <f>PEDIDOS!E403</f>
        <v>SANITIZANTE BLANCO AGUA DE COCO</v>
      </c>
      <c r="E403" s="153" t="str">
        <f>PEDIDOS!F403</f>
        <v>M</v>
      </c>
      <c r="F403" s="154" t="str">
        <f>PEDIDOS!M403</f>
        <v/>
      </c>
      <c r="G403" s="155">
        <f>-PEDIDOS!B403+EXPEDICION!K403</f>
        <v>-46198</v>
      </c>
      <c r="H403" s="156" t="str">
        <f>EXPEDICION!I403</f>
        <v/>
      </c>
    </row>
    <row r="404" ht="15.75" customHeight="1">
      <c r="A404" s="152">
        <f>PEDIDOS!B404</f>
        <v>46198</v>
      </c>
      <c r="B404" s="153">
        <f>PEDIDOS!C404</f>
        <v>15334</v>
      </c>
      <c r="C404" s="153" t="str">
        <f>PEDIDOS!D404</f>
        <v>THELMA Y LOUISE</v>
      </c>
      <c r="D404" s="153" t="str">
        <f>PEDIDOS!E404</f>
        <v>SANITIZANTE VIOLETA UVA</v>
      </c>
      <c r="E404" s="153" t="str">
        <f>PEDIDOS!F404</f>
        <v>M</v>
      </c>
      <c r="F404" s="154" t="str">
        <f>PEDIDOS!M404</f>
        <v/>
      </c>
      <c r="G404" s="155">
        <f>-PEDIDOS!B404+EXPEDICION!K404</f>
        <v>-46198</v>
      </c>
      <c r="H404" s="156" t="str">
        <f>EXPEDICION!I404</f>
        <v/>
      </c>
    </row>
    <row r="405" ht="15.75" customHeight="1">
      <c r="A405" s="152">
        <f>PEDIDOS!B405</f>
        <v>46198</v>
      </c>
      <c r="B405" s="153">
        <f>PEDIDOS!C405</f>
        <v>15334</v>
      </c>
      <c r="C405" s="153" t="str">
        <f>PEDIDOS!D405</f>
        <v>THELMA Y LOUISE</v>
      </c>
      <c r="D405" s="153" t="str">
        <f>PEDIDOS!E405</f>
        <v>SANITIZANTE ROJO CHERRY</v>
      </c>
      <c r="E405" s="153" t="str">
        <f>PEDIDOS!F405</f>
        <v>M</v>
      </c>
      <c r="F405" s="154" t="str">
        <f>PEDIDOS!M405</f>
        <v/>
      </c>
      <c r="G405" s="155">
        <f>-PEDIDOS!B405+EXPEDICION!K405</f>
        <v>-46198</v>
      </c>
      <c r="H405" s="156" t="str">
        <f>EXPEDICION!I405</f>
        <v/>
      </c>
    </row>
    <row r="406" ht="15.75" customHeight="1">
      <c r="A406" s="152">
        <f>PEDIDOS!B406</f>
        <v>46198</v>
      </c>
      <c r="B406" s="153">
        <f>PEDIDOS!C406</f>
        <v>15334</v>
      </c>
      <c r="C406" s="153" t="str">
        <f>PEDIDOS!D406</f>
        <v>THELMA Y LOUISE</v>
      </c>
      <c r="D406" s="153" t="str">
        <f>PEDIDOS!E406</f>
        <v>SANITIZANTE ROSA FRUTILLA</v>
      </c>
      <c r="E406" s="153" t="str">
        <f>PEDIDOS!F406</f>
        <v>M</v>
      </c>
      <c r="F406" s="154" t="str">
        <f>PEDIDOS!M406</f>
        <v/>
      </c>
      <c r="G406" s="155">
        <f>-PEDIDOS!B406+EXPEDICION!K406</f>
        <v>-46198</v>
      </c>
      <c r="H406" s="156" t="str">
        <f>EXPEDICION!I406</f>
        <v/>
      </c>
    </row>
    <row r="407" ht="15.75" customHeight="1">
      <c r="A407" s="152">
        <f>PEDIDOS!B407</f>
        <v>46199</v>
      </c>
      <c r="B407" s="153" t="str">
        <f>PEDIDOS!C407</f>
        <v/>
      </c>
      <c r="C407" s="153" t="str">
        <f>PEDIDOS!D407</f>
        <v>UNICA</v>
      </c>
      <c r="D407" s="153" t="str">
        <f>PEDIDOS!E407</f>
        <v>JABON LIQUIDO KARITE</v>
      </c>
      <c r="E407" s="153" t="str">
        <f>PEDIDOS!F407</f>
        <v>M</v>
      </c>
      <c r="F407" s="154" t="str">
        <f>PEDIDOS!M407</f>
        <v/>
      </c>
      <c r="G407" s="155">
        <f>-PEDIDOS!B407+EXPEDICION!K407</f>
        <v>-46199</v>
      </c>
      <c r="H407" s="156" t="str">
        <f>EXPEDICION!I407</f>
        <v/>
      </c>
    </row>
    <row r="408" ht="15.75" customHeight="1">
      <c r="A408" s="152">
        <f>PEDIDOS!B408</f>
        <v>46199</v>
      </c>
      <c r="B408" s="153" t="str">
        <f>PEDIDOS!C408</f>
        <v/>
      </c>
      <c r="C408" s="153" t="str">
        <f>PEDIDOS!D408</f>
        <v>LUCENT</v>
      </c>
      <c r="D408" s="153" t="str">
        <f>PEDIDOS!E408</f>
        <v>SERUM CAPIXYL</v>
      </c>
      <c r="E408" s="153" t="str">
        <f>PEDIDOS!F408</f>
        <v>P</v>
      </c>
      <c r="F408" s="154" t="str">
        <f>PEDIDOS!M408</f>
        <v/>
      </c>
      <c r="G408" s="155">
        <f>-PEDIDOS!B408+EXPEDICION!K408</f>
        <v>-46199</v>
      </c>
      <c r="H408" s="156" t="str">
        <f>EXPEDICION!I408</f>
        <v/>
      </c>
    </row>
    <row r="409" ht="15.75" customHeight="1">
      <c r="A409" s="152">
        <f>PEDIDOS!B409</f>
        <v>46199</v>
      </c>
      <c r="B409" s="153">
        <f>PEDIDOS!C409</f>
        <v>147</v>
      </c>
      <c r="C409" s="153" t="str">
        <f>PEDIDOS!D409</f>
        <v>PROFESSIONAL BEAUTY</v>
      </c>
      <c r="D409" s="153" t="str">
        <f>PEDIDOS!E409</f>
        <v>Advance Cafeina + Carnitina</v>
      </c>
      <c r="E409" s="153" t="str">
        <f>PEDIDOS!F409</f>
        <v>P</v>
      </c>
      <c r="F409" s="154" t="str">
        <f>PEDIDOS!M409</f>
        <v/>
      </c>
      <c r="G409" s="155">
        <f>-PEDIDOS!B409+EXPEDICION!K409</f>
        <v>-46199</v>
      </c>
      <c r="H409" s="156" t="str">
        <f>EXPEDICION!I409</f>
        <v/>
      </c>
    </row>
    <row r="410" ht="15.75" customHeight="1">
      <c r="A410" s="152">
        <f>PEDIDOS!B410</f>
        <v>46199</v>
      </c>
      <c r="B410" s="153">
        <f>PEDIDOS!C410</f>
        <v>147</v>
      </c>
      <c r="C410" s="153" t="str">
        <f>PEDIDOS!D410</f>
        <v>PROFESSIONAL BEAUTY</v>
      </c>
      <c r="D410" s="153" t="str">
        <f>PEDIDOS!E410</f>
        <v>Advance Hialurónico 1%</v>
      </c>
      <c r="E410" s="153" t="str">
        <f>PEDIDOS!F410</f>
        <v>P</v>
      </c>
      <c r="F410" s="154" t="str">
        <f>PEDIDOS!M410</f>
        <v/>
      </c>
      <c r="G410" s="155">
        <f>-PEDIDOS!B410+EXPEDICION!K410</f>
        <v>-46199</v>
      </c>
      <c r="H410" s="156" t="str">
        <f>EXPEDICION!I410</f>
        <v/>
      </c>
    </row>
    <row r="411" ht="15.75" customHeight="1">
      <c r="A411" s="152">
        <f>PEDIDOS!B411</f>
        <v>46199</v>
      </c>
      <c r="B411" s="153">
        <f>PEDIDOS!C411</f>
        <v>14491</v>
      </c>
      <c r="C411" s="153" t="str">
        <f>PEDIDOS!D411</f>
        <v>JACTANS - DISNEY</v>
      </c>
      <c r="D411" s="153" t="str">
        <f>PEDIDOS!E411</f>
        <v>DL-024-Laca infantil ROJO (+6)</v>
      </c>
      <c r="E411" s="153" t="str">
        <f>PEDIDOS!F411</f>
        <v>M</v>
      </c>
      <c r="F411" s="154" t="str">
        <f>PEDIDOS!M411</f>
        <v/>
      </c>
      <c r="G411" s="155">
        <f>-PEDIDOS!B411+EXPEDICION!K411</f>
        <v>-46199</v>
      </c>
      <c r="H411" s="156" t="str">
        <f>EXPEDICION!I411</f>
        <v/>
      </c>
    </row>
    <row r="412" ht="15.75" customHeight="1">
      <c r="A412" s="152">
        <f>PEDIDOS!B412</f>
        <v>46199</v>
      </c>
      <c r="B412" s="153">
        <f>PEDIDOS!C412</f>
        <v>14491</v>
      </c>
      <c r="C412" s="153" t="str">
        <f>PEDIDOS!D412</f>
        <v>JACTANS - DISNEY</v>
      </c>
      <c r="D412" s="153" t="str">
        <f>PEDIDOS!E412</f>
        <v>DL-023-Laca infantil LILA (+6)</v>
      </c>
      <c r="E412" s="153" t="str">
        <f>PEDIDOS!F412</f>
        <v>M</v>
      </c>
      <c r="F412" s="154" t="str">
        <f>PEDIDOS!M412</f>
        <v/>
      </c>
      <c r="G412" s="155">
        <f>-PEDIDOS!B412+EXPEDICION!K412</f>
        <v>-46199</v>
      </c>
      <c r="H412" s="156" t="str">
        <f>EXPEDICION!I412</f>
        <v/>
      </c>
    </row>
    <row r="413" ht="15.75" customHeight="1">
      <c r="A413" s="152">
        <f>PEDIDOS!B413</f>
        <v>46202</v>
      </c>
      <c r="B413" s="153" t="str">
        <f>PEDIDOS!C413</f>
        <v/>
      </c>
      <c r="C413" s="153" t="str">
        <f>PEDIDOS!D413</f>
        <v>ORGANIC WAX</v>
      </c>
      <c r="D413" s="153" t="str">
        <f>PEDIDOS!E413</f>
        <v>SUGAR SCRUB</v>
      </c>
      <c r="E413" s="153" t="str">
        <f>PEDIDOS!F413</f>
        <v>P</v>
      </c>
      <c r="F413" s="154" t="str">
        <f>PEDIDOS!M413</f>
        <v/>
      </c>
      <c r="G413" s="155">
        <f>-PEDIDOS!B413+EXPEDICION!K413</f>
        <v>-46202</v>
      </c>
      <c r="H413" s="156" t="str">
        <f>EXPEDICION!I413</f>
        <v/>
      </c>
    </row>
    <row r="414" ht="15.75" customHeight="1">
      <c r="A414" s="152">
        <f>PEDIDOS!B414</f>
        <v>46202</v>
      </c>
      <c r="B414" s="153" t="str">
        <f>PEDIDOS!C414</f>
        <v/>
      </c>
      <c r="C414" s="153" t="str">
        <f>PEDIDOS!D414</f>
        <v>THE CHEMIST LOOK</v>
      </c>
      <c r="D414" s="153" t="str">
        <f>PEDIDOS!E414</f>
        <v>ACNE PROTOCOL</v>
      </c>
      <c r="E414" s="153" t="str">
        <f>PEDIDOS!F414</f>
        <v>P</v>
      </c>
      <c r="F414" s="154" t="str">
        <f>PEDIDOS!M414</f>
        <v/>
      </c>
      <c r="G414" s="155">
        <f>-PEDIDOS!B414+EXPEDICION!K414</f>
        <v>-46202</v>
      </c>
      <c r="H414" s="156" t="str">
        <f>EXPEDICION!I414</f>
        <v/>
      </c>
    </row>
    <row r="415" ht="15.75" customHeight="1">
      <c r="A415" s="152">
        <f>PEDIDOS!B415</f>
        <v>46202</v>
      </c>
      <c r="B415" s="153" t="str">
        <f>PEDIDOS!C415</f>
        <v/>
      </c>
      <c r="C415" s="153" t="str">
        <f>PEDIDOS!D415</f>
        <v>THE CHEMIST LOOK</v>
      </c>
      <c r="D415" s="153" t="str">
        <f>PEDIDOS!E415</f>
        <v>2ND SKIN</v>
      </c>
      <c r="E415" s="153" t="str">
        <f>PEDIDOS!F415</f>
        <v>P</v>
      </c>
      <c r="F415" s="154" t="str">
        <f>PEDIDOS!M415</f>
        <v/>
      </c>
      <c r="G415" s="155">
        <f>-PEDIDOS!B415+EXPEDICION!K415</f>
        <v>-46202</v>
      </c>
      <c r="H415" s="156" t="str">
        <f>EXPEDICION!I415</f>
        <v/>
      </c>
    </row>
    <row r="416" ht="15.75" customHeight="1">
      <c r="A416" s="152">
        <f>PEDIDOS!B416</f>
        <v>46203</v>
      </c>
      <c r="B416" s="153">
        <f>PEDIDOS!C416</f>
        <v>1093</v>
      </c>
      <c r="C416" s="153" t="str">
        <f>PEDIDOS!D416</f>
        <v>NIZA</v>
      </c>
      <c r="D416" s="153" t="str">
        <f>PEDIDOS!E416</f>
        <v>AQUA BOMB LIGHT X 50 ML</v>
      </c>
      <c r="E416" s="153" t="str">
        <f>PEDIDOS!F416</f>
        <v>P</v>
      </c>
      <c r="F416" s="154" t="str">
        <f>PEDIDOS!M416</f>
        <v/>
      </c>
      <c r="G416" s="155">
        <f>-PEDIDOS!B416+EXPEDICION!K416</f>
        <v>-46203</v>
      </c>
      <c r="H416" s="156" t="str">
        <f>EXPEDICION!I416</f>
        <v/>
      </c>
    </row>
    <row r="417" ht="15.75" customHeight="1">
      <c r="A417" s="152">
        <f>PEDIDOS!B417</f>
        <v>46203</v>
      </c>
      <c r="B417" s="153">
        <f>PEDIDOS!C417</f>
        <v>1093</v>
      </c>
      <c r="C417" s="153" t="str">
        <f>PEDIDOS!D417</f>
        <v>NIZA</v>
      </c>
      <c r="D417" s="153" t="str">
        <f>PEDIDOS!E417</f>
        <v>CLEAR ACNE MASK X 100 G</v>
      </c>
      <c r="E417" s="153" t="str">
        <f>PEDIDOS!F417</f>
        <v>P</v>
      </c>
      <c r="F417" s="154" t="str">
        <f>PEDIDOS!M417</f>
        <v/>
      </c>
      <c r="G417" s="155">
        <f>-PEDIDOS!B417+EXPEDICION!K417</f>
        <v>-46203</v>
      </c>
      <c r="H417" s="156" t="str">
        <f>EXPEDICION!I417</f>
        <v/>
      </c>
    </row>
    <row r="418" ht="15.75" customHeight="1">
      <c r="A418" s="152">
        <f>PEDIDOS!B418</f>
        <v>46203</v>
      </c>
      <c r="B418" s="153" t="str">
        <f>PEDIDOS!C418</f>
        <v/>
      </c>
      <c r="C418" s="153" t="str">
        <f>PEDIDOS!D418</f>
        <v>KATALIA</v>
      </c>
      <c r="D418" s="153" t="str">
        <f>PEDIDOS!E418</f>
        <v>BRUMA FIJADORA DE MAQUILLAJE</v>
      </c>
      <c r="E418" s="153" t="str">
        <f>PEDIDOS!F418</f>
        <v>M</v>
      </c>
      <c r="F418" s="154" t="str">
        <f>PEDIDOS!M418</f>
        <v/>
      </c>
      <c r="G418" s="155">
        <f>-PEDIDOS!B418+EXPEDICION!K418</f>
        <v>-46203</v>
      </c>
      <c r="H418" s="156" t="str">
        <f>EXPEDICION!I418</f>
        <v/>
      </c>
    </row>
    <row r="419" ht="15.75" customHeight="1">
      <c r="A419" s="152">
        <f>PEDIDOS!B419</f>
        <v>46204</v>
      </c>
      <c r="B419" s="153" t="str">
        <f>PEDIDOS!C419</f>
        <v/>
      </c>
      <c r="C419" s="153" t="str">
        <f>PEDIDOS!D419</f>
        <v>BAHIA EVANS</v>
      </c>
      <c r="D419" s="153" t="str">
        <f>PEDIDOS!E419</f>
        <v>POMADA CREAM WAX FIJACION MEDIA</v>
      </c>
      <c r="E419" s="153" t="str">
        <f>PEDIDOS!F419</f>
        <v>M</v>
      </c>
      <c r="F419" s="154" t="str">
        <f>PEDIDOS!M419</f>
        <v/>
      </c>
      <c r="G419" s="155">
        <f>-PEDIDOS!B419+EXPEDICION!K419</f>
        <v>-46204</v>
      </c>
      <c r="H419" s="156" t="str">
        <f>EXPEDICION!I419</f>
        <v/>
      </c>
    </row>
    <row r="420" ht="15.75" customHeight="1">
      <c r="A420" s="152">
        <f>PEDIDOS!B420</f>
        <v>46204</v>
      </c>
      <c r="B420" s="153" t="str">
        <f>PEDIDOS!C420</f>
        <v/>
      </c>
      <c r="C420" s="153" t="str">
        <f>PEDIDOS!D420</f>
        <v>BAHIA EVANS</v>
      </c>
      <c r="D420" s="153" t="str">
        <f>PEDIDOS!E420</f>
        <v>POMADA CREAM WAX ULTRA STRONG</v>
      </c>
      <c r="E420" s="153" t="str">
        <f>PEDIDOS!F420</f>
        <v>M</v>
      </c>
      <c r="F420" s="154" t="str">
        <f>PEDIDOS!M420</f>
        <v/>
      </c>
      <c r="G420" s="155">
        <f>-PEDIDOS!B420+EXPEDICION!K420</f>
        <v>-46204</v>
      </c>
      <c r="H420" s="156" t="str">
        <f>EXPEDICION!I420</f>
        <v/>
      </c>
    </row>
    <row r="421" ht="15.75" customHeight="1">
      <c r="A421" s="152">
        <f>PEDIDOS!B421</f>
        <v>46204</v>
      </c>
      <c r="B421" s="153" t="str">
        <f>PEDIDOS!C421</f>
        <v/>
      </c>
      <c r="C421" s="153" t="str">
        <f>PEDIDOS!D421</f>
        <v>BAHIA EVANS</v>
      </c>
      <c r="D421" s="153" t="str">
        <f>PEDIDOS!E421</f>
        <v>POMADA BRILLANTE GOLDEN ULTRA STRONG</v>
      </c>
      <c r="E421" s="153" t="str">
        <f>PEDIDOS!F421</f>
        <v>M</v>
      </c>
      <c r="F421" s="154" t="str">
        <f>PEDIDOS!M421</f>
        <v/>
      </c>
      <c r="G421" s="155">
        <f>-PEDIDOS!B421+EXPEDICION!K421</f>
        <v>-46204</v>
      </c>
      <c r="H421" s="156" t="str">
        <f>EXPEDICION!I421</f>
        <v/>
      </c>
    </row>
    <row r="422" ht="15.75" customHeight="1">
      <c r="A422" s="152" t="str">
        <f>PEDIDOS!B422</f>
        <v/>
      </c>
      <c r="B422" s="153" t="str">
        <f>PEDIDOS!C422</f>
        <v/>
      </c>
      <c r="C422" s="153" t="str">
        <f>PEDIDOS!D422</f>
        <v/>
      </c>
      <c r="D422" s="153" t="str">
        <f>PEDIDOS!E422</f>
        <v/>
      </c>
      <c r="E422" s="153" t="str">
        <f>PEDIDOS!F422</f>
        <v/>
      </c>
      <c r="F422" s="154" t="str">
        <f>PEDIDOS!M422</f>
        <v/>
      </c>
      <c r="G422" s="155">
        <f>-PEDIDOS!B422+EXPEDICION!K422</f>
        <v>0</v>
      </c>
      <c r="H422" s="156" t="str">
        <f>EXPEDICION!I422</f>
        <v/>
      </c>
    </row>
    <row r="423" ht="15.75" customHeight="1">
      <c r="G423" s="158"/>
      <c r="H423" s="159"/>
    </row>
    <row r="424" ht="15.75" customHeight="1">
      <c r="G424" s="158"/>
      <c r="H424" s="159"/>
    </row>
    <row r="425" ht="15.75" customHeight="1">
      <c r="G425" s="158"/>
      <c r="H425" s="159"/>
    </row>
    <row r="426" ht="15.75" customHeight="1">
      <c r="G426" s="158"/>
      <c r="H426" s="159"/>
    </row>
    <row r="427" ht="15.75" customHeight="1">
      <c r="G427" s="158"/>
      <c r="H427" s="159"/>
    </row>
    <row r="428" ht="15.75" customHeight="1">
      <c r="G428" s="158"/>
      <c r="H428" s="159"/>
    </row>
    <row r="429" ht="15.75" customHeight="1">
      <c r="G429" s="158"/>
      <c r="H429" s="159"/>
    </row>
    <row r="430" ht="15.75" customHeight="1">
      <c r="G430" s="158"/>
      <c r="H430" s="159"/>
    </row>
    <row r="431" ht="15.75" customHeight="1">
      <c r="G431" s="158"/>
      <c r="H431" s="159"/>
    </row>
    <row r="432" ht="15.75" customHeight="1">
      <c r="G432" s="158"/>
      <c r="H432" s="159"/>
    </row>
    <row r="433" ht="15.75" customHeight="1">
      <c r="G433" s="158"/>
      <c r="H433" s="159"/>
    </row>
    <row r="434" ht="15.75" customHeight="1">
      <c r="G434" s="158"/>
      <c r="H434" s="159"/>
    </row>
    <row r="435" ht="15.75" customHeight="1">
      <c r="G435" s="158"/>
      <c r="H435" s="159"/>
    </row>
    <row r="436" ht="15.75" customHeight="1">
      <c r="G436" s="158"/>
      <c r="H436" s="159"/>
    </row>
    <row r="437" ht="15.75" customHeight="1">
      <c r="G437" s="158"/>
      <c r="H437" s="159"/>
    </row>
    <row r="438" ht="15.75" customHeight="1">
      <c r="G438" s="158"/>
      <c r="H438" s="159"/>
    </row>
    <row r="439" ht="15.75" customHeight="1">
      <c r="G439" s="158"/>
      <c r="H439" s="159"/>
    </row>
    <row r="440" ht="15.75" customHeight="1">
      <c r="G440" s="158"/>
      <c r="H440" s="159"/>
    </row>
    <row r="441" ht="15.75" customHeight="1">
      <c r="G441" s="158"/>
      <c r="H441" s="159"/>
    </row>
    <row r="442" ht="15.75" customHeight="1">
      <c r="G442" s="158"/>
      <c r="H442" s="159"/>
    </row>
    <row r="443" ht="15.75" customHeight="1">
      <c r="G443" s="158"/>
      <c r="H443" s="159"/>
    </row>
    <row r="444" ht="15.75" customHeight="1">
      <c r="G444" s="158"/>
      <c r="H444" s="159"/>
    </row>
    <row r="445" ht="15.75" customHeight="1">
      <c r="G445" s="158"/>
      <c r="H445" s="159"/>
    </row>
    <row r="446" ht="15.75" customHeight="1">
      <c r="G446" s="158"/>
      <c r="H446" s="159"/>
    </row>
    <row r="447" ht="15.75" customHeight="1">
      <c r="G447" s="158"/>
      <c r="H447" s="159"/>
    </row>
    <row r="448" ht="15.75" customHeight="1">
      <c r="G448" s="158"/>
      <c r="H448" s="159"/>
    </row>
    <row r="449" ht="15.75" customHeight="1">
      <c r="G449" s="158"/>
      <c r="H449" s="159"/>
    </row>
    <row r="450" ht="15.75" customHeight="1">
      <c r="G450" s="158"/>
      <c r="H450" s="159"/>
    </row>
    <row r="451" ht="15.75" customHeight="1">
      <c r="G451" s="158"/>
      <c r="H451" s="159"/>
    </row>
    <row r="452" ht="15.75" customHeight="1">
      <c r="G452" s="158"/>
      <c r="H452" s="159"/>
    </row>
    <row r="453" ht="15.75" customHeight="1">
      <c r="G453" s="158"/>
      <c r="H453" s="159"/>
    </row>
    <row r="454" ht="15.75" customHeight="1">
      <c r="G454" s="158"/>
      <c r="H454" s="159"/>
    </row>
    <row r="455" ht="15.75" customHeight="1">
      <c r="G455" s="158"/>
      <c r="H455" s="159"/>
    </row>
    <row r="456" ht="15.75" customHeight="1">
      <c r="G456" s="158"/>
      <c r="H456" s="159"/>
    </row>
    <row r="457" ht="15.75" customHeight="1">
      <c r="G457" s="158"/>
      <c r="H457" s="159"/>
    </row>
    <row r="458" ht="15.75" customHeight="1">
      <c r="G458" s="158"/>
      <c r="H458" s="159"/>
    </row>
    <row r="459" ht="15.75" customHeight="1">
      <c r="G459" s="158"/>
      <c r="H459" s="159"/>
    </row>
    <row r="460" ht="15.75" customHeight="1">
      <c r="G460" s="158"/>
      <c r="H460" s="159"/>
    </row>
    <row r="461" ht="15.75" customHeight="1">
      <c r="G461" s="158"/>
      <c r="H461" s="159"/>
    </row>
    <row r="462" ht="15.75" customHeight="1">
      <c r="G462" s="158"/>
      <c r="H462" s="159"/>
    </row>
    <row r="463" ht="15.75" customHeight="1">
      <c r="G463" s="158"/>
      <c r="H463" s="159"/>
    </row>
    <row r="464" ht="15.75" customHeight="1">
      <c r="G464" s="158"/>
      <c r="H464" s="159"/>
    </row>
    <row r="465" ht="15.75" customHeight="1">
      <c r="G465" s="158"/>
      <c r="H465" s="159"/>
    </row>
    <row r="466" ht="15.75" customHeight="1">
      <c r="G466" s="158"/>
      <c r="H466" s="159"/>
    </row>
    <row r="467" ht="15.75" customHeight="1">
      <c r="G467" s="158"/>
      <c r="H467" s="159"/>
    </row>
    <row r="468" ht="15.75" customHeight="1">
      <c r="G468" s="158"/>
      <c r="H468" s="159"/>
    </row>
    <row r="469" ht="15.75" customHeight="1">
      <c r="G469" s="158"/>
      <c r="H469" s="159"/>
    </row>
    <row r="470" ht="15.75" customHeight="1">
      <c r="G470" s="158"/>
      <c r="H470" s="159"/>
    </row>
    <row r="471" ht="15.75" customHeight="1">
      <c r="G471" s="158"/>
      <c r="H471" s="159"/>
    </row>
    <row r="472" ht="15.75" customHeight="1">
      <c r="G472" s="158"/>
      <c r="H472" s="159"/>
    </row>
    <row r="473" ht="15.75" customHeight="1">
      <c r="G473" s="158"/>
      <c r="H473" s="159"/>
    </row>
    <row r="474" ht="15.75" customHeight="1">
      <c r="G474" s="158"/>
      <c r="H474" s="159"/>
    </row>
    <row r="475" ht="15.75" customHeight="1">
      <c r="G475" s="158"/>
      <c r="H475" s="159"/>
    </row>
    <row r="476" ht="15.75" customHeight="1">
      <c r="G476" s="158"/>
      <c r="H476" s="159"/>
    </row>
    <row r="477" ht="15.75" customHeight="1">
      <c r="G477" s="158"/>
      <c r="H477" s="159"/>
    </row>
    <row r="478" ht="15.75" customHeight="1">
      <c r="G478" s="158"/>
      <c r="H478" s="159"/>
    </row>
    <row r="479" ht="15.75" customHeight="1">
      <c r="G479" s="158"/>
      <c r="H479" s="159"/>
    </row>
    <row r="480" ht="15.75" customHeight="1">
      <c r="G480" s="158"/>
      <c r="H480" s="159"/>
    </row>
    <row r="481" ht="15.75" customHeight="1">
      <c r="G481" s="158"/>
      <c r="H481" s="159"/>
    </row>
    <row r="482" ht="15.75" customHeight="1">
      <c r="G482" s="158"/>
      <c r="H482" s="159"/>
    </row>
    <row r="483" ht="15.75" customHeight="1">
      <c r="G483" s="158"/>
      <c r="H483" s="159"/>
    </row>
    <row r="484" ht="15.75" customHeight="1">
      <c r="G484" s="158"/>
      <c r="H484" s="159"/>
    </row>
    <row r="485" ht="15.75" customHeight="1">
      <c r="G485" s="158"/>
      <c r="H485" s="159"/>
    </row>
    <row r="486" ht="15.75" customHeight="1">
      <c r="G486" s="158"/>
      <c r="H486" s="159"/>
    </row>
    <row r="487" ht="15.75" customHeight="1">
      <c r="G487" s="158"/>
      <c r="H487" s="159"/>
    </row>
    <row r="488" ht="15.75" customHeight="1">
      <c r="G488" s="158"/>
      <c r="H488" s="159"/>
    </row>
    <row r="489" ht="15.75" customHeight="1">
      <c r="G489" s="158"/>
      <c r="H489" s="159"/>
    </row>
    <row r="490" ht="15.75" customHeight="1">
      <c r="G490" s="158"/>
      <c r="H490" s="159"/>
    </row>
    <row r="491" ht="15.75" customHeight="1">
      <c r="G491" s="158"/>
      <c r="H491" s="159"/>
    </row>
    <row r="492" ht="15.75" customHeight="1">
      <c r="G492" s="158"/>
      <c r="H492" s="159"/>
    </row>
    <row r="493" ht="15.75" customHeight="1">
      <c r="G493" s="158"/>
      <c r="H493" s="159"/>
    </row>
    <row r="494" ht="15.75" customHeight="1">
      <c r="G494" s="158"/>
      <c r="H494" s="159"/>
    </row>
    <row r="495" ht="15.75" customHeight="1">
      <c r="G495" s="158"/>
      <c r="H495" s="159"/>
    </row>
    <row r="496" ht="15.75" customHeight="1">
      <c r="G496" s="158"/>
      <c r="H496" s="159"/>
    </row>
    <row r="497" ht="15.75" customHeight="1">
      <c r="G497" s="158"/>
      <c r="H497" s="159"/>
    </row>
    <row r="498" ht="15.75" customHeight="1">
      <c r="G498" s="158"/>
      <c r="H498" s="159"/>
    </row>
    <row r="499" ht="15.75" customHeight="1">
      <c r="G499" s="158"/>
      <c r="H499" s="159"/>
    </row>
    <row r="500" ht="15.75" customHeight="1">
      <c r="G500" s="158"/>
      <c r="H500" s="159"/>
    </row>
    <row r="501" ht="15.75" customHeight="1">
      <c r="G501" s="158"/>
      <c r="H501" s="159"/>
    </row>
    <row r="502" ht="15.75" customHeight="1">
      <c r="G502" s="158"/>
      <c r="H502" s="159"/>
    </row>
    <row r="503" ht="15.75" customHeight="1">
      <c r="G503" s="158"/>
      <c r="H503" s="159"/>
    </row>
    <row r="504" ht="15.75" customHeight="1">
      <c r="G504" s="158"/>
      <c r="H504" s="159"/>
    </row>
    <row r="505" ht="15.75" customHeight="1">
      <c r="G505" s="158"/>
      <c r="H505" s="159"/>
    </row>
    <row r="506" ht="15.75" customHeight="1">
      <c r="G506" s="158"/>
      <c r="H506" s="159"/>
    </row>
    <row r="507" ht="15.75" customHeight="1">
      <c r="G507" s="158"/>
      <c r="H507" s="159"/>
    </row>
    <row r="508" ht="15.75" customHeight="1">
      <c r="G508" s="158"/>
      <c r="H508" s="159"/>
    </row>
    <row r="509" ht="15.75" customHeight="1">
      <c r="G509" s="158"/>
      <c r="H509" s="159"/>
    </row>
    <row r="510" ht="15.75" customHeight="1">
      <c r="G510" s="158"/>
      <c r="H510" s="159"/>
    </row>
    <row r="511" ht="15.75" customHeight="1">
      <c r="G511" s="158"/>
      <c r="H511" s="159"/>
    </row>
    <row r="512" ht="15.75" customHeight="1">
      <c r="G512" s="158"/>
      <c r="H512" s="159"/>
    </row>
    <row r="513" ht="15.75" customHeight="1">
      <c r="G513" s="158"/>
      <c r="H513" s="159"/>
    </row>
    <row r="514" ht="15.75" customHeight="1">
      <c r="G514" s="158"/>
      <c r="H514" s="159"/>
    </row>
    <row r="515" ht="15.75" customHeight="1">
      <c r="G515" s="158"/>
      <c r="H515" s="159"/>
    </row>
    <row r="516" ht="15.75" customHeight="1">
      <c r="G516" s="158"/>
      <c r="H516" s="159"/>
    </row>
    <row r="517" ht="15.75" customHeight="1">
      <c r="G517" s="158"/>
      <c r="H517" s="159"/>
    </row>
    <row r="518" ht="15.75" customHeight="1">
      <c r="G518" s="158"/>
      <c r="H518" s="159"/>
    </row>
    <row r="519" ht="15.75" customHeight="1">
      <c r="G519" s="158"/>
      <c r="H519" s="159"/>
    </row>
    <row r="520" ht="15.75" customHeight="1">
      <c r="G520" s="158"/>
      <c r="H520" s="159"/>
    </row>
    <row r="521" ht="15.75" customHeight="1">
      <c r="G521" s="158"/>
      <c r="H521" s="159"/>
    </row>
    <row r="522" ht="15.75" customHeight="1">
      <c r="G522" s="158"/>
      <c r="H522" s="159"/>
    </row>
    <row r="523" ht="15.75" customHeight="1">
      <c r="G523" s="158"/>
      <c r="H523" s="159"/>
    </row>
    <row r="524" ht="15.75" customHeight="1">
      <c r="G524" s="158"/>
      <c r="H524" s="159"/>
    </row>
    <row r="525" ht="15.75" customHeight="1">
      <c r="G525" s="158"/>
      <c r="H525" s="159"/>
    </row>
    <row r="526" ht="15.75" customHeight="1">
      <c r="G526" s="158"/>
      <c r="H526" s="159"/>
    </row>
    <row r="527" ht="15.75" customHeight="1">
      <c r="G527" s="158"/>
      <c r="H527" s="159"/>
    </row>
    <row r="528" ht="15.75" customHeight="1">
      <c r="G528" s="158"/>
      <c r="H528" s="159"/>
    </row>
    <row r="529" ht="15.75" customHeight="1">
      <c r="G529" s="158"/>
      <c r="H529" s="159"/>
    </row>
    <row r="530" ht="15.75" customHeight="1">
      <c r="G530" s="158"/>
      <c r="H530" s="159"/>
    </row>
    <row r="531" ht="15.75" customHeight="1">
      <c r="G531" s="158"/>
      <c r="H531" s="159"/>
    </row>
    <row r="532" ht="15.75" customHeight="1">
      <c r="G532" s="158"/>
      <c r="H532" s="159"/>
    </row>
    <row r="533" ht="15.75" customHeight="1">
      <c r="G533" s="158"/>
      <c r="H533" s="159"/>
    </row>
    <row r="534" ht="15.75" customHeight="1">
      <c r="G534" s="158"/>
      <c r="H534" s="159"/>
    </row>
    <row r="535" ht="15.75" customHeight="1">
      <c r="G535" s="158"/>
      <c r="H535" s="159"/>
    </row>
    <row r="536" ht="15.75" customHeight="1">
      <c r="G536" s="158"/>
      <c r="H536" s="159"/>
    </row>
    <row r="537" ht="15.75" customHeight="1">
      <c r="G537" s="158"/>
      <c r="H537" s="159"/>
    </row>
    <row r="538" ht="15.75" customHeight="1">
      <c r="G538" s="158"/>
      <c r="H538" s="159"/>
    </row>
    <row r="539" ht="15.75" customHeight="1">
      <c r="G539" s="158"/>
      <c r="H539" s="159"/>
    </row>
    <row r="540" ht="15.75" customHeight="1">
      <c r="G540" s="158"/>
      <c r="H540" s="159"/>
    </row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1">
    <cfRule type="cellIs" dxfId="9" priority="1" operator="greaterThan">
      <formula>"98%"</formula>
    </cfRule>
  </conditionalFormatting>
  <conditionalFormatting sqref="I1:I1000">
    <cfRule type="containsText" dxfId="13" priority="2" operator="containsText" text="R">
      <formula>NOT(ISERROR(SEARCH(("R"),(I1))))</formula>
    </cfRule>
  </conditionalFormatting>
  <conditionalFormatting sqref="I1:I1000">
    <cfRule type="containsText" dxfId="13" priority="3" operator="containsText" text="R">
      <formula>NOT(ISERROR(SEARCH(("R"),(I1))))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4F72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57"/>
    <col customWidth="1" min="2" max="2" width="14.0"/>
    <col customWidth="1" min="3" max="4" width="12.0"/>
    <col customWidth="1" min="5" max="5" width="14.86"/>
    <col customWidth="1" min="6" max="6" width="14.0"/>
    <col customWidth="1" min="7" max="8" width="12.0"/>
    <col customWidth="1" min="9" max="9" width="21.86"/>
    <col customWidth="1" min="10" max="10" width="14.0"/>
    <col customWidth="1" min="11" max="12" width="12.0"/>
    <col customWidth="1" min="13" max="13" width="14.29"/>
    <col customWidth="1" min="14" max="14" width="14.0"/>
    <col customWidth="1" min="15" max="16" width="12.0"/>
    <col customWidth="1" min="17" max="17" width="1.57"/>
    <col customWidth="1" min="18" max="18" width="23.29"/>
    <col customWidth="1" min="19" max="19" width="32.29"/>
    <col customWidth="1" min="20" max="20" width="3.86"/>
    <col customWidth="1" min="21" max="21" width="20.71"/>
    <col customWidth="1" min="22" max="22" width="37.43"/>
    <col customWidth="1" min="23" max="23" width="5.29"/>
  </cols>
  <sheetData>
    <row r="1" ht="6.0" customHeight="1">
      <c r="A1" s="160"/>
      <c r="B1" s="161"/>
      <c r="C1" s="161"/>
      <c r="D1" s="161"/>
      <c r="E1" s="161"/>
      <c r="F1" s="161"/>
      <c r="G1" s="161"/>
      <c r="H1" s="161"/>
      <c r="I1" s="161"/>
      <c r="J1" s="161"/>
      <c r="K1" s="162"/>
      <c r="L1" s="162"/>
      <c r="M1" s="162"/>
      <c r="N1" s="162"/>
      <c r="O1" s="162"/>
      <c r="P1" s="162"/>
      <c r="Q1" s="162"/>
    </row>
    <row r="2" ht="43.5" customHeight="1">
      <c r="A2" s="163"/>
      <c r="B2" s="7"/>
      <c r="C2" s="7"/>
      <c r="D2" s="8"/>
      <c r="E2" s="164" t="s">
        <v>1106</v>
      </c>
      <c r="F2" s="165"/>
      <c r="G2" s="165"/>
      <c r="H2" s="165"/>
      <c r="I2" s="165"/>
      <c r="J2" s="165"/>
      <c r="K2" s="165"/>
      <c r="L2" s="165"/>
      <c r="M2" s="166"/>
      <c r="N2" s="167">
        <f>TODAY()</f>
        <v>46204</v>
      </c>
      <c r="O2" s="7"/>
      <c r="P2" s="7"/>
      <c r="Q2" s="8"/>
      <c r="R2" s="168" t="s">
        <v>1107</v>
      </c>
      <c r="S2" s="165"/>
      <c r="T2" s="165"/>
      <c r="U2" s="165"/>
      <c r="V2" s="165"/>
      <c r="W2" s="165"/>
      <c r="X2" s="166"/>
    </row>
    <row r="3" ht="22.5" customHeight="1">
      <c r="A3" s="169"/>
      <c r="B3" s="170"/>
      <c r="C3" s="170"/>
      <c r="D3" s="170"/>
      <c r="E3" s="171"/>
      <c r="F3" s="172"/>
      <c r="G3" s="172"/>
      <c r="H3" s="172"/>
      <c r="I3" s="172"/>
      <c r="J3" s="172"/>
      <c r="K3" s="172"/>
      <c r="L3" s="172"/>
      <c r="M3" s="173"/>
      <c r="N3" s="170"/>
      <c r="O3" s="170"/>
      <c r="P3" s="170"/>
      <c r="Q3" s="174"/>
      <c r="R3" s="175"/>
      <c r="X3" s="176"/>
    </row>
    <row r="4" ht="7.5" customHeight="1">
      <c r="A4" s="177"/>
      <c r="B4" s="177"/>
      <c r="C4" s="177"/>
      <c r="D4" s="177"/>
      <c r="E4" s="177"/>
      <c r="F4" s="177"/>
      <c r="G4" s="177"/>
      <c r="H4" s="178"/>
      <c r="I4" s="177"/>
      <c r="J4" s="177"/>
      <c r="K4" s="179"/>
      <c r="L4" s="179"/>
      <c r="M4" s="179"/>
      <c r="N4" s="179"/>
      <c r="O4" s="179"/>
      <c r="P4" s="179"/>
      <c r="Q4" s="179"/>
      <c r="R4" s="171"/>
      <c r="S4" s="172"/>
      <c r="T4" s="172"/>
      <c r="U4" s="172"/>
      <c r="V4" s="172"/>
      <c r="W4" s="172"/>
      <c r="X4" s="173"/>
    </row>
    <row r="5" ht="27.75" customHeight="1">
      <c r="A5" s="160"/>
      <c r="B5" s="180" t="s">
        <v>1104</v>
      </c>
      <c r="C5" s="181"/>
      <c r="D5" s="182"/>
      <c r="E5" s="183"/>
      <c r="F5" s="184" t="s">
        <v>1108</v>
      </c>
      <c r="G5" s="181"/>
      <c r="H5" s="182"/>
      <c r="I5" s="185"/>
      <c r="J5" s="186" t="s">
        <v>1109</v>
      </c>
      <c r="K5" s="181"/>
      <c r="L5" s="182"/>
      <c r="M5" s="187"/>
      <c r="N5" s="188" t="s">
        <v>1110</v>
      </c>
      <c r="O5" s="181"/>
      <c r="P5" s="182"/>
      <c r="Q5" s="189"/>
      <c r="R5" s="190" t="s">
        <v>1111</v>
      </c>
      <c r="S5" s="8"/>
      <c r="T5" s="191"/>
      <c r="U5" s="190" t="s">
        <v>1112</v>
      </c>
      <c r="V5" s="8"/>
      <c r="W5" s="191"/>
      <c r="X5" s="192"/>
    </row>
    <row r="6" ht="57.75" customHeight="1">
      <c r="A6" s="193"/>
      <c r="B6" s="194">
        <f>AVERAGE(KPI!H2:H500)</f>
        <v>0.9826957196</v>
      </c>
      <c r="C6" s="7"/>
      <c r="D6" s="195"/>
      <c r="E6" s="196"/>
      <c r="F6" s="197">
        <f>1-(COUNTIF(KPI!I2:I31,"R")/COUNTA(KPI!C2:C31))</f>
        <v>1</v>
      </c>
      <c r="G6" s="7"/>
      <c r="H6" s="195"/>
      <c r="I6" s="198"/>
      <c r="J6" s="199">
        <f>AVERAGEIFS(KPI!G2:G1000,KPI!G2:G1000,"&gt;0",KPI!G2:G1000,"&lt;100")</f>
        <v>26.25465839</v>
      </c>
      <c r="K6" s="7"/>
      <c r="L6" s="195"/>
      <c r="M6" s="200"/>
      <c r="N6" s="201">
        <f>SUM(EXPEDICION!G2:G10966)</f>
        <v>501120</v>
      </c>
      <c r="O6" s="7"/>
      <c r="P6" s="195"/>
      <c r="Q6" s="200"/>
      <c r="R6" s="202" t="s">
        <v>3</v>
      </c>
      <c r="S6" s="202" t="s">
        <v>1113</v>
      </c>
      <c r="T6" s="203"/>
      <c r="U6" s="202" t="s">
        <v>3</v>
      </c>
      <c r="V6" s="202" t="s">
        <v>1114</v>
      </c>
      <c r="W6" s="191"/>
      <c r="X6" s="192"/>
      <c r="Y6" s="204"/>
      <c r="Z6" s="204"/>
    </row>
    <row r="7" ht="26.25" customHeight="1">
      <c r="A7" s="160"/>
      <c r="B7" s="205" t="str">
        <f>IF(AVERAGE(KPI!H2:H1000)&gt;=0.97,"✅ CUMPLE  |  Obj: ≥97%",IF(AVERAGE(KPI!H2:H1000)&gt;=0.96,"⚠️ ATENCIÓN  |  Obj: ≥97%","🔴 CRÍTICO  |  Obj: ≥95%"))</f>
        <v>✅ CUMPLE  |  Obj: ≥97%</v>
      </c>
      <c r="C7" s="206"/>
      <c r="D7" s="207"/>
      <c r="E7" s="208"/>
      <c r="F7" s="209" t="str">
        <f>IF(1-(COUNTIF(KPI!I2:I31,"R")/COUNTA(KPI!C2:C31))&gt;=0.95,"✅ CUMPLE  |  Obj: &gt;95%","⚠️ REVISAR  |  Obj: &gt;95%")</f>
        <v>✅ CUMPLE  |  Obj: &gt;95%</v>
      </c>
      <c r="G7" s="206"/>
      <c r="H7" s="207"/>
      <c r="I7" s="208"/>
      <c r="J7" s="210" t="str">
        <f>IF(AVERAGEIFS(KPI!G2:G1000,KPI!G2:G1000,"&gt;0",KPI!G2:G1000,"&lt;100")&lt;=25,"✅ CUMPLE  |  Obj: ≤25 días","⚠️ ATENCIÓN  |  Obj: ≤25 días")</f>
        <v>⚠️ ATENCIÓN  |  Obj: ≤25 días</v>
      </c>
      <c r="K7" s="206"/>
      <c r="L7" s="207"/>
      <c r="M7" s="211"/>
      <c r="N7" s="212" t="str">
        <f>TEXT(SUM(EXPEDICION!G2:G10966),"#,##0")&amp;"  unidades producidas"</f>
        <v>501.120  unidades producidas</v>
      </c>
      <c r="O7" s="206"/>
      <c r="P7" s="207"/>
      <c r="Q7" s="189"/>
      <c r="R7" s="213" t="str">
        <f>CALCULOS_CLIENTES!E2</f>
        <v>THELMA Y LOUISE</v>
      </c>
      <c r="S7" s="214" t="str">
        <f>IF(CALCULOS_CLIENTES!F2="","",CALCULOS_CLIENTES!F2&amp;"  "&amp;REPT("█",ROUND(CALCULOS_CLIENTES!F2/CALCULOS_CLIENTES!$F$2*20,0)))</f>
        <v>60  ████████████████████</v>
      </c>
      <c r="T7" s="191"/>
      <c r="U7" s="213" t="str">
        <f>CALCULOS_CLIENTES!H2</f>
        <v>DWUAM</v>
      </c>
      <c r="V7" s="215" t="str">
        <f>IF(CALCULOS_CLIENTES!I2="","",ROUND(CALCULOS_CLIENTES!I2,1)&amp;" d  "&amp;REPT("█",ROUND(CALCULOS_CLIENTES!I2/CALCULOS_CLIENTES!$I$11*20,0)))</f>
        <v>7 d  █████████</v>
      </c>
      <c r="W7" s="191"/>
      <c r="X7" s="192"/>
    </row>
    <row r="8" ht="27.75" customHeight="1">
      <c r="A8" s="160"/>
      <c r="B8" s="216"/>
      <c r="C8" s="216"/>
      <c r="D8" s="216"/>
      <c r="E8" s="216"/>
      <c r="F8" s="216"/>
      <c r="G8" s="216"/>
      <c r="H8" s="216"/>
      <c r="I8" s="216"/>
      <c r="J8" s="216"/>
      <c r="K8" s="189"/>
      <c r="L8" s="189"/>
      <c r="M8" s="189"/>
      <c r="N8" s="189"/>
      <c r="O8" s="189"/>
      <c r="P8" s="189"/>
      <c r="Q8" s="189"/>
      <c r="R8" s="213" t="str">
        <f>CALCULOS_CLIENTES!E3</f>
        <v>CAV</v>
      </c>
      <c r="S8" s="214" t="str">
        <f>IF(CALCULOS_CLIENTES!F3="","",CALCULOS_CLIENTES!F3&amp;"  "&amp;REPT("█",ROUND(CALCULOS_CLIENTES!F3/CALCULOS_CLIENTES!$F$2*20,0)))</f>
        <v>43  ██████████████</v>
      </c>
      <c r="T8" s="191"/>
      <c r="U8" s="213" t="str">
        <f>CALCULOS_CLIENTES!H3</f>
        <v>PLANTAE</v>
      </c>
      <c r="V8" s="215" t="str">
        <f>IF(CALCULOS_CLIENTES!I3="","",ROUND(CALCULOS_CLIENTES!I3,1)&amp;" d  "&amp;REPT("█",ROUND(CALCULOS_CLIENTES!I3/CALCULOS_CLIENTES!$I$11*20,0)))</f>
        <v>7 d  █████████</v>
      </c>
      <c r="W8" s="191"/>
      <c r="X8" s="192"/>
    </row>
    <row r="9" ht="29.25" customHeight="1">
      <c r="A9" s="160"/>
      <c r="B9" s="217" t="s">
        <v>1115</v>
      </c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9"/>
      <c r="Q9" s="189"/>
      <c r="R9" s="213" t="str">
        <f>CALCULOS_CLIENTES!E4</f>
        <v>PROFESSIONAL BEAUTY</v>
      </c>
      <c r="S9" s="214" t="str">
        <f>IF(CALCULOS_CLIENTES!F4="","",CALCULOS_CLIENTES!F4&amp;"  "&amp;REPT("█",ROUND(CALCULOS_CLIENTES!F4/CALCULOS_CLIENTES!$F$2*20,0)))</f>
        <v>27  █████████</v>
      </c>
      <c r="T9" s="191"/>
      <c r="U9" s="213" t="str">
        <f>CALCULOS_CLIENTES!H4</f>
        <v>DERMION / FRANCO</v>
      </c>
      <c r="V9" s="215" t="str">
        <f>IF(CALCULOS_CLIENTES!I4="","",ROUND(CALCULOS_CLIENTES!I4,1)&amp;" d  "&amp;REPT("█",ROUND(CALCULOS_CLIENTES!I4/CALCULOS_CLIENTES!$I$11*20,0)))</f>
        <v>8,7 d  ███████████</v>
      </c>
      <c r="W9" s="191"/>
      <c r="X9" s="192"/>
    </row>
    <row r="10" ht="21.75" customHeight="1">
      <c r="A10" s="160"/>
      <c r="B10" s="220" t="s">
        <v>1116</v>
      </c>
      <c r="C10" s="221"/>
      <c r="D10" s="222"/>
      <c r="E10" s="185"/>
      <c r="F10" s="223" t="s">
        <v>1117</v>
      </c>
      <c r="G10" s="224"/>
      <c r="H10" s="225"/>
      <c r="I10" s="185"/>
      <c r="J10" s="226" t="s">
        <v>1118</v>
      </c>
      <c r="K10" s="227"/>
      <c r="L10" s="228"/>
      <c r="M10" s="187"/>
      <c r="N10" s="229" t="s">
        <v>1119</v>
      </c>
      <c r="O10" s="230"/>
      <c r="P10" s="231"/>
      <c r="Q10" s="189"/>
      <c r="R10" s="213" t="str">
        <f>CALCULOS_CLIENTES!E5</f>
        <v>JACTANS - DISNEY</v>
      </c>
      <c r="S10" s="214" t="str">
        <f>IF(CALCULOS_CLIENTES!F5="","",CALCULOS_CLIENTES!F5&amp;"  "&amp;REPT("█",ROUND(CALCULOS_CLIENTES!F5/CALCULOS_CLIENTES!$F$2*20,0)))</f>
        <v>55  ██████████████████</v>
      </c>
      <c r="T10" s="191"/>
      <c r="U10" s="213" t="str">
        <f>CALCULOS_CLIENTES!H5</f>
        <v>LURE</v>
      </c>
      <c r="V10" s="215" t="str">
        <f>IF(CALCULOS_CLIENTES!I5="","",ROUND(CALCULOS_CLIENTES!I5,1)&amp;" d  "&amp;REPT("█",ROUND(CALCULOS_CLIENTES!I5/CALCULOS_CLIENTES!$I$11*20,0)))</f>
        <v>9 d  ███████████</v>
      </c>
      <c r="W10" s="191"/>
      <c r="X10" s="192"/>
    </row>
    <row r="11" ht="41.25" customHeight="1">
      <c r="A11" s="160"/>
      <c r="B11" s="232">
        <f>COUNTIF(PEDIDOS!J2:J10000,"EN PROCESO")+COUNTIF(PEDIDOS!I2:I10000,"INGRESO")</f>
        <v>83</v>
      </c>
      <c r="C11" s="7"/>
      <c r="D11" s="233"/>
      <c r="E11" s="198"/>
      <c r="F11" s="232">
        <f>COUNTIF(PEDIDOS!L2:L10001,"entregado")</f>
        <v>329</v>
      </c>
      <c r="G11" s="7"/>
      <c r="H11" s="233"/>
      <c r="I11" s="198"/>
      <c r="J11" s="232">
        <f>COUNTIF(PEDIDOS!K2:K10000,"despacho")</f>
        <v>8</v>
      </c>
      <c r="K11" s="7"/>
      <c r="L11" s="233"/>
      <c r="M11" s="200"/>
      <c r="N11" s="234">
        <f>COUNTA(KPI!D2:D10031)</f>
        <v>420</v>
      </c>
      <c r="O11" s="7"/>
      <c r="P11" s="233"/>
      <c r="Q11" s="189"/>
      <c r="R11" s="213" t="str">
        <f>CALCULOS_CLIENTES!E6</f>
        <v>THE CHEMIST LOOK</v>
      </c>
      <c r="S11" s="214" t="str">
        <f>IF(CALCULOS_CLIENTES!F6="","",CALCULOS_CLIENTES!F6&amp;"  "&amp;REPT("█",ROUND(CALCULOS_CLIENTES!F6/CALCULOS_CLIENTES!$F$2*20,0)))</f>
        <v>17  ██████</v>
      </c>
      <c r="T11" s="191"/>
      <c r="U11" s="213" t="str">
        <f>CALCULOS_CLIENTES!H6</f>
        <v>KALA</v>
      </c>
      <c r="V11" s="215" t="str">
        <f>IF(CALCULOS_CLIENTES!I6="","",ROUND(CALCULOS_CLIENTES!I6,1)&amp;" d  "&amp;REPT("█",ROUND(CALCULOS_CLIENTES!I6/CALCULOS_CLIENTES!$I$11*20,0)))</f>
        <v>14 d  ██████████████████</v>
      </c>
      <c r="W11" s="191"/>
      <c r="X11" s="192"/>
    </row>
    <row r="12" ht="29.25" customHeight="1">
      <c r="A12" s="160"/>
      <c r="B12" s="235" t="s">
        <v>1120</v>
      </c>
      <c r="C12" s="236"/>
      <c r="D12" s="237"/>
      <c r="E12" s="185"/>
      <c r="F12" s="235" t="s">
        <v>1121</v>
      </c>
      <c r="G12" s="236"/>
      <c r="H12" s="237"/>
      <c r="I12" s="185"/>
      <c r="J12" s="235" t="s">
        <v>1122</v>
      </c>
      <c r="K12" s="236"/>
      <c r="L12" s="237"/>
      <c r="M12" s="187"/>
      <c r="N12" s="235" t="s">
        <v>1123</v>
      </c>
      <c r="O12" s="236"/>
      <c r="P12" s="237"/>
      <c r="Q12" s="189"/>
      <c r="R12" s="213" t="str">
        <f>CALCULOS_CLIENTES!E7</f>
        <v>BIOESENCIA</v>
      </c>
      <c r="S12" s="214" t="str">
        <f>IF(CALCULOS_CLIENTES!F7="","",CALCULOS_CLIENTES!F7&amp;"  "&amp;REPT("█",ROUND(CALCULOS_CLIENTES!F7/CALCULOS_CLIENTES!$F$2*20,0)))</f>
        <v>19  ██████</v>
      </c>
      <c r="T12" s="191"/>
      <c r="U12" s="213" t="str">
        <f>CALCULOS_CLIENTES!H7</f>
        <v>NE</v>
      </c>
      <c r="V12" s="215" t="str">
        <f>IF(CALCULOS_CLIENTES!I7="","",ROUND(CALCULOS_CLIENTES!I7,1)&amp;" d  "&amp;REPT("█",ROUND(CALCULOS_CLIENTES!I7/CALCULOS_CLIENTES!$I$11*20,0)))</f>
        <v>21,5 d  ███████████████████████████</v>
      </c>
      <c r="W12" s="191"/>
      <c r="X12" s="192"/>
    </row>
    <row r="13" ht="24.75" customHeight="1">
      <c r="A13" s="160"/>
      <c r="B13" s="160"/>
      <c r="C13" s="238"/>
      <c r="D13" s="160"/>
      <c r="E13" s="160"/>
      <c r="F13" s="160"/>
      <c r="G13" s="160"/>
      <c r="H13" s="160"/>
      <c r="I13" s="160"/>
      <c r="J13" s="160"/>
      <c r="K13" s="239"/>
      <c r="L13" s="239"/>
      <c r="M13" s="239"/>
      <c r="N13" s="239"/>
      <c r="O13" s="239"/>
      <c r="P13" s="239"/>
      <c r="Q13" s="239"/>
      <c r="R13" s="213" t="str">
        <f>CALCULOS_CLIENTES!E8</f>
        <v>BL COSMETICS</v>
      </c>
      <c r="S13" s="214" t="str">
        <f>IF(CALCULOS_CLIENTES!F8="","",CALCULOS_CLIENTES!F8&amp;"  "&amp;REPT("█",ROUND(CALCULOS_CLIENTES!F8/CALCULOS_CLIENTES!$F$2*20,0)))</f>
        <v>17  ██████</v>
      </c>
      <c r="T13" s="191"/>
      <c r="U13" s="213" t="str">
        <f>CALCULOS_CLIENTES!H8</f>
        <v>BEKIM</v>
      </c>
      <c r="V13" s="215" t="str">
        <f>IF(CALCULOS_CLIENTES!I8="","",ROUND(CALCULOS_CLIENTES!I8,1)&amp;" d  "&amp;REPT("█",ROUND(CALCULOS_CLIENTES!I8/CALCULOS_CLIENTES!$I$11*20,0)))</f>
        <v>14 d  ██████████████████</v>
      </c>
      <c r="W13" s="191"/>
      <c r="X13" s="192"/>
    </row>
    <row r="14" ht="21.75" customHeight="1">
      <c r="A14" s="240"/>
      <c r="B14" s="241" t="s">
        <v>1124</v>
      </c>
      <c r="C14" s="218"/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9"/>
      <c r="Q14" s="242"/>
      <c r="R14" s="213" t="str">
        <f>CALCULOS_CLIENTES!E9</f>
        <v>LUCENT</v>
      </c>
      <c r="S14" s="214" t="str">
        <f>IF(CALCULOS_CLIENTES!F9="","",CALCULOS_CLIENTES!F9&amp;"  "&amp;REPT("█",ROUND(CALCULOS_CLIENTES!F9/CALCULOS_CLIENTES!$F$2*20,0)))</f>
        <v>19  ██████</v>
      </c>
      <c r="T14" s="191"/>
      <c r="U14" s="213" t="str">
        <f>CALCULOS_CLIENTES!H9</f>
        <v>HEBURN</v>
      </c>
      <c r="V14" s="215" t="str">
        <f>IF(CALCULOS_CLIENTES!I9="","",ROUND(CALCULOS_CLIENTES!I9,1)&amp;" d  "&amp;REPT("█",ROUND(CALCULOS_CLIENTES!I9/CALCULOS_CLIENTES!$I$11*20,0)))</f>
        <v>14,5 d  ██████████████████</v>
      </c>
      <c r="W14" s="191"/>
      <c r="X14" s="192"/>
      <c r="Y14" s="243"/>
      <c r="Z14" s="243"/>
    </row>
    <row r="15" ht="28.5" customHeight="1">
      <c r="A15" s="244"/>
      <c r="B15" s="245" t="s">
        <v>1125</v>
      </c>
      <c r="C15" s="246"/>
      <c r="D15" s="246"/>
      <c r="E15" s="246"/>
      <c r="F15" s="246"/>
      <c r="G15" s="246"/>
      <c r="H15" s="247"/>
      <c r="I15" s="244"/>
      <c r="J15" s="248" t="s">
        <v>1126</v>
      </c>
      <c r="K15" s="249"/>
      <c r="L15" s="249"/>
      <c r="M15" s="249"/>
      <c r="N15" s="249"/>
      <c r="O15" s="249"/>
      <c r="P15" s="250"/>
      <c r="Q15" s="251"/>
      <c r="R15" s="213" t="str">
        <f>CALCULOS_CLIENTES!E10</f>
        <v>MERMER</v>
      </c>
      <c r="S15" s="214" t="str">
        <f>IF(CALCULOS_CLIENTES!F10="","",CALCULOS_CLIENTES!F10&amp;"  "&amp;REPT("█",ROUND(CALCULOS_CLIENTES!F10/CALCULOS_CLIENTES!$F$2*20,0)))</f>
        <v>8  ███</v>
      </c>
      <c r="T15" s="191"/>
      <c r="U15" s="213" t="str">
        <f>CALCULOS_CLIENTES!H10</f>
        <v>THE GLOW FACTOR</v>
      </c>
      <c r="V15" s="215" t="str">
        <f>IF(CALCULOS_CLIENTES!I10="","",ROUND(CALCULOS_CLIENTES!I10,1)&amp;" d  "&amp;REPT("█",ROUND(CALCULOS_CLIENTES!I10/CALCULOS_CLIENTES!$I$11*20,0)))</f>
        <v>18 d  ███████████████████████</v>
      </c>
      <c r="W15" s="191"/>
      <c r="X15" s="192"/>
      <c r="Y15" s="252"/>
      <c r="Z15" s="252"/>
    </row>
    <row r="16" ht="51.0" customHeight="1">
      <c r="A16" s="160"/>
      <c r="B16" s="253">
        <f>SUMIF(PEDIDOS!F2:F1001,"M",PEDIDOS!G2:G1001)</f>
        <v>450533</v>
      </c>
      <c r="C16" s="7"/>
      <c r="D16" s="7"/>
      <c r="E16" s="8"/>
      <c r="F16" s="254">
        <f>SUMIF(PEDIDOS!F2:F1001,"M",PEDIDOS!G2:G1001)/(SUMIF(PEDIDOS!F2:F1001,"M",PEDIDOS!G2:G1001)+SUMIF(PEDIDOS!F2:F1001,"P",PEDIDOS!G2:G1001))</f>
        <v>0.7388984741</v>
      </c>
      <c r="G16" s="7"/>
      <c r="H16" s="233"/>
      <c r="I16" s="255"/>
      <c r="J16" s="256">
        <f>SUMIF(PEDIDOS!F2:F1001,"P",PEDIDOS!G2:G1001)</f>
        <v>159203</v>
      </c>
      <c r="K16" s="7"/>
      <c r="L16" s="7"/>
      <c r="M16" s="8"/>
      <c r="N16" s="257">
        <f>SUMIF(PEDIDOS!F2:F1001,"P",PEDIDOS!G2:G1001)/(SUMIF(PEDIDOS!F2:F1001,"M",PEDIDOS!G2:G1001)+SUMIF(PEDIDOS!F2:F1001,"P",PEDIDOS!G2:G1001))</f>
        <v>0.2611015259</v>
      </c>
      <c r="O16" s="7"/>
      <c r="P16" s="233"/>
      <c r="Q16" s="239"/>
      <c r="R16" s="258" t="str">
        <f>CALCULOS_CLIENTES!E11</f>
        <v>LABORATORIO ONCE</v>
      </c>
      <c r="S16" s="259" t="str">
        <f>IF(CALCULOS_CLIENTES!F11="","",CALCULOS_CLIENTES!F11&amp;"  "&amp;REPT("█",ROUND(CALCULOS_CLIENTES!F11/CALCULOS_CLIENTES!$F$2*20,0)))</f>
        <v>8  ███</v>
      </c>
      <c r="T16" s="191"/>
      <c r="U16" s="258" t="str">
        <f>CALCULOS_CLIENTES!H11</f>
        <v>ECODERM - AGUAZU</v>
      </c>
      <c r="V16" s="260" t="str">
        <f>IF(CALCULOS_CLIENTES!I11="","",ROUND(CALCULOS_CLIENTES!I11,1)&amp;" d  "&amp;REPT("█",ROUND(CALCULOS_CLIENTES!I11/CALCULOS_CLIENTES!$I$11*20,0)))</f>
        <v>16 d  ████████████████████</v>
      </c>
      <c r="W16" s="191"/>
      <c r="X16" s="192"/>
    </row>
    <row r="17" ht="18.0" customHeight="1">
      <c r="A17" s="261"/>
      <c r="B17" s="262" t="s">
        <v>1127</v>
      </c>
      <c r="C17" s="7"/>
      <c r="D17" s="7"/>
      <c r="E17" s="7"/>
      <c r="F17" s="7"/>
      <c r="G17" s="7"/>
      <c r="H17" s="233"/>
      <c r="I17" s="261"/>
      <c r="J17" s="262" t="s">
        <v>1127</v>
      </c>
      <c r="K17" s="7"/>
      <c r="L17" s="7"/>
      <c r="M17" s="7"/>
      <c r="N17" s="7"/>
      <c r="O17" s="7"/>
      <c r="P17" s="233"/>
      <c r="Q17" s="263"/>
      <c r="R17" s="264" t="str">
        <f>CALCULOS_CLIENTES!E12</f>
        <v/>
      </c>
      <c r="S17" s="265"/>
      <c r="T17" s="191"/>
      <c r="U17" s="264" t="str">
        <f>CALCULOS_CLIENTES!H12</f>
        <v/>
      </c>
      <c r="V17" s="266" t="str">
        <f>IF(CALCULOS_CLIENTES!I12="","",ROUND(CALCULOS_CLIENTES!I12,1)&amp;" d  "&amp;REPT("█",ROUND(CALCULOS_CLIENTES!I12/CALCULOS_CLIENTES!$I$11*20,0)))</f>
        <v/>
      </c>
      <c r="W17" s="191"/>
      <c r="X17" s="192"/>
      <c r="Y17" s="267"/>
      <c r="Z17" s="267"/>
    </row>
    <row r="18" ht="13.5" customHeight="1">
      <c r="A18" s="160"/>
      <c r="B18" s="268" t="str">
        <f>REPT("█",ROUND(SUMIF(PEDIDOS!F2:F1001,"M",PEDIDOS!G2:G1001)/(SUMIF(PEDIDOS!F2:F1001,"M",PEDIDOS!G2:G1001)+SUMIF(PEDIDOS!F2:F1001,"P",PEDIDOS!G2:G1001))*30,0))</f>
        <v>██████████████████████</v>
      </c>
      <c r="C18" s="236"/>
      <c r="D18" s="236"/>
      <c r="E18" s="236"/>
      <c r="F18" s="236"/>
      <c r="G18" s="236"/>
      <c r="H18" s="237"/>
      <c r="I18" s="160"/>
      <c r="J18" s="269" t="str">
        <f>REPT("█",ROUND(SUMIF(PEDIDOS!F2:F1001,"P",PEDIDOS!G2:G1001)/(SUMIF(PEDIDOS!F2:F1001,"M",PEDIDOS!G2:G1001)+SUMIF(PEDIDOS!F2:F1001,"P",PEDIDOS!G2:G1001))*30,0))</f>
        <v>████████</v>
      </c>
      <c r="K18" s="236"/>
      <c r="L18" s="236"/>
      <c r="M18" s="236"/>
      <c r="N18" s="236"/>
      <c r="O18" s="236"/>
      <c r="P18" s="237"/>
      <c r="Q18" s="239"/>
      <c r="R18" s="270" t="s">
        <v>1128</v>
      </c>
      <c r="S18" s="8"/>
      <c r="T18" s="271"/>
      <c r="U18" s="270" t="s">
        <v>1128</v>
      </c>
      <c r="V18" s="8"/>
      <c r="W18" s="191"/>
      <c r="X18" s="192"/>
    </row>
    <row r="19" ht="25.5" customHeight="1">
      <c r="A19" s="160"/>
      <c r="B19" s="160"/>
      <c r="C19" s="160"/>
      <c r="D19" s="160"/>
      <c r="E19" s="160"/>
      <c r="F19" s="160"/>
      <c r="G19" s="160"/>
      <c r="H19" s="160"/>
      <c r="I19" s="160"/>
      <c r="J19" s="160"/>
      <c r="K19" s="239"/>
      <c r="L19" s="239"/>
      <c r="M19" s="239"/>
      <c r="N19" s="239"/>
      <c r="O19" s="239"/>
      <c r="P19" s="239"/>
      <c r="Q19" s="239"/>
      <c r="R19" s="272" t="s">
        <v>1129</v>
      </c>
      <c r="S19" s="273" t="str">
        <f>COUNTA(CALCULOS_CLIENTES!A2:A2000)&amp;"  clientes"</f>
        <v>48  clientes</v>
      </c>
      <c r="T19" s="191"/>
      <c r="U19" s="274" t="s">
        <v>1130</v>
      </c>
      <c r="V19" s="275">
        <f>J6</f>
        <v>26.25465839</v>
      </c>
      <c r="W19" s="191"/>
      <c r="X19" s="192"/>
    </row>
    <row r="20" ht="37.5" customHeight="1">
      <c r="A20" s="276"/>
      <c r="B20" s="241" t="s">
        <v>1131</v>
      </c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9"/>
      <c r="Q20" s="277"/>
      <c r="R20" s="278"/>
      <c r="S20" s="278"/>
      <c r="T20" s="191"/>
      <c r="U20" s="279"/>
      <c r="V20" s="279"/>
      <c r="W20" s="191"/>
      <c r="X20" s="192"/>
      <c r="Y20" s="280"/>
      <c r="Z20" s="280"/>
    </row>
    <row r="21" ht="37.5" customHeight="1">
      <c r="A21" s="276"/>
      <c r="B21" s="281" t="s">
        <v>1132</v>
      </c>
      <c r="C21" s="7"/>
      <c r="D21" s="7"/>
      <c r="E21" s="7"/>
      <c r="F21" s="8"/>
      <c r="G21" s="281" t="s">
        <v>1133</v>
      </c>
      <c r="H21" s="7"/>
      <c r="I21" s="8"/>
      <c r="J21" s="281" t="s">
        <v>1134</v>
      </c>
      <c r="K21" s="7"/>
      <c r="L21" s="8"/>
      <c r="M21" s="281" t="s">
        <v>8</v>
      </c>
      <c r="N21" s="7"/>
      <c r="O21" s="7"/>
      <c r="P21" s="8"/>
      <c r="Q21" s="277"/>
      <c r="R21" s="278"/>
      <c r="S21" s="278"/>
      <c r="T21" s="191"/>
      <c r="U21" s="279"/>
      <c r="V21" s="279"/>
      <c r="W21" s="191"/>
      <c r="X21" s="192"/>
      <c r="Y21" s="280"/>
      <c r="Z21" s="280"/>
    </row>
    <row r="22" ht="37.5" customHeight="1">
      <c r="A22" s="277"/>
      <c r="B22" s="282" t="s">
        <v>1135</v>
      </c>
      <c r="C22" s="283"/>
      <c r="D22" s="283"/>
      <c r="E22" s="283"/>
      <c r="F22" s="284"/>
      <c r="G22" s="285">
        <f>AVERAGE(KPI!H2:H1000)</f>
        <v>0.9826957196</v>
      </c>
      <c r="H22" s="283"/>
      <c r="I22" s="284"/>
      <c r="J22" s="286" t="s">
        <v>1136</v>
      </c>
      <c r="K22" s="283"/>
      <c r="L22" s="284"/>
      <c r="M22" s="287" t="str">
        <f>IF(AVERAGE(KPI!H2:H1000)&gt;=0.97,"✅  CUMPLE",IF(AVERAGE(KPI!H2:H1000)&gt;=0.96,"⚠️  ATENCIÓN","🔴  CRÍTICO"))</f>
        <v>✅  CUMPLE</v>
      </c>
      <c r="N22" s="283"/>
      <c r="O22" s="283"/>
      <c r="P22" s="288"/>
      <c r="Q22" s="277"/>
      <c r="R22" s="278"/>
      <c r="S22" s="278"/>
      <c r="T22" s="191"/>
      <c r="U22" s="279"/>
      <c r="V22" s="279"/>
      <c r="W22" s="191"/>
      <c r="X22" s="192"/>
      <c r="Y22" s="280"/>
      <c r="Z22" s="280"/>
    </row>
    <row r="23" ht="37.5" customHeight="1">
      <c r="A23" s="277"/>
      <c r="B23" s="289" t="s">
        <v>1137</v>
      </c>
      <c r="C23" s="283"/>
      <c r="D23" s="283"/>
      <c r="E23" s="283"/>
      <c r="F23" s="284"/>
      <c r="G23" s="290">
        <f>1-(COUNTIF(KPI!I2:I31,"R")/COUNTA(KPI!C2:C31))</f>
        <v>1</v>
      </c>
      <c r="H23" s="283"/>
      <c r="I23" s="284"/>
      <c r="J23" s="291" t="s">
        <v>1138</v>
      </c>
      <c r="K23" s="283"/>
      <c r="L23" s="284"/>
      <c r="M23" s="287" t="str">
        <f>IF(1-(COUNTIF(KPI!I2:I31,"R")/COUNTA(KPI!C2:C31))&gt;=0.95,"✅  CUMPLE","⚠️  REVISAR")</f>
        <v>✅  CUMPLE</v>
      </c>
      <c r="N23" s="283"/>
      <c r="O23" s="283"/>
      <c r="P23" s="288"/>
      <c r="Q23" s="277"/>
      <c r="R23" s="278"/>
      <c r="S23" s="278"/>
      <c r="T23" s="191"/>
      <c r="U23" s="279"/>
      <c r="V23" s="279"/>
      <c r="W23" s="191"/>
      <c r="X23" s="192"/>
      <c r="Y23" s="280"/>
      <c r="Z23" s="280"/>
    </row>
    <row r="24" ht="37.5" customHeight="1">
      <c r="A24" s="277"/>
      <c r="B24" s="282" t="s">
        <v>1139</v>
      </c>
      <c r="C24" s="283"/>
      <c r="D24" s="283"/>
      <c r="E24" s="283"/>
      <c r="F24" s="284"/>
      <c r="G24" s="292">
        <f>AVERAGEIFS(KPI!G2:G1000,KPI!G2:G1000,"&gt;0",KPI!G2:G1000,"&lt;100")</f>
        <v>26.25465839</v>
      </c>
      <c r="H24" s="283"/>
      <c r="I24" s="284"/>
      <c r="J24" s="286" t="s">
        <v>1140</v>
      </c>
      <c r="K24" s="283"/>
      <c r="L24" s="284"/>
      <c r="M24" s="287" t="str">
        <f>IF(AVERAGEIFS(KPI!G2:G1000,KPI!G2:G1000,"&gt;0",KPI!G2:G1000,"&lt;100")&lt;=25,"✅  CUMPLE","⚠️  ATENCIÓN")</f>
        <v>⚠️  ATENCIÓN</v>
      </c>
      <c r="N24" s="283"/>
      <c r="O24" s="283"/>
      <c r="P24" s="288"/>
      <c r="Q24" s="277"/>
      <c r="R24" s="278"/>
      <c r="S24" s="278"/>
      <c r="T24" s="191"/>
      <c r="U24" s="279"/>
      <c r="V24" s="279"/>
      <c r="W24" s="191"/>
      <c r="X24" s="192"/>
      <c r="Y24" s="280"/>
      <c r="Z24" s="280"/>
    </row>
    <row r="25" ht="37.5" customHeight="1">
      <c r="A25" s="293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8"/>
      <c r="R25" s="294"/>
      <c r="S25" s="7"/>
      <c r="T25" s="7"/>
      <c r="U25" s="7"/>
      <c r="V25" s="8"/>
      <c r="W25" s="278"/>
      <c r="X25" s="192"/>
      <c r="Y25" s="280"/>
      <c r="Z25" s="28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3">
    <mergeCell ref="B17:H17"/>
    <mergeCell ref="J17:P17"/>
    <mergeCell ref="B18:H18"/>
    <mergeCell ref="J18:P18"/>
    <mergeCell ref="R18:S18"/>
    <mergeCell ref="U18:V18"/>
    <mergeCell ref="B20:P20"/>
    <mergeCell ref="B21:F21"/>
    <mergeCell ref="G21:I21"/>
    <mergeCell ref="J21:L21"/>
    <mergeCell ref="M21:P21"/>
    <mergeCell ref="G22:I22"/>
    <mergeCell ref="J22:L22"/>
    <mergeCell ref="M22:P22"/>
    <mergeCell ref="J24:L24"/>
    <mergeCell ref="M24:P24"/>
    <mergeCell ref="R25:V25"/>
    <mergeCell ref="B22:F22"/>
    <mergeCell ref="B23:F23"/>
    <mergeCell ref="G23:I23"/>
    <mergeCell ref="J23:L23"/>
    <mergeCell ref="M23:P23"/>
    <mergeCell ref="B24:F24"/>
    <mergeCell ref="G24:I24"/>
    <mergeCell ref="A25:Q25"/>
    <mergeCell ref="N5:P5"/>
    <mergeCell ref="R5:S5"/>
    <mergeCell ref="N6:P6"/>
    <mergeCell ref="N7:P7"/>
    <mergeCell ref="A2:D2"/>
    <mergeCell ref="E2:M3"/>
    <mergeCell ref="N2:Q2"/>
    <mergeCell ref="R2:X4"/>
    <mergeCell ref="F5:H5"/>
    <mergeCell ref="J5:L5"/>
    <mergeCell ref="U5:V5"/>
    <mergeCell ref="B7:D7"/>
    <mergeCell ref="B10:D10"/>
    <mergeCell ref="B11:D11"/>
    <mergeCell ref="B12:D12"/>
    <mergeCell ref="B5:D5"/>
    <mergeCell ref="B6:D6"/>
    <mergeCell ref="F6:H6"/>
    <mergeCell ref="J6:L6"/>
    <mergeCell ref="F7:H7"/>
    <mergeCell ref="J7:L7"/>
    <mergeCell ref="B9:P9"/>
    <mergeCell ref="N11:P11"/>
    <mergeCell ref="N12:P12"/>
    <mergeCell ref="F10:H10"/>
    <mergeCell ref="J10:L10"/>
    <mergeCell ref="N10:P10"/>
    <mergeCell ref="F11:H11"/>
    <mergeCell ref="J11:L11"/>
    <mergeCell ref="F12:H12"/>
    <mergeCell ref="J12:L12"/>
    <mergeCell ref="B14:P14"/>
    <mergeCell ref="B15:H15"/>
    <mergeCell ref="J15:P15"/>
    <mergeCell ref="B16:E16"/>
    <mergeCell ref="F16:H16"/>
    <mergeCell ref="J16:M16"/>
    <mergeCell ref="N16:P16"/>
  </mergeCells>
  <printOptions/>
  <pageMargins bottom="0.35" footer="0.0" header="0.0" left="0.35" right="0.35" top="0.3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1.14"/>
    <col customWidth="1" min="8" max="8" width="22.29"/>
  </cols>
  <sheetData>
    <row r="1">
      <c r="A1" s="192" t="s">
        <v>3</v>
      </c>
      <c r="B1" s="192" t="s">
        <v>1141</v>
      </c>
      <c r="C1" s="192" t="s">
        <v>1142</v>
      </c>
      <c r="D1" s="192"/>
      <c r="E1" s="192" t="s">
        <v>1143</v>
      </c>
      <c r="F1" s="192" t="s">
        <v>1144</v>
      </c>
      <c r="G1" s="192"/>
      <c r="H1" s="192" t="s">
        <v>1145</v>
      </c>
      <c r="I1" s="192" t="s">
        <v>1146</v>
      </c>
    </row>
    <row r="2">
      <c r="A2" s="192" t="s">
        <v>99</v>
      </c>
      <c r="B2" s="295">
        <f>COUNTIF(PEDIDOS!D:D,A2)</f>
        <v>1</v>
      </c>
      <c r="C2" s="295">
        <f>IFERROR(AVERAGEIFS(KPI!G:G,KPI!C:C,A2,KPI!G:G,"&gt;"&amp;0,KPI!G:G,"&lt;"&amp;100),"")</f>
        <v>42</v>
      </c>
      <c r="D2" s="192"/>
      <c r="E2" s="192" t="s">
        <v>15</v>
      </c>
      <c r="F2" s="295">
        <f>COUNTIF(PEDIDOS!D:D,E2)</f>
        <v>60</v>
      </c>
      <c r="G2" s="192"/>
      <c r="H2" s="192" t="s">
        <v>39</v>
      </c>
      <c r="I2" s="296">
        <f>IFERROR(AVERAGEIFS(KPI!G:G,KPI!C:C,H2,KPI!G:G,"&gt;"&amp;0,KPI!G:G,"&lt;"&amp;100),"")</f>
        <v>7</v>
      </c>
    </row>
    <row r="3">
      <c r="A3" s="192" t="s">
        <v>206</v>
      </c>
      <c r="B3" s="295">
        <f>COUNTIF(PEDIDOS!D:D,A3)</f>
        <v>1</v>
      </c>
      <c r="C3" s="295">
        <f>IFERROR(AVERAGEIFS(KPI!G:G,KPI!C:C,A3,KPI!G:G,"&gt;"&amp;0,KPI!G:G,"&lt;"&amp;100),"")</f>
        <v>30</v>
      </c>
      <c r="D3" s="192"/>
      <c r="E3" s="192" t="s">
        <v>52</v>
      </c>
      <c r="F3" s="295">
        <f>COUNTIF(PEDIDOS!D:D,E3)</f>
        <v>43</v>
      </c>
      <c r="G3" s="192"/>
      <c r="H3" s="192" t="s">
        <v>215</v>
      </c>
      <c r="I3" s="296">
        <f>IFERROR(AVERAGEIFS(KPI!G:G,KPI!C:C,H3,KPI!G:G,"&gt;"&amp;0,KPI!G:G,"&lt;"&amp;100),"")</f>
        <v>7</v>
      </c>
    </row>
    <row r="4">
      <c r="A4" s="192" t="s">
        <v>170</v>
      </c>
      <c r="B4" s="295">
        <f>COUNTIF(PEDIDOS!D:D,A4)</f>
        <v>5</v>
      </c>
      <c r="C4" s="192">
        <f>IFERROR(AVERAGEIFS(KPI!G:G,KPI!C:C,A4,KPI!G:G,"&gt;"&amp;0,KPI!G:G,"&lt;"&amp;100),"")</f>
        <v>9</v>
      </c>
      <c r="D4" s="192"/>
      <c r="E4" s="192" t="s">
        <v>158</v>
      </c>
      <c r="F4" s="295">
        <f>COUNTIF(PEDIDOS!D:D,E4)</f>
        <v>27</v>
      </c>
      <c r="G4" s="192"/>
      <c r="H4" s="192" t="s">
        <v>133</v>
      </c>
      <c r="I4" s="296">
        <f>IFERROR(AVERAGEIFS(KPI!G:G,KPI!C:C,H4,KPI!G:G,"&gt;"&amp;0,KPI!G:G,"&lt;"&amp;100),"")</f>
        <v>8.666666667</v>
      </c>
    </row>
    <row r="5">
      <c r="A5" s="192" t="s">
        <v>181</v>
      </c>
      <c r="B5" s="295">
        <f>COUNTIF(PEDIDOS!D:D,A5)</f>
        <v>2</v>
      </c>
      <c r="C5" s="295">
        <f>IFERROR(AVERAGEIFS(KPI!G:G,KPI!C:C,A5,KPI!G:G,"&gt;"&amp;0,KPI!G:G,"&lt;"&amp;100),"")</f>
        <v>49</v>
      </c>
      <c r="D5" s="192"/>
      <c r="E5" s="192" t="s">
        <v>57</v>
      </c>
      <c r="F5" s="295">
        <f>COUNTIF(PEDIDOS!D:D,E5)</f>
        <v>55</v>
      </c>
      <c r="G5" s="192"/>
      <c r="H5" s="192" t="s">
        <v>65</v>
      </c>
      <c r="I5" s="296">
        <f>IFERROR(AVERAGEIFS(KPI!G:G,KPI!C:C,H5,KPI!G:G,"&gt;"&amp;0,KPI!G:G,"&lt;"&amp;100),"")</f>
        <v>9</v>
      </c>
    </row>
    <row r="6">
      <c r="A6" s="192" t="s">
        <v>265</v>
      </c>
      <c r="B6" s="295">
        <f>COUNTIF(PEDIDOS!D:D,A6)</f>
        <v>2</v>
      </c>
      <c r="C6" s="295">
        <f>IFERROR(AVERAGEIFS(KPI!G:G,KPI!C:C,A6,KPI!G:G,"&gt;"&amp;0,KPI!G:G,"&lt;"&amp;100),"")</f>
        <v>22</v>
      </c>
      <c r="D6" s="192"/>
      <c r="E6" s="192" t="s">
        <v>68</v>
      </c>
      <c r="F6" s="295">
        <f>COUNTIF(PEDIDOS!D:D,E6)</f>
        <v>17</v>
      </c>
      <c r="G6" s="192"/>
      <c r="H6" s="192" t="s">
        <v>79</v>
      </c>
      <c r="I6" s="296">
        <f>IFERROR(AVERAGEIFS(KPI!G:G,KPI!C:C,H6,KPI!G:G,"&gt;"&amp;0,KPI!G:G,"&lt;"&amp;100),"")</f>
        <v>14</v>
      </c>
    </row>
    <row r="7">
      <c r="A7" s="192" t="s">
        <v>37</v>
      </c>
      <c r="B7" s="295">
        <f>COUNTIF(PEDIDOS!D:D,A7)</f>
        <v>4</v>
      </c>
      <c r="C7" s="295">
        <f>IFERROR(AVERAGEIFS(KPI!G:G,KPI!C:C,A7,KPI!G:G,"&gt;"&amp;0,KPI!G:G,"&lt;"&amp;100),"")</f>
        <v>28.25</v>
      </c>
      <c r="D7" s="192"/>
      <c r="E7" s="192" t="s">
        <v>20</v>
      </c>
      <c r="F7" s="295">
        <f>COUNTIF(PEDIDOS!D:D,E7)</f>
        <v>19</v>
      </c>
      <c r="G7" s="192"/>
      <c r="H7" s="192" t="s">
        <v>147</v>
      </c>
      <c r="I7" s="296">
        <f>IFERROR(AVERAGEIFS(KPI!G:G,KPI!C:C,H7,KPI!G:G,"&gt;"&amp;0,KPI!G:G,"&lt;"&amp;100),"")</f>
        <v>21.5</v>
      </c>
    </row>
    <row r="8">
      <c r="A8" s="192" t="s">
        <v>208</v>
      </c>
      <c r="B8" s="295">
        <f>COUNTIF(PEDIDOS!D:D,A8)</f>
        <v>2</v>
      </c>
      <c r="C8" s="295">
        <f>IFERROR(AVERAGEIFS(KPI!G:G,KPI!C:C,A8,KPI!G:G,"&gt;"&amp;0,KPI!G:G,"&lt;"&amp;100),"")</f>
        <v>14</v>
      </c>
      <c r="D8" s="192"/>
      <c r="E8" s="192" t="s">
        <v>60</v>
      </c>
      <c r="F8" s="295">
        <f>COUNTIF(PEDIDOS!D:D,E8)</f>
        <v>17</v>
      </c>
      <c r="G8" s="192"/>
      <c r="H8" s="192" t="s">
        <v>208</v>
      </c>
      <c r="I8" s="296">
        <f>IFERROR(AVERAGEIFS(KPI!G:G,KPI!C:C,H8,KPI!G:G,"&gt;"&amp;0,KPI!G:G,"&lt;"&amp;100),"")</f>
        <v>14</v>
      </c>
    </row>
    <row r="9">
      <c r="A9" s="192" t="s">
        <v>20</v>
      </c>
      <c r="B9" s="295">
        <f>COUNTIF(PEDIDOS!D:D,A9)</f>
        <v>19</v>
      </c>
      <c r="C9" s="295">
        <f>IFERROR(AVERAGEIFS(KPI!G:G,KPI!C:C,A9,KPI!G:G,"&gt;"&amp;0,KPI!G:G,"&lt;"&amp;100),"")</f>
        <v>21.22222222</v>
      </c>
      <c r="D9" s="192"/>
      <c r="E9" s="192" t="s">
        <v>198</v>
      </c>
      <c r="F9" s="295">
        <f>COUNTIF(PEDIDOS!D:D,E9)</f>
        <v>19</v>
      </c>
      <c r="G9" s="192"/>
      <c r="H9" s="192" t="s">
        <v>41</v>
      </c>
      <c r="I9" s="296">
        <f>IFERROR(AVERAGEIFS(KPI!G:G,KPI!C:C,H9,KPI!G:G,"&gt;"&amp;0,KPI!G:G,"&lt;"&amp;100),"")</f>
        <v>14.5</v>
      </c>
    </row>
    <row r="10">
      <c r="A10" s="192" t="s">
        <v>60</v>
      </c>
      <c r="B10" s="295">
        <f>COUNTIF(PEDIDOS!D:D,A10)</f>
        <v>17</v>
      </c>
      <c r="C10" s="295">
        <f>IFERROR(AVERAGEIFS(KPI!G:G,KPI!C:C,A10,KPI!G:G,"&gt;"&amp;0,KPI!G:G,"&lt;"&amp;100),"")</f>
        <v>32.42857143</v>
      </c>
      <c r="D10" s="192"/>
      <c r="E10" s="192" t="s">
        <v>24</v>
      </c>
      <c r="F10" s="295">
        <f>COUNTIF(PEDIDOS!D:D,E10)</f>
        <v>8</v>
      </c>
      <c r="G10" s="192"/>
      <c r="H10" s="192" t="s">
        <v>135</v>
      </c>
      <c r="I10" s="296">
        <f>IFERROR(AVERAGEIFS(KPI!G:G,KPI!C:C,H10,KPI!G:G,"&gt;"&amp;0,KPI!G:G,"&lt;"&amp;100),"")</f>
        <v>18</v>
      </c>
    </row>
    <row r="11">
      <c r="A11" s="192" t="s">
        <v>246</v>
      </c>
      <c r="B11" s="295">
        <f>COUNTIF(PEDIDOS!D:D,A11)</f>
        <v>2</v>
      </c>
      <c r="C11" s="295">
        <f>IFERROR(AVERAGEIFS(KPI!G:G,KPI!C:C,A11,KPI!G:G,"&gt;"&amp;0,KPI!G:G,"&lt;"&amp;100),"")</f>
        <v>32</v>
      </c>
      <c r="D11" s="192"/>
      <c r="E11" s="192" t="s">
        <v>33</v>
      </c>
      <c r="F11" s="295">
        <f>COUNTIF(PEDIDOS!D:D,E11)</f>
        <v>8</v>
      </c>
      <c r="G11" s="192"/>
      <c r="H11" s="192" t="s">
        <v>118</v>
      </c>
      <c r="I11" s="296">
        <f>IFERROR(AVERAGEIFS(KPI!G:G,KPI!C:C,H11,KPI!G:G,"&gt;"&amp;0,KPI!G:G,"&lt;"&amp;100),"")</f>
        <v>16</v>
      </c>
    </row>
    <row r="12">
      <c r="A12" s="192" t="s">
        <v>297</v>
      </c>
      <c r="B12" s="295">
        <f>COUNTIF(PEDIDOS!D:D,A12)</f>
        <v>3</v>
      </c>
      <c r="C12" s="192" t="str">
        <f>IFERROR(AVERAGEIFS(KPI!G:G,KPI!C:C,A12,KPI!G:G,"&gt;"&amp;0,KPI!G:G,"&lt;"&amp;100),"")</f>
        <v/>
      </c>
      <c r="D12" s="192"/>
      <c r="E12" s="192"/>
      <c r="F12" s="192"/>
      <c r="G12" s="192"/>
      <c r="H12" s="192"/>
      <c r="I12" s="192"/>
    </row>
    <row r="13">
      <c r="A13" s="192" t="s">
        <v>52</v>
      </c>
      <c r="B13" s="295">
        <f>COUNTIF(PEDIDOS!D:D,A13)</f>
        <v>43</v>
      </c>
      <c r="C13" s="295">
        <f>IFERROR(AVERAGEIFS(KPI!G:G,KPI!C:C,A13,KPI!G:G,"&gt;"&amp;0,KPI!G:G,"&lt;"&amp;100),"")</f>
        <v>20.57575758</v>
      </c>
      <c r="D13" s="192"/>
      <c r="E13" s="192"/>
      <c r="F13" s="192"/>
      <c r="G13" s="192"/>
      <c r="H13" s="192"/>
      <c r="I13" s="192"/>
    </row>
    <row r="14">
      <c r="A14" s="192" t="s">
        <v>192</v>
      </c>
      <c r="B14" s="295">
        <f>COUNTIF(PEDIDOS!D:D,A14)</f>
        <v>6</v>
      </c>
      <c r="C14" s="295">
        <f>IFERROR(AVERAGEIFS(KPI!G:G,KPI!C:C,A14,KPI!G:G,"&gt;"&amp;0,KPI!G:G,"&lt;"&amp;100),"")</f>
        <v>19.83333333</v>
      </c>
      <c r="D14" s="192"/>
      <c r="E14" s="192"/>
      <c r="F14" s="192"/>
      <c r="G14" s="192"/>
      <c r="H14" s="192"/>
      <c r="I14" s="192"/>
    </row>
    <row r="15">
      <c r="A15" s="192" t="s">
        <v>213</v>
      </c>
      <c r="B15" s="295">
        <f>COUNTIF(PEDIDOS!D:D,A15)</f>
        <v>1</v>
      </c>
      <c r="C15" s="192">
        <f>IFERROR(AVERAGEIFS(KPI!G:G,KPI!C:C,A15,KPI!G:G,"&gt;"&amp;0,KPI!G:G,"&lt;"&amp;100),"")</f>
        <v>55</v>
      </c>
      <c r="D15" s="192"/>
      <c r="E15" s="192"/>
      <c r="F15" s="192"/>
      <c r="G15" s="192"/>
      <c r="H15" s="192"/>
      <c r="I15" s="192"/>
    </row>
    <row r="16">
      <c r="A16" s="192" t="s">
        <v>133</v>
      </c>
      <c r="B16" s="295">
        <f>COUNTIF(PEDIDOS!D:D,A16)</f>
        <v>3</v>
      </c>
      <c r="C16" s="295">
        <f>IFERROR(AVERAGEIFS(KPI!G:G,KPI!C:C,A16,KPI!G:G,"&gt;"&amp;0,KPI!G:G,"&lt;"&amp;100),"")</f>
        <v>8.666666667</v>
      </c>
      <c r="D16" s="192"/>
      <c r="E16" s="192"/>
      <c r="F16" s="192"/>
      <c r="G16" s="192"/>
      <c r="H16" s="192"/>
      <c r="I16" s="192"/>
    </row>
    <row r="17">
      <c r="A17" s="192" t="s">
        <v>39</v>
      </c>
      <c r="B17" s="295">
        <f>COUNTIF(PEDIDOS!D:D,A17)</f>
        <v>1</v>
      </c>
      <c r="C17" s="295">
        <f>IFERROR(AVERAGEIFS(KPI!G:G,KPI!C:C,A17,KPI!G:G,"&gt;"&amp;0,KPI!G:G,"&lt;"&amp;100),"")</f>
        <v>7</v>
      </c>
      <c r="D17" s="192"/>
      <c r="E17" s="192"/>
      <c r="F17" s="192"/>
      <c r="G17" s="192"/>
      <c r="H17" s="192"/>
      <c r="I17" s="192"/>
    </row>
    <row r="18">
      <c r="A18" s="192" t="s">
        <v>118</v>
      </c>
      <c r="B18" s="295">
        <f>COUNTIF(PEDIDOS!D:D,A18)</f>
        <v>5</v>
      </c>
      <c r="C18" s="295">
        <f>IFERROR(AVERAGEIFS(KPI!G:G,KPI!C:C,A18,KPI!G:G,"&gt;"&amp;0,KPI!G:G,"&lt;"&amp;100),"")</f>
        <v>16</v>
      </c>
      <c r="D18" s="192"/>
      <c r="E18" s="192"/>
      <c r="F18" s="192"/>
      <c r="G18" s="192"/>
      <c r="H18" s="192"/>
      <c r="I18" s="192"/>
    </row>
    <row r="19">
      <c r="A19" s="192" t="s">
        <v>124</v>
      </c>
      <c r="B19" s="295">
        <f>COUNTIF(PEDIDOS!D:D,A19)</f>
        <v>3</v>
      </c>
      <c r="C19" s="295">
        <f>IFERROR(AVERAGEIFS(KPI!G:G,KPI!C:C,A19,KPI!G:G,"&gt;"&amp;0,KPI!G:G,"&lt;"&amp;100),"")</f>
        <v>18</v>
      </c>
      <c r="D19" s="192"/>
      <c r="E19" s="192"/>
      <c r="F19" s="192"/>
      <c r="G19" s="192"/>
      <c r="H19" s="192"/>
      <c r="I19" s="192"/>
    </row>
    <row r="20">
      <c r="A20" s="192" t="s">
        <v>308</v>
      </c>
      <c r="B20" s="295">
        <f>COUNTIF(PEDIDOS!D:D,A20)</f>
        <v>4</v>
      </c>
      <c r="C20" s="192">
        <f>IFERROR(AVERAGEIFS(KPI!G:G,KPI!C:C,A20,KPI!G:G,"&gt;"&amp;0,KPI!G:G,"&lt;"&amp;100),"")</f>
        <v>21</v>
      </c>
      <c r="D20" s="192"/>
      <c r="E20" s="192"/>
      <c r="F20" s="192"/>
      <c r="G20" s="192"/>
      <c r="H20" s="192"/>
      <c r="I20" s="192"/>
    </row>
    <row r="21">
      <c r="A21" s="192" t="s">
        <v>318</v>
      </c>
      <c r="B21" s="295">
        <f>COUNTIF(PEDIDOS!D:D,A21)</f>
        <v>4</v>
      </c>
      <c r="C21" s="192" t="str">
        <f>IFERROR(AVERAGEIFS(KPI!G:G,KPI!C:C,A21,KPI!G:G,"&gt;"&amp;0,KPI!G:G,"&lt;"&amp;100),"")</f>
        <v/>
      </c>
      <c r="D21" s="192"/>
      <c r="E21" s="192"/>
      <c r="F21" s="192"/>
      <c r="G21" s="192"/>
      <c r="H21" s="192"/>
      <c r="I21" s="192"/>
    </row>
    <row r="22">
      <c r="A22" s="192" t="s">
        <v>41</v>
      </c>
      <c r="B22" s="295">
        <f>COUNTIF(PEDIDOS!D:D,A22)</f>
        <v>2</v>
      </c>
      <c r="C22" s="295">
        <f>IFERROR(AVERAGEIFS(KPI!G:G,KPI!C:C,A22,KPI!G:G,"&gt;"&amp;0,KPI!G:G,"&lt;"&amp;100),"")</f>
        <v>14.5</v>
      </c>
      <c r="D22" s="192"/>
      <c r="E22" s="192"/>
      <c r="F22" s="192"/>
      <c r="G22" s="192"/>
      <c r="H22" s="192"/>
      <c r="I22" s="192"/>
    </row>
    <row r="23">
      <c r="A23" s="192" t="s">
        <v>150</v>
      </c>
      <c r="B23" s="295">
        <f>COUNTIF(PEDIDOS!D:D,A23)</f>
        <v>8</v>
      </c>
      <c r="C23" s="295">
        <f>IFERROR(AVERAGEIFS(KPI!G:G,KPI!C:C,A23,KPI!G:G,"&gt;"&amp;0,KPI!G:G,"&lt;"&amp;100),"")</f>
        <v>23.28571429</v>
      </c>
      <c r="D23" s="192"/>
      <c r="E23" s="192"/>
      <c r="F23" s="192"/>
      <c r="G23" s="192"/>
      <c r="H23" s="192"/>
      <c r="I23" s="192"/>
    </row>
    <row r="24">
      <c r="A24" s="192" t="s">
        <v>81</v>
      </c>
      <c r="B24" s="295">
        <f>COUNTIF(PEDIDOS!D:D,A24)</f>
        <v>1</v>
      </c>
      <c r="C24" s="295">
        <f>IFERROR(AVERAGEIFS(KPI!G:G,KPI!C:C,A24,KPI!G:G,"&gt;"&amp;0,KPI!G:G,"&lt;"&amp;100),"")</f>
        <v>21</v>
      </c>
      <c r="D24" s="192"/>
      <c r="E24" s="192"/>
      <c r="F24" s="192"/>
      <c r="G24" s="192"/>
      <c r="H24" s="192"/>
      <c r="I24" s="192"/>
    </row>
    <row r="25">
      <c r="A25" s="192" t="s">
        <v>13</v>
      </c>
      <c r="B25" s="295">
        <f>COUNTIF(PEDIDOS!D:D,A25)</f>
        <v>6</v>
      </c>
      <c r="C25" s="295">
        <f>IFERROR(AVERAGEIFS(KPI!G:G,KPI!C:C,A25,KPI!G:G,"&gt;"&amp;0,KPI!G:G,"&lt;"&amp;100),"")</f>
        <v>43.83333333</v>
      </c>
      <c r="D25" s="192"/>
      <c r="E25" s="192"/>
      <c r="F25" s="192"/>
      <c r="G25" s="192"/>
      <c r="H25" s="192"/>
      <c r="I25" s="192"/>
    </row>
    <row r="26">
      <c r="A26" s="192" t="s">
        <v>57</v>
      </c>
      <c r="B26" s="295">
        <f>COUNTIF(PEDIDOS!D:D,A26)</f>
        <v>55</v>
      </c>
      <c r="C26" s="295">
        <f>IFERROR(AVERAGEIFS(KPI!G:G,KPI!C:C,A26,KPI!G:G,"&gt;"&amp;0,KPI!G:G,"&lt;"&amp;100),"")</f>
        <v>32.14285714</v>
      </c>
      <c r="D26" s="192"/>
      <c r="E26" s="192"/>
      <c r="F26" s="192"/>
      <c r="G26" s="192"/>
      <c r="H26" s="192"/>
      <c r="I26" s="192"/>
    </row>
    <row r="27">
      <c r="A27" s="192" t="s">
        <v>79</v>
      </c>
      <c r="B27" s="295">
        <f>COUNTIF(PEDIDOS!D:D,A27)</f>
        <v>3</v>
      </c>
      <c r="C27" s="295">
        <f>IFERROR(AVERAGEIFS(KPI!G:G,KPI!C:C,A27,KPI!G:G,"&gt;"&amp;0,KPI!G:G,"&lt;"&amp;100),"")</f>
        <v>14</v>
      </c>
      <c r="D27" s="192"/>
      <c r="E27" s="192"/>
      <c r="F27" s="192"/>
      <c r="G27" s="192"/>
      <c r="H27" s="192"/>
      <c r="I27" s="192"/>
    </row>
    <row r="28">
      <c r="A28" s="192" t="s">
        <v>33</v>
      </c>
      <c r="B28" s="295">
        <f>COUNTIF(PEDIDOS!D:D,A28)</f>
        <v>8</v>
      </c>
      <c r="C28" s="295">
        <f>IFERROR(AVERAGEIFS(KPI!G:G,KPI!C:C,A28,KPI!G:G,"&gt;"&amp;0,KPI!G:G,"&lt;"&amp;100),"")</f>
        <v>25.57142857</v>
      </c>
      <c r="D28" s="192"/>
      <c r="E28" s="192"/>
      <c r="F28" s="192"/>
      <c r="G28" s="192"/>
      <c r="H28" s="192"/>
      <c r="I28" s="192"/>
    </row>
    <row r="29">
      <c r="A29" s="192" t="s">
        <v>1147</v>
      </c>
      <c r="B29" s="295">
        <f>COUNTIF(PEDIDOS!D:D,A29)</f>
        <v>0</v>
      </c>
      <c r="C29" s="192" t="str">
        <f>IFERROR(AVERAGEIFS(KPI!G:G,KPI!C:C,A29,KPI!G:G,"&gt;"&amp;0,KPI!G:G,"&lt;"&amp;100),"")</f>
        <v/>
      </c>
      <c r="D29" s="192"/>
      <c r="E29" s="192"/>
      <c r="F29" s="192"/>
      <c r="G29" s="192"/>
      <c r="H29" s="192"/>
      <c r="I29" s="192"/>
    </row>
    <row r="30">
      <c r="A30" s="192" t="s">
        <v>198</v>
      </c>
      <c r="B30" s="295">
        <f>COUNTIF(PEDIDOS!D:D,A30)</f>
        <v>19</v>
      </c>
      <c r="C30" s="295">
        <f>IFERROR(AVERAGEIFS(KPI!G:G,KPI!C:C,A30,KPI!G:G,"&gt;"&amp;0,KPI!G:G,"&lt;"&amp;100),"")</f>
        <v>23.5</v>
      </c>
      <c r="D30" s="192"/>
      <c r="E30" s="192"/>
      <c r="F30" s="192"/>
      <c r="G30" s="192"/>
      <c r="H30" s="192"/>
      <c r="I30" s="192"/>
    </row>
    <row r="31">
      <c r="A31" s="192" t="s">
        <v>65</v>
      </c>
      <c r="B31" s="295">
        <f>COUNTIF(PEDIDOS!D:D,A31)</f>
        <v>1</v>
      </c>
      <c r="C31" s="295">
        <f>IFERROR(AVERAGEIFS(KPI!G:G,KPI!C:C,A31,KPI!G:G,"&gt;"&amp;0,KPI!G:G,"&lt;"&amp;100),"")</f>
        <v>9</v>
      </c>
      <c r="D31" s="192"/>
      <c r="E31" s="192"/>
      <c r="F31" s="192"/>
      <c r="G31" s="192"/>
      <c r="H31" s="192"/>
      <c r="I31" s="192"/>
    </row>
    <row r="32">
      <c r="A32" s="192" t="s">
        <v>24</v>
      </c>
      <c r="B32" s="295">
        <f>COUNTIF(PEDIDOS!D:D,A32)</f>
        <v>8</v>
      </c>
      <c r="C32" s="295">
        <f>IFERROR(AVERAGEIFS(KPI!G:G,KPI!C:C,A32,KPI!G:G,"&gt;"&amp;0,KPI!G:G,"&lt;"&amp;100),"")</f>
        <v>23.375</v>
      </c>
      <c r="D32" s="192"/>
      <c r="E32" s="192"/>
      <c r="F32" s="192"/>
      <c r="G32" s="192"/>
      <c r="H32" s="192"/>
      <c r="I32" s="192"/>
    </row>
    <row r="33">
      <c r="A33" s="192" t="s">
        <v>317</v>
      </c>
      <c r="B33" s="295">
        <f>COUNTIF(PEDIDOS!D:D,A33)</f>
        <v>2</v>
      </c>
      <c r="C33" s="192">
        <f>IFERROR(AVERAGEIFS(KPI!G:G,KPI!C:C,A33,KPI!G:G,"&gt;"&amp;0,KPI!G:G,"&lt;"&amp;100),"")</f>
        <v>16</v>
      </c>
      <c r="D33" s="192"/>
      <c r="E33" s="192"/>
      <c r="F33" s="192"/>
      <c r="G33" s="192"/>
      <c r="H33" s="192"/>
      <c r="I33" s="192"/>
    </row>
    <row r="34">
      <c r="A34" s="192" t="s">
        <v>147</v>
      </c>
      <c r="B34" s="295">
        <f>COUNTIF(PEDIDOS!D:D,A34)</f>
        <v>4</v>
      </c>
      <c r="C34" s="295">
        <f>IFERROR(AVERAGEIFS(KPI!G:G,KPI!C:C,A34,KPI!G:G,"&gt;"&amp;0,KPI!G:G,"&lt;"&amp;100),"")</f>
        <v>21.5</v>
      </c>
      <c r="D34" s="192"/>
      <c r="E34" s="192"/>
      <c r="F34" s="192"/>
      <c r="G34" s="192"/>
      <c r="H34" s="192"/>
      <c r="I34" s="192"/>
    </row>
    <row r="35">
      <c r="A35" s="192" t="s">
        <v>140</v>
      </c>
      <c r="B35" s="295">
        <f>COUNTIF(PEDIDOS!D:D,A35)</f>
        <v>12</v>
      </c>
      <c r="C35" s="295">
        <f>IFERROR(AVERAGEIFS(KPI!G:G,KPI!C:C,A35,KPI!G:G,"&gt;"&amp;0,KPI!G:G,"&lt;"&amp;100),"")</f>
        <v>28.44444444</v>
      </c>
      <c r="D35" s="192"/>
      <c r="E35" s="192"/>
      <c r="F35" s="192"/>
      <c r="G35" s="192"/>
      <c r="H35" s="192"/>
      <c r="I35" s="192"/>
    </row>
    <row r="36">
      <c r="A36" s="192" t="s">
        <v>113</v>
      </c>
      <c r="B36" s="295">
        <f>COUNTIF(PEDIDOS!D:D,A36)</f>
        <v>5</v>
      </c>
      <c r="C36" s="295">
        <f>IFERROR(AVERAGEIFS(KPI!G:G,KPI!C:C,A36,KPI!G:G,"&gt;"&amp;0,KPI!G:G,"&lt;"&amp;100),"")</f>
        <v>50.8</v>
      </c>
      <c r="D36" s="192"/>
      <c r="E36" s="192"/>
      <c r="F36" s="192"/>
      <c r="G36" s="192"/>
      <c r="H36" s="192"/>
      <c r="I36" s="192"/>
    </row>
    <row r="37">
      <c r="A37" s="192" t="s">
        <v>183</v>
      </c>
      <c r="B37" s="295">
        <f>COUNTIF(PEDIDOS!D:D,A37)</f>
        <v>12</v>
      </c>
      <c r="C37" s="295">
        <f>IFERROR(AVERAGEIFS(KPI!G:G,KPI!C:C,A37,KPI!G:G,"&gt;"&amp;0,KPI!G:G,"&lt;"&amp;100),"")</f>
        <v>23.42857143</v>
      </c>
      <c r="D37" s="192"/>
      <c r="E37" s="192"/>
      <c r="F37" s="192"/>
      <c r="G37" s="192"/>
      <c r="H37" s="192"/>
      <c r="I37" s="192"/>
    </row>
    <row r="38">
      <c r="A38" s="192" t="s">
        <v>87</v>
      </c>
      <c r="B38" s="295">
        <f>COUNTIF(PEDIDOS!D:D,A38)</f>
        <v>3</v>
      </c>
      <c r="C38" s="295">
        <f>IFERROR(AVERAGEIFS(KPI!G:G,KPI!C:C,A38,KPI!G:G,"&gt;"&amp;0,KPI!G:G,"&lt;"&amp;100),"")</f>
        <v>17</v>
      </c>
      <c r="D38" s="192"/>
      <c r="E38" s="192"/>
      <c r="F38" s="192"/>
      <c r="G38" s="192"/>
      <c r="H38" s="192"/>
      <c r="I38" s="192"/>
    </row>
    <row r="39">
      <c r="A39" s="192" t="s">
        <v>215</v>
      </c>
      <c r="B39" s="295">
        <f>COUNTIF(PEDIDOS!D:D,A39)</f>
        <v>2</v>
      </c>
      <c r="C39" s="295">
        <f>IFERROR(AVERAGEIFS(KPI!G:G,KPI!C:C,A39,KPI!G:G,"&gt;"&amp;0,KPI!G:G,"&lt;"&amp;100),"")</f>
        <v>7</v>
      </c>
      <c r="D39" s="192"/>
      <c r="E39" s="192"/>
      <c r="F39" s="192"/>
      <c r="G39" s="192"/>
      <c r="H39" s="192"/>
      <c r="I39" s="192"/>
    </row>
    <row r="40">
      <c r="A40" s="192" t="s">
        <v>158</v>
      </c>
      <c r="B40" s="295">
        <f>COUNTIF(PEDIDOS!D:D,A40)</f>
        <v>27</v>
      </c>
      <c r="C40" s="295">
        <f>IFERROR(AVERAGEIFS(KPI!G:G,KPI!C:C,A40,KPI!G:G,"&gt;"&amp;0,KPI!G:G,"&lt;"&amp;100),"")</f>
        <v>23.04</v>
      </c>
      <c r="D40" s="192"/>
      <c r="E40" s="192"/>
      <c r="F40" s="192"/>
      <c r="G40" s="192"/>
      <c r="H40" s="192"/>
      <c r="I40" s="192"/>
    </row>
    <row r="41">
      <c r="A41" s="192" t="s">
        <v>68</v>
      </c>
      <c r="B41" s="295">
        <f>COUNTIF(PEDIDOS!D:D,A41)</f>
        <v>17</v>
      </c>
      <c r="C41" s="295">
        <f>IFERROR(AVERAGEIFS(KPI!G:G,KPI!C:C,A41,KPI!G:G,"&gt;"&amp;0,KPI!G:G,"&lt;"&amp;100),"")</f>
        <v>46.83333333</v>
      </c>
      <c r="D41" s="192"/>
      <c r="E41" s="192"/>
      <c r="F41" s="192"/>
      <c r="G41" s="192"/>
      <c r="H41" s="192"/>
      <c r="I41" s="192"/>
    </row>
    <row r="42">
      <c r="A42" s="192" t="s">
        <v>143</v>
      </c>
      <c r="B42" s="295">
        <f>COUNTIF(PEDIDOS!D:D,A42)</f>
        <v>3</v>
      </c>
      <c r="C42" s="192">
        <f>IFERROR(AVERAGEIFS(KPI!G:G,KPI!C:C,A42,KPI!G:G,"&gt;"&amp;0,KPI!G:G,"&lt;"&amp;100),"")</f>
        <v>85</v>
      </c>
      <c r="D42" s="192"/>
      <c r="E42" s="192"/>
      <c r="F42" s="192"/>
      <c r="G42" s="192"/>
      <c r="H42" s="192"/>
      <c r="I42" s="192"/>
    </row>
    <row r="43">
      <c r="A43" s="192" t="s">
        <v>135</v>
      </c>
      <c r="B43" s="295">
        <f>COUNTIF(PEDIDOS!D:D,A43)</f>
        <v>3</v>
      </c>
      <c r="C43" s="295">
        <f>IFERROR(AVERAGEIFS(KPI!G:G,KPI!C:C,A43,KPI!G:G,"&gt;"&amp;0,KPI!G:G,"&lt;"&amp;100),"")</f>
        <v>18</v>
      </c>
      <c r="D43" s="192"/>
      <c r="E43" s="192"/>
      <c r="F43" s="192"/>
      <c r="G43" s="192"/>
      <c r="H43" s="192"/>
      <c r="I43" s="192"/>
    </row>
    <row r="44">
      <c r="A44" s="192" t="s">
        <v>10</v>
      </c>
      <c r="B44" s="295">
        <f>COUNTIF(PEDIDOS!D:D,A44)</f>
        <v>3</v>
      </c>
      <c r="C44" s="295">
        <f>IFERROR(AVERAGEIFS(KPI!G:G,KPI!C:C,A44,KPI!G:G,"&gt;"&amp;0,KPI!G:G,"&lt;"&amp;100),"")</f>
        <v>29.66666667</v>
      </c>
      <c r="D44" s="192"/>
      <c r="E44" s="192"/>
      <c r="F44" s="192"/>
      <c r="G44" s="192"/>
      <c r="H44" s="192"/>
      <c r="I44" s="192"/>
    </row>
    <row r="45">
      <c r="A45" s="192" t="s">
        <v>15</v>
      </c>
      <c r="B45" s="295">
        <f>COUNTIF(PEDIDOS!D:D,A45)</f>
        <v>60</v>
      </c>
      <c r="C45" s="295">
        <f>IFERROR(AVERAGEIFS(KPI!G:G,KPI!C:C,A45,KPI!G:G,"&gt;"&amp;0,KPI!G:G,"&lt;"&amp;100),"")</f>
        <v>25.15384615</v>
      </c>
      <c r="D45" s="192"/>
      <c r="E45" s="192"/>
      <c r="F45" s="192"/>
      <c r="G45" s="192"/>
      <c r="H45" s="192"/>
      <c r="I45" s="192"/>
    </row>
    <row r="46">
      <c r="A46" s="192" t="s">
        <v>313</v>
      </c>
      <c r="B46" s="295">
        <f>COUNTIF(PEDIDOS!D:D,A46)</f>
        <v>1</v>
      </c>
      <c r="C46" s="192">
        <f>IFERROR(AVERAGEIFS(KPI!G:G,KPI!C:C,A46,KPI!G:G,"&gt;"&amp;0,KPI!G:G,"&lt;"&amp;100),"")</f>
        <v>42</v>
      </c>
      <c r="D46" s="192"/>
      <c r="E46" s="192"/>
      <c r="F46" s="192"/>
      <c r="G46" s="192"/>
      <c r="H46" s="192"/>
      <c r="I46" s="192"/>
    </row>
    <row r="47">
      <c r="A47" s="192" t="s">
        <v>46</v>
      </c>
      <c r="B47" s="295">
        <f>COUNTIF(PEDIDOS!D:D,A47)</f>
        <v>5</v>
      </c>
      <c r="C47" s="295">
        <f>IFERROR(AVERAGEIFS(KPI!G:G,KPI!C:C,A47,KPI!G:G,"&gt;"&amp;0,KPI!G:G,"&lt;"&amp;100),"")</f>
        <v>35.25</v>
      </c>
      <c r="D47" s="192"/>
      <c r="E47" s="192"/>
      <c r="F47" s="192"/>
      <c r="G47" s="192"/>
      <c r="H47" s="192"/>
      <c r="I47" s="192"/>
    </row>
    <row r="48">
      <c r="A48" s="192" t="s">
        <v>22</v>
      </c>
      <c r="B48" s="295">
        <f>COUNTIF(PEDIDOS!D:D,A48)</f>
        <v>6</v>
      </c>
      <c r="C48" s="295">
        <f>IFERROR(AVERAGEIFS(KPI!G:G,KPI!C:C,A48,KPI!G:G,"&gt;"&amp;0,KPI!G:G,"&lt;"&amp;100),"")</f>
        <v>25.66666667</v>
      </c>
      <c r="D48" s="192"/>
      <c r="E48" s="192"/>
      <c r="F48" s="192"/>
      <c r="G48" s="192"/>
      <c r="H48" s="192"/>
      <c r="I48" s="192"/>
    </row>
    <row r="49">
      <c r="A49" s="297" t="s">
        <v>339</v>
      </c>
      <c r="B49" s="295">
        <f>COUNTIF(PEDIDOS!D:D,A49)</f>
        <v>1</v>
      </c>
      <c r="C49" s="295" t="str">
        <f>IFERROR(AVERAGEIFS(KPI!G:G,KPI!C:C,A49,KPI!G:G,"&gt;"&amp;0,KPI!G:G,"&lt;"&amp;100),"")</f>
        <v/>
      </c>
      <c r="D49" s="192"/>
      <c r="E49" s="192"/>
      <c r="F49" s="192"/>
      <c r="G49" s="192"/>
      <c r="H49" s="192"/>
      <c r="I49" s="19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2023-02-13T14:01:30Z</dcterms:created>
  <dc:creator>Agustina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