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E" sheetId="1" r:id="rId5"/>
  </sheets>
  <definedNames/>
  <calcPr/>
</workbook>
</file>

<file path=xl/sharedStrings.xml><?xml version="1.0" encoding="utf-8"?>
<sst xmlns="http://schemas.openxmlformats.org/spreadsheetml/2006/main" count="102" uniqueCount="80">
  <si>
    <t>OE</t>
  </si>
  <si>
    <t>PT</t>
  </si>
  <si>
    <t>SHAMPOO VITAMIN SHOCK</t>
  </si>
  <si>
    <t>Código</t>
  </si>
  <si>
    <t>Fecha</t>
  </si>
  <si>
    <t>Cant. Kg</t>
  </si>
  <si>
    <t>N° de Lote</t>
  </si>
  <si>
    <t>VIGENCIA</t>
  </si>
  <si>
    <t>Cliente: CAV</t>
  </si>
  <si>
    <t>Equipo calefactor N°:</t>
  </si>
  <si>
    <t xml:space="preserve">Envase cubica: </t>
  </si>
  <si>
    <t>MATERIA PRIMA</t>
  </si>
  <si>
    <t>CÓDIGO</t>
  </si>
  <si>
    <t>Fórmula %</t>
  </si>
  <si>
    <t>kg a pesar</t>
  </si>
  <si>
    <t>AJUSTE</t>
  </si>
  <si>
    <t>LOTE Nº</t>
  </si>
  <si>
    <t>MG ASCORBYL PHOSPHATE</t>
  </si>
  <si>
    <t>No sé agregan</t>
  </si>
  <si>
    <t>AGUA</t>
  </si>
  <si>
    <t>A</t>
  </si>
  <si>
    <t>BIOEXTRACT QUINOA HG</t>
  </si>
  <si>
    <t>ETOXILADO 25</t>
  </si>
  <si>
    <t>B</t>
  </si>
  <si>
    <t>BIOCAPIGEN VEG</t>
  </si>
  <si>
    <t>BETAINA</t>
  </si>
  <si>
    <t>PLANTAREN</t>
  </si>
  <si>
    <t>K24A27J121</t>
  </si>
  <si>
    <t>NACARANTE EN FRÍO</t>
  </si>
  <si>
    <t>D</t>
  </si>
  <si>
    <t>25472-J</t>
  </si>
  <si>
    <t>C</t>
  </si>
  <si>
    <t>SEPTOKILL</t>
  </si>
  <si>
    <t>PEG 6000</t>
  </si>
  <si>
    <t>M9994</t>
  </si>
  <si>
    <t>SAL</t>
  </si>
  <si>
    <t>CSP</t>
  </si>
  <si>
    <t>MAXILISS</t>
  </si>
  <si>
    <t xml:space="preserve">MAX-24D24 </t>
  </si>
  <si>
    <t>COMPERLAN</t>
  </si>
  <si>
    <t>M10749HS</t>
  </si>
  <si>
    <t>FRAGANCIA HI 44964 ADORE</t>
  </si>
  <si>
    <t>Total expresado en kg</t>
  </si>
  <si>
    <t>Firma:</t>
  </si>
  <si>
    <t xml:space="preserve">Cristian </t>
  </si>
  <si>
    <t>LIMPIEZA Equipo utilizado</t>
  </si>
  <si>
    <t>Retira muestras p/C.C.</t>
  </si>
  <si>
    <t>PROCEDIMIENTO DE ELABORACIÓN</t>
  </si>
  <si>
    <t>1- Pesar cada componente y registrar</t>
  </si>
  <si>
    <t>2- Calentar A con agitación lenta hasta lograr integracion completa de los componentes</t>
  </si>
  <si>
    <t>3- Retirar del calor y agregar B de a uno lentamente evitando la formación de espuma</t>
  </si>
  <si>
    <t>4- Incorporar C de a uno continuando con la agitación lenta</t>
  </si>
  <si>
    <t>5- En otro recipiente mezclar comperlan con la fragancia y agregarlo</t>
  </si>
  <si>
    <t>6- Agregar el nacarante y por último la sal hasta lograr viscosidad</t>
  </si>
  <si>
    <t>6- Por último agregar el nacarante y la sal hasta lograr la viscosidad</t>
  </si>
  <si>
    <t xml:space="preserve">7- Preparar CINCO (5) muestras moldeadas para Control de Calidad </t>
  </si>
  <si>
    <t>8- Mantener el Baño tapado hasta recibir los resultados del Laboratorio de C. C.</t>
  </si>
  <si>
    <t>Control de proceso:</t>
  </si>
  <si>
    <t>Fecha:</t>
  </si>
  <si>
    <t>Ensayo</t>
  </si>
  <si>
    <t>Especifica</t>
  </si>
  <si>
    <t>Resultados</t>
  </si>
  <si>
    <t>Aspecto:</t>
  </si>
  <si>
    <t>Homogéneo</t>
  </si>
  <si>
    <t>cumple</t>
  </si>
  <si>
    <t>Color:</t>
  </si>
  <si>
    <t>Caracteristico</t>
  </si>
  <si>
    <t>Olor:</t>
  </si>
  <si>
    <t>Cant real</t>
  </si>
  <si>
    <t>pH:</t>
  </si>
  <si>
    <t>Merma</t>
  </si>
  <si>
    <t>Viscosidad S64, 6 RPM, 25ºC (cPs)</t>
  </si>
  <si>
    <t>Cant obt.</t>
  </si>
  <si>
    <t>Control de calidad:</t>
  </si>
  <si>
    <t>Resultado</t>
  </si>
  <si>
    <t>Firma</t>
  </si>
  <si>
    <t>Análisis del granel</t>
  </si>
  <si>
    <t>Firma Producción</t>
  </si>
  <si>
    <t>Firma Control de Calidad</t>
  </si>
  <si>
    <t>Firma Dirección Técnica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</si>
</sst>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0.000"/>
    <numFmt numFmtId="166" formatCode="0.0"/>
    <numFmt numFmtId="167" formatCode="D/M/YYYY"/>
  </numFmts>
  <fonts count="31">
    <font>
      <sz val="10.0"/>
      <color rgb="FF000000"/>
      <name val="Arial"/>
      <scheme val="minor"/>
    </font>
    <font>
      <sz val="10.0"/>
      <color theme="1"/>
      <name val="Arial"/>
    </font>
    <font/>
    <font>
      <sz val="36.0"/>
      <color theme="1"/>
      <name val="Arial Black"/>
    </font>
    <font>
      <sz val="28.0"/>
      <color theme="1"/>
      <name val="Arial Black"/>
    </font>
    <font>
      <sz val="10.0"/>
      <color rgb="FF000000"/>
      <name val="Arial"/>
    </font>
    <font>
      <sz val="8.0"/>
      <color theme="1"/>
      <name val="Arial"/>
    </font>
    <font>
      <color theme="1"/>
      <name val="Arial"/>
    </font>
    <font>
      <b/>
      <sz val="10.0"/>
      <color theme="1"/>
      <name val="Arial"/>
    </font>
    <font>
      <b/>
      <i/>
      <sz val="10.0"/>
      <color rgb="FF0000FF"/>
      <name val="Arial"/>
    </font>
    <font>
      <b/>
      <sz val="14.0"/>
      <color rgb="FF0000FF"/>
      <name val="Arial"/>
    </font>
    <font>
      <b/>
      <sz val="12.0"/>
      <color rgb="FF0000FF"/>
      <name val="Arial"/>
    </font>
    <font>
      <b/>
      <sz val="17.0"/>
      <color rgb="FF000000"/>
      <name val="Arial"/>
    </font>
    <font>
      <sz val="12.0"/>
      <color theme="1"/>
      <name val="Arial"/>
    </font>
    <font>
      <b/>
      <sz val="10.0"/>
      <color rgb="FF0000FF"/>
      <name val="Arial"/>
    </font>
    <font>
      <b/>
      <sz val="11.0"/>
      <color theme="1"/>
      <name val="Arial"/>
    </font>
    <font>
      <sz val="23.0"/>
      <color theme="1"/>
      <name val="Arial"/>
    </font>
    <font>
      <b/>
      <sz val="13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i/>
      <sz val="12.0"/>
      <color theme="1"/>
      <name val="Arial"/>
    </font>
    <font>
      <b/>
      <i/>
      <sz val="11.0"/>
      <color theme="1"/>
      <name val="Arial"/>
    </font>
    <font>
      <sz val="11.0"/>
      <color theme="1"/>
      <name val="Arial"/>
    </font>
    <font>
      <b/>
      <sz val="10.0"/>
      <color theme="1"/>
      <name val="Arial Narrow"/>
    </font>
    <font>
      <sz val="7.0"/>
      <color theme="1"/>
      <name val="Arial"/>
    </font>
    <font>
      <b/>
      <sz val="9.0"/>
      <color theme="1"/>
      <name val="Arial Narrow"/>
    </font>
    <font>
      <b/>
      <i/>
      <sz val="10.0"/>
      <color theme="1"/>
      <name val="Arial"/>
    </font>
    <font>
      <i/>
      <sz val="11.0"/>
      <color theme="1"/>
      <name val="Arial Narrow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00">
    <border/>
    <border>
      <left style="thick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/>
      <top/>
      <bottom/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ck">
        <color rgb="FF000000"/>
      </right>
      <top/>
      <bottom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/>
      <bottom/>
    </border>
    <border>
      <top/>
      <bottom/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2" fontId="5" numFmtId="0" xfId="0" applyBorder="1" applyFill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7" fillId="0" fontId="6" numFmtId="0" xfId="0" applyAlignment="1" applyBorder="1" applyFont="1">
      <alignment vertical="center"/>
    </xf>
    <xf borderId="10" fillId="0" fontId="7" numFmtId="0" xfId="0" applyBorder="1" applyFont="1"/>
    <xf borderId="0" fillId="0" fontId="8" numFmtId="0" xfId="0" applyAlignment="1" applyFont="1">
      <alignment horizontal="center" vertical="center"/>
    </xf>
    <xf borderId="16" fillId="0" fontId="9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vertical="center"/>
    </xf>
    <xf borderId="6" fillId="2" fontId="8" numFmtId="0" xfId="0" applyBorder="1" applyFont="1"/>
    <xf borderId="0" fillId="0" fontId="8" numFmtId="0" xfId="0" applyFont="1"/>
    <xf borderId="21" fillId="0" fontId="2" numFmtId="0" xfId="0" applyBorder="1" applyFont="1"/>
    <xf borderId="22" fillId="0" fontId="10" numFmtId="0" xfId="0" applyAlignment="1" applyBorder="1" applyFont="1">
      <alignment horizontal="center" vertical="center"/>
    </xf>
    <xf borderId="23" fillId="0" fontId="11" numFmtId="164" xfId="0" applyAlignment="1" applyBorder="1" applyFont="1" applyNumberFormat="1">
      <alignment horizontal="center" shrinkToFit="0" vertical="center" wrapText="1"/>
    </xf>
    <xf borderId="24" fillId="0" fontId="10" numFmtId="0" xfId="0" applyAlignment="1" applyBorder="1" applyFont="1">
      <alignment horizontal="center" readingOrder="0" vertical="center"/>
    </xf>
    <xf borderId="24" fillId="0" fontId="10" numFmtId="49" xfId="0" applyAlignment="1" applyBorder="1" applyFont="1" applyNumberFormat="1">
      <alignment horizontal="center" vertical="center"/>
    </xf>
    <xf borderId="25" fillId="0" fontId="10" numFmtId="164" xfId="0" applyAlignment="1" applyBorder="1" applyFont="1" applyNumberFormat="1">
      <alignment horizontal="center" vertical="center"/>
    </xf>
    <xf borderId="6" fillId="2" fontId="12" numFmtId="0" xfId="0" applyAlignment="1" applyBorder="1" applyFont="1">
      <alignment horizontal="center"/>
    </xf>
    <xf borderId="0" fillId="0" fontId="13" numFmtId="0" xfId="0" applyFont="1"/>
    <xf borderId="0" fillId="0" fontId="7" numFmtId="0" xfId="0" applyFont="1"/>
    <xf borderId="26" fillId="0" fontId="1" numFmtId="0" xfId="0" applyAlignment="1" applyBorder="1" applyFont="1">
      <alignment vertical="center"/>
    </xf>
    <xf borderId="27" fillId="2" fontId="14" numFmtId="164" xfId="0" applyAlignment="1" applyBorder="1" applyFont="1" applyNumberFormat="1">
      <alignment horizontal="center" vertical="center"/>
    </xf>
    <xf borderId="28" fillId="0" fontId="15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16" numFmtId="0" xfId="0" applyAlignment="1" applyBorder="1" applyFont="1">
      <alignment horizontal="center"/>
    </xf>
    <xf borderId="31" fillId="2" fontId="1" numFmtId="0" xfId="0" applyBorder="1" applyFont="1"/>
    <xf borderId="6" fillId="2" fontId="1" numFmtId="0" xfId="0" applyBorder="1" applyFont="1"/>
    <xf borderId="0" fillId="0" fontId="1" numFmtId="0" xfId="0" applyFont="1"/>
    <xf borderId="26" fillId="0" fontId="5" numFmtId="0" xfId="0" applyBorder="1" applyFont="1"/>
    <xf borderId="27" fillId="2" fontId="5" numFmtId="0" xfId="0" applyBorder="1" applyFont="1"/>
    <xf borderId="32" fillId="0" fontId="2" numFmtId="0" xfId="0" applyBorder="1" applyFont="1"/>
    <xf borderId="33" fillId="0" fontId="2" numFmtId="0" xfId="0" applyBorder="1" applyFont="1"/>
    <xf borderId="31" fillId="2" fontId="17" numFmtId="0" xfId="0" applyAlignment="1" applyBorder="1" applyFont="1">
      <alignment horizontal="center"/>
    </xf>
    <xf borderId="34" fillId="2" fontId="5" numFmtId="0" xfId="0" applyBorder="1" applyFont="1"/>
    <xf borderId="27" fillId="2" fontId="8" numFmtId="0" xfId="0" applyAlignment="1" applyBorder="1" applyFont="1">
      <alignment vertical="center"/>
    </xf>
    <xf borderId="27" fillId="2" fontId="1" numFmtId="0" xfId="0" applyBorder="1" applyFont="1"/>
    <xf borderId="31" fillId="2" fontId="5" numFmtId="0" xfId="0" applyBorder="1" applyFont="1"/>
    <xf borderId="34" fillId="2" fontId="1" numFmtId="0" xfId="0" applyAlignment="1" applyBorder="1" applyFont="1">
      <alignment vertical="center"/>
    </xf>
    <xf borderId="27" fillId="2" fontId="1" numFmtId="0" xfId="0" applyAlignment="1" applyBorder="1" applyFont="1">
      <alignment vertical="center"/>
    </xf>
    <xf borderId="27" fillId="2" fontId="1" numFmtId="0" xfId="0" applyAlignment="1" applyBorder="1" applyFont="1">
      <alignment horizontal="center" vertical="center"/>
    </xf>
    <xf borderId="2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center" vertical="center"/>
    </xf>
    <xf borderId="36" fillId="3" fontId="19" numFmtId="0" xfId="0" applyAlignment="1" applyBorder="1" applyFill="1" applyFont="1">
      <alignment horizontal="center" vertical="center"/>
    </xf>
    <xf borderId="37" fillId="0" fontId="18" numFmtId="0" xfId="0" applyAlignment="1" applyBorder="1" applyFont="1">
      <alignment horizontal="center" vertical="center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38" fillId="0" fontId="15" numFmtId="0" xfId="0" applyAlignment="1" applyBorder="1" applyFont="1">
      <alignment horizontal="left" vertical="center"/>
    </xf>
    <xf borderId="39" fillId="0" fontId="15" numFmtId="165" xfId="0" applyAlignment="1" applyBorder="1" applyFont="1" applyNumberFormat="1">
      <alignment horizontal="center" vertical="center"/>
    </xf>
    <xf borderId="40" fillId="0" fontId="15" numFmtId="2" xfId="0" applyAlignment="1" applyBorder="1" applyFont="1" applyNumberFormat="1">
      <alignment horizontal="center" vertical="center"/>
    </xf>
    <xf borderId="39" fillId="0" fontId="15" numFmtId="2" xfId="0" applyAlignment="1" applyBorder="1" applyFont="1" applyNumberFormat="1">
      <alignment horizontal="center" vertical="center"/>
    </xf>
    <xf borderId="39" fillId="0" fontId="1" numFmtId="0" xfId="0" applyAlignment="1" applyBorder="1" applyFont="1">
      <alignment readingOrder="0" vertical="center"/>
    </xf>
    <xf borderId="41" fillId="0" fontId="1" numFmtId="0" xfId="0" applyAlignment="1" applyBorder="1" applyFont="1">
      <alignment horizontal="center" vertical="center"/>
    </xf>
    <xf borderId="42" fillId="0" fontId="15" numFmtId="0" xfId="0" applyAlignment="1" applyBorder="1" applyFont="1">
      <alignment horizontal="left" vertical="center"/>
    </xf>
    <xf borderId="43" fillId="0" fontId="15" numFmtId="165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readingOrder="0" vertical="center"/>
    </xf>
    <xf borderId="41" fillId="0" fontId="1" numFmtId="0" xfId="0" applyAlignment="1" applyBorder="1" applyFont="1">
      <alignment horizontal="center" readingOrder="0" vertical="center"/>
    </xf>
    <xf borderId="41" fillId="0" fontId="13" numFmtId="0" xfId="0" applyAlignment="1" applyBorder="1" applyFont="1">
      <alignment horizontal="center" readingOrder="0" vertical="center"/>
    </xf>
    <xf borderId="43" fillId="0" fontId="1" numFmtId="0" xfId="0" applyAlignment="1" applyBorder="1" applyFont="1">
      <alignment vertical="center"/>
    </xf>
    <xf borderId="0" fillId="0" fontId="5" numFmtId="0" xfId="0" applyFont="1"/>
    <xf borderId="44" fillId="0" fontId="15" numFmtId="0" xfId="0" applyAlignment="1" applyBorder="1" applyFont="1">
      <alignment horizontal="left" readingOrder="0" vertical="center"/>
    </xf>
    <xf borderId="45" fillId="0" fontId="2" numFmtId="0" xfId="0" applyBorder="1" applyFont="1"/>
    <xf borderId="46" fillId="0" fontId="2" numFmtId="0" xfId="0" applyBorder="1" applyFont="1"/>
    <xf borderId="47" fillId="2" fontId="7" numFmtId="0" xfId="0" applyAlignment="1" applyBorder="1" applyFont="1">
      <alignment horizontal="center" readingOrder="0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7" fillId="0" fontId="22" numFmtId="0" xfId="0" applyAlignment="1" applyBorder="1" applyFont="1">
      <alignment horizontal="center" vertical="center"/>
    </xf>
    <xf borderId="52" fillId="4" fontId="15" numFmtId="166" xfId="0" applyAlignment="1" applyBorder="1" applyFill="1" applyFont="1" applyNumberFormat="1">
      <alignment horizontal="center" vertical="center"/>
    </xf>
    <xf borderId="53" fillId="0" fontId="23" numFmtId="1" xfId="0" applyAlignment="1" applyBorder="1" applyFont="1" applyNumberFormat="1">
      <alignment horizontal="center" vertical="center"/>
    </xf>
    <xf borderId="54" fillId="0" fontId="24" numFmtId="1" xfId="0" applyAlignment="1" applyBorder="1" applyFont="1" applyNumberForma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0" fontId="1" numFmtId="0" xfId="0" applyAlignment="1" applyBorder="1" applyFont="1">
      <alignment readingOrder="0"/>
    </xf>
    <xf borderId="27" fillId="2" fontId="1" numFmtId="0" xfId="0" applyAlignment="1" applyBorder="1" applyFont="1">
      <alignment horizontal="center"/>
    </xf>
    <xf borderId="58" fillId="0" fontId="25" numFmtId="0" xfId="0" applyAlignment="1" applyBorder="1" applyFont="1">
      <alignment horizontal="center" vertical="center"/>
    </xf>
    <xf borderId="59" fillId="0" fontId="26" numFmtId="0" xfId="0" applyAlignment="1" applyBorder="1" applyFont="1">
      <alignment horizontal="center" readingOrder="0"/>
    </xf>
    <xf borderId="60" fillId="0" fontId="2" numFmtId="0" xfId="0" applyBorder="1" applyFont="1"/>
    <xf borderId="61" fillId="0" fontId="27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7" fillId="0" fontId="1" numFmtId="0" xfId="0" applyAlignment="1" applyBorder="1" applyFont="1">
      <alignment horizontal="center" vertical="center"/>
    </xf>
    <xf borderId="0" fillId="0" fontId="1" numFmtId="167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0" fillId="0" fontId="1" numFmtId="0" xfId="0" applyBorder="1" applyFont="1"/>
    <xf borderId="62" fillId="3" fontId="28" numFmtId="0" xfId="0" applyAlignment="1" applyBorder="1" applyFont="1">
      <alignment horizontal="center" vertical="center"/>
    </xf>
    <xf borderId="63" fillId="0" fontId="2" numFmtId="0" xfId="0" applyBorder="1" applyFont="1"/>
    <xf borderId="64" fillId="0" fontId="29" numFmtId="0" xfId="0" applyAlignment="1" applyBorder="1" applyFont="1">
      <alignment horizontal="left" vertical="center"/>
    </xf>
    <xf borderId="65" fillId="0" fontId="2" numFmtId="0" xfId="0" applyBorder="1" applyFont="1"/>
    <xf borderId="66" fillId="0" fontId="2" numFmtId="0" xfId="0" applyBorder="1" applyFont="1"/>
    <xf borderId="67" fillId="0" fontId="29" numFmtId="0" xfId="0" applyAlignment="1" applyBorder="1" applyFont="1">
      <alignment horizontal="left" vertical="center"/>
    </xf>
    <xf borderId="68" fillId="0" fontId="2" numFmtId="0" xfId="0" applyBorder="1" applyFont="1"/>
    <xf borderId="69" fillId="0" fontId="2" numFmtId="0" xfId="0" applyBorder="1" applyFont="1"/>
    <xf borderId="0" fillId="0" fontId="30" numFmtId="0" xfId="0" applyAlignment="1" applyFont="1">
      <alignment vertical="center"/>
    </xf>
    <xf borderId="44" fillId="0" fontId="29" numFmtId="0" xfId="0" applyAlignment="1" applyBorder="1" applyFont="1">
      <alignment horizontal="left" vertical="center"/>
    </xf>
    <xf borderId="70" fillId="0" fontId="2" numFmtId="0" xfId="0" applyBorder="1" applyFont="1"/>
    <xf borderId="71" fillId="0" fontId="30" numFmtId="0" xfId="0" applyAlignment="1" applyBorder="1" applyFont="1">
      <alignment horizontal="left" vertical="center"/>
    </xf>
    <xf borderId="72" fillId="0" fontId="2" numFmtId="0" xfId="0" applyBorder="1" applyFont="1"/>
    <xf borderId="6" fillId="2" fontId="1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13" numFmtId="0" xfId="0" applyAlignment="1" applyFont="1">
      <alignment vertical="center"/>
    </xf>
    <xf borderId="73" fillId="0" fontId="24" numFmtId="0" xfId="0" applyAlignment="1" applyBorder="1" applyFont="1">
      <alignment horizontal="left" vertical="center"/>
    </xf>
    <xf borderId="27" fillId="2" fontId="13" numFmtId="0" xfId="0" applyAlignment="1" applyBorder="1" applyFont="1">
      <alignment vertical="center"/>
    </xf>
    <xf borderId="31" fillId="2" fontId="13" numFmtId="0" xfId="0" applyAlignment="1" applyBorder="1" applyFont="1">
      <alignment vertical="center"/>
    </xf>
    <xf borderId="71" fillId="0" fontId="24" numFmtId="0" xfId="0" applyAlignment="1" applyBorder="1" applyFont="1">
      <alignment horizontal="center" vertical="center"/>
    </xf>
    <xf borderId="60" fillId="0" fontId="24" numFmtId="0" xfId="0" applyAlignment="1" applyBorder="1" applyFont="1">
      <alignment horizontal="center" vertical="center"/>
    </xf>
    <xf quotePrefix="1" borderId="59" fillId="0" fontId="24" numFmtId="0" xfId="0" applyAlignment="1" applyBorder="1" applyFont="1">
      <alignment horizontal="center" vertical="center"/>
    </xf>
    <xf borderId="74" fillId="0" fontId="24" numFmtId="0" xfId="0" applyAlignment="1" applyBorder="1" applyFont="1">
      <alignment horizontal="center" vertical="center"/>
    </xf>
    <xf borderId="27" fillId="2" fontId="24" numFmtId="0" xfId="0" applyAlignment="1" applyBorder="1" applyFont="1">
      <alignment vertical="center"/>
    </xf>
    <xf borderId="64" fillId="0" fontId="24" numFmtId="0" xfId="0" applyAlignment="1" applyBorder="1" applyFont="1">
      <alignment horizontal="left" vertical="center"/>
    </xf>
    <xf borderId="75" fillId="0" fontId="2" numFmtId="0" xfId="0" applyBorder="1" applyFont="1"/>
    <xf borderId="40" fillId="0" fontId="1" numFmtId="0" xfId="0" applyAlignment="1" applyBorder="1" applyFont="1">
      <alignment horizontal="center" shrinkToFit="0" vertical="center" wrapText="1"/>
    </xf>
    <xf borderId="17" fillId="0" fontId="22" numFmtId="0" xfId="0" applyAlignment="1" applyBorder="1" applyFont="1">
      <alignment horizontal="left" vertical="center"/>
    </xf>
    <xf borderId="27" fillId="2" fontId="24" numFmtId="0" xfId="0" applyAlignment="1" applyBorder="1" applyFont="1">
      <alignment horizontal="left" vertical="center"/>
    </xf>
    <xf borderId="67" fillId="0" fontId="24" numFmtId="0" xfId="0" applyAlignment="1" applyBorder="1" applyFont="1">
      <alignment horizontal="left" vertical="center"/>
    </xf>
    <xf borderId="76" fillId="0" fontId="2" numFmtId="0" xfId="0" applyBorder="1" applyFont="1"/>
    <xf borderId="40" fillId="0" fontId="1" numFmtId="0" xfId="0" applyAlignment="1" applyBorder="1" applyFont="1">
      <alignment horizontal="center" vertical="center"/>
    </xf>
    <xf borderId="27" fillId="2" fontId="13" numFmtId="0" xfId="0" applyAlignment="1" applyBorder="1" applyFont="1">
      <alignment horizontal="left" vertical="center"/>
    </xf>
    <xf borderId="31" fillId="2" fontId="30" numFmtId="0" xfId="0" applyAlignment="1" applyBorder="1" applyFont="1">
      <alignment horizontal="left" vertical="center"/>
    </xf>
    <xf borderId="6" fillId="2" fontId="5" numFmtId="0" xfId="0" applyAlignment="1" applyBorder="1" applyFont="1">
      <alignment vertical="center"/>
    </xf>
    <xf borderId="0" fillId="0" fontId="30" numFmtId="0" xfId="0" applyAlignment="1" applyFont="1">
      <alignment horizontal="left" vertical="center"/>
    </xf>
    <xf borderId="77" fillId="0" fontId="24" numFmtId="0" xfId="0" applyAlignment="1" applyBorder="1" applyFont="1">
      <alignment vertical="center"/>
    </xf>
    <xf borderId="78" fillId="0" fontId="24" numFmtId="0" xfId="0" applyAlignment="1" applyBorder="1" applyFont="1">
      <alignment vertical="center"/>
    </xf>
    <xf borderId="0" fillId="0" fontId="24" numFmtId="0" xfId="0" applyAlignment="1" applyFont="1">
      <alignment horizontal="center" vertical="center"/>
    </xf>
    <xf borderId="79" fillId="0" fontId="13" numFmtId="0" xfId="0" applyAlignment="1" applyBorder="1" applyFont="1">
      <alignment horizontal="left" readingOrder="0" vertical="center"/>
    </xf>
    <xf borderId="80" fillId="0" fontId="5" numFmtId="0" xfId="0" applyBorder="1" applyFont="1"/>
    <xf borderId="81" fillId="0" fontId="24" numFmtId="9" xfId="0" applyAlignment="1" applyBorder="1" applyFont="1" applyNumberFormat="1">
      <alignment horizontal="right" vertical="center"/>
    </xf>
    <xf borderId="0" fillId="0" fontId="5" numFmtId="0" xfId="0" applyAlignment="1" applyFont="1">
      <alignment horizontal="right" vertical="center"/>
    </xf>
    <xf borderId="82" fillId="0" fontId="24" numFmtId="0" xfId="0" applyAlignment="1" applyBorder="1" applyFont="1">
      <alignment horizontal="left" shrinkToFit="0" vertical="center" wrapText="1"/>
    </xf>
    <xf borderId="83" fillId="0" fontId="24" numFmtId="0" xfId="0" applyAlignment="1" applyBorder="1" applyFont="1">
      <alignment horizontal="center" shrinkToFit="0" vertical="center" wrapText="1"/>
    </xf>
    <xf borderId="61" fillId="0" fontId="24" numFmtId="0" xfId="0" applyAlignment="1" applyBorder="1" applyFont="1">
      <alignment vertical="center"/>
    </xf>
    <xf borderId="84" fillId="0" fontId="24" numFmtId="0" xfId="0" applyAlignment="1" applyBorder="1" applyFont="1">
      <alignment horizontal="left" vertical="center"/>
    </xf>
    <xf borderId="38" fillId="0" fontId="2" numFmtId="0" xfId="0" applyBorder="1" applyFont="1"/>
    <xf borderId="39" fillId="0" fontId="2" numFmtId="0" xfId="0" applyBorder="1" applyFont="1"/>
    <xf borderId="85" fillId="0" fontId="24" numFmtId="0" xfId="0" applyAlignment="1" applyBorder="1" applyFont="1">
      <alignment vertical="center"/>
    </xf>
    <xf borderId="86" fillId="0" fontId="24" numFmtId="0" xfId="0" applyAlignment="1" applyBorder="1" applyFont="1">
      <alignment horizontal="left" vertical="center"/>
    </xf>
    <xf borderId="7" fillId="0" fontId="30" numFmtId="0" xfId="0" applyAlignment="1" applyBorder="1" applyFont="1">
      <alignment horizontal="left" vertical="center"/>
    </xf>
    <xf borderId="26" fillId="0" fontId="24" numFmtId="0" xfId="0" applyAlignment="1" applyBorder="1" applyFont="1">
      <alignment horizontal="center" vertical="center"/>
    </xf>
    <xf borderId="87" fillId="0" fontId="24" numFmtId="0" xfId="0" applyAlignment="1" applyBorder="1" applyFont="1">
      <alignment horizontal="center" vertical="center"/>
    </xf>
    <xf borderId="88" fillId="0" fontId="2" numFmtId="0" xfId="0" applyBorder="1" applyFont="1"/>
    <xf borderId="35" fillId="0" fontId="24" numFmtId="0" xfId="0" applyAlignment="1" applyBorder="1" applyFont="1">
      <alignment horizontal="center" vertical="center"/>
    </xf>
    <xf borderId="87" fillId="0" fontId="13" numFmtId="0" xfId="0" applyAlignment="1" applyBorder="1" applyFont="1">
      <alignment horizontal="center" vertical="center"/>
    </xf>
    <xf borderId="35" fillId="0" fontId="13" numFmtId="0" xfId="0" applyAlignment="1" applyBorder="1" applyFont="1">
      <alignment vertical="center"/>
    </xf>
    <xf borderId="89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27" fillId="4" fontId="24" numFmtId="0" xfId="0" applyAlignment="1" applyBorder="1" applyFont="1">
      <alignment horizontal="left" vertical="center"/>
    </xf>
    <xf borderId="27" fillId="4" fontId="5" numFmtId="0" xfId="0" applyAlignment="1" applyBorder="1" applyFont="1">
      <alignment vertical="center"/>
    </xf>
    <xf borderId="27" fillId="4" fontId="1" numFmtId="0" xfId="0" applyAlignment="1" applyBorder="1" applyFont="1">
      <alignment horizontal="left" vertical="center"/>
    </xf>
    <xf borderId="27" fillId="4" fontId="1" numFmtId="0" xfId="0" applyAlignment="1" applyBorder="1" applyFont="1">
      <alignment vertical="center"/>
    </xf>
    <xf borderId="7" fillId="0" fontId="24" numFmtId="0" xfId="0" applyAlignment="1" applyBorder="1" applyFont="1">
      <alignment horizontal="center" vertical="center"/>
    </xf>
    <xf borderId="27" fillId="2" fontId="13" numFmtId="0" xfId="0" applyAlignment="1" applyBorder="1" applyFont="1">
      <alignment horizontal="center" vertical="center"/>
    </xf>
    <xf borderId="31" fillId="2" fontId="1" numFmtId="0" xfId="0" applyAlignment="1" applyBorder="1" applyFont="1">
      <alignment vertical="center"/>
    </xf>
    <xf quotePrefix="1" borderId="26" fillId="0" fontId="24" numFmtId="0" xfId="0" applyAlignment="1" applyBorder="1" applyFont="1">
      <alignment horizontal="left" vertical="center"/>
    </xf>
    <xf borderId="27" fillId="2" fontId="13" numFmtId="0" xfId="0" applyAlignment="1" applyBorder="1" applyFont="1">
      <alignment horizontal="right" vertical="center"/>
    </xf>
    <xf borderId="27" fillId="4" fontId="1" numFmtId="0" xfId="0" applyAlignment="1" applyBorder="1" applyFont="1">
      <alignment horizontal="right" vertical="center"/>
    </xf>
    <xf borderId="26" fillId="0" fontId="30" numFmtId="0" xfId="0" applyAlignment="1" applyBorder="1" applyFont="1">
      <alignment horizontal="center" vertical="center"/>
    </xf>
    <xf borderId="87" fillId="0" fontId="30" numFmtId="0" xfId="0" applyAlignment="1" applyBorder="1" applyFont="1">
      <alignment horizontal="center" vertical="center"/>
    </xf>
    <xf borderId="87" fillId="4" fontId="30" numFmtId="0" xfId="0" applyAlignment="1" applyBorder="1" applyFont="1">
      <alignment horizontal="center" vertical="center"/>
    </xf>
    <xf borderId="90" fillId="0" fontId="13" numFmtId="0" xfId="0" applyAlignment="1" applyBorder="1" applyFont="1">
      <alignment horizontal="center" vertical="center"/>
    </xf>
    <xf borderId="28" fillId="0" fontId="13" numFmtId="0" xfId="0" applyAlignment="1" applyBorder="1" applyFont="1">
      <alignment horizontal="center" vertical="center"/>
    </xf>
    <xf borderId="91" fillId="0" fontId="2" numFmtId="0" xfId="0" applyBorder="1" applyFont="1"/>
    <xf borderId="92" fillId="0" fontId="2" numFmtId="0" xfId="0" applyBorder="1" applyFont="1"/>
    <xf borderId="93" fillId="0" fontId="2" numFmtId="0" xfId="0" applyBorder="1" applyFont="1"/>
    <xf borderId="94" fillId="0" fontId="2" numFmtId="0" xfId="0" applyBorder="1" applyFont="1"/>
    <xf borderId="95" fillId="0" fontId="2" numFmtId="0" xfId="0" applyBorder="1" applyFont="1"/>
    <xf borderId="96" fillId="0" fontId="2" numFmtId="0" xfId="0" applyBorder="1" applyFont="1"/>
    <xf borderId="97" fillId="0" fontId="2" numFmtId="0" xfId="0" applyBorder="1" applyFont="1"/>
    <xf borderId="98" fillId="0" fontId="2" numFmtId="0" xfId="0" applyBorder="1" applyFont="1"/>
    <xf borderId="99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9525</xdr:rowOff>
    </xdr:from>
    <xdr:ext cx="2257425" cy="714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31.88"/>
    <col customWidth="1" min="3" max="3" width="9.13"/>
    <col customWidth="1" min="5" max="5" width="12.13"/>
    <col customWidth="1" min="6" max="6" width="12.0"/>
    <col customWidth="1" min="7" max="7" width="18.38"/>
    <col customWidth="1" min="8" max="26" width="10.0"/>
  </cols>
  <sheetData>
    <row r="1" ht="12.75" customHeight="1">
      <c r="A1" s="1"/>
      <c r="B1" s="2"/>
      <c r="C1" s="3"/>
      <c r="D1" s="4" t="s">
        <v>0</v>
      </c>
      <c r="E1" s="3"/>
      <c r="F1" s="5" t="s">
        <v>1</v>
      </c>
      <c r="G1" s="6"/>
      <c r="H1" s="7"/>
    </row>
    <row r="2" ht="12.75" customHeight="1">
      <c r="A2" s="1"/>
      <c r="B2" s="8"/>
      <c r="C2" s="9"/>
      <c r="E2" s="9"/>
      <c r="F2" s="10"/>
      <c r="G2" s="11"/>
      <c r="H2" s="7"/>
    </row>
    <row r="3" ht="12.75" customHeight="1">
      <c r="A3" s="1"/>
      <c r="B3" s="8"/>
      <c r="C3" s="9"/>
      <c r="E3" s="9"/>
      <c r="F3" s="10"/>
      <c r="G3" s="11"/>
      <c r="H3" s="7"/>
    </row>
    <row r="4" ht="23.25" customHeight="1">
      <c r="A4" s="1"/>
      <c r="B4" s="12"/>
      <c r="C4" s="13"/>
      <c r="D4" s="14"/>
      <c r="E4" s="13"/>
      <c r="F4" s="15"/>
      <c r="G4" s="16"/>
      <c r="H4" s="7"/>
    </row>
    <row r="5" ht="6.75" customHeight="1">
      <c r="A5" s="1"/>
      <c r="B5" s="17"/>
      <c r="C5" s="1"/>
      <c r="D5" s="1"/>
      <c r="E5" s="1"/>
      <c r="G5" s="18"/>
      <c r="H5" s="7"/>
    </row>
    <row r="6" ht="15.0" customHeight="1">
      <c r="A6" s="19"/>
      <c r="B6" s="20" t="s">
        <v>2</v>
      </c>
      <c r="C6" s="21" t="s">
        <v>3</v>
      </c>
      <c r="D6" s="22" t="s">
        <v>4</v>
      </c>
      <c r="E6" s="23" t="s">
        <v>5</v>
      </c>
      <c r="F6" s="24" t="s">
        <v>6</v>
      </c>
      <c r="G6" s="25" t="s">
        <v>7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0.25" customHeight="1">
      <c r="A7" s="1"/>
      <c r="B7" s="28"/>
      <c r="C7" s="29"/>
      <c r="D7" s="30"/>
      <c r="E7" s="31">
        <v>154.0</v>
      </c>
      <c r="F7" s="32"/>
      <c r="G7" s="33"/>
      <c r="H7" s="34"/>
      <c r="J7" s="35"/>
      <c r="K7" s="36">
        <f>1000*0.4+350*0.9</f>
        <v>715</v>
      </c>
    </row>
    <row r="8" ht="13.5" customHeight="1">
      <c r="A8" s="1"/>
      <c r="B8" s="37" t="s">
        <v>8</v>
      </c>
      <c r="C8" s="38"/>
      <c r="D8" s="39" t="s">
        <v>9</v>
      </c>
      <c r="E8" s="40"/>
      <c r="F8" s="41"/>
      <c r="G8" s="42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5.75" customHeight="1">
      <c r="A9" s="1"/>
      <c r="B9" s="45" t="s">
        <v>10</v>
      </c>
      <c r="C9" s="46"/>
      <c r="D9" s="15"/>
      <c r="E9" s="47"/>
      <c r="F9" s="48"/>
      <c r="G9" s="49"/>
      <c r="H9" s="7"/>
      <c r="J9" s="35"/>
    </row>
    <row r="10" ht="6.75" customHeight="1">
      <c r="A10" s="1"/>
      <c r="B10" s="50"/>
      <c r="C10" s="46"/>
      <c r="D10" s="51"/>
      <c r="E10" s="51"/>
      <c r="F10" s="52"/>
      <c r="G10" s="53"/>
      <c r="H10" s="7"/>
      <c r="J10" s="35"/>
    </row>
    <row r="11" ht="4.5" customHeight="1">
      <c r="A11" s="1"/>
      <c r="B11" s="54"/>
      <c r="C11" s="55"/>
      <c r="D11" s="56"/>
      <c r="E11" s="55"/>
      <c r="F11" s="52"/>
      <c r="G11" s="42"/>
      <c r="H11" s="43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9.5" customHeight="1">
      <c r="A12" s="19"/>
      <c r="B12" s="57" t="s">
        <v>11</v>
      </c>
      <c r="C12" s="58" t="s">
        <v>12</v>
      </c>
      <c r="D12" s="58" t="s">
        <v>13</v>
      </c>
      <c r="E12" s="59" t="s">
        <v>14</v>
      </c>
      <c r="F12" s="58" t="s">
        <v>15</v>
      </c>
      <c r="G12" s="60" t="s">
        <v>16</v>
      </c>
      <c r="H12" s="7"/>
      <c r="I12" s="61" t="s">
        <v>17</v>
      </c>
      <c r="M12" s="62" t="s">
        <v>18</v>
      </c>
    </row>
    <row r="13" ht="18.75" customHeight="1">
      <c r="A13" s="1"/>
      <c r="B13" s="63" t="s">
        <v>19</v>
      </c>
      <c r="C13" s="64" t="s">
        <v>20</v>
      </c>
      <c r="D13" s="65">
        <v>47.8</v>
      </c>
      <c r="E13" s="66">
        <f t="shared" ref="E13:E21" si="1">($E$7*D13)%</f>
        <v>73.612</v>
      </c>
      <c r="F13" s="67">
        <v>75.0</v>
      </c>
      <c r="G13" s="68"/>
      <c r="H13" s="7"/>
      <c r="I13" s="61" t="s">
        <v>21</v>
      </c>
    </row>
    <row r="14" ht="18.75" customHeight="1">
      <c r="A14" s="1"/>
      <c r="B14" s="69" t="s">
        <v>22</v>
      </c>
      <c r="C14" s="70" t="s">
        <v>23</v>
      </c>
      <c r="D14" s="65">
        <v>36.0</v>
      </c>
      <c r="E14" s="66">
        <f t="shared" si="1"/>
        <v>55.44</v>
      </c>
      <c r="F14" s="71">
        <v>55.5</v>
      </c>
      <c r="G14" s="68"/>
      <c r="H14" s="7"/>
      <c r="I14" s="61" t="s">
        <v>24</v>
      </c>
    </row>
    <row r="15" ht="18.75" customHeight="1">
      <c r="A15" s="1"/>
      <c r="B15" s="69" t="s">
        <v>25</v>
      </c>
      <c r="C15" s="70" t="s">
        <v>23</v>
      </c>
      <c r="D15" s="65">
        <v>8.0</v>
      </c>
      <c r="E15" s="66">
        <f t="shared" si="1"/>
        <v>12.32</v>
      </c>
      <c r="F15" s="71">
        <v>12.3</v>
      </c>
      <c r="G15" s="72">
        <v>2606003.0</v>
      </c>
      <c r="H15" s="7"/>
    </row>
    <row r="16" ht="18.75" customHeight="1">
      <c r="A16" s="1"/>
      <c r="B16" s="69" t="s">
        <v>26</v>
      </c>
      <c r="C16" s="70" t="s">
        <v>20</v>
      </c>
      <c r="D16" s="65">
        <v>2.0</v>
      </c>
      <c r="E16" s="66">
        <f t="shared" si="1"/>
        <v>3.08</v>
      </c>
      <c r="F16" s="71">
        <v>3.1</v>
      </c>
      <c r="G16" s="72" t="s">
        <v>27</v>
      </c>
      <c r="H16" s="7"/>
    </row>
    <row r="17" ht="18.75" customHeight="1">
      <c r="A17" s="1"/>
      <c r="B17" s="69" t="s">
        <v>28</v>
      </c>
      <c r="C17" s="70" t="s">
        <v>29</v>
      </c>
      <c r="D17" s="65">
        <v>2.0</v>
      </c>
      <c r="E17" s="66">
        <f t="shared" si="1"/>
        <v>3.08</v>
      </c>
      <c r="F17" s="71">
        <v>3.1</v>
      </c>
      <c r="G17" s="73" t="s">
        <v>30</v>
      </c>
      <c r="H17" s="7"/>
    </row>
    <row r="18" ht="18.75" customHeight="1">
      <c r="A18" s="1"/>
      <c r="B18" s="69" t="s">
        <v>24</v>
      </c>
      <c r="C18" s="70" t="s">
        <v>31</v>
      </c>
      <c r="D18" s="65">
        <v>0.5</v>
      </c>
      <c r="E18" s="66">
        <f t="shared" si="1"/>
        <v>0.77</v>
      </c>
      <c r="F18" s="74"/>
      <c r="G18" s="68"/>
      <c r="H18" s="7"/>
    </row>
    <row r="19" ht="18.75" customHeight="1">
      <c r="A19" s="1"/>
      <c r="B19" s="69" t="s">
        <v>21</v>
      </c>
      <c r="C19" s="70" t="s">
        <v>31</v>
      </c>
      <c r="D19" s="65">
        <v>0.3</v>
      </c>
      <c r="E19" s="66">
        <f t="shared" si="1"/>
        <v>0.462</v>
      </c>
      <c r="F19" s="74"/>
      <c r="G19" s="68"/>
      <c r="H19" s="7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8.75" customHeight="1">
      <c r="A20" s="1"/>
      <c r="B20" s="69" t="s">
        <v>32</v>
      </c>
      <c r="C20" s="70" t="s">
        <v>31</v>
      </c>
      <c r="D20" s="65">
        <v>0.6</v>
      </c>
      <c r="E20" s="66">
        <f t="shared" si="1"/>
        <v>0.924</v>
      </c>
      <c r="F20" s="71">
        <v>0.92</v>
      </c>
      <c r="G20" s="72">
        <v>777375.0</v>
      </c>
      <c r="H20" s="7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8.75" customHeight="1">
      <c r="A21" s="1"/>
      <c r="B21" s="69" t="s">
        <v>33</v>
      </c>
      <c r="C21" s="70" t="s">
        <v>20</v>
      </c>
      <c r="D21" s="65">
        <v>0.1</v>
      </c>
      <c r="E21" s="66">
        <f t="shared" si="1"/>
        <v>0.154</v>
      </c>
      <c r="F21" s="71">
        <v>0.15</v>
      </c>
      <c r="G21" s="72" t="s">
        <v>34</v>
      </c>
      <c r="H21" s="7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8.75" customHeight="1">
      <c r="A22" s="1"/>
      <c r="B22" s="69" t="s">
        <v>35</v>
      </c>
      <c r="C22" s="70" t="s">
        <v>29</v>
      </c>
      <c r="D22" s="65" t="s">
        <v>36</v>
      </c>
      <c r="E22" s="66"/>
      <c r="F22" s="74"/>
      <c r="G22" s="68"/>
      <c r="H22" s="7"/>
      <c r="I22" s="76"/>
      <c r="J22" s="77"/>
      <c r="K22" s="77"/>
      <c r="L22" s="77"/>
      <c r="M22" s="78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8.75" customHeight="1">
      <c r="A23" s="1"/>
      <c r="B23" s="69" t="s">
        <v>37</v>
      </c>
      <c r="C23" s="70" t="s">
        <v>31</v>
      </c>
      <c r="D23" s="65">
        <v>0.1</v>
      </c>
      <c r="E23" s="66">
        <f t="shared" ref="E23:E26" si="2">($E$7*D23)%</f>
        <v>0.154</v>
      </c>
      <c r="F23" s="71">
        <v>0.15</v>
      </c>
      <c r="G23" s="79" t="s">
        <v>38</v>
      </c>
      <c r="H23" s="7"/>
      <c r="I23" s="8"/>
      <c r="M23" s="80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8.75" customHeight="1">
      <c r="A24" s="1"/>
      <c r="B24" s="69" t="s">
        <v>17</v>
      </c>
      <c r="C24" s="70" t="s">
        <v>20</v>
      </c>
      <c r="D24" s="65">
        <v>0.05</v>
      </c>
      <c r="E24" s="66">
        <f t="shared" si="2"/>
        <v>0.077</v>
      </c>
      <c r="F24" s="74"/>
      <c r="G24" s="68"/>
      <c r="H24" s="7"/>
      <c r="I24" s="8"/>
      <c r="M24" s="80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8.75" customHeight="1">
      <c r="A25" s="1"/>
      <c r="B25" s="69" t="s">
        <v>39</v>
      </c>
      <c r="C25" s="70" t="s">
        <v>29</v>
      </c>
      <c r="D25" s="65">
        <v>2.0</v>
      </c>
      <c r="E25" s="66">
        <f t="shared" si="2"/>
        <v>3.08</v>
      </c>
      <c r="F25" s="71">
        <v>3.1</v>
      </c>
      <c r="G25" s="72" t="s">
        <v>40</v>
      </c>
      <c r="H25" s="7"/>
      <c r="I25" s="8"/>
      <c r="M25" s="80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8.75" customHeight="1">
      <c r="A26" s="1"/>
      <c r="B26" s="69" t="s">
        <v>41</v>
      </c>
      <c r="C26" s="70" t="s">
        <v>29</v>
      </c>
      <c r="D26" s="65">
        <v>0.5</v>
      </c>
      <c r="E26" s="66">
        <f t="shared" si="2"/>
        <v>0.77</v>
      </c>
      <c r="F26" s="71">
        <v>0.78</v>
      </c>
      <c r="G26" s="72">
        <v>211983.0</v>
      </c>
      <c r="H26" s="7"/>
      <c r="I26" s="81"/>
      <c r="J26" s="82"/>
      <c r="K26" s="82"/>
      <c r="L26" s="82"/>
      <c r="M26" s="83"/>
    </row>
    <row r="27" ht="14.25" customHeight="1">
      <c r="A27" s="1"/>
      <c r="B27" s="84" t="s">
        <v>42</v>
      </c>
      <c r="C27" s="80"/>
      <c r="D27" s="85">
        <f t="shared" ref="D27:E27" si="3">SUM(D13:D26)</f>
        <v>99.95</v>
      </c>
      <c r="E27" s="86">
        <f t="shared" si="3"/>
        <v>153.923</v>
      </c>
      <c r="F27" s="86"/>
      <c r="G27" s="87" t="s">
        <v>43</v>
      </c>
      <c r="H27" s="7"/>
    </row>
    <row r="28" ht="20.25" customHeight="1">
      <c r="A28" s="1"/>
      <c r="B28" s="12"/>
      <c r="C28" s="47"/>
      <c r="D28" s="88"/>
      <c r="E28" s="89"/>
      <c r="F28" s="89"/>
      <c r="G28" s="90" t="s">
        <v>44</v>
      </c>
      <c r="H28" s="7"/>
    </row>
    <row r="29" ht="13.5" customHeight="1">
      <c r="A29" s="1"/>
      <c r="B29" s="54"/>
      <c r="C29" s="91"/>
      <c r="D29" s="52"/>
      <c r="E29" s="52"/>
      <c r="F29" s="52"/>
      <c r="G29" s="42"/>
      <c r="H29" s="43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26.25" customHeight="1">
      <c r="A30" s="1"/>
      <c r="B30" s="92" t="s">
        <v>45</v>
      </c>
      <c r="C30" s="93" t="s">
        <v>44</v>
      </c>
      <c r="D30" s="94"/>
      <c r="E30" s="95" t="s">
        <v>46</v>
      </c>
      <c r="F30" s="93" t="s">
        <v>44</v>
      </c>
      <c r="G30" s="96"/>
      <c r="H30" s="7"/>
    </row>
    <row r="31" ht="6.0" customHeight="1">
      <c r="A31" s="1"/>
      <c r="B31" s="97"/>
      <c r="C31" s="98"/>
      <c r="D31" s="99"/>
      <c r="E31" s="99"/>
      <c r="F31" s="44"/>
      <c r="G31" s="100"/>
      <c r="H31" s="43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9.5" customHeight="1">
      <c r="A32" s="1"/>
      <c r="B32" s="101" t="s">
        <v>47</v>
      </c>
      <c r="C32" s="102"/>
      <c r="D32" s="102"/>
      <c r="E32" s="102"/>
      <c r="G32" s="18"/>
      <c r="H32" s="7"/>
    </row>
    <row r="33" ht="19.5" customHeight="1">
      <c r="A33" s="1"/>
      <c r="B33" s="103" t="s">
        <v>48</v>
      </c>
      <c r="C33" s="104"/>
      <c r="D33" s="104"/>
      <c r="E33" s="104"/>
      <c r="F33" s="104"/>
      <c r="G33" s="105"/>
      <c r="H33" s="7"/>
    </row>
    <row r="34" ht="19.5" customHeight="1">
      <c r="A34" s="1"/>
      <c r="B34" s="106" t="s">
        <v>49</v>
      </c>
      <c r="C34" s="107"/>
      <c r="D34" s="107"/>
      <c r="E34" s="107"/>
      <c r="F34" s="107"/>
      <c r="G34" s="108"/>
      <c r="H34" s="7"/>
    </row>
    <row r="35" ht="19.5" customHeight="1">
      <c r="A35" s="1"/>
      <c r="B35" s="106" t="s">
        <v>50</v>
      </c>
      <c r="C35" s="107"/>
      <c r="D35" s="107"/>
      <c r="E35" s="107"/>
      <c r="F35" s="107"/>
      <c r="G35" s="108"/>
      <c r="H35" s="7"/>
    </row>
    <row r="36" ht="16.5" customHeight="1">
      <c r="A36" s="1"/>
      <c r="B36" s="106" t="s">
        <v>51</v>
      </c>
      <c r="C36" s="107"/>
      <c r="D36" s="107"/>
      <c r="E36" s="107"/>
      <c r="F36" s="107"/>
      <c r="G36" s="108"/>
      <c r="H36" s="7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6.5" customHeight="1">
      <c r="A37" s="1"/>
      <c r="B37" s="106" t="s">
        <v>52</v>
      </c>
      <c r="C37" s="107"/>
      <c r="D37" s="107"/>
      <c r="E37" s="107"/>
      <c r="F37" s="107"/>
      <c r="G37" s="108"/>
      <c r="H37" s="7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6.5" customHeight="1">
      <c r="A38" s="1" t="s">
        <v>53</v>
      </c>
      <c r="B38" s="106" t="s">
        <v>54</v>
      </c>
      <c r="C38" s="107"/>
      <c r="D38" s="107"/>
      <c r="E38" s="107"/>
      <c r="F38" s="107"/>
      <c r="G38" s="108"/>
      <c r="H38" s="7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6.5" customHeight="1">
      <c r="A39" s="1"/>
      <c r="B39" s="106" t="s">
        <v>55</v>
      </c>
      <c r="C39" s="107"/>
      <c r="D39" s="107"/>
      <c r="E39" s="107"/>
      <c r="F39" s="107"/>
      <c r="G39" s="108"/>
      <c r="H39" s="7"/>
    </row>
    <row r="40" ht="19.5" customHeight="1">
      <c r="A40" s="109"/>
      <c r="B40" s="110" t="s">
        <v>56</v>
      </c>
      <c r="C40" s="77"/>
      <c r="D40" s="77"/>
      <c r="E40" s="77"/>
      <c r="F40" s="77"/>
      <c r="G40" s="111"/>
      <c r="H40" s="7"/>
    </row>
    <row r="41" ht="19.5" customHeight="1">
      <c r="A41" s="109"/>
      <c r="B41" s="112" t="s">
        <v>57</v>
      </c>
      <c r="C41" s="113"/>
      <c r="D41" s="113"/>
      <c r="E41" s="113"/>
      <c r="F41" s="113"/>
      <c r="G41" s="96"/>
      <c r="H41" s="114"/>
      <c r="I41" s="109"/>
      <c r="J41" s="115"/>
      <c r="K41" s="115"/>
      <c r="L41" s="109"/>
      <c r="M41" s="116"/>
      <c r="N41" s="116"/>
      <c r="O41" s="116"/>
    </row>
    <row r="42" ht="15.75" customHeight="1">
      <c r="A42" s="109"/>
      <c r="B42" s="117" t="s">
        <v>58</v>
      </c>
      <c r="C42" s="118"/>
      <c r="D42" s="118"/>
      <c r="E42" s="118"/>
      <c r="F42" s="118"/>
      <c r="G42" s="119"/>
      <c r="H42" s="114"/>
      <c r="I42" s="109"/>
      <c r="J42" s="115"/>
      <c r="K42" s="115"/>
      <c r="L42" s="109"/>
      <c r="M42" s="116"/>
      <c r="N42" s="116"/>
      <c r="O42" s="116"/>
    </row>
    <row r="43" ht="15.75" customHeight="1">
      <c r="B43" s="120" t="s">
        <v>59</v>
      </c>
      <c r="C43" s="121"/>
      <c r="D43" s="122" t="s">
        <v>60</v>
      </c>
      <c r="E43" s="123" t="s">
        <v>61</v>
      </c>
      <c r="F43" s="124"/>
      <c r="G43" s="53"/>
      <c r="H43" s="7"/>
    </row>
    <row r="44" ht="15.75" customHeight="1">
      <c r="B44" s="125" t="s">
        <v>62</v>
      </c>
      <c r="C44" s="126"/>
      <c r="D44" s="127" t="s">
        <v>63</v>
      </c>
      <c r="E44" s="128" t="s">
        <v>64</v>
      </c>
      <c r="F44" s="129"/>
      <c r="G44" s="53"/>
      <c r="H44" s="7"/>
    </row>
    <row r="45" ht="15.75" customHeight="1">
      <c r="B45" s="130" t="s">
        <v>65</v>
      </c>
      <c r="C45" s="131"/>
      <c r="D45" s="132" t="s">
        <v>66</v>
      </c>
      <c r="E45" s="128" t="s">
        <v>64</v>
      </c>
      <c r="F45" s="133"/>
      <c r="G45" s="134"/>
      <c r="H45" s="135"/>
      <c r="I45" s="115"/>
      <c r="J45" s="136"/>
      <c r="K45" s="116"/>
      <c r="L45" s="116"/>
      <c r="M45" s="116"/>
    </row>
    <row r="46" ht="15.75" customHeight="1">
      <c r="B46" s="130" t="s">
        <v>67</v>
      </c>
      <c r="C46" s="131"/>
      <c r="D46" s="132" t="s">
        <v>66</v>
      </c>
      <c r="E46" s="128" t="s">
        <v>64</v>
      </c>
      <c r="F46" s="137" t="s">
        <v>68</v>
      </c>
      <c r="G46" s="138">
        <v>70.0</v>
      </c>
      <c r="H46" s="135"/>
      <c r="I46" s="1"/>
      <c r="J46" s="115"/>
      <c r="K46" s="139"/>
      <c r="L46" s="115"/>
      <c r="M46" s="115"/>
    </row>
    <row r="47" ht="15.75" customHeight="1">
      <c r="B47" s="130" t="s">
        <v>69</v>
      </c>
      <c r="C47" s="131"/>
      <c r="D47" s="132"/>
      <c r="E47" s="140">
        <v>6.0</v>
      </c>
      <c r="F47" s="141" t="s">
        <v>70</v>
      </c>
      <c r="G47" s="142">
        <v>0.01</v>
      </c>
      <c r="H47" s="135"/>
      <c r="I47" s="115"/>
      <c r="J47" s="143"/>
      <c r="K47" s="115"/>
      <c r="L47" s="115"/>
      <c r="M47" s="1"/>
    </row>
    <row r="48" ht="15.75" customHeight="1">
      <c r="B48" s="144" t="s">
        <v>71</v>
      </c>
      <c r="C48" s="145"/>
      <c r="D48" s="145"/>
      <c r="E48" s="145"/>
      <c r="F48" s="146" t="s">
        <v>72</v>
      </c>
      <c r="G48" s="147"/>
      <c r="H48" s="135"/>
      <c r="I48" s="115"/>
      <c r="J48" s="143"/>
      <c r="K48" s="115"/>
      <c r="L48" s="115"/>
      <c r="M48" s="1"/>
    </row>
    <row r="49" ht="15.75" customHeight="1">
      <c r="B49" s="148"/>
      <c r="C49" s="149"/>
      <c r="D49" s="149"/>
      <c r="E49" s="149"/>
      <c r="F49" s="150" t="s">
        <v>58</v>
      </c>
      <c r="G49" s="151"/>
      <c r="H49" s="135"/>
      <c r="I49" s="115"/>
      <c r="J49" s="143"/>
      <c r="K49" s="115"/>
      <c r="L49" s="115"/>
      <c r="M49" s="115"/>
    </row>
    <row r="50" ht="15.75" customHeight="1">
      <c r="B50" s="152" t="s">
        <v>73</v>
      </c>
      <c r="C50" s="118"/>
      <c r="D50" s="118"/>
      <c r="E50" s="118"/>
      <c r="F50" s="118"/>
      <c r="G50" s="119"/>
      <c r="H50" s="114"/>
      <c r="I50" s="115"/>
      <c r="J50" s="1"/>
      <c r="K50" s="1"/>
      <c r="L50" s="1"/>
      <c r="M50" s="115"/>
      <c r="N50" s="1"/>
      <c r="O50" s="1"/>
    </row>
    <row r="51" ht="15.75" customHeight="1">
      <c r="B51" s="153" t="s">
        <v>59</v>
      </c>
      <c r="C51" s="154" t="s">
        <v>74</v>
      </c>
      <c r="D51" s="155"/>
      <c r="E51" s="156" t="s">
        <v>75</v>
      </c>
      <c r="F51" s="156" t="s">
        <v>4</v>
      </c>
      <c r="G51" s="53"/>
      <c r="H51" s="114"/>
      <c r="I51" s="115"/>
      <c r="J51" s="115"/>
      <c r="K51" s="115"/>
      <c r="L51" s="115"/>
      <c r="M51" s="115"/>
      <c r="N51" s="1"/>
      <c r="O51" s="139"/>
    </row>
    <row r="52" ht="19.5" customHeight="1">
      <c r="B52" s="153" t="s">
        <v>76</v>
      </c>
      <c r="C52" s="157"/>
      <c r="D52" s="155"/>
      <c r="E52" s="158"/>
      <c r="F52" s="158"/>
      <c r="G52" s="159"/>
      <c r="H52" s="160"/>
      <c r="I52" s="161"/>
      <c r="J52" s="162"/>
      <c r="K52" s="163"/>
      <c r="L52" s="164"/>
      <c r="M52" s="162"/>
      <c r="N52" s="162"/>
      <c r="O52" s="164"/>
    </row>
    <row r="53" ht="7.5" customHeight="1">
      <c r="B53" s="165"/>
      <c r="C53" s="166"/>
      <c r="D53" s="166"/>
      <c r="E53" s="118"/>
      <c r="F53" s="118"/>
      <c r="G53" s="167"/>
      <c r="H53" s="160"/>
      <c r="I53" s="161"/>
      <c r="J53" s="162"/>
      <c r="K53" s="163"/>
      <c r="L53" s="164"/>
      <c r="M53" s="162"/>
      <c r="N53" s="162"/>
      <c r="O53" s="164"/>
    </row>
    <row r="54" ht="18.0" customHeight="1">
      <c r="B54" s="168" t="s">
        <v>58</v>
      </c>
      <c r="C54" s="169"/>
      <c r="D54" s="133"/>
      <c r="E54" s="118"/>
      <c r="F54" s="118"/>
      <c r="G54" s="119"/>
      <c r="H54" s="114"/>
      <c r="I54" s="161"/>
      <c r="J54" s="162"/>
      <c r="K54" s="164"/>
      <c r="L54" s="170"/>
      <c r="M54" s="162"/>
      <c r="N54" s="162"/>
      <c r="O54" s="162"/>
    </row>
    <row r="55" ht="15.75" customHeight="1">
      <c r="B55" s="171" t="s">
        <v>77</v>
      </c>
      <c r="C55" s="172" t="s">
        <v>78</v>
      </c>
      <c r="D55" s="113"/>
      <c r="E55" s="155"/>
      <c r="F55" s="173" t="s">
        <v>79</v>
      </c>
      <c r="G55" s="96"/>
      <c r="H55" s="7"/>
    </row>
    <row r="56" ht="12.75" customHeight="1">
      <c r="B56" s="174"/>
      <c r="C56" s="175"/>
      <c r="D56" s="176"/>
      <c r="E56" s="177"/>
      <c r="F56" s="175"/>
      <c r="G56" s="178"/>
      <c r="H56" s="7"/>
    </row>
    <row r="57" ht="12.75" customHeight="1">
      <c r="B57" s="179"/>
      <c r="C57" s="180"/>
      <c r="D57" s="181"/>
      <c r="E57" s="182"/>
      <c r="F57" s="180"/>
      <c r="G57" s="183"/>
      <c r="H57" s="7"/>
    </row>
    <row r="58" ht="12.75" customHeight="1">
      <c r="B58" s="184"/>
      <c r="C58" s="184"/>
      <c r="D58" s="184"/>
      <c r="E58" s="184"/>
      <c r="F58" s="184"/>
      <c r="G58" s="184"/>
      <c r="H58" s="46"/>
    </row>
    <row r="59" ht="12.75" customHeight="1">
      <c r="B59" s="46"/>
      <c r="C59" s="46"/>
      <c r="D59" s="46"/>
      <c r="E59" s="46"/>
      <c r="F59" s="46"/>
      <c r="G59" s="46"/>
      <c r="H59" s="46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2">
    <mergeCell ref="B1:C4"/>
    <mergeCell ref="D1:E4"/>
    <mergeCell ref="F1:G4"/>
    <mergeCell ref="B6:B7"/>
    <mergeCell ref="D8:E9"/>
    <mergeCell ref="F8:F9"/>
    <mergeCell ref="M12:O14"/>
    <mergeCell ref="I14:K14"/>
    <mergeCell ref="I12:K12"/>
    <mergeCell ref="I13:L13"/>
    <mergeCell ref="I22:M26"/>
    <mergeCell ref="B27:C28"/>
    <mergeCell ref="D27:D28"/>
    <mergeCell ref="E27:E28"/>
    <mergeCell ref="F27:F28"/>
    <mergeCell ref="C30:D30"/>
    <mergeCell ref="F30:G30"/>
    <mergeCell ref="B32:E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4:C44"/>
    <mergeCell ref="B45:C45"/>
    <mergeCell ref="C52:D52"/>
    <mergeCell ref="C55:E55"/>
    <mergeCell ref="F55:G55"/>
    <mergeCell ref="B56:B57"/>
    <mergeCell ref="C56:E57"/>
    <mergeCell ref="F56:G57"/>
    <mergeCell ref="B46:C46"/>
    <mergeCell ref="B47:C47"/>
    <mergeCell ref="B48:B49"/>
    <mergeCell ref="C48:C49"/>
    <mergeCell ref="D48:D49"/>
    <mergeCell ref="E48:E49"/>
    <mergeCell ref="C51:D51"/>
  </mergeCells>
  <printOptions/>
  <pageMargins bottom="0.7480314960629921" footer="0.0" header="0.0" left="0.2362204724409449" right="0.2362204724409449" top="0.7480314960629921"/>
  <pageSetup fitToHeight="0" paperSize="9" orientation="portrait"/>
  <drawing r:id="rId1"/>
</worksheet>
</file>