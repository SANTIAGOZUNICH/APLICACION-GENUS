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ABORACION" sheetId="1" r:id="rId5"/>
    <sheet state="visible" name="ACONDICIONAMIENTO" sheetId="2" r:id="rId6"/>
    <sheet state="visible" name="ENTREGAS" sheetId="3" r:id="rId7"/>
    <sheet state="visible" name="QACONDDIA" sheetId="4" r:id="rId8"/>
    <sheet state="visible" name="DB" sheetId="5" r:id="rId9"/>
  </sheets>
  <definedNames>
    <definedName hidden="1" localSheetId="0" name="_xlnm._FilterDatabase">ELABORACION!$H$560</definedName>
    <definedName hidden="1" localSheetId="2" name="_xlnm._FilterDatabase">ENTREGAS!$B$1:$E$317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tc={014fc1ae-f077-4886-80a1-11483045d1c0}</author>
    <author>tc={015b9b6c-df86-4479-83bb-7c5b0f739d8f}</author>
    <author>tc={03110b5c-ffcc-41e3-ad7b-affbad155325}</author>
    <author>tc={061e9e8b-eaec-425e-b4de-e075edca06d9}</author>
    <author>tc={062227a1-52e2-46a3-8775-e44934a68eac}</author>
    <author>tc={06e1b6f9-a159-4a93-a86a-1d5426ca49a6}</author>
    <author>tc={07341d19-f8b6-49e2-a660-213c90d8e961}</author>
    <author>tc={092a5770-5766-4ad1-9939-229958b67a1a}</author>
    <author>tc={09b8a93c-a0bb-41a0-b2e3-dc04719208e7}</author>
    <author>tc={0a605924-25c9-4689-93e9-3dd55ba318f8}</author>
    <author>tc={0bc3add3-ad58-4264-8cc7-a33c93227f29}</author>
    <author>tc={0da3ab42-8567-4758-ad7a-1890e2936374}</author>
    <author>tc={0eadcbd6-7456-492f-9b9f-877c3c11ed92}</author>
    <author>tc={131310f3-cd7c-4666-ab25-766636ea92be}</author>
    <author>tc={13809607-f86e-4c34-85e0-610ef9fca1cb}</author>
    <author>tc={14562562-0a64-4477-9672-b2e1cd0abe74}</author>
    <author>tc={150c95ba-b598-4c2f-925f-494bf74d733d}</author>
    <author>tc={19438da7-07f3-49cd-965e-b4874f781f5f}</author>
    <author>tc={1d3dd7fc-e0fc-4782-8837-a6c5c14133fa}</author>
    <author>tc={1dfe7678-e877-4ffa-9265-eef3e93225f9}</author>
    <author>tc={1e44af99-fb03-474a-9207-b81fb5a7eabd}</author>
    <author>tc={1ecb3d56-5a03-4585-899d-8ea89c66903a}</author>
    <author>tc={1f27423c-dca9-41b7-ba1a-b27013c169de}</author>
    <author>tc={20ffb24a-072d-45c5-8ee8-4b941844a418}</author>
    <author>tc={225a026b-8934-4ba2-8edf-44e74babc8ba}</author>
    <author>tc={2397b169-6e81-4ef4-90d9-25b77fca7267}</author>
    <author>tc={25829720-670b-485a-91b7-836005198c79}</author>
    <author>tc={2a2eb724-1152-40b6-8bb2-207e414f2705}</author>
    <author>tc={2b092500-54f2-4a13-b3b9-158cfabbb459}</author>
    <author>tc={2e75c2c6-468b-44c7-bed8-014f887bb0a8}</author>
    <author>tc={2f5d9933-1fda-4965-8456-61a8e7f4ef28}</author>
    <author>tc={330b1613-acc1-4ecc-9838-a8edb561e9a7}</author>
    <author>tc={348dee2f-6f1d-4fb1-8d68-1e6abd8d9af9}</author>
    <author>tc={38989371-8fc0-4549-9c98-34b4a6989bfa}</author>
    <author>tc={3921c41d-f0b3-425b-b68d-aefdfecbca0f}</author>
    <author>tc={3ef60c69-bb31-4384-965f-e8b0e0230c29}</author>
    <author>tc={3f821159-d0ea-477b-b761-de006379707c}</author>
    <author>tc={3ff4a054-0e24-4cbc-b6b0-99bd808c906d}</author>
    <author>tc={428134f1-97f7-4102-b0c3-da0934d53014}</author>
    <author>tc={42f29b7d-b69c-4195-b53c-eddd9aa42cae}</author>
    <author>tc={438ffbc4-77e8-420d-80c8-99e0aceb7b57}</author>
    <author>tc={43b646d9-a76c-4476-8c8d-dda3afeea76f}</author>
    <author>tc={43e8c152-679e-4efd-90a5-89a9faaf8668}</author>
    <author>tc={449fda4d-1867-431a-8206-d44099d383c3}</author>
    <author>tc={44da8de1-05ce-4ba4-b22f-cef08e9d0500}</author>
    <author>tc={4553ed0a-9ac7-4b32-aa34-a07caadb0698}</author>
    <author>tc={46c45973-dc0d-438c-b153-79f884fbcad6}</author>
    <author>tc={47a797af-05e4-4310-8160-3a195e9664ae}</author>
    <author>tc={4a01dc54-fb8a-4281-9f94-a4066189e85f}</author>
    <author>tc={4c69016b-7388-42b6-a1c1-a46a5e2c9632}</author>
    <author>tc={53a3a524-bd48-4901-a83a-dac532916588}</author>
    <author>tc={56e5f21b-c80e-4f38-9723-2a0cf5e5576c}</author>
    <author>tc={57bf0937-abf7-47c8-931c-bfc3a07fbe30}</author>
    <author>tc={58a316bd-4ba0-43ff-87b5-ebeeabebf70a}</author>
    <author>tc={5b192c4f-a973-49b2-8ccc-ea253c85dc4b}</author>
    <author>tc={6128c879-4b91-487d-9f32-83f5da25236f}</author>
    <author>tc={618c8d55-75d8-42ca-9d3a-c10bc731dd90}</author>
    <author>tc={6350b201-591a-4f9b-9941-3f31f05637b0}</author>
    <author>tc={638737d9-c2b8-4c00-b4cb-d5b946d57316}</author>
    <author>tc={64a5bdf1-0401-480e-bc4b-bc2905887cd1}</author>
    <author>tc={6a7728cc-2b93-45d3-afb6-ce897724d10a}</author>
    <author>tc={6b0f6d16-27fe-4b65-8c44-3ab5eeebfa21}</author>
    <author>tc={6b7e9276-4c9c-4c77-a707-b438292cbdcf}</author>
    <author>tc={6c8b35e6-330c-483d-a83d-745007162406}</author>
    <author>tc={6e3a25db-d202-4195-8530-61b33a2dc3cc}</author>
    <author>tc={7101d59a-b3dc-4718-9584-4823036e7b82}</author>
    <author>tc={74a71dc8-4b69-4ec3-a65b-2c5784890719}</author>
    <author>tc={74fada5d-c0b1-4d61-a85b-68ff4d2c4ab9}</author>
    <author>tc={75db1048-4185-40ae-b60a-4972cfa4ba8f}</author>
    <author>tc={7605f85a-72bf-47e7-8412-3cbe51449478}</author>
    <author>tc={7ca6dfdd-b553-4646-a94b-069c00664c33}</author>
    <author>tc={829a04e8-9129-4200-9b24-6b0fd92ee44b}</author>
    <author>tc={829b5cf8-eb36-47fd-9f4d-7438477b5749}</author>
    <author>tc={86e58b80-8bc1-4299-93ba-4c0ab4fe9a4c}</author>
    <author>tc={87884abb-9769-4486-8191-e6aa375d2853}</author>
    <author>tc={8b040ca7-1223-4134-b1d8-a67ddd1b042a}</author>
    <author>tc={8c1b4d83-b370-46f3-a99e-8f116113aa70}</author>
    <author>tc={8dbd3175-07ac-4e8a-baab-c574b8db291f}</author>
    <author>tc={8e5e6dbd-f482-4885-89e8-d04302c32840}</author>
    <author>tc={94aaa989-05e5-48a7-b3e9-51b022a9c93f}</author>
    <author>tc={96e7e833-9cd2-4a80-bf28-6cff213b78e3}</author>
    <author>tc={97fb3948-ee15-4c80-97ab-c6769fbe08e7}</author>
    <author>tc={9854c0b7-314a-40a3-b709-463be4d5e227}</author>
    <author>tc={988bf9c8-3186-45ee-a73a-20b5339385f7}</author>
    <author>tc={9a5aa566-3e67-46c2-952c-ff7a740c3a60}</author>
    <author>tc={9cc95afa-0773-42b7-bdea-ff56edfbe8cb}</author>
    <author>tc={9ce793e0-be6a-41bc-8966-2026dbbe8c3d}</author>
    <author>tc={9eefd817-c4a6-4d22-ac3d-10cf70d4898a}</author>
    <author>tc={a2356b3d-f747-46d3-b6ab-fdb2885c05f6}</author>
    <author>tc={a50e47dc-e1a2-4847-8735-67f05c0c9fdd}</author>
    <author>tc={a67ab6e5-3bd9-45ea-ac1f-199032f9170c}</author>
    <author>tc={a9e0c14a-d25d-4f66-b69a-98e38e880afa}</author>
    <author>tc={ab9bfb51-4bae-4791-8c42-e85a2ed58687}</author>
    <author>tc={ad1c8f19-9c26-44a7-ac7c-57a9834feb8b}</author>
    <author>tc={ad764245-3f88-4f46-b833-ff82def4ed72}</author>
    <author>tc={ae5c3ed2-0e58-4871-9706-8ee2e2ba9382}</author>
    <author>tc={b288d6de-defd-41e7-87f9-ace3210ac588}</author>
    <author>tc={b7d7dc9c-892c-475f-84f3-0bca0bbb4727}</author>
    <author>tc={b7defadd-8722-4387-b7e3-39bd2392fa1e}</author>
    <author>tc={ba10e538-cad0-4116-9326-88811af56b30}</author>
    <author>tc={bb89a042-ba3f-4560-a12b-866a19e48035}</author>
    <author>tc={bc920dcd-c835-415e-aa2f-ae377345b5b3}</author>
    <author>tc={c2960f5a-5e72-403a-b1ff-492567d3458c}</author>
    <author>tc={c825fadd-6b8d-49b3-b39d-f572c5aaa7ec}</author>
    <author>tc={cca6f5da-07c7-43d4-874b-26d57c14c37c}</author>
    <author>tc={d09dfe0a-ae35-41e6-9fa4-c5df532bb436}</author>
    <author>tc={d32cd05a-e6f5-4f3d-be12-d41d30b0407b}</author>
    <author>tc={d3a3b753-d6b8-4184-99b0-c2d970c80e02}</author>
    <author>tc={d5135ff6-8b21-4ba4-b0a1-23b15b05554c}</author>
    <author>tc={d945d312-febe-4669-96d8-651d450c2e89}</author>
    <author>tc={da526ab0-63e8-4632-9a72-cd3680305153}</author>
    <author>tc={dca4392a-d1b4-446a-8aaf-4a8c5ad405e9}</author>
    <author>tc={dd1c9006-67e8-47ae-a697-387e4e5d95e3}</author>
    <author>tc={e0f063e0-edcd-418b-83ac-fa68b11cda81}</author>
    <author>tc={e29bcc0e-9ab7-442a-a81f-421dd3137193}</author>
    <author>tc={e31666ac-b1f6-4e26-97cd-af833a562688}</author>
    <author>tc={e3a24626-5c31-4322-a02f-f61cdcb53411}</author>
    <author>tc={e5f3301e-a9cb-4204-afb2-31ddbfb17201}</author>
    <author>tc={e741500f-1904-493b-8eef-3667c3df5b87}</author>
    <author>tc={eaebc5a0-5022-484a-aa44-5b8bb0ecdf8a}</author>
    <author>tc={ebe703c1-254e-45ec-bea7-77e942587f55}</author>
    <author>tc={ecc9a70c-aa7c-407e-bca2-5f4f03ba52ec}</author>
    <author>tc={ecf7555f-8a2e-45af-b706-7adc37637183}</author>
    <author>tc={ee269931-4857-4e05-8973-96c6a2c6a381}</author>
    <author>tc={ee5385e9-90b2-45e9-b7af-e090c89c3b46}</author>
    <author>tc={f20bf048-d0a6-41f6-9aed-93ba2c6444da}</author>
    <author>tc={f3866175-0fb4-4b78-b627-980c65b9b5be}</author>
    <author>tc={f4250076-6390-4322-a728-8ba4d5ad5d5d}</author>
    <author>tc={f7d73cd7-a609-450a-b53e-4df626837a89}</author>
    <author>tc={f98b754f-0cac-40af-8190-84d80860e5b2}</author>
    <author>tc={fb18c07e-3926-42d9-bc89-4366a171d1ca}</author>
    <author>tc={fb5ff1ec-5ff5-436b-a47b-3af6da14c5d4}</author>
    <author>tc={ff2c6f6b-e861-4fe0-959a-6f3f6c393564}</author>
  </authors>
  <commentList>
    <comment authorId="0" xr:uid="{014fc1ae-f077-4886-80a1-11483045d1c0}" ref="J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1" xr:uid="{015b9b6c-df86-4479-83bb-7c5b0f739d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NIACINAMIDA
</t>
      </text>
    </comment>
    <comment authorId="2" xr:uid="{03110b5c-ffcc-41e3-ad7b-affbad155325}" ref="J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PROTEINA DE ARROZ, EXTRACTO DE LINO, FRAGANCIA Y ACEITE DE GIRASOL
</t>
      </text>
    </comment>
    <comment authorId="3" xr:uid="{061e9e8b-eaec-425e-b4de-e075edca06d9}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TODO
</t>
      </text>
    </comment>
    <comment authorId="4" xr:uid="{062227a1-52e2-46a3-8775-e44934a68eac}" ref="H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EXTRACTO DE BLUEBERRY NI AC ES LAVANDA
Reply:
	De lavanda no hay de otro?
</t>
      </text>
    </comment>
    <comment authorId="5" xr:uid="{06e1b6f9-a159-4a93-a86a-1d5426ca49a6}" ref="J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retinol 100g y lipochroman 30g
</t>
      </text>
    </comment>
    <comment authorId="6" xr:uid="{07341d19-f8b6-49e2-a660-213c90d8e961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frag y micas para algunas variedades
</t>
      </text>
    </comment>
    <comment authorId="7" xr:uid="{092a5770-5766-4ad1-9939-229958b67a1a}" ref="D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
SILICONA DL501
CICLOMETICONA
FENILTRIMETICONA
OCTILMETOXICINAMATO
</t>
      </text>
    </comment>
    <comment authorId="8" xr:uid="{09b8a93c-a0bb-41a0-b2e3-dc04719208e7}" ref="F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PUEDEN HACER TODAS
</t>
      </text>
    </comment>
    <comment authorId="9" xr:uid="{0a605924-25c9-4689-93e9-3dd55ba318f8}" ref="J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MENTOL Y EXT DE ALOE VERA
</t>
      </text>
    </comment>
    <comment authorId="10" xr:uid="{0bc3add3-ad58-4264-8cc7-a33c93227f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70% agua - 30% vaselina (igualmente chequear especificaciones)
</t>
      </text>
    </comment>
    <comment authorId="11" xr:uid="{0da3ab42-8567-4758-ad7a-1890e2936374}" ref="D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
AMONIO CUATERNARIO
HIDROLIZADO DE QUINOA
PHYTOSCREEN PATAGONIA 
FRAGANCIA GD-40669
</t>
      </text>
    </comment>
    <comment authorId="12" xr:uid="{0eadcbd6-7456-492f-9b9f-877c3c11ed92}" ref="D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BTMS Y FRAG WOOD TALE
</t>
      </text>
    </comment>
    <comment authorId="13" xr:uid="{131310f3-cd7c-4666-ab25-766636ea92be}" ref="H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PUEDEN ARRANCAR
</t>
      </text>
    </comment>
    <comment authorId="14" xr:uid="{13809607-f86e-4c34-85e0-610ef9fca1cb}" ref="F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300G DE EXFLOIANTE Y LLEVA 600G
</t>
      </text>
    </comment>
    <comment authorId="15" xr:uid="{14562562-0a64-4477-9672-b2e1cd0abe74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 PERO FALTA RETINOL, CAPAZ SE LE PUEDE PONER UN POQUITO DE VIT A
</t>
      </text>
    </comment>
    <comment authorId="16" xr:uid="{150c95ba-b598-4c2f-925f-494bf74d733d}" ref="B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YA FRACCIONADO!!
</t>
      </text>
    </comment>
    <comment authorId="17" xr:uid="{19438da7-07f3-49cd-965e-b4874f781f5f}" ref="F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GLIOXILICO
</t>
      </text>
    </comment>
    <comment authorId="18" xr:uid="{1d3dd7fc-e0fc-4782-8837-a6c5c14133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Lleva estuche
</t>
      </text>
    </comment>
    <comment authorId="19" xr:uid="{1dfe7678-e877-4ffa-9265-eef3e93225f9}" ref="H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 CAPILMAX
DEHYQUART GUAR TC (BASF)
Y FRAGANCIA
</t>
      </text>
    </comment>
    <comment authorId="20" xr:uid="{1e44af99-fb03-474a-9207-b81fb5a7ea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SOLICITAR TAPAS ( SOLO INGRESARON ENVASES)
</t>
      </text>
    </comment>
    <comment authorId="21" xr:uid="{1ecb3d56-5a03-4585-899d-8ea89c66903a}" ref="F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22" xr:uid="{1f27423c-dca9-41b7-ba1a-b27013c169de}" ref="D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FALTA:
OXIDO DE ZINC	22.000
MIP	4.000
VASELINA	64.000
DIOXIDO DE TITANIO	32.000
CAOLIN	56.000
</t>
      </text>
    </comment>
    <comment authorId="23" xr:uid="{20ffb24a-072d-45c5-8ee8-4b941844a4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DE 150 ML
</t>
      </text>
    </comment>
    <comment authorId="24" xr:uid="{225a026b-8934-4ba2-8edf-44e74babc8ba}" ref="D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25" xr:uid="{2397b169-6e81-4ef4-90d9-25b77fca7267}" ref="B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FALTA:
PEG-7 GLICERIL COCOATO	104.500
OCTILMETOXIXINAMATO	0.220
Y NECESITO SABER CUAL ES LA FRAGANCIA
</t>
      </text>
    </comment>
    <comment authorId="26" xr:uid="{25829720-670b-485a-91b7-836005198c79}" ref="J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FALTA:    SE NECESITA / TENEMOS
ESCUALANO: 30.905 / 28
MYRITOL: 3.500 / 8
VITAMINA E: 0.350 / 0
RETINOL: 0.210 / 0
LIPOCHROMAN: 0.035 / 0.005
</t>
      </text>
    </comment>
    <comment authorId="27" xr:uid="{2a2eb724-1152-40b6-8bb2-207e414f2705}" ref="J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DHA, ERITRULOSA  Y SEADERMIUM
</t>
      </text>
    </comment>
    <comment authorId="28" xr:uid="{2b092500-54f2-4a13-b3b9-158cfabbb459}" ref="B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OLIVEM1000
</t>
      </text>
    </comment>
    <comment authorId="29" xr:uid="{2e75c2c6-468b-44c7-bed8-014f887bb0a8}" ref="B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AMONIO CUATERNARIO Y FRAGANNCIA
</t>
      </text>
    </comment>
    <comment authorId="30" xr:uid="{2f5d9933-1fda-4965-8456-61a8e7f4ef28}" ref="D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FRACCIONADO!!!
</t>
      </text>
    </comment>
    <comment authorId="31" xr:uid="{330b1613-acc1-4ecc-9838-a8edb561e9a7}" ref="D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32" xr:uid="{348dee2f-6f1d-4fb1-8d68-1e6abd8d9af9}" ref="F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EMPEZAR PERO VA A FALTAR TWEEN Q ESTA PEDIDO
</t>
      </text>
    </comment>
    <comment authorId="33" xr:uid="{38989371-8fc0-4549-9c98-34b4a6989bfa}" ref="B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LO Q FALTA YA SE PIDIO
</t>
      </text>
    </comment>
    <comment authorId="34" xr:uid="{3921c41d-f0b3-425b-b68d-aefdfecbca0f}" ref="F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LA VIT C
</t>
      </text>
    </comment>
    <comment authorId="35" xr:uid="{3ef60c69-bb31-4384-965f-e8b0e0230c29}" ref="B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36" xr:uid="{3f821159-d0ea-477b-b761-de00637970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Lleva estuche
</t>
      </text>
    </comment>
    <comment authorId="37" xr:uid="{3ff4a054-0e24-4cbc-b6b0-99bd808c90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LLEVA ETIQUETA LAS TENGO EN LA OFICINA
</t>
      </text>
    </comment>
    <comment authorId="38" xr:uid="{428134f1-97f7-4102-b0c3-da0934d530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CORTAR VALVULAS Y SACAR BOLSITA
</t>
      </text>
    </comment>
    <comment authorId="39" xr:uid="{42f29b7d-b69c-4195-b53c-eddd9aa42cae}" ref="B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VASELINA
</t>
      </text>
    </comment>
    <comment authorId="40" xr:uid="{438ffbc4-77e8-420d-80c8-99e0aceb7b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lleva estuche, no guarden final
</t>
      </text>
    </comment>
    <comment authorId="41" xr:uid="{43b646d9-a76c-4476-8c8d-dda3afeea76f}" ref="D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42" xr:uid="{43e8c152-679e-4efd-90a5-89a9faaf8668}" ref="F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SILICONA Y ACEITE DE JOJOBA
</t>
      </text>
    </comment>
    <comment authorId="43" xr:uid="{449fda4d-1867-431a-8206-d44099d383c3}" ref="B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44" xr:uid="{44da8de1-05ce-4ba4-b22f-cef08e9d0500}" ref="F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RETINOL NI VIT A
</t>
      </text>
    </comment>
    <comment authorId="45" xr:uid="{4553ed0a-9ac7-4b32-aa34-a07caadb0698}" ref="B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46" xr:uid="{46c45973-dc0d-438c-b153-79f884fbcad6}" ref="F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47" xr:uid="{47a797af-05e4-4310-8160-3a195e9664ae}" ref="F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48" xr:uid="{4a01dc54-fb8a-4281-9f94-a4066189e85f}" ref="B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FALTA:
SILICONA QUATERNIUM 22	3.150
AMODIMETICONA 	2.100
ALCOHOL CETOESTEARILICO	2.100
Y FALTA SABER FRAG
</t>
      </text>
    </comment>
    <comment authorId="49" xr:uid="{4c69016b-7388-42b6-a1c1-a46a5e2c9632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PROPI, GLUCONATO DE ZINC Y NIACINAMIDA
</t>
      </text>
    </comment>
    <comment authorId="50" xr:uid="{53a3a524-bd48-4901-a83a-dac532916588}" ref="D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la misma formula de siempre, pero esencia CALVIN KLEIN. ya la pidio David
</t>
      </text>
    </comment>
    <comment authorId="51" xr:uid="{56e5f21b-c80e-4f38-9723-2a0cf5e5576c}" ref="F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VARISOFT BT 85, FRAG JADORE Y CETOESTEARILICO
</t>
      </text>
    </comment>
    <comment authorId="52" xr:uid="{57bf0937-abf7-47c8-931c-bfc3a07fbe30}" ref="B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AC. FERULICO NADA MAS
</t>
      </text>
    </comment>
    <comment authorId="53" xr:uid="{58a316bd-4ba0-43ff-87b5-ebeeabebf70a}" ref="B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100G DE RETINOL, 24KG DE ESCUALENO Y30G DE LIPOVHROMAN
</t>
      </text>
    </comment>
    <comment authorId="54" xr:uid="{5b192c4f-a973-49b2-8ccc-ea253c85dc4b}" ref="B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A FALTAR EMULCARE PARA ENDURECERLO Y CERAL PW QUE LLEGA HOY 31/3
</t>
      </text>
    </comment>
    <comment authorId="55" xr:uid="{6128c879-4b91-487d-9f32-83f5da25236f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TODAS LAS MP RARAS QUE PIDIERON
Reply:
	estan pedidas?
</t>
      </text>
    </comment>
    <comment authorId="56" xr:uid="{618c8d55-75d8-42ca-9d3a-c10bc731dd90}" ref="B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 
AMONIO CUAT. 25
EXT. DE MACA
EXT. DE QUINOA
FRAGANCIA ADORE HI 44964
</t>
      </text>
    </comment>
    <comment authorId="57" xr:uid="{6350b201-591a-4f9b-9941-3f31f05637b0}" ref="D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58" xr:uid="{638737d9-c2b8-4c00-b4cb-d5b946d57316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UN POCO DE TREMELLA DE ALL BEAUTY PARA PONERLE O SI NO HIALURONICO EN POLVO
</t>
      </text>
    </comment>
    <comment authorId="59" xr:uid="{64a5bdf1-0401-480e-bc4b-bc2905887cd1}" ref="F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ESTA FRACCIONADO
</t>
      </text>
    </comment>
    <comment authorId="60" xr:uid="{6a7728cc-2b93-45d3-afb6-ce897724d10a}" ref="D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BTMS
</t>
      </text>
    </comment>
    <comment authorId="61" xr:uid="{6b0f6d16-27fe-4b65-8c44-3ab5eeebfa21}" ref="H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GLIOXILICO NADA MAS
</t>
      </text>
    </comment>
    <comment authorId="62" xr:uid="{6b7e9276-4c9c-4c77-a707-b438292cbdcf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EXT MANZANILLA Y EXT ALOE
Reply:
	llega el lunes la NIACI
</t>
      </text>
    </comment>
    <comment authorId="63" xr:uid="{6c8b35e6-330c-483d-a83d-745007162406}" ref="B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FALTA GLIOXILICO
</t>
      </text>
    </comment>
    <comment authorId="64" xr:uid="{6e3a25db-d202-4195-8530-61b33a2dc3cc}" ref="D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65" xr:uid="{7101d59a-b3dc-4718-9584-4823036e7b82}" ref="B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66" xr:uid="{74a71dc8-4b69-4ec3-a65b-2c5784890719}" ref="F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ACIDO ESTEARICO!!
</t>
      </text>
    </comment>
    <comment authorId="67" xr:uid="{74fada5d-c0b1-4d61-a85b-68ff4d2c4ab9}" ref="F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68" xr:uid="{75db1048-4185-40ae-b60a-4972cfa4ba8f}" ref="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PEG
</t>
      </text>
    </comment>
    <comment authorId="69" xr:uid="{7605f85a-72bf-47e7-8412-3cbe51449478}" ref="D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EMPEZAR FALTA FRAGANCIA
</t>
      </text>
    </comment>
    <comment authorId="70" xr:uid="{7ca6dfdd-b553-4646-a94b-069c00664c33}" ref="H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
KRIM 400
ACEITE DE ARGAN
ACIDO GLIOXILICO
FRAGANCIA PUMITA FULL- VASANA
ALCOHOL CETILICO
</t>
      </text>
    </comment>
    <comment authorId="71" xr:uid="{829a04e8-9129-4200-9b24-6b0fd92ee44b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FALTA SOLUCION AMARANTO 1% PERO SUPONGO Q SE PUEDE HACER IGUAL
</t>
      </text>
    </comment>
    <comment authorId="72" xr:uid="{829b5cf8-eb36-47fd-9f4d-7438477b57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
OLIVEM1000
ACEITE JOJOBA
COLAGENO HIDROLIZADO
HIDROLIZADO DE PROTEINA DE ARROZ
COENZIMA Q10
EUXYL K903
</t>
      </text>
    </comment>
    <comment authorId="73" xr:uid="{86e58b80-8bc1-4299-93ba-4c0ab4fe9a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74" xr:uid="{87884abb-9769-4486-8191-e6aa375d2853}" ref="D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FRACCIONADO
</t>
      </text>
    </comment>
    <comment authorId="75" xr:uid="{8b040ca7-1223-4134-b1d8-a67ddd1b042a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ACEITE DE LINO
</t>
      </text>
    </comment>
    <comment authorId="76" xr:uid="{8c1b4d83-b370-46f3-a99e-8f116113aa70}" ref="F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HIALURONICO
</t>
      </text>
    </comment>
    <comment authorId="77" xr:uid="{8dbd3175-07ac-4e8a-baab-c574b8db291f}" ref="D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PUEDEN HACER LAS DOS COSAS
</t>
      </text>
    </comment>
    <comment authorId="78" xr:uid="{8e5e6dbd-f482-4885-89e8-d04302c32840}" ref="B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79" xr:uid="{94aaa989-05e5-48a7-b3e9-51b022a9c93f}" ref="H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80" xr:uid="{96e7e833-9cd2-4a80-bf28-6cff213b78e3}" ref="F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81" xr:uid="{97fb3948-ee15-4c80-97ab-c6769fbe08e7}" ref="B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TWEEN Y PLANTAREN
</t>
      </text>
    </comment>
    <comment authorId="82" xr:uid="{9854c0b7-314a-40a3-b709-463be4d5e2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ACEITE DE LINO PERO CAPAZ SE PUEDE HACER IGUAL
</t>
      </text>
    </comment>
    <comment authorId="83" xr:uid="{988bf9c8-3186-45ee-a73a-20b5339385f7}" ref="J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84" xr:uid="{9a5aa566-3e67-46c2-952c-ff7a740c3a60}" ref="D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 A FALTAR FRAGANCIA
</t>
      </text>
    </comment>
    <comment authorId="85" xr:uid="{9cc95afa-0773-42b7-bdea-ff56edfbe8cb}" ref="B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SE ESTA ADELANTANDO EL 17/4
</t>
      </text>
    </comment>
    <comment authorId="86" xr:uid="{9ce793e0-be6a-41bc-8966-2026dbbe8c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COENZIMA Q10 Y EUXYL K903
</t>
      </text>
    </comment>
    <comment authorId="87" xr:uid="{9eefd817-c4a6-4d22-ac3d-10cf70d4898a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88" xr:uid="{a2356b3d-f747-46d3-b6ab-fdb2885c05f6}" ref="F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
PROPILENGLICOL-4KG FALTA
CERAL ME-11KG
EXTRACTO HIDROGLIC ALOE VERA-12KG
ACEITE DE HIGADO DE BACALAO-
FRAGANCIA BQ MARAL-0,5KG
</t>
      </text>
    </comment>
    <comment authorId="89" xr:uid="{a50e47dc-e1a2-4847-8735-67f05c0c9fdd}" ref="J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olivem 1000
</t>
      </text>
    </comment>
    <comment authorId="90" xr:uid="{a67ab6e5-3bd9-45ea-ac1f-199032f9170c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FRAG, PROTEINA  DE ARROZ YEXT DE LINO
</t>
      </text>
    </comment>
    <comment authorId="91" xr:uid="{a9e0c14a-d25d-4f66-b69a-98e38e880afa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
PROTEINA HIDROLIZADA DE ARROZ
EXTRACTO DE LINO
FRAGANCIA SWEET VAINILLA / COCO VAINILLA / COOKIES VAINILLA
</t>
      </text>
    </comment>
    <comment authorId="92" xr:uid="{ab9bfb51-4bae-4791-8c42-e85a2ed58687}" ref="H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SEBOREDUCTYL
</t>
      </text>
    </comment>
    <comment authorId="93" xr:uid="{ad1c8f19-9c26-44a7-ac7c-57a9834feb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750 unidades x 200ml (rox200ml)
250 unidades x500ml (pote 1/2kg)
</t>
      </text>
    </comment>
    <comment authorId="94" xr:uid="{ad764245-3f88-4f46-b833-ff82def4ed72}" ref="H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YA FRACCIONADO!!!!!
</t>
      </text>
    </comment>
    <comment authorId="95" xr:uid="{ae5c3ed2-0e58-4871-9706-8ee2e2ba93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ahora no estan los envases, cualquier cosa avancen con el viernes
</t>
      </text>
    </comment>
    <comment authorId="96" xr:uid="{b288d6de-defd-41e7-87f9-ace3210ac588}" ref="H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 
KRIM 400
ACEITE DE ARGAN
ACIDO GLIOXILICO
FRAGANCIA PUMITA FULL- VASANA
ALCOHOL CETILICO
</t>
      </text>
    </comment>
    <comment authorId="97" xr:uid="{b7d7dc9c-892c-475f-84f3-0bca0bbb47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98" xr:uid="{b7defadd-8722-4387-b7e3-39bd2392fa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SIRTALICE Y MIEVIEW
</t>
      </text>
    </comment>
    <comment authorId="99" xr:uid="{ba10e538-cad0-4116-9326-88811af56b30}" ref="D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100" xr:uid="{bb89a042-ba3f-4560-a12b-866a19e48035}" ref="D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acido estearico
</t>
      </text>
    </comment>
    <comment authorId="101" xr:uid="{bc920dcd-c835-415e-aa2f-ae377345b5b3}" ref="B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102" xr:uid="{c2960f5a-5e72-403a-b1ff-492567d3458c}" ref="J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ARRANCAR PERO FALTA MP
</t>
      </text>
    </comment>
    <comment authorId="103" xr:uid="{c825fadd-6b8d-49b3-b39d-f572c5aaa7ec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CREMOPHOR Y NO TRAJERON GLUTATION PERO TENEMOS
Reply:
	FALTA AC. FERULICO TAMBIEN
</t>
      </text>
    </comment>
    <comment authorId="104" xr:uid="{cca6f5da-07c7-43d4-874b-26d57c14c37c}" ref="D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CAPAZ QUE ESTA EL SOBRANTE
</t>
      </text>
    </comment>
    <comment authorId="105" xr:uid="{d09dfe0a-ae35-41e6-9fa4-c5df532bb436}" ref="D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 VIT E Y GLICERINA
</t>
      </text>
    </comment>
    <comment authorId="106" xr:uid="{d32cd05a-e6f5-4f3d-be12-d41d30b0407b}" ref="H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QUE LLEGUE LA FRAGANCIA
</t>
      </text>
    </comment>
    <comment authorId="107" xr:uid="{d3a3b753-d6b8-4184-99b0-c2d970c80e02}" ref="F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CREMA DE MANOS 50KG FALTA FRAG
</t>
      </text>
    </comment>
    <comment authorId="108" xr:uid="{d5135ff6-8b21-4ba4-b0a1-23b15b0555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BELU: VALVULAS CREMERAS COMPLICADAS DE CERRAR. HABLAR CON AGUS
</t>
      </text>
    </comment>
    <comment authorId="109" xr:uid="{d945d312-febe-4669-96d8-651d450c2e89}" ref="F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MP Q TIENEN Q TRAER
</t>
      </text>
    </comment>
    <comment authorId="110" xr:uid="{da526ab0-63e8-4632-9a72-cd3680305153}" ref="H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MANDARON TODO
</t>
      </text>
    </comment>
    <comment authorId="111" xr:uid="{dca4392a-d1b4-446a-8aaf-4a8c5ad405e9}" ref="H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0.6KG DE FRAG Y LLEVA 0.8KG
</t>
      </text>
    </comment>
    <comment authorId="112" xr:uid="{dd1c9006-67e8-47ae-a697-387e4e5d95e3}" ref="D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FRACCIONADO!!!
</t>
      </text>
    </comment>
    <comment authorId="113" xr:uid="{e0f063e0-edcd-418b-83ac-fa68b11cda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pueden ser 60ml si queda bajo
</t>
      </text>
    </comment>
    <comment authorId="114" xr:uid="{e29bcc0e-9ab7-442a-a81f-421dd31371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contemplando la pendiente (el activo llega en estos dias)
</t>
      </text>
    </comment>
    <comment authorId="115" xr:uid="{e31666ac-b1f6-4e26-97cd-af833a562688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MP PARA ALGUNAS VARIEDADES (fragancias y micas)
</t>
      </text>
    </comment>
    <comment authorId="116" xr:uid="{e3a24626-5c31-4322-a02f-f61cdcb53411}" ref="H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AMONIO CUATERNARIO 25
SILICONA 949
SILICONA QUATERNIUM 22
FRAGANCIA
CAPILMAX
</t>
      </text>
    </comment>
    <comment authorId="117" xr:uid="{e5f3301e-a9cb-4204-afb2-31ddbfb17201}" ref="D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 EXTRACTO HIDROGLIC ALOE VERA
VITAMINA A
ACEITE DE HIGADO DE BACALAO
VITAMINA E
</t>
      </text>
    </comment>
    <comment authorId="118" xr:uid="{e741500f-1904-493b-8eef-3667c3df5b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lleva estuche, no guarden final
</t>
      </text>
    </comment>
    <comment authorId="119" xr:uid="{eaebc5a0-5022-484a-aa44-5b8bb0ecdf8a}" ref="J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ETOXILADO Q YA ESTA PEDIDO Y COMPERLAND
</t>
      </text>
    </comment>
    <comment authorId="120" xr:uid="{ebe703c1-254e-45ec-bea7-77e942587f55}" ref="D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Toda la MP de ECODERM llega el Lunes, se puede dejar fraccionado
</t>
      </text>
    </comment>
    <comment authorId="121" xr:uid="{ecc9a70c-aa7c-407e-bca2-5f4f03ba52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Lleva estuche
</t>
      </text>
    </comment>
    <comment authorId="122" xr:uid="{ecf7555f-8a2e-45af-b706-7adc37637183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0.1 KG DE ACEITE DE LINO
</t>
      </text>
    </comment>
    <comment authorId="123" xr:uid="{ee269931-4857-4e05-8973-96c6a2c6a381}" ref="D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124" xr:uid="{ee5385e9-90b2-45e9-b7af-e090c89c3b46}" ref="D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
EXTRACTO DE QUINOA
PHYTOSCREEN PATAGONIA
FRAGANCIA GD-40669
</t>
      </text>
    </comment>
    <comment authorId="125" xr:uid="{f20bf048-d0a6-41f6-9aed-93ba2c6444da}" ref="F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100G DE GLUCONATO DE ZINC, IGUAL CAPAZ SE PUEDE HACER POR Q LLEVA 0.3KG Y HAY 0.2KG
</t>
      </text>
    </comment>
    <comment authorId="126" xr:uid="{f3866175-0fb4-4b78-b627-980c65b9b5be}" ref="H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  <comment authorId="127" xr:uid="{f4250076-6390-4322-a728-8ba4d5ad5d5d}" ref="D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0.1KG DE RETINOL Y 0.03KG DE LIPOCHROMAN O CHROMANOL
</t>
      </text>
    </comment>
    <comment authorId="128" xr:uid="{f7d73cd7-a609-450a-b53e-4df626837a89}" ref="B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PEG
</t>
      </text>
    </comment>
    <comment authorId="129" xr:uid="{f98b754f-0cac-40af-8190-84d80860e5b2}" ref="B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DHA Y QUE CHEMIST TRAIGA LA MP
</t>
      </text>
    </comment>
    <comment authorId="130" xr:uid="{fb18c07e-3926-42d9-bc89-4366a171d1ca}" ref="J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FALTA: Baterkil LS 5000
Baterkil Plus 
Mentol 
AC. ES. Eucalipto 
HARPAGOFITO GLICOLICO
</t>
      </text>
    </comment>
    <comment authorId="131" xr:uid="{fb5ff1ec-5ff5-436b-a47b-3af6da14c5d4}" ref="D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
COMPERLAN
FRAGANCIA wood tale
ACEITE DE JOJOBA
</t>
      </text>
    </comment>
    <comment authorId="132" xr:uid="{ff2c6f6b-e861-4fe0-959a-6f3f6c393564}" ref="H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PUEDE HACER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tc={0031fa4b-c852-4c8c-9067-c02c0a430fa1}</author>
    <author>tc={061b30cf-7ecd-462f-a997-e718c11319ea}</author>
    <author>tc={0782c6f6-26f5-4bd1-a1a1-8b376cb5787d}</author>
    <author>tc={0aa0470f-268a-4eff-90c6-d49f084680c6}</author>
    <author>tc={0b8a0472-4370-4da4-a928-f4f44efc04c2}</author>
    <author>tc={0b916125-e0d7-4603-afcd-1db700b1ce5b}</author>
    <author>tc={0d9ff19e-d7a4-4582-9c16-231f375cf73b}</author>
    <author>tc={168f67dc-61ae-4dfb-9d96-295701ce6b13}</author>
    <author>tc={17e4e55a-d864-4e9d-af51-d71d209e9a96}</author>
    <author>tc={1bd18ed2-e60e-4eeb-a385-34a7d79f2f20}</author>
    <author>tc={1ddad1a0-37ff-43ec-bc51-a98bf2af7fd5}</author>
    <author>tc={22fd9556-767b-457e-b296-d1e87c201019}</author>
    <author>tc={2a87e9c7-404e-481a-81f0-94f239506406}</author>
    <author>tc={2af6aa04-3827-400a-9a74-d290179f9912}</author>
    <author>tc={2cf3df00-9001-4814-bd52-b50d954c4187}</author>
    <author>tc={2dd17afe-6894-4e8c-95c8-c60ba1c9c85a}</author>
    <author>tc={2f0756be-18a6-4d03-9f79-afacc70f10f3}</author>
    <author>tc={2f1e3a7c-1b2d-4dc4-ba35-2b99e3a7af34}</author>
    <author>tc={34f5890e-c064-4f3d-9e1c-577a8b89ec1d}</author>
    <author>tc={35ad65d6-06b4-4134-b175-6831689c0d92}</author>
    <author>tc={3648e0f0-d137-4245-9ef2-1760586df585}</author>
    <author>tc={3895c50a-b90b-4fc1-9e6a-344a01456d88}</author>
    <author>tc={3a6528fd-bcef-4c71-b5fb-6a0f9b8bb75e}</author>
    <author>tc={3cd820d8-2cd2-4728-aad4-de10e2aca0aa}</author>
    <author>tc={3ddab5fd-1a5d-4238-bb40-86dc36b281b5}</author>
    <author>tc={3e56ff41-afb0-4160-9667-cd1a413f64af}</author>
    <author>tc={3e7fc7b4-7a9d-4d65-944d-3bd2528f1446}</author>
    <author>tc={3f9b9f4b-fce4-4107-84b0-9a9847466458}</author>
    <author>tc={49ee4216-a4cd-4342-a664-fd4314d318d9}</author>
    <author>tc={4b3aaad4-1713-49f8-929a-6bfdfee8e228}</author>
    <author>tc={50dfda3c-6a5c-4338-bfe5-aeab7359db5f}</author>
    <author>tc={5791eb00-9051-4927-8e84-1e8246d3e56c}</author>
    <author>tc={59881f1f-8802-470f-ba0f-9e450ed2b6cd}</author>
    <author>tc={5aa4524b-83d9-4963-a65d-cdbd27817887}</author>
    <author>tc={5fdc106a-468c-4932-9803-0bba5170a361}</author>
    <author>tc={623a55ca-c3c4-4d64-a4ad-8a1374273ae0}</author>
    <author>tc={62e8592b-3f5b-4ea1-86a7-cda75a02137f}</author>
    <author>tc={6402449e-2207-4d71-afc3-87e997e9703b}</author>
    <author>tc={6446cec2-d5c1-4991-8f26-65f8977040e4}</author>
    <author>tc={6e7e5815-7441-45b2-be3c-1487697ec5be}</author>
    <author>tc={7278d5cd-eb35-4181-b62c-e2eaaed3621f}</author>
    <author>tc={79e574f6-76a1-44c0-9bd4-0ae27648961a}</author>
    <author>tc={7b546c38-9f03-4883-92d2-463fd940c197}</author>
    <author>tc={7e2a8df9-a1fd-4fc7-a0d4-fdfb8b52cb58}</author>
    <author>tc={7fbddf3b-a3ad-457e-9ef4-47fb8bbc4ce0}</author>
    <author>tc={81f0e19f-e96c-40d8-b427-eac766f1386b}</author>
    <author>tc={884a99a5-a568-4167-8678-9125421739f5}</author>
    <author>tc={90a9101a-0b5d-494d-aa4d-b762643576ab}</author>
    <author>tc={919d1840-d526-47cf-9b87-228f1e9c818c}</author>
    <author>tc={91ec9f06-a158-40f2-9a89-5ef25c701d2c}</author>
    <author>tc={9213e0c9-21cd-47d3-a09b-11bdbc65a0df}</author>
    <author>tc={93d8f896-5e01-4653-9cc0-27020d869ad4}</author>
    <author>tc={97f3e033-ae1a-466e-b896-3ca2517a822c}</author>
    <author>tc={9d8ea793-3d78-470b-b04a-30ede9d84d88}</author>
    <author>tc={a101e8f8-227d-47ec-9ec8-e300dad45e4a}</author>
    <author>tc={a652d2f3-1bca-43e0-a536-fe6cab335f71}</author>
    <author>tc={a8a3cbfc-19e6-4cc2-984d-76a4b1b86864}</author>
    <author>tc={b28b7f3a-d4cd-44fb-9f6c-448e295e3aec}</author>
    <author>tc={b3fc2c79-c95c-4d10-9d93-88aa90037cb8}</author>
    <author>tc={b63d4c8c-a6ba-4367-8be0-98c5af2c4d2c}</author>
    <author>tc={ba861a81-a8d0-4e4a-8a28-2f6ef86aa78d}</author>
    <author>tc={bd0b4ea2-7be7-4862-9e1c-f6c3be074e35}</author>
    <author>tc={bf602614-1758-41ba-b3a0-8c5967245e2d}</author>
    <author>tc={bf66770b-78bd-40b8-b57b-8235ccdbaf97}</author>
    <author>tc={c150c2c6-b9d1-4cf2-9142-5ac992f2cf61}</author>
    <author>tc={c267ed12-bbab-4537-a781-6233fac84098}</author>
    <author>tc={c35b00e1-73f9-4679-a85d-08a44616266d}</author>
    <author>tc={c3b1ea88-92fc-4429-abaa-87df2e1635e9}</author>
    <author>tc={c59b6d5f-b60d-4b5d-8d19-8f9f16b14547}</author>
    <author>tc={c87cd0e5-cda2-4e2c-b1bd-e74b59163b1b}</author>
    <author>tc={c999779e-2309-424d-b707-8958087bc156}</author>
    <author>tc={cc1cdb9d-aa3e-442a-8460-6cd727edcb44}</author>
    <author>tc={d046892e-de5e-486d-acf9-912570eae088}</author>
    <author>tc={d219678e-b520-462e-8052-1b5bf705e5f2}</author>
    <author>tc={d426d9b8-e7d1-4448-a848-ff8b287d19f4}</author>
    <author>tc={d510c359-4f3a-41f2-ba24-0e4fd3f3d332}</author>
    <author>tc={d5e7dbeb-adef-4293-a272-54af784e28bc}</author>
    <author>tc={ddbfcd3e-bc01-4098-b259-55d4c99b16bd}</author>
    <author>tc={de352499-6687-4699-a377-b78ad5f9e8ba}</author>
    <author>tc={e1e49d89-2df4-4177-9ba2-f438249bf754}</author>
    <author>tc={e3fd8804-2e23-4be8-b8ad-830232b52f5d}</author>
    <author>tc={e53eddf4-5957-42e7-af29-4692afb5399d}</author>
    <author>tc={e5ae326c-9a54-40df-a7c3-635805b5a005}</author>
    <author>tc={eb09c114-0677-4e0e-807d-843e19a2f7b6}</author>
    <author>tc={eb3e68fc-aebf-49af-bd15-e1f4fd6768f9}</author>
    <author>tc={f63351df-6336-494c-b2eb-3faaaed48b3a}</author>
    <author>tc={f9ae80de-15ad-4a60-9bcd-1a73788138fc}</author>
    <author>tc={fcd031c0-97b5-458a-b4e5-f522b084e3c1}</author>
    <author>tc={fe3f7726-eb46-49ca-9c9c-c55266f5db6f}</author>
    <author>tc={fe784259-916c-4dc7-946e-7915e7dddba4}</author>
    <author>tc={feae10d8-f24d-4119-8068-922ae54732ae}</author>
  </authors>
  <commentList>
    <comment authorId="0" ref="J63">
      <text>
        <t xml:space="preserve">Las que hay que vaciar están en devoluciones. No las guarden final porque hay que borrarles el lote</t>
      </text>
    </comment>
    <comment authorId="1" xr:uid="{0031fa4b-c852-4c8c-9067-c02c0a430fa1}" ref="C3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 ENV NUEVO (SE DEVUELVEN LOS FALLADOS?)
</t>
      </text>
    </comment>
    <comment authorId="2" xr:uid="{061b30cf-7ecd-462f-a997-e718c11319ea}" ref="H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Belu: Los envases tienen bolsita
</t>
      </text>
    </comment>
    <comment authorId="3" xr:uid="{0782c6f6-26f5-4bd1-a1a1-8b376cb5787d}" ref="E3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ingresaron etiquetas
</t>
      </text>
    </comment>
    <comment authorId="4" xr:uid="{0aa0470f-268a-4eff-90c6-d49f084680c6}" ref="F3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
</t>
      </text>
    </comment>
    <comment authorId="5" xr:uid="{0b8a0472-4370-4da4-a928-f4f44efc04c2}" ref="B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6" xr:uid="{0b916125-e0d7-4603-afcd-1db700b1ce5b}" ref="G3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7" xr:uid="{0d9ff19e-d7a4-4582-9c16-231f375cf73b}" ref="H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8" xr:uid="{168f67dc-61ae-4dfb-9d96-295701ce6b13}" ref="D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VAN A FALTAR 50 UNIDADES, ENTRARON 450
</t>
      </text>
    </comment>
    <comment authorId="9" xr:uid="{17e4e55a-d864-4e9d-af51-d71d209e9a96}" ref="H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ESTAN LOS ENVASES.
</t>
      </text>
    </comment>
    <comment authorId="10" xr:uid="{1bd18ed2-e60e-4eeb-a385-34a7d79f2f20}" ref="K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SEPARAR TAPA DE POTE
Reply:
	SACAR BOLSITA DE ENVASES
</t>
      </text>
    </comment>
    <comment authorId="11" xr:uid="{1ddad1a0-37ff-43ec-bc51-a98bf2af7fd5}" ref="C3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cortar valvulas
</t>
      </text>
    </comment>
    <comment authorId="12" xr:uid="{22fd9556-767b-457e-b296-d1e87c201019}" ref="C4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INGRESO ETIQ
</t>
      </text>
    </comment>
    <comment authorId="13" xr:uid="{2a87e9c7-404e-481a-81f0-94f239506406}" ref="C4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Etiqueta Masivo
</t>
      </text>
    </comment>
    <comment authorId="14" xr:uid="{2af6aa04-3827-400a-9a74-d290179f9912}" ref="F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LAVAR SERUMS
</t>
      </text>
    </comment>
    <comment authorId="15" xr:uid="{2cf3df00-9001-4814-bd52-b50d954c4187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llega con la cantidad de estuches.
</t>
      </text>
    </comment>
    <comment authorId="16" xr:uid="{2dd17afe-6894-4e8c-95c8-c60ba1c9c85a}" ref="D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VALULAS
</t>
      </text>
    </comment>
    <comment authorId="17" xr:uid="{2f0756be-18a6-4d03-9f79-afacc70f10f3}" ref="C5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LIMPIAR CON PAPEL LAS TAPAS
</t>
      </text>
    </comment>
    <comment authorId="18" xr:uid="{2f1e3a7c-1b2d-4dc4-ba35-2b99e3a7af34}" ref="J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19" xr:uid="{34f5890e-c064-4f3d-9e1c-577a8b89ec1d}" ref="H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 CAJAS VAN A QUEDAR JUSTAS POR GATILLO
</t>
      </text>
    </comment>
    <comment authorId="20" xr:uid="{35ad65d6-06b4-4134-b175-6831689c0d92}" ref="F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NUNCA INGRESO AL LAB BIONIC X900
</t>
      </text>
    </comment>
    <comment authorId="21" xr:uid="{3648e0f0-d137-4245-9ef2-1760586df585}" ref="H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Etiqueta E Masivo!
</t>
      </text>
    </comment>
    <comment authorId="22" xr:uid="{3895c50a-b90b-4fc1-9e6a-344a01456d88}" ref="H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etiquetar
Reply:
	aca
</t>
      </text>
    </comment>
    <comment authorId="23" xr:uid="{3a6528fd-bcef-4c71-b5fb-6a0f9b8bb75e}" ref="F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ETIQUETA EN LA TAPA E INCERTO!
Reply:
	INGRESARON 855 U
Marcado como resuelto
</t>
      </text>
    </comment>
    <comment authorId="24" xr:uid="{3cd820d8-2cd2-4728-aad4-de10e2aca0aa}" ref="H3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que traer valvulas o bombas
</t>
      </text>
    </comment>
    <comment authorId="25" xr:uid="{3ddab5fd-1a5d-4238-bb40-86dc36b281b5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etiquetemoslo
</t>
      </text>
    </comment>
    <comment authorId="26" xr:uid="{3e56ff41-afb0-4160-9667-cd1a413f64af}" ref="B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CAJAS BL COSMETICS PARA ENVASE DE KG
</t>
      </text>
    </comment>
    <comment authorId="27" xr:uid="{3e7fc7b4-7a9d-4d65-944d-3bd2528f1446}" ref="H3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ALCANZAN LOS ESTUCHES
</t>
      </text>
    </comment>
    <comment authorId="28" xr:uid="{3f9b9f4b-fce4-4107-84b0-9a9847466458}" ref="H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ETIQUETA MASIVO
</t>
      </text>
    </comment>
    <comment authorId="29" xr:uid="{49ee4216-a4cd-4342-a664-fd4314d318d9}" ref="E3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ingresaron 500 tapas
</t>
      </text>
    </comment>
    <comment authorId="30" xr:uid="{4b3aaad4-1713-49f8-929a-6bfdfee8e228}" ref="B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31" xr:uid="{50dfda3c-6a5c-4338-bfe5-aeab7359db5f}" ref="C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TENGO ETIQUETAS
</t>
      </text>
    </comment>
    <comment authorId="32" xr:uid="{5791eb00-9051-4927-8e84-1e8246d3e56c}" ref="F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INSERTO!!
</t>
      </text>
    </comment>
    <comment authorId="33" xr:uid="{59881f1f-8802-470f-ba0f-9e450ed2b6cd}" ref="K3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FALTANTES ETIQUETAS
</t>
      </text>
    </comment>
    <comment authorId="34" xr:uid="{5aa4524b-83d9-4963-a65d-cdbd27817887}" ref="I3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 material de empaque
Reply:
	llega mañana viernes
</t>
      </text>
    </comment>
    <comment authorId="35" xr:uid="{5fdc106a-468c-4932-9803-0bba5170a361}" ref="J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valvulas!
</t>
      </text>
    </comment>
    <comment authorId="36" xr:uid="{623a55ca-c3c4-4d64-a4ad-8a1374273ae0}" ref="F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37" xr:uid="{62e8592b-3f5b-4ea1-86a7-cda75a02137f}" ref="F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LIMPIAR ENVASES
</t>
      </text>
    </comment>
    <comment authorId="38" xr:uid="{6402449e-2207-4d71-afc3-87e997e9703b}" ref="G3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cortar valvulas
</t>
      </text>
    </comment>
    <comment authorId="39" xr:uid="{6446cec2-d5c1-4991-8f26-65f8977040e4}" ref="F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 (ETIQUETAS NO HAY NADA)
Reply:
	llegan hoy
</t>
      </text>
    </comment>
    <comment authorId="40" xr:uid="{6e7e5815-7441-45b2-be3c-1487697ec5be}" ref="D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LLEGARON 51 ETIQUETAS.
</t>
      </text>
    </comment>
    <comment authorId="41" xr:uid="{7278d5cd-eb35-4181-b62c-e2eaaed3621f}" ref="F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42" xr:uid="{79e574f6-76a1-44c0-9bd4-0ae27648961a}" ref="H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llega con la cantidad de estuches
</t>
      </text>
    </comment>
    <comment authorId="43" xr:uid="{7b546c38-9f03-4883-92d2-463fd940c197}" ref="H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MI ETIQUETAR ACA.
</t>
      </text>
    </comment>
    <comment authorId="44" xr:uid="{7e2a8df9-a1fd-4fc7-a0d4-fdfb8b52cb58}" ref="B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45" xr:uid="{7fbddf3b-a3ad-457e-9ef4-47fb8bbc4ce0}" ref="F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ETIQUETA MASIVO. hay que llenar aprox 50 unidades de acondicionador vitamin shock (envase dorado) con un sobrante
</t>
      </text>
    </comment>
    <comment authorId="46" xr:uid="{81f0e19f-e96c-40d8-b427-eac766f1386b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ingreso 4920 (van a faltar 80 u)
</t>
      </text>
    </comment>
    <comment authorId="47" xr:uid="{884a99a5-a568-4167-8678-9125421739f5}" ref="B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inserto
</t>
      </text>
    </comment>
    <comment authorId="48" xr:uid="{90a9101a-0b5d-494d-aa4d-b762643576ab}" ref="K5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LIMPIAR ENVASES
</t>
      </text>
    </comment>
    <comment authorId="49" xr:uid="{919d1840-d526-47cf-9b87-228f1e9c818c}" ref="F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INGRESARON 855 U
</t>
      </text>
    </comment>
    <comment authorId="50" xr:uid="{91ec9f06-a158-40f2-9a89-5ef25c701d2c}" ref="J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etiquetemoslo
</t>
      </text>
    </comment>
    <comment authorId="51" xr:uid="{9213e0c9-21cd-47d3-a09b-11bdbc65a0df}" ref="E4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solicitar tapas de aluminio. no alcanza para el pedido
Reply:
	llegan el lunes
</t>
      </text>
    </comment>
    <comment authorId="52" xr:uid="{93d8f896-5e01-4653-9cc0-27020d869ad4}" ref="F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LAVAR POTES
</t>
      </text>
    </comment>
    <comment authorId="53" xr:uid="{97f3e033-ae1a-466e-b896-3ca2517a822c}" ref="F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 ingreso van a faltar 100 unidades de etiquetas.
</t>
      </text>
    </comment>
    <comment authorId="54" xr:uid="{9d8ea793-3d78-470b-b04a-30ede9d84d88}" ref="J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ENVASES ACA EN EL LAB, LE DEVOLVIMOS TODO EXCEPTO VIT SHOCK
</t>
      </text>
    </comment>
    <comment authorId="55" xr:uid="{a101e8f8-227d-47ec-9ec8-e300dad45e4a}" ref="D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56" xr:uid="{a652d2f3-1bca-43e0-a536-fe6cab335f71}" ref="C3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 cantidades son por dia
</t>
      </text>
    </comment>
    <comment authorId="57" xr:uid="{a8a3cbfc-19e6-4cc2-984d-76a4b1b86864}" ref="F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etiquetado
</t>
      </text>
    </comment>
    <comment authorId="58" xr:uid="{b28b7f3a-d4cd-44fb-9f6c-448e295e3aec}" ref="K4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INGRESO DE ETIQUETAS
</t>
      </text>
    </comment>
    <comment authorId="59" xr:uid="{b3fc2c79-c95c-4d10-9d93-88aa90037cb8}" ref="G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SOLICITAR MAS CAJAS VARIEDAD VERDE Y AZUL. LO MISMO CON LAS ETIQUETAS. INGRESARON 3.000 DE C/U
</t>
      </text>
    </comment>
    <comment authorId="60" xr:uid="{b63d4c8c-a6ba-4367-8be0-98c5af2c4d2c}" ref="B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100ml exacto
</t>
      </text>
    </comment>
    <comment authorId="61" xr:uid="{ba861a81-a8d0-4e4a-8a28-2f6ef86aa78d}" ref="G4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 MATERIAL DE EMPAUQE
</t>
      </text>
    </comment>
    <comment authorId="62" xr:uid="{bd0b4ea2-7be7-4862-9e1c-f6c3be074e35}" ref="C3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INGRESARON 1800
</t>
      </text>
    </comment>
    <comment authorId="63" xr:uid="{bf602614-1758-41ba-b3a0-8c5967245e2d}" ref="K3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INGRESARON 500 TAPAS, FALTARIAN 200 PARA COMPLETAR EL PEDIDO
</t>
      </text>
    </comment>
    <comment authorId="64" xr:uid="{bf66770b-78bd-40b8-b57b-8235ccdbaf97}" ref="D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LLEVAN INSERTO
</t>
      </text>
    </comment>
    <comment authorId="65" xr:uid="{c150c2c6-b9d1-4cf2-9142-5ac992f2cf61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66" xr:uid="{c267ed12-bbab-4537-a781-6233fac84098}" ref="F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TAPON ALUMINIO COLOR BLANCO
</t>
      </text>
    </comment>
    <comment authorId="67" xr:uid="{c35b00e1-73f9-4679-a85d-08a44616266d}" ref="F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SACAR BOLSITA A ENVASES
</t>
      </text>
    </comment>
    <comment authorId="68" xr:uid="{c3b1ea88-92fc-4429-abaa-87df2e1635e9}" ref="D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etiquetemos aca
</t>
      </text>
    </comment>
    <comment authorId="69" xr:uid="{c59b6d5f-b60d-4b5d-8d19-8f9f16b14547}" ref="F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llego a etiquetar todos los envases. Llegaron menos etiquetas
</t>
      </text>
    </comment>
    <comment authorId="70" xr:uid="{c87cd0e5-cda2-4e2c-b1bd-e74b59163b1b}" ref="D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vienen las tapas pendientes de la vez pasada llenemos esas 300 que faltaron
</t>
      </text>
    </comment>
    <comment authorId="71" xr:uid="{c999779e-2309-424d-b707-8958087bc156}" ref="D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una vez que se tapan hay que pegar etiqueta de la tapa!!
</t>
      </text>
    </comment>
    <comment authorId="72" xr:uid="{cc1cdb9d-aa3e-442a-8460-6cd727edcb44}" ref="I4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INGRESO DE TAPAS
</t>
      </text>
    </comment>
    <comment authorId="73" xr:uid="{d046892e-de5e-486d-acf9-912570eae088}" ref="D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etiquetemos y estuchemos
</t>
      </text>
    </comment>
    <comment authorId="74" xr:uid="{d219678e-b520-462e-8052-1b5bf705e5f2}" ref="B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 PARA CANTIDADES SOLICITADAS POR EL CLIENTE
Reply:
	cuantos envases ingresaron?
Reply:
	En total ingreso 1176 unidades (ESTO INCLUYE LA PRODUCCION DEL 7/5
</t>
      </text>
    </comment>
    <comment authorId="75" xr:uid="{d426d9b8-e7d1-4448-a848-ff8b287d19f4}" ref="I3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Faltante etiquetas (tapa 100 y pote 1.600 u)
</t>
      </text>
    </comment>
    <comment authorId="76" xr:uid="{d510c359-4f3a-41f2-ba24-0e4fd3f3d332}" ref="F3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llego a etiquetar cantidad total (etiquetas rotas)
</t>
      </text>
    </comment>
    <comment authorId="77" xr:uid="{d5e7dbeb-adef-4293-a272-54af784e28bc}" ref="H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
</t>
      </text>
    </comment>
    <comment authorId="78" xr:uid="{ddbfcd3e-bc01-4098-b259-55d4c99b16bd}" ref="D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LIMPIAR ENVASES (ESTAN CONTAMINADOS)
</t>
      </text>
    </comment>
    <comment authorId="79" xr:uid="{de352499-6687-4699-a377-b78ad5f9e8ba}" ref="E4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ENVASES VINIERON SIN SERIGRAFIAR ¿LLEVA ETIQUETA?
</t>
      </text>
    </comment>
    <comment authorId="80" xr:uid="{e1e49d89-2df4-4177-9ba2-f438249bf754}" ref="K5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LLEGARON ETIQEUTAS
</t>
      </text>
    </comment>
    <comment authorId="81" xr:uid="{e3fd8804-2e23-4be8-b8ad-830232b52f5d}" ref="C4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ingreso etiquetas
</t>
      </text>
    </comment>
    <comment authorId="82" xr:uid="{e53eddf4-5957-42e7-af29-4692afb5399d}" ref="I4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
</t>
      </text>
    </comment>
    <comment authorId="83" xr:uid="{e5ae326c-9a54-40df-a7c3-635805b5a005}" ref="B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ingresaron 959 u
</t>
      </text>
    </comment>
    <comment authorId="84" xr:uid="{eb09c114-0677-4e0e-807d-843e19a2f7b6}" ref="K3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VAN A FALTAR 100 UNIDADES P/ETIQUETAR
</t>
      </text>
    </comment>
    <comment authorId="85" xr:uid="{eb3e68fc-aebf-49af-bd15-e1f4fd6768f9}" ref="G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 SOLICITAR TAPONES DE ALUMINIO (STOCK 0)
</t>
      </text>
    </comment>
    <comment authorId="86" xr:uid="{f63351df-6336-494c-b2eb-3faaaed48b3a}" ref="G3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 M.E
</t>
      </text>
    </comment>
    <comment authorId="87" xr:uid="{f9ae80de-15ad-4a60-9bcd-1a73788138fc}" ref="D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etiqueta E masivo
</t>
      </text>
    </comment>
    <comment authorId="88" xr:uid="{fcd031c0-97b5-458a-b4e5-f522b084e3c1}" ref="C4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INGRESARON ETIQUETAS
</t>
      </text>
    </comment>
    <comment authorId="89" xr:uid="{fe3f7726-eb46-49ca-9c9c-c55266f5db6f}" ref="J3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FRAN: tengo coronados de gloria para arrancar
</t>
      </text>
    </comment>
    <comment authorId="90" xr:uid="{fe784259-916c-4dc7-946e-7915e7dddba4}" ref="C5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INGRESO DE ETIQUETAS
</t>
      </text>
    </comment>
    <comment authorId="91" xr:uid="{feae10d8-f24d-4119-8068-922ae54732ae}" ref="F3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INGRESO
</t>
      </text>
    </comment>
  </commentList>
</comments>
</file>

<file path=xl/sharedStrings.xml><?xml version="1.0" encoding="utf-8"?>
<sst xmlns="http://schemas.openxmlformats.org/spreadsheetml/2006/main" count="4856" uniqueCount="1931">
  <si>
    <t>Lunes</t>
  </si>
  <si>
    <t>Martes</t>
  </si>
  <si>
    <t>Miércoles</t>
  </si>
  <si>
    <t>Jueves</t>
  </si>
  <si>
    <t>Viernes</t>
  </si>
  <si>
    <t>Febrero</t>
  </si>
  <si>
    <t>CRISTIAN</t>
  </si>
  <si>
    <t>LAB ONCE</t>
  </si>
  <si>
    <t>NIZA</t>
  </si>
  <si>
    <t>THELMA Y LOUISE</t>
  </si>
  <si>
    <t>SERUM AH+NIA</t>
  </si>
  <si>
    <t>MIXOLOGI INFLAMADA</t>
  </si>
  <si>
    <t>CREMA CHERRY</t>
  </si>
  <si>
    <t>55KG</t>
  </si>
  <si>
    <t>95KG</t>
  </si>
  <si>
    <t>265KG TOTAL</t>
  </si>
  <si>
    <t>MIXOLOGI DESVITAL</t>
  </si>
  <si>
    <t>ALL BEAUTY</t>
  </si>
  <si>
    <t>JACTANS</t>
  </si>
  <si>
    <t>SERUM AH</t>
  </si>
  <si>
    <t>MIXOLOGI DESHIDRATADA</t>
  </si>
  <si>
    <t>AGUA MIC BIFASICA</t>
  </si>
  <si>
    <t>33kg</t>
  </si>
  <si>
    <t>130KG</t>
  </si>
  <si>
    <t>NICOLAS</t>
  </si>
  <si>
    <t>WSABI</t>
  </si>
  <si>
    <t>SERUM TENSOR 17KG (NUEVA FORMULA)</t>
  </si>
  <si>
    <t>CREMA DE ORDEÑE</t>
  </si>
  <si>
    <t>AGUA TERMAL 320KG</t>
  </si>
  <si>
    <t>450KG</t>
  </si>
  <si>
    <t xml:space="preserve">TATWO </t>
  </si>
  <si>
    <t>LOCION PIERCING 50KG</t>
  </si>
  <si>
    <t>NATCEUTICALS</t>
  </si>
  <si>
    <t>ORIGINIAL BLACK</t>
  </si>
  <si>
    <t>GEL LIMPIEADOR 45KG</t>
  </si>
  <si>
    <t>AFTER COOL WATER</t>
  </si>
  <si>
    <t>EMULSION LIMPIEZA 45KG</t>
  </si>
  <si>
    <t>INTENCIONAL</t>
  </si>
  <si>
    <t>BL COSMETICS</t>
  </si>
  <si>
    <t>THE CHEMIST LOOK</t>
  </si>
  <si>
    <t>CAV</t>
  </si>
  <si>
    <t>CREMA HIDRATANTE</t>
  </si>
  <si>
    <t>ALISADO EXPERT</t>
  </si>
  <si>
    <t>SERUM VITAMINA C 50KG</t>
  </si>
  <si>
    <t>SHAMPOO 420KG</t>
  </si>
  <si>
    <t>530KG</t>
  </si>
  <si>
    <t>680KG (hay sorante ver)</t>
  </si>
  <si>
    <t>SERUM NIACI 55KG</t>
  </si>
  <si>
    <t>MERMER</t>
  </si>
  <si>
    <t>ALISADO KERATIN 310KG</t>
  </si>
  <si>
    <t>SERUM CAPILAR 44KG</t>
  </si>
  <si>
    <t>SARAC</t>
  </si>
  <si>
    <t>RHIFT</t>
  </si>
  <si>
    <t>FRACCIONADO BUTTER</t>
  </si>
  <si>
    <t>SERUM DESPIG 22KG</t>
  </si>
  <si>
    <t>SERUM HYALU 40KG</t>
  </si>
  <si>
    <t>LURE</t>
  </si>
  <si>
    <t>DEL ARCA BOTANICA</t>
  </si>
  <si>
    <t>GOLD MASK 70KG</t>
  </si>
  <si>
    <t>OLEO 30+1 12KG</t>
  </si>
  <si>
    <t>FRACCIONADO SUGAR</t>
  </si>
  <si>
    <t>SH FORTALECEDOR</t>
  </si>
  <si>
    <t>KALA</t>
  </si>
  <si>
    <t>25KG</t>
  </si>
  <si>
    <t>SERUM INTIMO 10kg</t>
  </si>
  <si>
    <t>AGUA DE ROSAS 65KG</t>
  </si>
  <si>
    <t>BIOESENCIA</t>
  </si>
  <si>
    <t>LOCION CAPILAR 44KG</t>
  </si>
  <si>
    <t>ACONDICIONADOR 100KG</t>
  </si>
  <si>
    <t>TYL</t>
  </si>
  <si>
    <t>CREMA EXF DAMAZCO</t>
  </si>
  <si>
    <t>CREMA BABA CARACOL</t>
  </si>
  <si>
    <t>SERUM ANTIAGE 70KG</t>
  </si>
  <si>
    <t>20KG</t>
  </si>
  <si>
    <t>SERUM DESCONG 70KG</t>
  </si>
  <si>
    <t>Marzo</t>
  </si>
  <si>
    <t>DISNEY</t>
  </si>
  <si>
    <t>OSSPRET</t>
  </si>
  <si>
    <t>OLANN</t>
  </si>
  <si>
    <t>ESPUMA BAÑO 140kg</t>
  </si>
  <si>
    <t>TONICO EQUILIBRIO 220KG</t>
  </si>
  <si>
    <t>CREMA DIA 9KG</t>
  </si>
  <si>
    <t>300KG</t>
  </si>
  <si>
    <t>CREMA NOCHE 9KG</t>
  </si>
  <si>
    <t>SHAMPOO 140KG</t>
  </si>
  <si>
    <t>homogenea y ver color!</t>
  </si>
  <si>
    <t>UNICA</t>
  </si>
  <si>
    <t>SERUM ALBA 10KG</t>
  </si>
  <si>
    <t>SERUM BIFASICO JOJOBA</t>
  </si>
  <si>
    <t>CREMA CORPORAL</t>
  </si>
  <si>
    <t>SERUM BIFASICO BLUEBERRY</t>
  </si>
  <si>
    <t>KARITE 150KG</t>
  </si>
  <si>
    <t>ALISADO KERATIN</t>
  </si>
  <si>
    <t>100KG C/U</t>
  </si>
  <si>
    <t>TSU</t>
  </si>
  <si>
    <t>CR SECRETO VAINI 5KG</t>
  </si>
  <si>
    <t>CR DE MANOS 50KG</t>
  </si>
  <si>
    <t>LECHE DE LIMPIEZA 100KG</t>
  </si>
  <si>
    <t>CREMA ENERO 50KG</t>
  </si>
  <si>
    <t>PROF BEAUTY</t>
  </si>
  <si>
    <t>CR SECRET MELON 10KG</t>
  </si>
  <si>
    <t>CR EXF MANOS 17KG</t>
  </si>
  <si>
    <t>CONTORNO DE OJOS 10KG</t>
  </si>
  <si>
    <t>GEL NEUTRO 260KG</t>
  </si>
  <si>
    <t>PIGMENT PROTOCOL</t>
  </si>
  <si>
    <t>THE GLOW FACTOR</t>
  </si>
  <si>
    <t>SERUM VITAMIN 10KG</t>
  </si>
  <si>
    <t>UNGUENTO PORPOLEO</t>
  </si>
  <si>
    <t>70KG</t>
  </si>
  <si>
    <t>CREMA CLARITE 35KG</t>
  </si>
  <si>
    <t>GEL AKI 75KG</t>
  </si>
  <si>
    <t>75KG</t>
  </si>
  <si>
    <t>Hay sobrante</t>
  </si>
  <si>
    <t>CREMA ORDEÑE</t>
  </si>
  <si>
    <t>SERUM CAPILAR 45kg</t>
  </si>
  <si>
    <t>LOCION CAPILAR 45kg</t>
  </si>
  <si>
    <t>AGUAZU</t>
  </si>
  <si>
    <t>NICOLE NEUMANN</t>
  </si>
  <si>
    <t>ESPUMA DE BAÑO 195kg</t>
  </si>
  <si>
    <t>SERUM VIT C 10KG</t>
  </si>
  <si>
    <t>MASCARA CAPILAR 220kg</t>
  </si>
  <si>
    <t>BRUMA FACIAL 80KG</t>
  </si>
  <si>
    <t>BRUMA FACIAL 30KG</t>
  </si>
  <si>
    <t>CREMA CORPORAL 100KG</t>
  </si>
  <si>
    <t>LIORA</t>
  </si>
  <si>
    <t>CRISLY</t>
  </si>
  <si>
    <t>SHAMPOO 88KG</t>
  </si>
  <si>
    <t>CREMA PARA RULOS 55KG</t>
  </si>
  <si>
    <t>CREMA AVENA</t>
  </si>
  <si>
    <t>SERUM AH 10KG</t>
  </si>
  <si>
    <t>Con frag CALVIN KLEIN</t>
  </si>
  <si>
    <t>260KG</t>
  </si>
  <si>
    <t>TONICO VEGAN 130KG</t>
  </si>
  <si>
    <t>ECODERM</t>
  </si>
  <si>
    <t>ALCOHOL EN GEL</t>
  </si>
  <si>
    <t>CREMA FACIAL VEGAN 55KG</t>
  </si>
  <si>
    <t>BALSAMO HERBAL 10KG</t>
  </si>
  <si>
    <t>PIGMENT PROTOCOL 65KG</t>
  </si>
  <si>
    <t>FRACCIONAR VAINILLA 50KG</t>
  </si>
  <si>
    <t>BRUMA ORIGENES 130KG</t>
  </si>
  <si>
    <t>ACONDICIONADOR DUGA 40KG</t>
  </si>
  <si>
    <t>ALCOHOL TYL</t>
  </si>
  <si>
    <t>SERUM AH 50KG</t>
  </si>
  <si>
    <t>FRACCIONAR COCO</t>
  </si>
  <si>
    <t>SERUM BIFASICO ROSAS</t>
  </si>
  <si>
    <t>PLANTAE</t>
  </si>
  <si>
    <t>CRISTAL LIQUIDO 60KG</t>
  </si>
  <si>
    <t>SERUM AC GLICOLIC 17KG</t>
  </si>
  <si>
    <t>SERUM BIFASICO PEPINO</t>
  </si>
  <si>
    <t>SH SOLIDO HENNA 50KG</t>
  </si>
  <si>
    <t>SH SOLIDO KARITE 50KG</t>
  </si>
  <si>
    <t>NE</t>
  </si>
  <si>
    <t>CREMA NOCHE 33KG</t>
  </si>
  <si>
    <t>ACONDICIONADOR 88KG</t>
  </si>
  <si>
    <t>AGUEDA REY-ALMA HAIR</t>
  </si>
  <si>
    <t>Rebond C-Plex CAV 110kg</t>
  </si>
  <si>
    <t>ALCOHOL EN GEL 200KG</t>
  </si>
  <si>
    <t>ACONDIC CEBOLLA</t>
  </si>
  <si>
    <t>CREMA VITAMIN SHOCK 110KG</t>
  </si>
  <si>
    <t xml:space="preserve"> </t>
  </si>
  <si>
    <t>Finishing C-Plex CAV 210kg</t>
  </si>
  <si>
    <t>350kg</t>
  </si>
  <si>
    <t>EMULSION PROBIOTIC  210kg</t>
  </si>
  <si>
    <t>BAÑO BE VEGAN 260KG</t>
  </si>
  <si>
    <t>SERUM CAPILAR 45KG</t>
  </si>
  <si>
    <t>CREMA HID LIGERA 27KG</t>
  </si>
  <si>
    <t>BOR</t>
  </si>
  <si>
    <t>BODY BUTTER SANDIA 20KG</t>
  </si>
  <si>
    <t>SERUM ANTIOX 17KG</t>
  </si>
  <si>
    <t>AGUA MICELAR BIFASICA  110KG</t>
  </si>
  <si>
    <t>SUGAR CANDY 20KG</t>
  </si>
  <si>
    <t>ICONO</t>
  </si>
  <si>
    <t>SERUM AH 1% 6KG</t>
  </si>
  <si>
    <t>MASCARA PAPAYA</t>
  </si>
  <si>
    <t>CLEAR ACNE LOTION 27kg</t>
  </si>
  <si>
    <t xml:space="preserve">BASE SERUM 36KG </t>
  </si>
  <si>
    <t>800KG</t>
  </si>
  <si>
    <t>SIGNATURE AGE REVERSE</t>
  </si>
  <si>
    <t>ARREGLAR CREMAS X2</t>
  </si>
  <si>
    <t xml:space="preserve">17KG </t>
  </si>
  <si>
    <t>FRACCIONAR</t>
  </si>
  <si>
    <t>AGUA MICELAR 110KG</t>
  </si>
  <si>
    <t>CREMA TENSRORA 110KG</t>
  </si>
  <si>
    <t>BRUMA FIJADORA 85KG</t>
  </si>
  <si>
    <t>DESMAQ BIFASICO 165KG</t>
  </si>
  <si>
    <t>ALCOHOL TYL CHICLE 50KG</t>
  </si>
  <si>
    <t>AGUEDA REY - IHC CAPILARES</t>
  </si>
  <si>
    <t xml:space="preserve">ALC EN GEL SANDIA </t>
  </si>
  <si>
    <t>SH  Anticaida D: 250203-3</t>
  </si>
  <si>
    <t>ALC EN GEL CHICLE</t>
  </si>
  <si>
    <t>Shampoo Anti Caspa D250204-3</t>
  </si>
  <si>
    <t>180KG / 180KG</t>
  </si>
  <si>
    <t>Shampoo Anti Sebo D250205-3</t>
  </si>
  <si>
    <t>210KG C/U</t>
  </si>
  <si>
    <t>EXFOLIANTE GA 35KG</t>
  </si>
  <si>
    <t>REVIVE GEL 55KG</t>
  </si>
  <si>
    <t>BEKIM</t>
  </si>
  <si>
    <t>SHAMPOO SOLIDO 66KG</t>
  </si>
  <si>
    <t>ACONDIC SOLIDO 66KG</t>
  </si>
  <si>
    <t>SH Engrosador D250210-3</t>
  </si>
  <si>
    <t>ACO Biotina D: 250207-3</t>
  </si>
  <si>
    <t>CR NOCHE ORIGENES 55KG</t>
  </si>
  <si>
    <t>ALCOHOL EN GEL NEUTRO 90KG</t>
  </si>
  <si>
    <t>SERUM ORIGENES 7KG</t>
  </si>
  <si>
    <t>ALC EN GEL CAPUCHINO 90KG</t>
  </si>
  <si>
    <t>LUCENT</t>
  </si>
  <si>
    <t>BB LIPS NATURAL 18KG</t>
  </si>
  <si>
    <t>COSMECEUTICALS</t>
  </si>
  <si>
    <t>SERUM DEEP 18KG</t>
  </si>
  <si>
    <t>Abril</t>
  </si>
  <si>
    <t>TIERRAS DEL VOLCAN</t>
  </si>
  <si>
    <t>ORIGINAL BLACK</t>
  </si>
  <si>
    <t>SHAMPOO CONTROL LISS</t>
  </si>
  <si>
    <t>LECHE DE LIMPIEZA</t>
  </si>
  <si>
    <t>POMADA MATE 190KG</t>
  </si>
  <si>
    <t>950KG</t>
  </si>
  <si>
    <t>300kg</t>
  </si>
  <si>
    <t>ACOND CONTROL LISS</t>
  </si>
  <si>
    <t>SERUM ARGAN 100KG</t>
  </si>
  <si>
    <t>MASCARA TENSORA 715KG</t>
  </si>
  <si>
    <t>GEL ANTIFRIZZ 16KG</t>
  </si>
  <si>
    <t>GEL PARA PIES 20KG</t>
  </si>
  <si>
    <t>CREMA TENSORA 510KG</t>
  </si>
  <si>
    <t>AGUEDA REY - EPICA</t>
  </si>
  <si>
    <t>POMADA ROJA 250KG</t>
  </si>
  <si>
    <t>SHAMPOO 100KG</t>
  </si>
  <si>
    <t>SHAMPOO NEUTRO 260KG</t>
  </si>
  <si>
    <t>SHAMPOO BIONIC 110kg</t>
  </si>
  <si>
    <t>SANITIZANTES</t>
  </si>
  <si>
    <t>Ver formula de la ROJA!</t>
  </si>
  <si>
    <t>ENTREGA 8/4</t>
  </si>
  <si>
    <t>ENTREGA 13/4</t>
  </si>
  <si>
    <t>CONDITIONER BIONIC 110KG</t>
  </si>
  <si>
    <t>COCO 150LT</t>
  </si>
  <si>
    <t>FRAMBUESA 150LT</t>
  </si>
  <si>
    <t>SERUM VIT C 18KG</t>
  </si>
  <si>
    <t>SERUM AH 2% 9KG</t>
  </si>
  <si>
    <t>ENTREGA 10/4</t>
  </si>
  <si>
    <t>6kg 2% / 3kg+3A 1%</t>
  </si>
  <si>
    <t>HOME PEEL 35KG</t>
  </si>
  <si>
    <t>MASCARA TENSORA</t>
  </si>
  <si>
    <t>DL-019-Laca infantil ROSA 20kg</t>
  </si>
  <si>
    <t>HAIR REPAIR 15KG</t>
  </si>
  <si>
    <t>SERUM RETIN 18KG</t>
  </si>
  <si>
    <t>715KG</t>
  </si>
  <si>
    <t>DL-021-Laca inf CELESTE 10kg</t>
  </si>
  <si>
    <t>COLOR SHINE 15KG</t>
  </si>
  <si>
    <t>ENTREGA 15/4</t>
  </si>
  <si>
    <t>ENTREGA MASCARA MIERCOLES 8/4</t>
  </si>
  <si>
    <t>DL-023-Laca infantil LILA 10kg</t>
  </si>
  <si>
    <t>i</t>
  </si>
  <si>
    <t>AGUA MICELAR BIFASICA</t>
  </si>
  <si>
    <t>CREMA PDRN +NAD 18KG</t>
  </si>
  <si>
    <t>830kg: 207 vaselina +       623 agua</t>
  </si>
  <si>
    <t>CREMA RADIANCE 30KG</t>
  </si>
  <si>
    <t>200KG VAMOS ARGENTINA! Y CORONADOS DE GLORIA</t>
  </si>
  <si>
    <t>ENTREGA 9/4</t>
  </si>
  <si>
    <t>ADVANCE COLAGENO 5% 7KG</t>
  </si>
  <si>
    <t>ENTREGA TYL 7/4</t>
  </si>
  <si>
    <t xml:space="preserve">5gb </t>
  </si>
  <si>
    <t>MASCARA VITAMIN 110KG</t>
  </si>
  <si>
    <t>C-PLEX PASO 3 30KG</t>
  </si>
  <si>
    <t>BOOSTER HYALU 35KG</t>
  </si>
  <si>
    <t>JABON LIQUIDO 660KG</t>
  </si>
  <si>
    <t>DISCIPLINADOR 33KG</t>
  </si>
  <si>
    <t>SHAMPOO MAXLISS 100KG</t>
  </si>
  <si>
    <t>BOOSTER NIACI 25KG</t>
  </si>
  <si>
    <t>sobrantes en tacho y caja</t>
  </si>
  <si>
    <t>ENTREGA 14/4</t>
  </si>
  <si>
    <t>ACOND MAXLISS 100KG</t>
  </si>
  <si>
    <t>ENTREGA 17/4</t>
  </si>
  <si>
    <t>ENTREGA 21/4</t>
  </si>
  <si>
    <t>FRAGANCIA CALVIN!</t>
  </si>
  <si>
    <t>DUGA SHAMPOO 63KG</t>
  </si>
  <si>
    <t>DUGA</t>
  </si>
  <si>
    <t>DERMION</t>
  </si>
  <si>
    <t>AGUA MIC PROBIOTICS</t>
  </si>
  <si>
    <t>CREMA 63KG</t>
  </si>
  <si>
    <t>SERUM AH + NIA 25KG</t>
  </si>
  <si>
    <t>SANITIZANTE NEUTRO</t>
  </si>
  <si>
    <t>210kg</t>
  </si>
  <si>
    <t>ENTREGA 16/4</t>
  </si>
  <si>
    <t>690LT</t>
  </si>
  <si>
    <t>CREMA FACIAL PROBIOTIC</t>
  </si>
  <si>
    <t>FOLIMETTO</t>
  </si>
  <si>
    <t>BASE SERUM 18KG:</t>
  </si>
  <si>
    <t>LOCION CAPILAR</t>
  </si>
  <si>
    <t>VIT C 6KG / PLACENTA 6KG/ DMAE 6KG</t>
  </si>
  <si>
    <t>PILAR</t>
  </si>
  <si>
    <t>107kg</t>
  </si>
  <si>
    <t>ACEITE CORPORAL 95LT</t>
  </si>
  <si>
    <t>FORMULA NUEVA!!!</t>
  </si>
  <si>
    <t>BB WHITE TONO 2 6KG</t>
  </si>
  <si>
    <t>ENTREGA 20/4</t>
  </si>
  <si>
    <t>AGUEDA REY</t>
  </si>
  <si>
    <t>SHAMPOO NEUTRO</t>
  </si>
  <si>
    <t>SHAMPOO 410KG</t>
  </si>
  <si>
    <t>SERUM JOJOBA 100KG</t>
  </si>
  <si>
    <t>ALISADO KERATIN 1100KG</t>
  </si>
  <si>
    <t>150KG</t>
  </si>
  <si>
    <t>ACONDICIONADOR 360KG</t>
  </si>
  <si>
    <t>ENTREGA 27/4</t>
  </si>
  <si>
    <t>ALISADO EXPERT 600KG</t>
  </si>
  <si>
    <t>ENTREGA 23/4</t>
  </si>
  <si>
    <t>ENTREGA 24/4</t>
  </si>
  <si>
    <t>AGUEDA REY-EPICA</t>
  </si>
  <si>
    <t>SERUM AH 2% 12KG</t>
  </si>
  <si>
    <t>SHAMPOO NEUTRO 40KG</t>
  </si>
  <si>
    <t>ARREGLO POMADA RED</t>
  </si>
  <si>
    <t>SERUM AH 1% 12KG</t>
  </si>
  <si>
    <t>ENTREGA 22/4</t>
  </si>
  <si>
    <t>PROF BEAUTY / LUCENT</t>
  </si>
  <si>
    <t>AGUEDA REY - YOUTHFUL</t>
  </si>
  <si>
    <t>TMCO</t>
  </si>
  <si>
    <t>BASE SERUM 100kg</t>
  </si>
  <si>
    <t>CREMA DIA 13KG</t>
  </si>
  <si>
    <t>SERUM PORCELANA 95KG</t>
  </si>
  <si>
    <t>SERUM RETINOL 40KG</t>
  </si>
  <si>
    <t>AGUA TERMAL 520KG</t>
  </si>
  <si>
    <t>BRUMA FACIAL 15KG</t>
  </si>
  <si>
    <t>SERUM HIDRATANTE ROSA 95</t>
  </si>
  <si>
    <t>DESENRREDANTE BIFASIC 350KG</t>
  </si>
  <si>
    <t>SERUM OIL 25KG</t>
  </si>
  <si>
    <t>AGUEDA REY - IKIGAI</t>
  </si>
  <si>
    <t>Serum VIT C D:230345 33kg</t>
  </si>
  <si>
    <t>CREMA HANDS AND FEET 80kg</t>
  </si>
  <si>
    <t>SIGNATURE PRO AGE 12KG</t>
  </si>
  <si>
    <t>ACOND VITAMIN 320KG</t>
  </si>
  <si>
    <t>SIGNATUREHYDRA PEEL 12KG</t>
  </si>
  <si>
    <t>ACOND BIONIC 100KG</t>
  </si>
  <si>
    <t>PERFUME STITCH</t>
  </si>
  <si>
    <t>BIOESENCA</t>
  </si>
  <si>
    <t>PROB BEAUTY /LUCENT</t>
  </si>
  <si>
    <t>AQUA BOMB RICH 18KG</t>
  </si>
  <si>
    <t>ENTREGA 29/4</t>
  </si>
  <si>
    <t>100KG FRAG: 0369RD 2,5%</t>
  </si>
  <si>
    <t>REPARADOR PUNTAS 17KG</t>
  </si>
  <si>
    <t>FRACCIONAR BASE SERUM</t>
  </si>
  <si>
    <t>BRIGHT AND WITHE EYE 9KG</t>
  </si>
  <si>
    <t>Mayo</t>
  </si>
  <si>
    <t>LABORATORIO ONCE</t>
  </si>
  <si>
    <t>REBOND C-PLEX PASO 1 45KG</t>
  </si>
  <si>
    <t>CREMA HID LIVIANA 17KG</t>
  </si>
  <si>
    <t>SCRUB LABIAL</t>
  </si>
  <si>
    <t>SERUM AC GLICOLICO 40KG</t>
  </si>
  <si>
    <t>ENTREGA 30-4</t>
  </si>
  <si>
    <t>CHICLE (rosa) 15KG</t>
  </si>
  <si>
    <t>ENTREGA 29-4</t>
  </si>
  <si>
    <t>SE LLENA 29/4</t>
  </si>
  <si>
    <t>BASE SERUM 12KG</t>
  </si>
  <si>
    <t>POMADA 50KG RED</t>
  </si>
  <si>
    <t>CREMA HANDS AND FEET</t>
  </si>
  <si>
    <t>AVANCE AH 0,5% 6KG</t>
  </si>
  <si>
    <t>ENTREGA 27-4</t>
  </si>
  <si>
    <t>SHAMPOO VITAMIN 320KG</t>
  </si>
  <si>
    <t>BOTIK (SOLIDOS)</t>
  </si>
  <si>
    <t>SPRAY REPAIR PLEX 520KG</t>
  </si>
  <si>
    <t>SHAMPOO BIONIC 100KG</t>
  </si>
  <si>
    <t>SHAMPOO ROMERO 27KG</t>
  </si>
  <si>
    <t>ENTREGA 4/5</t>
  </si>
  <si>
    <t>BOTIK</t>
  </si>
  <si>
    <t>LECHE DE LIMPIEZA 80KG</t>
  </si>
  <si>
    <t>ACOND ROSAS 40KG</t>
  </si>
  <si>
    <t>ACOND LAVANDA LEMON 40KG</t>
  </si>
  <si>
    <t>ENTREGA 30/4</t>
  </si>
  <si>
    <t>BL COSMETIC</t>
  </si>
  <si>
    <t>ALC EN GEL SANDIA 300KG</t>
  </si>
  <si>
    <t>CREMA CHICLE 95kg</t>
  </si>
  <si>
    <t>SERUM JOJOBA 50KG</t>
  </si>
  <si>
    <t>ALC EN GEL CHICLE 300KG</t>
  </si>
  <si>
    <t>SARAC CR NEUTRA 30KG</t>
  </si>
  <si>
    <t>ENTREGA 8/5</t>
  </si>
  <si>
    <t>ENTREGA 7/5</t>
  </si>
  <si>
    <t>JACTANS-DISNEY</t>
  </si>
  <si>
    <t>JALEA TERMAL 110KG</t>
  </si>
  <si>
    <t>PERFUME DP-50815</t>
  </si>
  <si>
    <t>POMADA ROJA 50KG</t>
  </si>
  <si>
    <t>ENTREGA 9/5</t>
  </si>
  <si>
    <t>FRAG: 0367AG 75LT</t>
  </si>
  <si>
    <t>ECODERM - ROSEHIP</t>
  </si>
  <si>
    <t>THE CURIOUS SKIN</t>
  </si>
  <si>
    <t>CREMA RETINOL 17KG</t>
  </si>
  <si>
    <t>CARROT OIL 27KG</t>
  </si>
  <si>
    <t>COCO (sin color) 5kg</t>
  </si>
  <si>
    <t>SERUM SEBORREG 10KG</t>
  </si>
  <si>
    <t>SPRAY REPAIR 240KG</t>
  </si>
  <si>
    <t>BOOSTER TELAGYN 9KG</t>
  </si>
  <si>
    <t>SANDIA (rojo) 6kg</t>
  </si>
  <si>
    <t>SERUM CONTORNO 10KG</t>
  </si>
  <si>
    <t>SANITIZANTE UVA 40LT</t>
  </si>
  <si>
    <t>160KG</t>
  </si>
  <si>
    <t>LABORATORIO GENUS</t>
  </si>
  <si>
    <t>PLANIFICACIÓN SEMANAL · ELABORACIÓN</t>
  </si>
  <si>
    <t>AÑO 2026</t>
  </si>
  <si>
    <t>L1</t>
  </si>
  <si>
    <t>SERUM MUNAP</t>
  </si>
  <si>
    <t>SERUM AH 50KG
SERUM AH + NIAC 50KG</t>
  </si>
  <si>
    <t>SHAMPOO BABY 130KG
JABON ANTIBACTERIAL 90KG</t>
  </si>
  <si>
    <t>RADIANT EYES</t>
  </si>
  <si>
    <t>BASE BODY BATER</t>
  </si>
  <si>
    <t>100KG</t>
  </si>
  <si>
    <t>220KG</t>
  </si>
  <si>
    <t>60KG</t>
  </si>
  <si>
    <t>FRACCIONAR 20 KG C/U</t>
  </si>
  <si>
    <t>MATCHA / CHERRY /COOKIES</t>
  </si>
  <si>
    <t>📅 Entrega: 16/05</t>
  </si>
  <si>
    <t>📅 Entrega: 17/05</t>
  </si>
  <si>
    <t>📅 Entrega: 18/05</t>
  </si>
  <si>
    <t>📅 Entrega: 19/05</t>
  </si>
  <si>
    <t>📅 Entrega: 15/05</t>
  </si>
  <si>
    <t>SANITIZANTE FRUTILLA</t>
  </si>
  <si>
    <t>BALSAMO BIONIC</t>
  </si>
  <si>
    <t>ACONDICIONADOR</t>
  </si>
  <si>
    <t>52LT</t>
  </si>
  <si>
    <t>110KG</t>
  </si>
  <si>
    <t>165kg</t>
  </si>
  <si>
    <t>Se entrega en tambor</t>
  </si>
  <si>
    <t>sumar a sobrante (25kg)</t>
  </si>
  <si>
    <t>L2</t>
  </si>
  <si>
    <t>SERUM VITAMIN</t>
  </si>
  <si>
    <t>AFTER SHAVE VIOLETA</t>
  </si>
  <si>
    <t>BASE SERUM</t>
  </si>
  <si>
    <t>BASE SUGAR SRUB</t>
  </si>
  <si>
    <t>7KG</t>
  </si>
  <si>
    <t>3300LT</t>
  </si>
  <si>
    <t>18KG</t>
  </si>
  <si>
    <t>18kg</t>
  </si>
  <si>
    <t>FRACCIONAR 20KG C/U</t>
  </si>
  <si>
    <t>AGREGAR VIT A</t>
  </si>
  <si>
    <t>ALCOHOL EN GEL CHICLE/FR ROJOS/DURAZNO</t>
  </si>
  <si>
    <t>A TMCO</t>
  </si>
  <si>
    <t>BRUMA FACIAL JS-736</t>
  </si>
  <si>
    <t xml:space="preserve">REPARADOR DE PUNTAS </t>
  </si>
  <si>
    <t>186KG</t>
  </si>
  <si>
    <t>55LT</t>
  </si>
  <si>
    <t>15KG</t>
  </si>
  <si>
    <t>SIGNATURE PRO AGE</t>
  </si>
  <si>
    <t>CREMA PARA PEINAR</t>
  </si>
  <si>
    <t>⊕</t>
  </si>
  <si>
    <t>PERFUME DP48709</t>
  </si>
  <si>
    <t>110LT</t>
  </si>
  <si>
    <t>Hay sobrante baño be vegan</t>
  </si>
  <si>
    <t>Frag: 0270WT</t>
  </si>
  <si>
    <t>MURDA</t>
  </si>
  <si>
    <t>SHAMPOO BIONIC 170KG</t>
  </si>
  <si>
    <t>CREMA CLARITÉ</t>
  </si>
  <si>
    <t>SERUM PARA CEJAS</t>
  </si>
  <si>
    <t>CREMA EXF PROBIOTICS</t>
  </si>
  <si>
    <t>63KG</t>
  </si>
  <si>
    <t>45KG</t>
  </si>
  <si>
    <t>📅 Entrega: 21/05</t>
  </si>
  <si>
    <t>📅 Entrega: 22/05</t>
  </si>
  <si>
    <t>ARREGLAR CREMA + FRAG</t>
  </si>
  <si>
    <t>CONDITIONER BIONIC 170KG</t>
  </si>
  <si>
    <t>SHAMPOO ANTICAIDA</t>
  </si>
  <si>
    <t>CREMA MEN INTENSIVE</t>
  </si>
  <si>
    <t>210KG</t>
  </si>
  <si>
    <t>HOME PEEL ARREGLAR</t>
  </si>
  <si>
    <t>📅 Entrega: 20/05</t>
  </si>
  <si>
    <t>ASHA</t>
  </si>
  <si>
    <t>SERUM HID TENSOR</t>
  </si>
  <si>
    <t>CREMA BASE</t>
  </si>
  <si>
    <t>Perfume DP-51287 90lt fresca</t>
  </si>
  <si>
    <t>SANITIZANTE FRUIT SMOOTHIE</t>
  </si>
  <si>
    <t>CREMA DIA ORIGENES</t>
  </si>
  <si>
    <t>Perfume DP-51294  90lt dulce</t>
  </si>
  <si>
    <t>SANITIZANTE FLORAL CRUSH</t>
  </si>
  <si>
    <t>Desarrollo: 250197-3</t>
  </si>
  <si>
    <t>ENVASADO MASIVO</t>
  </si>
  <si>
    <t>130LT</t>
  </si>
  <si>
    <t>JACTANS-DISNEY / LUIS</t>
  </si>
  <si>
    <t>AFTER VERDE</t>
  </si>
  <si>
    <t>AGUA MICELAR</t>
  </si>
  <si>
    <t>Perfume DP-51263 55lt dulce</t>
  </si>
  <si>
    <t>600LT</t>
  </si>
  <si>
    <t>60LT</t>
  </si>
  <si>
    <t>Perfume DP-51270/DP-51300 130lt fresca</t>
  </si>
  <si>
    <t>130 c/u</t>
  </si>
  <si>
    <t>BASE SERUM FRACCIONAR</t>
  </si>
  <si>
    <t>AFTER AZUL</t>
  </si>
  <si>
    <t>ALCOHOL EN GEL NEUTRO</t>
  </si>
  <si>
    <t>ADVANCE COLAGENO 6KG</t>
  </si>
  <si>
    <t>JALEA TERMAL</t>
  </si>
  <si>
    <t>POMADA MATE</t>
  </si>
  <si>
    <t>BOOSTER COLLAGENE 34kg</t>
  </si>
  <si>
    <t>SKIN GLOW HID COLAGENO</t>
  </si>
  <si>
    <t>90KG</t>
  </si>
  <si>
    <t>PT</t>
  </si>
  <si>
    <t>17KG</t>
  </si>
  <si>
    <t>PP</t>
  </si>
  <si>
    <t>📅 Entrega: 27/05</t>
  </si>
  <si>
    <t>📅 Entrega: 29/05</t>
  </si>
  <si>
    <t>SC BEAUTY</t>
  </si>
  <si>
    <t>SERUM CAPIXYL</t>
  </si>
  <si>
    <t>MASCARA CAPILAR VITAMIN</t>
  </si>
  <si>
    <t>RESTANTE</t>
  </si>
  <si>
    <t>13KG</t>
  </si>
  <si>
    <t>190KG</t>
  </si>
  <si>
    <t>esta contemplado el sobrante</t>
  </si>
  <si>
    <t>PROFESSIONAL BEAUTY</t>
  </si>
  <si>
    <t>AGUEDA REY- IHC CAPILARES</t>
  </si>
  <si>
    <t>AFTER SHAVE AZUL</t>
  </si>
  <si>
    <t>AQUAPEEL PG2</t>
  </si>
  <si>
    <t>SHAMPOO ANTICASPA</t>
  </si>
  <si>
    <t>1600LT</t>
  </si>
  <si>
    <t>133KG</t>
  </si>
  <si>
    <t>Se hicieron 1000</t>
  </si>
  <si>
    <t>ADVANCE AH1% 6KG OK</t>
  </si>
  <si>
    <t>BOOSTER VIT C</t>
  </si>
  <si>
    <t>CREMA PDRN +NAD 34KG</t>
  </si>
  <si>
    <t>ADVANCE AH2% 6KG OK</t>
  </si>
  <si>
    <t>30KG</t>
  </si>
  <si>
    <t>ESPUMA MICELAR 160LT</t>
  </si>
  <si>
    <t>DMAE 7% 6KG | ARG 5% 6KG</t>
  </si>
  <si>
    <t>JACTANS - DISNEY</t>
  </si>
  <si>
    <t>AGUEDA REY - KNUST</t>
  </si>
  <si>
    <t>PERFUME DP-1943 80LT</t>
  </si>
  <si>
    <t>CREMA NIACINAMIDA</t>
  </si>
  <si>
    <t>Alisado Capilar D260021/2</t>
  </si>
  <si>
    <t>ACEITE CORPORAL COCO LIMA</t>
  </si>
  <si>
    <t>GEL DE LIMPIEZA VEGAN</t>
  </si>
  <si>
    <t>Fragancia 0301BG 2,5%</t>
  </si>
  <si>
    <t>600KG</t>
  </si>
  <si>
    <t>445LT</t>
  </si>
  <si>
    <t>PERFUME</t>
  </si>
  <si>
    <t>📅 Entrega: 02/06</t>
  </si>
  <si>
    <t>📅 Entrega: 04/06</t>
  </si>
  <si>
    <t>📅 Entrega: 09/06</t>
  </si>
  <si>
    <t>LAUDE</t>
  </si>
  <si>
    <t>CREMA FACIAL HID 27kg</t>
  </si>
  <si>
    <t>TERMINAR + BOLSA + BALDE</t>
  </si>
  <si>
    <t>ARREGLAR</t>
  </si>
  <si>
    <t>📅 Entrega: 5/6</t>
  </si>
  <si>
    <t xml:space="preserve">📅 Entrega: </t>
  </si>
  <si>
    <t>SERUM VIT C 17kg</t>
  </si>
  <si>
    <t>760KG</t>
  </si>
  <si>
    <t>Continua</t>
  </si>
  <si>
    <t>BENNIE</t>
  </si>
  <si>
    <t>DP-50990-Perfume F:0369RD 160LT</t>
  </si>
  <si>
    <t>DP-50983-Perfume F:1192AG 170LT</t>
  </si>
  <si>
    <t>AQUA BOMB RICH</t>
  </si>
  <si>
    <t>SERUM BOOBIE</t>
  </si>
  <si>
    <t>80KG</t>
  </si>
  <si>
    <t>📅 Entrega: 8/06</t>
  </si>
  <si>
    <t>📅 Entrega: 12/06</t>
  </si>
  <si>
    <t>📅 Entrega: 16/06</t>
  </si>
  <si>
    <t>BIOESNCIA</t>
  </si>
  <si>
    <t>UNGUENTO PROPOLEO</t>
  </si>
  <si>
    <t>ACONDICIONADOR SOLIDO</t>
  </si>
  <si>
    <t>DP50891 / DP50846 PERFUME</t>
  </si>
  <si>
    <t>CHERRY 140KG</t>
  </si>
  <si>
    <t>40KG</t>
  </si>
  <si>
    <t>110lt / 110lt</t>
  </si>
  <si>
    <t>FRUTILLA 140KG</t>
  </si>
  <si>
    <t>FRAG: 0390FR 2,5%</t>
  </si>
  <si>
    <t>📅 Entrega: 10/06</t>
  </si>
  <si>
    <t>📅 Entrega: 11/06</t>
  </si>
  <si>
    <t>ORIGINAL BALCK</t>
  </si>
  <si>
    <t>AFTER SHAVE VERDE</t>
  </si>
  <si>
    <t>SERUM VIT C 1%</t>
  </si>
  <si>
    <t>CREMA AVENA 260KG</t>
  </si>
  <si>
    <t>800LT (10A)</t>
  </si>
  <si>
    <t>800LT (10B)</t>
  </si>
  <si>
    <t>HEBURN</t>
  </si>
  <si>
    <t>BRUMA FIJADORA</t>
  </si>
  <si>
    <t xml:space="preserve">AFTER SHAVE VIOLETA </t>
  </si>
  <si>
    <t>AGUA MICELAR PROBIOTIC</t>
  </si>
  <si>
    <t>SERUM AH+ NIA</t>
  </si>
  <si>
    <t>1250lt (10A)</t>
  </si>
  <si>
    <t>1600LT (10B)</t>
  </si>
  <si>
    <t>320LT</t>
  </si>
  <si>
    <t>200LT (10A)</t>
  </si>
  <si>
    <t>34KG</t>
  </si>
  <si>
    <t>EQUILIBRIO BIOME</t>
  </si>
  <si>
    <t>PROBIOTONIC HYDRA</t>
  </si>
  <si>
    <t xml:space="preserve">AFTER SHAVE </t>
  </si>
  <si>
    <t>27KG</t>
  </si>
  <si>
    <t>VIOLETA 800LT (10B)</t>
  </si>
  <si>
    <t>VERDE 400LT (10B)</t>
  </si>
  <si>
    <t>CREMA NEUTRA 20KG</t>
  </si>
  <si>
    <t>LACAS INFANTILES 60kg</t>
  </si>
  <si>
    <t>JABON LIQUIDO 20KG (hay de cav)</t>
  </si>
  <si>
    <t>ROSA 10KG | CELESTE 10KG</t>
  </si>
  <si>
    <t>900KG</t>
  </si>
  <si>
    <t>CREMA NEUTRA EXF 20KG</t>
  </si>
  <si>
    <t>CORAL 20KG | TURQUESA 20K</t>
  </si>
  <si>
    <t>📅 Entrega: 22/06</t>
  </si>
  <si>
    <t>📅 Entrega: 19/06</t>
  </si>
  <si>
    <t>ALCOHOL EN GEL CHERRY</t>
  </si>
  <si>
    <t>CREMA ACLARANTE 20KG</t>
  </si>
  <si>
    <t>ALCOHOL EN GEL CHICLE</t>
  </si>
  <si>
    <t>140KG C/U</t>
  </si>
  <si>
    <t>HAY SOBRANTES! no estan contados</t>
  </si>
  <si>
    <t>📅 Entrega: 18/06</t>
  </si>
  <si>
    <t>600LT (10B)</t>
  </si>
  <si>
    <t>BAHIA EVANS</t>
  </si>
  <si>
    <t>EXFOLIANTE ARROZ</t>
  </si>
  <si>
    <t>GEL DE LIMPIEZA ROSAS</t>
  </si>
  <si>
    <t>CREMA DIA 37kg</t>
  </si>
  <si>
    <t>TRATAMIENTO STRAIGHT</t>
  </si>
  <si>
    <t>530kg sin contar sobrante</t>
  </si>
  <si>
    <t>CREMA NOCHE 45kg</t>
  </si>
  <si>
    <t>66KG</t>
  </si>
  <si>
    <t>KOSMOS</t>
  </si>
  <si>
    <t>ACEITE CORPORAL</t>
  </si>
  <si>
    <t>CLEANSIGN OIL</t>
  </si>
  <si>
    <t>30LT</t>
  </si>
  <si>
    <t>NUEVA FORMULA</t>
  </si>
  <si>
    <t>AFTER VIOLETA</t>
  </si>
  <si>
    <t>SHAMPOO VITAMIN SHOCK</t>
  </si>
  <si>
    <t>400KG</t>
  </si>
  <si>
    <t>Hay que restar sobrante</t>
  </si>
  <si>
    <t>📅 Entrega: 24/06</t>
  </si>
  <si>
    <t>📅 Entrega: 25/06</t>
  </si>
  <si>
    <t>LOCION TONICA</t>
  </si>
  <si>
    <t>SERUM N+ 6,5KG (niaci 1%)</t>
  </si>
  <si>
    <t>BALSAMO SANDIA 32KG</t>
  </si>
  <si>
    <t>CONDITIONER VITAMIN SHOCK</t>
  </si>
  <si>
    <t>61kg</t>
  </si>
  <si>
    <t>SERUM W+ 6,5KG</t>
  </si>
  <si>
    <t>BALSAMO MANGO 32KG</t>
  </si>
  <si>
    <t>VER MUESTRA COLOR</t>
  </si>
  <si>
    <t>📅 Entrega: 26/06</t>
  </si>
  <si>
    <t>MACA MODAS</t>
  </si>
  <si>
    <t>SERUM AH + NIA 17KG</t>
  </si>
  <si>
    <t>DP-0304 Perfume 0299RB 80lt</t>
  </si>
  <si>
    <t>DP-50907 perfume 0436CH 135lt</t>
  </si>
  <si>
    <t>CREMA VITAMIN SHOCK</t>
  </si>
  <si>
    <t>CREMA AH+NIA 27KG</t>
  </si>
  <si>
    <t>DP-0311perfume 0297UT 80lt</t>
  </si>
  <si>
    <t>DP-40543-Perfume 0300IE 105lt</t>
  </si>
  <si>
    <t>DP-0328-Perfume 0280BD 80lt</t>
  </si>
  <si>
    <t>DP-46347 Perfume 0278LS 105lt</t>
  </si>
  <si>
    <t>DP-51270-Perfume 0269IN 110lt</t>
  </si>
  <si>
    <t>DP-50051Perfume 1980AN 6lt</t>
  </si>
  <si>
    <t>DL-024-Laca infantil ROJO 20KG</t>
  </si>
  <si>
    <t>JABON LIQUIDO KARITE</t>
  </si>
  <si>
    <t>C-PLEX PASO 3 47KG</t>
  </si>
  <si>
    <t>DP-50068 Perfume 0297TS 6lt</t>
  </si>
  <si>
    <t>DL-023-Laca infantil LILA 10KG</t>
  </si>
  <si>
    <t>CONTORNO DE OJOS 9KG</t>
  </si>
  <si>
    <t>DP-50082 perfume 0280BD 6lt</t>
  </si>
  <si>
    <t>DP-50099-Perfume 0296LS 6lt</t>
  </si>
  <si>
    <t>📅 Entrega: 8/7</t>
  </si>
  <si>
    <t>📅 Entrega: 2/7</t>
  </si>
  <si>
    <t>📅 Entrega: 3/7</t>
  </si>
  <si>
    <t>ORGANIC WAX</t>
  </si>
  <si>
    <t>GEL DE PIES 20KG</t>
  </si>
  <si>
    <t>EXFOLIANTE AZUCAR</t>
  </si>
  <si>
    <t>POMADA GOLDEN ULTRA STRONG</t>
  </si>
  <si>
    <t>35KG</t>
  </si>
  <si>
    <t>KATALIA</t>
  </si>
  <si>
    <t>PROBIOTONIC BALANCE</t>
  </si>
  <si>
    <t xml:space="preserve">SERUM DESPIGMENTANTE </t>
  </si>
  <si>
    <t>MASCARA NIACINAMIDA</t>
  </si>
  <si>
    <t>BRUMA FIJADORA 160KG</t>
  </si>
  <si>
    <t>9kg</t>
  </si>
  <si>
    <t>550KG</t>
  </si>
  <si>
    <t>📅 Entrega: 30/6</t>
  </si>
  <si>
    <t>MIXOLOGY DESVITALIZADA</t>
  </si>
  <si>
    <t>ADVANCE CAFEINA 1% 6,5KG</t>
  </si>
  <si>
    <t>EXFOLIANTE MA</t>
  </si>
  <si>
    <t>POMADA MATE ULTRA STRONG</t>
  </si>
  <si>
    <t>93KG</t>
  </si>
  <si>
    <t>ADVANCE AH 1% 6,5KG</t>
  </si>
  <si>
    <t>POMADA MATE FIJACION MEDIA</t>
  </si>
  <si>
    <t>35KG C/U</t>
  </si>
  <si>
    <t>ACNE PROTOCOL 18KG</t>
  </si>
  <si>
    <t>2ND SKIN 27KG</t>
  </si>
  <si>
    <t>AQUABOMB LIGHT 17KG</t>
  </si>
  <si>
    <t>CLAR ACNE MASK 35KG</t>
  </si>
  <si>
    <t>ENVASADO CONSUMO MASIVO</t>
  </si>
  <si>
    <t>SHAMPOO X400ML resto</t>
  </si>
  <si>
    <t>SHAMPOO BABAY</t>
  </si>
  <si>
    <t>AFTER SHAVE AQUA</t>
  </si>
  <si>
    <t>CONDITIONER X400 100</t>
  </si>
  <si>
    <t>500 x250ml</t>
  </si>
  <si>
    <t>SERUM PROBIOTICS</t>
  </si>
  <si>
    <t>SERUM ORIGINES</t>
  </si>
  <si>
    <t>1000x30ml</t>
  </si>
  <si>
    <t>1600x30ml</t>
  </si>
  <si>
    <t>ENVASADO PRODUCTOS PREMIUN</t>
  </si>
  <si>
    <t>MILKY TONER</t>
  </si>
  <si>
    <t>SERUM AH 1000x30ml</t>
  </si>
  <si>
    <t>SERUM AH + NIA</t>
  </si>
  <si>
    <t>900 x100ml</t>
  </si>
  <si>
    <t>1653 x30ml</t>
  </si>
  <si>
    <t>MOXOLOGI X3</t>
  </si>
  <si>
    <t>CREMA BIFASICA CHERRY</t>
  </si>
  <si>
    <t>300 C/U x300ml</t>
  </si>
  <si>
    <t xml:space="preserve">1000x105ml </t>
  </si>
  <si>
    <t>1500x300ml</t>
  </si>
  <si>
    <t>AFTER SHAVE COOL WAT</t>
  </si>
  <si>
    <t>GOLD MASK</t>
  </si>
  <si>
    <t>AGUA TERMAL</t>
  </si>
  <si>
    <t>1000 x50ml</t>
  </si>
  <si>
    <t>600x100ml</t>
  </si>
  <si>
    <t>2940 x100ml</t>
  </si>
  <si>
    <t>YOUTHFUL VIDEOS!!</t>
  </si>
  <si>
    <t>TATWO</t>
  </si>
  <si>
    <t>AGUEDA REY- YOUTHFUL</t>
  </si>
  <si>
    <t>OLEO 30+1 1000X10ML</t>
  </si>
  <si>
    <t>LOCION PARA PIERCING</t>
  </si>
  <si>
    <t>SH SOLIDO FORTALECEDOR</t>
  </si>
  <si>
    <t>BRUMA FACIAL</t>
  </si>
  <si>
    <t>1500 x30ml</t>
  </si>
  <si>
    <t>1000 x125ml / 1000x75ml</t>
  </si>
  <si>
    <t>VIDEOS NATCEUTCALS!!</t>
  </si>
  <si>
    <t>VACIADO 400</t>
  </si>
  <si>
    <t>LIMPIADORA 200x200ml</t>
  </si>
  <si>
    <t>SERUM DESPIGMENTANTE 400</t>
  </si>
  <si>
    <t>GEL LIMPIADOR 200x200ml</t>
  </si>
  <si>
    <t>VACIADO</t>
  </si>
  <si>
    <t>CREMA DIA 1000x50</t>
  </si>
  <si>
    <t>SERUM RETINOL 1000x30ml</t>
  </si>
  <si>
    <t>SERUM HYALU 2400x15ml</t>
  </si>
  <si>
    <t>SERUM ACIDO GLICOLICO</t>
  </si>
  <si>
    <t>SERUM VIT C 1000x30ml</t>
  </si>
  <si>
    <t>HACER VIDEOS DE YOUTHFUL!!</t>
  </si>
  <si>
    <t>ALISADO EXPERT 500x300ml</t>
  </si>
  <si>
    <t>2000 x250ml</t>
  </si>
  <si>
    <t>ALISADO EXPERT 500x1KG</t>
  </si>
  <si>
    <t>1000 X300ml</t>
  </si>
  <si>
    <t xml:space="preserve">BIOESENCIA </t>
  </si>
  <si>
    <t>DISNEY ESPUMA</t>
  </si>
  <si>
    <t>DISNEY SHAMPOO</t>
  </si>
  <si>
    <t>TSU POMOS</t>
  </si>
  <si>
    <t>ESPUMA DE BAÑO</t>
  </si>
  <si>
    <t>BIOESENCIA (POMO)</t>
  </si>
  <si>
    <t>GLE AKI 750</t>
  </si>
  <si>
    <t>GEL UNIESFERAS VIT C</t>
  </si>
  <si>
    <t>3000x45ml</t>
  </si>
  <si>
    <t>SHAMPOO 3000x45ml</t>
  </si>
  <si>
    <t>UNGUENTO PROPOLEO 1000</t>
  </si>
  <si>
    <t>CREMA DE MANOS 450</t>
  </si>
  <si>
    <t>2000 x50ml</t>
  </si>
  <si>
    <t>BOTIK SH SOLIDO PRUEBA</t>
  </si>
  <si>
    <t>KALA AGUA DE ROSAS</t>
  </si>
  <si>
    <t>SERUM ANTIAGE</t>
  </si>
  <si>
    <t>SERUM DESCONGESTIVO</t>
  </si>
  <si>
    <t>AGUA MICELAR 770x200ml</t>
  </si>
  <si>
    <t>650 x90ml</t>
  </si>
  <si>
    <t>2100 x30ml</t>
  </si>
  <si>
    <t>600 x125ml</t>
  </si>
  <si>
    <t>Hay que vaciar 300</t>
  </si>
  <si>
    <t>DERMION (FRANCO)</t>
  </si>
  <si>
    <t>SERUM NIACI 3500x15ml</t>
  </si>
  <si>
    <t>SERUM HID TENSOR 500</t>
  </si>
  <si>
    <t>SERUM VIT C 3000x15ml</t>
  </si>
  <si>
    <t>SERUM NIACI 500x30ml</t>
  </si>
  <si>
    <t>SERUM VITAMIN SHOCK 300</t>
  </si>
  <si>
    <t>SERUM INTIMO 300</t>
  </si>
  <si>
    <t>GEL NEUTRO</t>
  </si>
  <si>
    <t>ACOND 100x900ml</t>
  </si>
  <si>
    <t>500 x500g</t>
  </si>
  <si>
    <t>SHAMPOO 200x900ml</t>
  </si>
  <si>
    <t>500x500g</t>
  </si>
  <si>
    <t>LUIS</t>
  </si>
  <si>
    <t>ALCOHOL FRUTOS ROJOS 2000</t>
  </si>
  <si>
    <t>CREMA EXF 150</t>
  </si>
  <si>
    <t>SECRETO MELON 300</t>
  </si>
  <si>
    <t>TONICO EQUILIBRIO 1000x200</t>
  </si>
  <si>
    <t>BALSAMO HERBAL 300x30ml</t>
  </si>
  <si>
    <t>CRISTAL LIQUIDO 250x30ml</t>
  </si>
  <si>
    <t>ALCOHOL SANDIA 6000</t>
  </si>
  <si>
    <t>SECRETO VAINILLA 100</t>
  </si>
  <si>
    <t>Etiquetar!</t>
  </si>
  <si>
    <t>PROTECTOR C-PLEX 300x150</t>
  </si>
  <si>
    <t>ALCOHOL DURAZNO 2000</t>
  </si>
  <si>
    <t>SH SOLIDO HENNA</t>
  </si>
  <si>
    <t>SH SOLIDO KARITE</t>
  </si>
  <si>
    <t>CREMA VEGAN</t>
  </si>
  <si>
    <t>ALCOHOL EN GEL 6000</t>
  </si>
  <si>
    <t>3024x30ml</t>
  </si>
  <si>
    <t>600x80g</t>
  </si>
  <si>
    <t>1000x50ml</t>
  </si>
  <si>
    <t>FARMACITY CHICLEx25g</t>
  </si>
  <si>
    <t>CR OJERAS Y BOLSAS</t>
  </si>
  <si>
    <t>CR CLARITE 1000x30ml</t>
  </si>
  <si>
    <t>CONTORNO DE OJOS 480x15ml</t>
  </si>
  <si>
    <t>CREMA DIA 250x30ml</t>
  </si>
  <si>
    <t xml:space="preserve">MASCARA CAPILAR </t>
  </si>
  <si>
    <t>550 X30ml</t>
  </si>
  <si>
    <t>SERUM VIT C 300x30ml</t>
  </si>
  <si>
    <t>CREMA NOCHE 250x30ml</t>
  </si>
  <si>
    <t>700x300ml</t>
  </si>
  <si>
    <t>LECHE DE LIMPIEZA 500x200ml</t>
  </si>
  <si>
    <t>Se etiqueta aca</t>
  </si>
  <si>
    <t>CAV SERUM 300x30ml</t>
  </si>
  <si>
    <t>CONTORNO DE OJOS 250x30</t>
  </si>
  <si>
    <t>400x200cc Adulto y Ballena</t>
  </si>
  <si>
    <t>SHAMPOO MAXLISS</t>
  </si>
  <si>
    <t>EMULSION PROBIOTICS</t>
  </si>
  <si>
    <t>FINISHING C-PLEX 400x500ml</t>
  </si>
  <si>
    <t>BAÑO BE VEGAN</t>
  </si>
  <si>
    <t>200x500cc Adulto y Ballena</t>
  </si>
  <si>
    <t xml:space="preserve">CONDIT MAXLISS </t>
  </si>
  <si>
    <t>1000x200ml</t>
  </si>
  <si>
    <t>REBOND C-PLEX 200x500ml</t>
  </si>
  <si>
    <t>1000x250ml</t>
  </si>
  <si>
    <t>Restante en bidon!!</t>
  </si>
  <si>
    <t>200 x400ml c/u</t>
  </si>
  <si>
    <t>ETIQUETAR E MASIVO</t>
  </si>
  <si>
    <t>THELMA Y LOUISE         SERUM BIFASICO PEPINO              3024x30ml</t>
  </si>
  <si>
    <t>ALCOHOL EN GEL CHICLE TYL</t>
  </si>
  <si>
    <t>ACONDICI 500x125ml</t>
  </si>
  <si>
    <t>2000X25G FRUTILLA</t>
  </si>
  <si>
    <t>Etiquetar E masivo</t>
  </si>
  <si>
    <t>BRUMA ORIGENES</t>
  </si>
  <si>
    <t>TONICO VEGAN 1000x125ml</t>
  </si>
  <si>
    <t>DESMAQ BIFASICO JS-737</t>
  </si>
  <si>
    <t>1000X125ML</t>
  </si>
  <si>
    <t>OLANN BRUMA 250x100ml</t>
  </si>
  <si>
    <t>1500 x105ml</t>
  </si>
  <si>
    <t>ETIQUETAR:</t>
  </si>
  <si>
    <t>BRUMA FACIAL 500x150ml</t>
  </si>
  <si>
    <t>SERUM AH 250x30ml</t>
  </si>
  <si>
    <t>NE / HEBURN / CAV X900ML</t>
  </si>
  <si>
    <t>/ AGUAZU</t>
  </si>
  <si>
    <t>BOOTER MANCHAS 5ML</t>
  </si>
  <si>
    <t>CREMA NOCHE 500x30ml</t>
  </si>
  <si>
    <t>SERUM ANTIOXIDANTE 500</t>
  </si>
  <si>
    <t>CREMA TENSORA X50ML</t>
  </si>
  <si>
    <t>BOOSTER MANCHAS 30ML</t>
  </si>
  <si>
    <t>CREMA CORP 500x150ml</t>
  </si>
  <si>
    <t>1500x30ml</t>
  </si>
  <si>
    <t>600x5ml/2000X30ml</t>
  </si>
  <si>
    <t>SERUM GLIOLICO 500x30ml</t>
  </si>
  <si>
    <t>CREMA NOCHE 250X30ML</t>
  </si>
  <si>
    <t>3000 x250ml</t>
  </si>
  <si>
    <t>POMOS CAV 700x150g</t>
  </si>
  <si>
    <t>UNGUENTO BIO 300x70ml</t>
  </si>
  <si>
    <t>JS-736 2500x30ml</t>
  </si>
  <si>
    <t>JS-941 1000 x105ml</t>
  </si>
  <si>
    <t>SH SOLIDO</t>
  </si>
  <si>
    <t>ACOND SOLIDO</t>
  </si>
  <si>
    <t>1000 x60g (MOLDE)</t>
  </si>
  <si>
    <t>LOCION CAPILAR 400x100ml</t>
  </si>
  <si>
    <t>CLEAR ACNE LOTION</t>
  </si>
  <si>
    <t>500x50ml</t>
  </si>
  <si>
    <t>SDVANCE AH 500</t>
  </si>
  <si>
    <t>ADVANCE CAIDA 500</t>
  </si>
  <si>
    <t>ADVANCE VIT C 500</t>
  </si>
  <si>
    <t>ADVANCE DMAE 500</t>
  </si>
  <si>
    <t>SERUM ANTIOXI 500x30ml</t>
  </si>
  <si>
    <t>3400 se entregan</t>
  </si>
  <si>
    <t>ADVANCE SILICIO 500</t>
  </si>
  <si>
    <t>AGUEDA REY- ALMAHAIR</t>
  </si>
  <si>
    <t>CREMA NOCHE ORIG</t>
  </si>
  <si>
    <t>ACOND CEBOLLA</t>
  </si>
  <si>
    <t>1000x350ml</t>
  </si>
  <si>
    <t>BAÑO DE CREMA E VEGAN</t>
  </si>
  <si>
    <t>EMULSION DE LIMPIEZA</t>
  </si>
  <si>
    <t>AFTER VERDE 1500</t>
  </si>
  <si>
    <t>1500x400ml</t>
  </si>
  <si>
    <t>AFTER AZUL 1500</t>
  </si>
  <si>
    <t>1500 X400ml</t>
  </si>
  <si>
    <t>SERUM ORIGENES 200x30g</t>
  </si>
  <si>
    <t>SIGNARURE REVERSE 500x30</t>
  </si>
  <si>
    <t>CREMA LIGERA 500</t>
  </si>
  <si>
    <t>EXFOLIANTE GA 1000x30ml</t>
  </si>
  <si>
    <t>NIZA REVIVE GEL 500x50</t>
  </si>
  <si>
    <t>SERUM CAPILAR 400x100ml</t>
  </si>
  <si>
    <t>LUCENT BB LIP NATURAL</t>
  </si>
  <si>
    <t>SERUM DEEP 500x30ml</t>
  </si>
  <si>
    <t>500x30ml</t>
  </si>
  <si>
    <t>LECHE LIMPIEZA 250X500g</t>
  </si>
  <si>
    <t>SHAMPOO 500X400ML</t>
  </si>
  <si>
    <t>3000X300ML</t>
  </si>
  <si>
    <t>LECHE LIMPIEZA 750X200g</t>
  </si>
  <si>
    <t>Etiqueta E masivo</t>
  </si>
  <si>
    <t>3000x300ml</t>
  </si>
  <si>
    <t>POMADA RED</t>
  </si>
  <si>
    <t>2640 X50ML</t>
  </si>
  <si>
    <t>2400 X100ML</t>
  </si>
  <si>
    <t>AGUA DE ROSAS</t>
  </si>
  <si>
    <t>AGUA BIFASICA</t>
  </si>
  <si>
    <t>4900x30ml</t>
  </si>
  <si>
    <t>5000x160ml (75/25)</t>
  </si>
  <si>
    <t>COSMCEUTICALS</t>
  </si>
  <si>
    <t>GEL ANTIFRIZZ</t>
  </si>
  <si>
    <t>SERUM ARGAN</t>
  </si>
  <si>
    <t>CREMA PRDN 500x30ml</t>
  </si>
  <si>
    <t>3000x4,5ml</t>
  </si>
  <si>
    <t>3000 x30ml</t>
  </si>
  <si>
    <t>2000 X95G</t>
  </si>
  <si>
    <t>CREMA RADIANCE</t>
  </si>
  <si>
    <t>TCL EXFLIANTE</t>
  </si>
  <si>
    <t>MASCARA TENSIRA</t>
  </si>
  <si>
    <t>SHAMPOO BIONIC 250x400</t>
  </si>
  <si>
    <t>CONDITIONER BIONIC 250x400</t>
  </si>
  <si>
    <t>sumar las de papaya!</t>
  </si>
  <si>
    <t>CONDITIONER VITAMN 50x400</t>
  </si>
  <si>
    <t>600 X428g</t>
  </si>
  <si>
    <t>SANITIZANTE TODO MODA</t>
  </si>
  <si>
    <t>COCO 7000x20ml</t>
  </si>
  <si>
    <t>FRAMBUESA 7000x20ml</t>
  </si>
  <si>
    <t>TYL SANITIZANTE</t>
  </si>
  <si>
    <t>CORONADOS 2000x20ml</t>
  </si>
  <si>
    <t>VAMOS ARG 2000x20ml</t>
  </si>
  <si>
    <t>BLE LIPS</t>
  </si>
  <si>
    <t>SERUM VIT C 500x30ml</t>
  </si>
  <si>
    <t>CR TENSORA 2000x250ml</t>
  </si>
  <si>
    <t>ADVANCE AH 1% 500</t>
  </si>
  <si>
    <t>LIP INJECTION 600x4,5ml</t>
  </si>
  <si>
    <t>Etiquetemos aca</t>
  </si>
  <si>
    <t>ADVANCE AH 2% 500</t>
  </si>
  <si>
    <t>ADVANCE COLAGENO 500</t>
  </si>
  <si>
    <t>AGUEDA REY - epica</t>
  </si>
  <si>
    <t>CREMA PROBIOTICS</t>
  </si>
  <si>
    <t>MASCARA CAPILAR</t>
  </si>
  <si>
    <t>CREMA LIMPIEZA 300x200ml</t>
  </si>
  <si>
    <t>1600 x250ml</t>
  </si>
  <si>
    <t>500 x300ml</t>
  </si>
  <si>
    <t>1000 x100ml</t>
  </si>
  <si>
    <t>SHAMPOO 300x200ml</t>
  </si>
  <si>
    <t>CAPACITACION 11hs</t>
  </si>
  <si>
    <t>POMADA 100ML RED</t>
  </si>
  <si>
    <t>POMADAS 428gX100</t>
  </si>
  <si>
    <t>SANITIZANTE 15000x20ml</t>
  </si>
  <si>
    <t>CORONADOS DE GLORIA</t>
  </si>
  <si>
    <t>BOOSTER HYALU 1000x30ml</t>
  </si>
  <si>
    <t>SERUM AH+NIA 700x30ml</t>
  </si>
  <si>
    <t>SERUM OIL 720x30ml</t>
  </si>
  <si>
    <t>ADVANCE PLACENTA 500</t>
  </si>
  <si>
    <t>BOOSTER NIACI 1000x30ml</t>
  </si>
  <si>
    <t>3000x30ml</t>
  </si>
  <si>
    <t>SERUM RETIN 1000x15ml</t>
  </si>
  <si>
    <t>HAIR REPAIR 700x15</t>
  </si>
  <si>
    <t>SERUM ALBA 300x30ml</t>
  </si>
  <si>
    <t>COLOR SHINE 700x15ml</t>
  </si>
  <si>
    <t>SH MAXLISS 250x400</t>
  </si>
  <si>
    <t>SERUM PORCELANA</t>
  </si>
  <si>
    <t>SERUM HIDRATANTE</t>
  </si>
  <si>
    <t>ACOND MAXLISS 250x400</t>
  </si>
  <si>
    <t>3024 x30ml</t>
  </si>
  <si>
    <t>Etiqueta Masivo</t>
  </si>
  <si>
    <t>POMADAS 100ML</t>
  </si>
  <si>
    <t>SCRUB CHICLE 900x12g</t>
  </si>
  <si>
    <t>POMADAS 428G</t>
  </si>
  <si>
    <t>Volcados!</t>
  </si>
  <si>
    <t>TERMINAR DE UNA VEZ</t>
  </si>
  <si>
    <t>SHAMPOO SOLIDO 250u BOTIK</t>
  </si>
  <si>
    <t>VAMOS ARGENTINA!</t>
  </si>
  <si>
    <t>AGUA MIC BIF</t>
  </si>
  <si>
    <t>DISCIPLINADOR 200x125ml</t>
  </si>
  <si>
    <t>1200 x160ml</t>
  </si>
  <si>
    <t>advance arg 500</t>
  </si>
  <si>
    <t>SERUM RETINOL 240x30ml</t>
  </si>
  <si>
    <t>HANDS AND FEET 500x250g</t>
  </si>
  <si>
    <t>MELENA LEON 1000</t>
  </si>
  <si>
    <t>BBWHITE T2 500</t>
  </si>
  <si>
    <t>REISHI 1000</t>
  </si>
  <si>
    <t>LUCENT P+ 500</t>
  </si>
  <si>
    <t>CREMA NOCHE 250</t>
  </si>
  <si>
    <t>ASHWAGANDA 1000</t>
  </si>
  <si>
    <t>JABON LIQUIDO</t>
  </si>
  <si>
    <t>GEL NEUTRO 500x500g</t>
  </si>
  <si>
    <t>SHAMPOO</t>
  </si>
  <si>
    <t>2500 x250ml</t>
  </si>
  <si>
    <t>500 X1KG</t>
  </si>
  <si>
    <t>300 X1KG</t>
  </si>
  <si>
    <t>sumar las 200x300ml</t>
  </si>
  <si>
    <t>BIO PUNTAS 500x30ml</t>
  </si>
  <si>
    <t>SCRUB SANDIA 300X12g</t>
  </si>
  <si>
    <t>BOTIK ACOND SOLIDO</t>
  </si>
  <si>
    <t>CAV COLOR SHINE 700x10ml</t>
  </si>
  <si>
    <t>DESENRREDANTE BIFASICO</t>
  </si>
  <si>
    <t>SCRUB COCO 200x12g</t>
  </si>
  <si>
    <t>Lav-Lemongras 600 x70g</t>
  </si>
  <si>
    <t>Rosa-rosa mosqueta 600 x70g</t>
  </si>
  <si>
    <t>CAV HAIR REPAIR 700x10ml</t>
  </si>
  <si>
    <t>3360 X100ML</t>
  </si>
  <si>
    <t>SANITIZANTE CHERRY</t>
  </si>
  <si>
    <t>8100x20ml</t>
  </si>
  <si>
    <t>4000x20ml</t>
  </si>
  <si>
    <t>BRUMA FACIAL 1000x10ml</t>
  </si>
  <si>
    <t>AGUEDA REY-IKIGAI</t>
  </si>
  <si>
    <t>TCL SERUM MUNAP 300x15ml</t>
  </si>
  <si>
    <t>SERUM COLAGENO 500</t>
  </si>
  <si>
    <t>SERUM DMAE 500</t>
  </si>
  <si>
    <t>SERUM JOJOBA</t>
  </si>
  <si>
    <t>AGUEDA REY- YOURHFUL</t>
  </si>
  <si>
    <t>SERUM ARG 500</t>
  </si>
  <si>
    <t>SERUM SHOCK 500</t>
  </si>
  <si>
    <t>LIP INJECTION 01</t>
  </si>
  <si>
    <t>5000x30ml</t>
  </si>
  <si>
    <t>CREMA DIA 1000x10ml</t>
  </si>
  <si>
    <t>SERUM AH1 1000</t>
  </si>
  <si>
    <t>SERUMS FOSFAT 500</t>
  </si>
  <si>
    <t>600 x4,5ml</t>
  </si>
  <si>
    <t>Hay que cortar valvulas</t>
  </si>
  <si>
    <t>SERUM AH2 1000</t>
  </si>
  <si>
    <t>SERUM ADN 500</t>
  </si>
  <si>
    <t>Etiquetemos</t>
  </si>
  <si>
    <t>AC VITAMIN 150x900ml</t>
  </si>
  <si>
    <t>SH VITAMIN 400x400g</t>
  </si>
  <si>
    <t>SH BIONIC 100x900ml</t>
  </si>
  <si>
    <t>C-PLEX PASO 2 300x500ml</t>
  </si>
  <si>
    <t>600 x1kg</t>
  </si>
  <si>
    <t>AC VITAMIN 400x400ml</t>
  </si>
  <si>
    <t>SH VITAMIN 150x900g</t>
  </si>
  <si>
    <t>AC BIONIC 100x900ml</t>
  </si>
  <si>
    <t>C-PLEX PASO 1 150x500ml</t>
  </si>
  <si>
    <t>Etiqueta E Masivo x400ml</t>
  </si>
  <si>
    <t>etiqueta masivo</t>
  </si>
  <si>
    <t>C-PLEX PASO 3 200x150ml</t>
  </si>
  <si>
    <t>SPRAY REPAIR PLEX</t>
  </si>
  <si>
    <t>ALCOHOL EN GEL FARMACITY</t>
  </si>
  <si>
    <t>5000 x150ml</t>
  </si>
  <si>
    <t>SANDIA 10000 x28g</t>
  </si>
  <si>
    <t>SANITIZANTE COCO</t>
  </si>
  <si>
    <t>SANITIZANTE UVA</t>
  </si>
  <si>
    <t>3900x20ml</t>
  </si>
  <si>
    <t>1800 X20ML</t>
  </si>
  <si>
    <t>2500 x20ml</t>
  </si>
  <si>
    <t>5040 x100ml</t>
  </si>
  <si>
    <t>AQUA BOMB RICH 300x50g</t>
  </si>
  <si>
    <t>LECHE DE LIMP 500x150</t>
  </si>
  <si>
    <t>B&amp;W EYES 490x15g</t>
  </si>
  <si>
    <t>SIGN PRO AGE 300x50</t>
  </si>
  <si>
    <t>CREMA HID LIVIANA 500x30ml</t>
  </si>
  <si>
    <t>SIGNA HYDRA 300x30ml</t>
  </si>
  <si>
    <t>ROSHIP CONTORNO 300x30ml</t>
  </si>
  <si>
    <t>SANITIZANTE VAMOS ARG</t>
  </si>
  <si>
    <t>ACOND 188x1kg</t>
  </si>
  <si>
    <t>SHAMPOO BABY 500x250</t>
  </si>
  <si>
    <t>CREMA DE PEINAR</t>
  </si>
  <si>
    <t>Perfume DP-51287 1300x65ml</t>
  </si>
  <si>
    <t>1000 x20ml</t>
  </si>
  <si>
    <t>JABON ANTIBAC 400x200ml</t>
  </si>
  <si>
    <t>1000x160g</t>
  </si>
  <si>
    <t>Perfume DP-51294  1300x65ml</t>
  </si>
  <si>
    <t>CAPACITACION 8HS</t>
  </si>
  <si>
    <t>frasco pvc 65ml + valv rosca</t>
  </si>
  <si>
    <t>ALC EN GEL FARMACITY</t>
  </si>
  <si>
    <t>GEL UNIESFERAS</t>
  </si>
  <si>
    <t>ALC EN GEL FARMACIY</t>
  </si>
  <si>
    <t>SANDIA 10000x28g</t>
  </si>
  <si>
    <t>2000 x30ml</t>
  </si>
  <si>
    <t>chicle 10000x28g</t>
  </si>
  <si>
    <t>JS-736 1523x30ml</t>
  </si>
  <si>
    <t>2000 x400ml</t>
  </si>
  <si>
    <t>ROSEHIP</t>
  </si>
  <si>
    <t>CREMA CHICLE</t>
  </si>
  <si>
    <t>BOOSTER MUNAP</t>
  </si>
  <si>
    <t>SERUM SEBO 300x30ml</t>
  </si>
  <si>
    <t>CREMA RETINOL 300x50ml</t>
  </si>
  <si>
    <t>BOOSTER TELAGYN 500x15ml</t>
  </si>
  <si>
    <t>3000 x28g</t>
  </si>
  <si>
    <t>1200 x15ml</t>
  </si>
  <si>
    <t>PROF BEAUTY ADVANCE (4)</t>
  </si>
  <si>
    <t>CARROT OIL 500x30ml</t>
  </si>
  <si>
    <t>VIT C / AH0,5% / MULTIVI</t>
  </si>
  <si>
    <t>SERUM AH 500x30ml</t>
  </si>
  <si>
    <t>SERUM AC GLIC 1200x30ml</t>
  </si>
  <si>
    <t>COLAGENO 500 x10ml c/u</t>
  </si>
  <si>
    <t>LIORA CR RULOS 170x300ml</t>
  </si>
  <si>
    <t>CREMA DE ORDEÑE 600x300g</t>
  </si>
  <si>
    <t>BL ALISADO KERATIN 500x1kg</t>
  </si>
  <si>
    <t>CREMA MEN 1000x50</t>
  </si>
  <si>
    <t>1000 x200ml</t>
  </si>
  <si>
    <t>CR EXFOLIANTE PROBIOTIC</t>
  </si>
  <si>
    <t>CREMA DIA ORIGENES 1000x50</t>
  </si>
  <si>
    <t>REPARADOR PUNTAS 450x30</t>
  </si>
  <si>
    <t>ALC EN GEL CHICLE TYL</t>
  </si>
  <si>
    <t>ALC EN GEL TYL DURAZ</t>
  </si>
  <si>
    <t>2000 x28g</t>
  </si>
  <si>
    <t>ALC EN GEL Futos rojos</t>
  </si>
  <si>
    <t>VAMOS ARG 2000 x30g</t>
  </si>
  <si>
    <t>BIOESENCIA UNGUENTO PROPOLEO 300</t>
  </si>
  <si>
    <t>2000 x 28g c/u</t>
  </si>
  <si>
    <t>5000x40ml</t>
  </si>
  <si>
    <t>SERUM AH 1500x30ml</t>
  </si>
  <si>
    <t>CREMA CLARITÉ 2000x30g</t>
  </si>
  <si>
    <t>RADIANT EYES 3000x15g</t>
  </si>
  <si>
    <t>2000 x300ml</t>
  </si>
  <si>
    <t>SERUM AH+NIA 1500x30ml</t>
  </si>
  <si>
    <t>PLANIFICACIÓN SEMANAL DE PRODUCCIÓN · ACONDICIONAMIENTO</t>
  </si>
  <si>
    <t>RESUMEN
ENTREGAS</t>
  </si>
  <si>
    <r>
      <rPr>
        <rFont val="Arial"/>
        <b/>
        <color rgb="FF38A169"/>
        <sz val="15.0"/>
      </rPr>
      <t xml:space="preserve">   🍶  </t>
    </r>
    <r>
      <rPr>
        <rFont val="Arial"/>
        <b/>
        <color rgb="FF38A169"/>
        <sz val="13.0"/>
      </rPr>
      <t>ENVASADO CONSUMO MASIVO  |  3 LÍNEAS DE PRODUCCIÓN</t>
    </r>
  </si>
  <si>
    <t>IHC - CAPILARES</t>
  </si>
  <si>
    <t>IHC-CAPILARES</t>
  </si>
  <si>
    <t>📅 LUNES</t>
  </si>
  <si>
    <t>SH BIONIC 400x400ml</t>
  </si>
  <si>
    <t>MASCARA VIT SHOCK</t>
  </si>
  <si>
    <t>SH ANTISEBO 1000x200g</t>
  </si>
  <si>
    <t>SH FORTALECEDOR 1000x200g</t>
  </si>
  <si>
    <t>AC BIONIC 400x400ml</t>
  </si>
  <si>
    <t>700 x300ml</t>
  </si>
  <si>
    <t>SH ENGROSADOR 1000x200g</t>
  </si>
  <si>
    <t>3300 x160ml</t>
  </si>
  <si>
    <t>📅 5/6</t>
  </si>
  <si>
    <t>📅 Entrega: 5-6</t>
  </si>
  <si>
    <t>📅 Entrega: 8-6</t>
  </si>
  <si>
    <t>Envases: OK  Semielab.:ok</t>
  </si>
  <si>
    <t>Envases: OK  Semielab.: ok</t>
  </si>
  <si>
    <t>Envases: OK Semielab.: OK</t>
  </si>
  <si>
    <t>Envases: OK Semielab: OK</t>
  </si>
  <si>
    <t xml:space="preserve">Envases: OK  Semielab.: </t>
  </si>
  <si>
    <t>📅 MARTES</t>
  </si>
  <si>
    <t>AGUA MICELAR 500x150</t>
  </si>
  <si>
    <t>ACODN UNISEX</t>
  </si>
  <si>
    <t>SH ANTICASPA 1000x200g</t>
  </si>
  <si>
    <t>CORONADOS 2000x30g</t>
  </si>
  <si>
    <t>1600 x50ml</t>
  </si>
  <si>
    <t>📅 Entrega: 3-6</t>
  </si>
  <si>
    <t>📅 Entrega: 9-6</t>
  </si>
  <si>
    <t>📅 Entrega:</t>
  </si>
  <si>
    <t>Envases: OK  Semielab: OK</t>
  </si>
  <si>
    <t>Envases: OK  Semielab:OK</t>
  </si>
  <si>
    <t>Envases: ⚠   Semielab.:ok</t>
  </si>
  <si>
    <t>Envases: ⚠  Semielab.: ok</t>
  </si>
  <si>
    <t>📅 MIÉRCOLES</t>
  </si>
  <si>
    <t>L3</t>
  </si>
  <si>
    <t>AFTER AZUL (etiquetado)</t>
  </si>
  <si>
    <t>AFTER AZUL (sin etiq)</t>
  </si>
  <si>
    <t>2000 X400ML</t>
  </si>
  <si>
    <t>📅 JUEVES</t>
  </si>
  <si>
    <t>Envases: OK   Semielab.: ok</t>
  </si>
  <si>
    <t xml:space="preserve">Envases: OK   Semielab.: </t>
  </si>
  <si>
    <r>
      <rPr>
        <rFont val="Arial"/>
        <b/>
        <color rgb="FF6B46C1"/>
        <sz val="15.0"/>
      </rPr>
      <t xml:space="preserve">   👑  </t>
    </r>
    <r>
      <rPr>
        <rFont val="Arial"/>
        <b/>
        <color rgb="FF6B46C1"/>
        <sz val="13.0"/>
      </rPr>
      <t>ENVASADO PRODUCTOS PREMIUM  |  1 LÍNEA DE PRODUCCIÓN</t>
    </r>
  </si>
  <si>
    <t>📅 VIERNES</t>
  </si>
  <si>
    <t>SKIN GLOW 1000x15g</t>
  </si>
  <si>
    <t>HOMEPEEL 600x50ml</t>
  </si>
  <si>
    <t>ADVANCE: 500 C/U</t>
  </si>
  <si>
    <t>BOOSTER VIT C 1800x15ml</t>
  </si>
  <si>
    <t>CREMA PDRN 1000x30ml</t>
  </si>
  <si>
    <t>AH 1% - AH 2% -</t>
  </si>
  <si>
    <t>AGUA MICELAR 1000x150</t>
  </si>
  <si>
    <t>COLLAGENE 1000x30ml</t>
  </si>
  <si>
    <t>DMAE - ARG</t>
  </si>
  <si>
    <t>AQUAPEEL PG2 500x250ml</t>
  </si>
  <si>
    <t>📅 Entrega: 8-6 | 9-6</t>
  </si>
  <si>
    <t>📅 Entrega: 11-6</t>
  </si>
  <si>
    <t>TOTAL SEMANA</t>
  </si>
  <si>
    <t>Envases: OK Semielab.:</t>
  </si>
  <si>
    <t>Envases:OK   Semielab.:</t>
  </si>
  <si>
    <t>Envases: OK  Semielab.:</t>
  </si>
  <si>
    <t>Envases: ⚠  Semielab.:</t>
  </si>
  <si>
    <t>Envases: OK   Semielab.:</t>
  </si>
  <si>
    <t xml:space="preserve"> OK – Confirmado   ⚠ – En espera   ✖ – No disponible</t>
  </si>
  <si>
    <t>⚠  Confirmar envases y semielaborados con mínimo 5d de anticipación.</t>
  </si>
  <si>
    <r>
      <rPr>
        <rFont val="Arial"/>
        <b/>
        <color rgb="FF38A169"/>
        <sz val="15.0"/>
      </rPr>
      <t xml:space="preserve">   🍶  </t>
    </r>
    <r>
      <rPr>
        <rFont val="Arial"/>
        <b/>
        <color rgb="FF38A169"/>
        <sz val="13.0"/>
      </rPr>
      <t>ENVASADO CONSUMO MASIVO  |  3 LÍNEAS DE PRODUCCIÓN</t>
    </r>
  </si>
  <si>
    <t>JACTANS DISNEY</t>
  </si>
  <si>
    <t>ETIQUETADOS</t>
  </si>
  <si>
    <t xml:space="preserve">DP-50983-Perfume </t>
  </si>
  <si>
    <t>AGUA MICELAR UNICA</t>
  </si>
  <si>
    <t>ACEITE CORPORAL RESTO</t>
  </si>
  <si>
    <t>Grand prix 3000x55ml</t>
  </si>
  <si>
    <t>AQUA PEEL PROF BEAUTY</t>
  </si>
  <si>
    <t>1260 x60ml</t>
  </si>
  <si>
    <t>📅 Entrega: 12/6</t>
  </si>
  <si>
    <t xml:space="preserve">Envases:  OK Semielab.: </t>
  </si>
  <si>
    <t xml:space="preserve">Envases: ⚠  Semielab.: </t>
  </si>
  <si>
    <t xml:space="preserve">Envases: ok  Semielab.: </t>
  </si>
  <si>
    <t>AFTER AZUL 50010A</t>
  </si>
  <si>
    <t>GEL VEGAN 1000x200ml</t>
  </si>
  <si>
    <t>2000x400ml (10A)</t>
  </si>
  <si>
    <t>TYL ACEITE RESTO</t>
  </si>
  <si>
    <t>500x 70g</t>
  </si>
  <si>
    <t xml:space="preserve">Envases: OK Semielab: </t>
  </si>
  <si>
    <t xml:space="preserve">Envases: OK Semielab:OK </t>
  </si>
  <si>
    <t xml:space="preserve">Envases:   ⚠  Semielab.: </t>
  </si>
  <si>
    <t>1562 x400ml (10A)</t>
  </si>
  <si>
    <t>2000 x400ml (10B)</t>
  </si>
  <si>
    <t>1500 10A</t>
  </si>
  <si>
    <t>?</t>
  </si>
  <si>
    <t xml:space="preserve">Envases: ⚠ Semielab.: </t>
  </si>
  <si>
    <t xml:space="preserve">Envases: ⚠   Semielab.: </t>
  </si>
  <si>
    <r>
      <rPr>
        <rFont val="Arial"/>
        <b/>
        <color rgb="FF6B46C1"/>
        <sz val="15.0"/>
      </rPr>
      <t xml:space="preserve">   👑  </t>
    </r>
    <r>
      <rPr>
        <rFont val="Arial"/>
        <b/>
        <color rgb="FF6B46C1"/>
        <sz val="13.0"/>
      </rPr>
      <t>ENVASADO PRODUCTOS PREMIUM  |  1 LÍNEA DE PRODUCCIÓN</t>
    </r>
  </si>
  <si>
    <t>LAUDE SERUM VIT C 500x30ml</t>
  </si>
  <si>
    <t>JALEA TERMAL  500x200ml</t>
  </si>
  <si>
    <t>ETIQUETADO</t>
  </si>
  <si>
    <t>LAUDE CR FACIAL 500x50ml</t>
  </si>
  <si>
    <t>NIZA SIGNATURE hydra300x30ml</t>
  </si>
  <si>
    <t>ESTUCHADO</t>
  </si>
  <si>
    <t>Etiquetemos todo</t>
  </si>
  <si>
    <t>ICONO CR NIACINAMIDA</t>
  </si>
  <si>
    <t>Etiquetemos ambos</t>
  </si>
  <si>
    <t>LIMPIEZA SECTOR</t>
  </si>
  <si>
    <t>CKM ACEITE 100x30ml</t>
  </si>
  <si>
    <t>2000x50ml</t>
  </si>
  <si>
    <t xml:space="preserve">📅 Entrega: 10/6 </t>
  </si>
  <si>
    <t>📅 Entrega:11-6</t>
  </si>
  <si>
    <t>Envases:  ⚠    Semielab.:</t>
  </si>
  <si>
    <r>
      <rPr>
        <rFont val="Arial"/>
        <b/>
        <color rgb="FF38A169"/>
        <sz val="15.0"/>
      </rPr>
      <t xml:space="preserve">   🍶  </t>
    </r>
    <r>
      <rPr>
        <rFont val="Arial"/>
        <b/>
        <color rgb="FF38A169"/>
        <sz val="13.0"/>
      </rPr>
      <t>ENVASADO CONSUMO MASIVO  |  3 LÍNEAS DE PRODUCCIÓN</t>
    </r>
  </si>
  <si>
    <t>3000x250ml</t>
  </si>
  <si>
    <t>500x500g etiquetar</t>
  </si>
  <si>
    <t>📅 Entrega: 22-6</t>
  </si>
  <si>
    <t xml:space="preserve">Envases:  OK  Semielab.: </t>
  </si>
  <si>
    <t>CHERRY 5000x28g</t>
  </si>
  <si>
    <t xml:space="preserve">Envases:   OK  Semielab.: </t>
  </si>
  <si>
    <t>Envases:   OK  Semielab.: ok</t>
  </si>
  <si>
    <t>312 (10A) | 1500 (10B)</t>
  </si>
  <si>
    <t>1500 x400ml (10B)</t>
  </si>
  <si>
    <t>500 (10B) | 1500 (10C)</t>
  </si>
  <si>
    <t>2000 (10C)</t>
  </si>
  <si>
    <t>Envases: OK Semielab: ok</t>
  </si>
  <si>
    <r>
      <rPr>
        <rFont val="Arial"/>
        <b/>
        <color rgb="FF6B46C1"/>
        <sz val="15.0"/>
      </rPr>
      <t xml:space="preserve">   👑  </t>
    </r>
    <r>
      <rPr>
        <rFont val="Arial"/>
        <b/>
        <color rgb="FF6B46C1"/>
        <sz val="13.0"/>
      </rPr>
      <t>ENVASADO PRODUCTOS PREMIUM  |  1 LÍNEA DE PRODUCCIÓN</t>
    </r>
  </si>
  <si>
    <t>TYL ACEITE CORPORAL</t>
  </si>
  <si>
    <t>AGUA MICELAR PROBIOTICS</t>
  </si>
  <si>
    <t>SERUM VIT C 1000x10ml</t>
  </si>
  <si>
    <t>1300x160ml</t>
  </si>
  <si>
    <t>1500 x200ml</t>
  </si>
  <si>
    <t>2100 x60ml</t>
  </si>
  <si>
    <t>POMADA MATE 300x65g</t>
  </si>
  <si>
    <t>BRUMA FIJADORA 1000x125ml</t>
  </si>
  <si>
    <t>📅 Entrega: 19-6</t>
  </si>
  <si>
    <t>📅 Entrega: 19-6 | 25-6</t>
  </si>
  <si>
    <t>---------------------+</t>
  </si>
  <si>
    <r>
      <rPr>
        <rFont val="Arial"/>
        <b/>
        <color rgb="FF38A169"/>
        <sz val="15.0"/>
      </rPr>
      <t xml:space="preserve">   🍶  </t>
    </r>
    <r>
      <rPr>
        <rFont val="Arial"/>
        <b/>
        <color rgb="FF38A169"/>
        <sz val="13.0"/>
      </rPr>
      <t>ENVASADO CONSUMO MASIVO  |  3 LÍNEAS DE PRODUCCIÓN</t>
    </r>
  </si>
  <si>
    <t>KUNST / etiquetar</t>
  </si>
  <si>
    <t>ALISADO 300x250ml</t>
  </si>
  <si>
    <t>3300 x160g</t>
  </si>
  <si>
    <t>ALISADO 500x1kg</t>
  </si>
  <si>
    <t>📅 Entrega: 26/6</t>
  </si>
  <si>
    <t>📅 Entrega:  26/6</t>
  </si>
  <si>
    <t xml:space="preserve">Envases:OK Semielab.:ok </t>
  </si>
  <si>
    <t>Envases: OK  Semielab.ok</t>
  </si>
  <si>
    <t>FRAMBUESA 5000x28g</t>
  </si>
  <si>
    <t>POMO 300x200ml</t>
  </si>
  <si>
    <t>3690 x160ml</t>
  </si>
  <si>
    <t>📅 Entrega: 24-6</t>
  </si>
  <si>
    <t>📅 Entrega: 26-6</t>
  </si>
  <si>
    <t>Envases: OK Semielab:ok</t>
  </si>
  <si>
    <t xml:space="preserve">Envases: OK  Semielab.:ko </t>
  </si>
  <si>
    <t>Envases: okSemielab.: ok</t>
  </si>
  <si>
    <t>Envases:   ⚠  Semielab.: ok</t>
  </si>
  <si>
    <t>2000 x400ml (10C)</t>
  </si>
  <si>
    <t>Envases: ⚠ Semielab.ok</t>
  </si>
  <si>
    <t>Envases: ⚠   Semielab.: ok</t>
  </si>
  <si>
    <t>Envases: ⚠  Semielab.:ok</t>
  </si>
  <si>
    <r>
      <rPr>
        <rFont val="Arial"/>
        <b/>
        <color rgb="FF6B46C1"/>
        <sz val="15.0"/>
      </rPr>
      <t xml:space="preserve">   👑  </t>
    </r>
    <r>
      <rPr>
        <rFont val="Arial"/>
        <b/>
        <color rgb="FF6B46C1"/>
        <sz val="13.0"/>
      </rPr>
      <t>ENVASADO PRODUCTOS PREMIUM  |  1 LÍNEA DE PRODUCCIÓN</t>
    </r>
  </si>
  <si>
    <t>TSU - REPROCESO</t>
  </si>
  <si>
    <t>CR DIA - CR NOCHE</t>
  </si>
  <si>
    <t>CREMA DIA 800</t>
  </si>
  <si>
    <t>SERUM AH+NIA 1000x30ml</t>
  </si>
  <si>
    <t>SERUM W+ 500x10ml</t>
  </si>
  <si>
    <t>LOCION TONICA 500x110cc</t>
  </si>
  <si>
    <t>CR ACLARANTE</t>
  </si>
  <si>
    <t>CREMA NOCHE 900</t>
  </si>
  <si>
    <t>SERUM N+ 500x10ml</t>
  </si>
  <si>
    <t>etiquetar + estuchar</t>
  </si>
  <si>
    <t>LAVADO</t>
  </si>
  <si>
    <t>CREMA ACLARANTE 400</t>
  </si>
  <si>
    <t>etiquetar</t>
  </si>
  <si>
    <t>CAV SERUM 200x30ml etiquetar</t>
  </si>
  <si>
    <t>📅 Entrega: 24/6 | 26/6</t>
  </si>
  <si>
    <t>📅 Entrega:26-6</t>
  </si>
  <si>
    <t>📅 Entrega: 29/6</t>
  </si>
  <si>
    <t>📅 Entrega: 01/07</t>
  </si>
  <si>
    <t>Envases: ok  Semielab.:</t>
  </si>
  <si>
    <t>Envases:  ok   Semielab.:</t>
  </si>
  <si>
    <r>
      <rPr>
        <rFont val="Arial"/>
        <b/>
        <color rgb="FF38A169"/>
        <sz val="15.0"/>
      </rPr>
      <t xml:space="preserve">   🍶  </t>
    </r>
    <r>
      <rPr>
        <rFont val="Arial"/>
        <b/>
        <color rgb="FF38A169"/>
        <sz val="13.0"/>
      </rPr>
      <t>ENVASADO CONSUMO MASIVO  |  3 LÍNEAS DE PRODUCCIÓN</t>
    </r>
  </si>
  <si>
    <t xml:space="preserve">CAV </t>
  </si>
  <si>
    <t xml:space="preserve">SHAMPOO VITAMIN </t>
  </si>
  <si>
    <t>CONDITIONER VITAMIN</t>
  </si>
  <si>
    <t>CR VITAMIN SHOCK POMO 500</t>
  </si>
  <si>
    <r>
      <rPr>
        <rFont val="Calibri"/>
        <b/>
        <color theme="1"/>
        <sz val="13.0"/>
      </rPr>
      <t xml:space="preserve">300x300ml </t>
    </r>
    <r>
      <rPr>
        <rFont val="Calibri"/>
        <b/>
        <color rgb="FFFF0000"/>
        <sz val="13.0"/>
      </rPr>
      <t>etiquetar</t>
    </r>
  </si>
  <si>
    <r>
      <rPr>
        <rFont val="Calibri"/>
        <b/>
        <color theme="1"/>
        <sz val="13.0"/>
      </rPr>
      <t xml:space="preserve">500x400ml </t>
    </r>
    <r>
      <rPr>
        <rFont val="Calibri"/>
        <b/>
        <color rgb="FFFF0000"/>
        <sz val="13.0"/>
      </rPr>
      <t>ETIQUETAR</t>
    </r>
  </si>
  <si>
    <r>
      <rPr>
        <rFont val="Calibri"/>
        <b/>
        <color theme="1"/>
        <sz val="13.0"/>
      </rPr>
      <t xml:space="preserve">500x400ml </t>
    </r>
    <r>
      <rPr>
        <rFont val="Calibri"/>
        <b/>
        <color rgb="FFFF0000"/>
        <sz val="13.0"/>
      </rPr>
      <t>ETIQUETAR</t>
    </r>
  </si>
  <si>
    <t>ACOND 200X900ml etiquetar</t>
  </si>
  <si>
    <t>📅 Entrega:  30/6</t>
  </si>
  <si>
    <t xml:space="preserve">Envases:  ⚠  Semielab.: </t>
  </si>
  <si>
    <t>JACTANS- DISNEY</t>
  </si>
  <si>
    <t>KALA BALSAMO SANDIA</t>
  </si>
  <si>
    <t>KALA BALSAMO MANGO</t>
  </si>
  <si>
    <t>DP-0311 fco triang 1300x50ml</t>
  </si>
  <si>
    <t>DP40543 fco body 1500x65ml</t>
  </si>
  <si>
    <t>2000x15g: 136 borravino</t>
  </si>
  <si>
    <t>2000x15g: 135 rayas verde</t>
  </si>
  <si>
    <t>1095 moison | 1096 stripe</t>
  </si>
  <si>
    <t>1103 harrison| 1096 f verde</t>
  </si>
  <si>
    <t>📅 Entrega: 6/7</t>
  </si>
  <si>
    <t xml:space="preserve">Envases:   ok Semielab.: </t>
  </si>
  <si>
    <t xml:space="preserve">DP-0304 fco triang 1300x50ml </t>
  </si>
  <si>
    <t>DP-0328 fco triang 1300x50ml</t>
  </si>
  <si>
    <t>DP50907 fco body 3000x65ml</t>
  </si>
  <si>
    <t>DP46347 fco body 1500x65ml</t>
  </si>
  <si>
    <t>📅 Entrega: 1/7</t>
  </si>
  <si>
    <r>
      <rPr>
        <rFont val="Arial"/>
        <b/>
        <color rgb="FF6B46C1"/>
        <sz val="15.0"/>
      </rPr>
      <t xml:space="preserve">   👑  </t>
    </r>
    <r>
      <rPr>
        <rFont val="Arial"/>
        <b/>
        <color rgb="FF6B46C1"/>
        <sz val="13.0"/>
      </rPr>
      <t>ENVASADO PRODUCTOS PREMIUM  |  1 LÍNEA DE PRODUCCIÓN</t>
    </r>
  </si>
  <si>
    <t>NIZA etiquetemos</t>
  </si>
  <si>
    <r>
      <rPr>
        <rFont val="Calibri"/>
        <b/>
        <color theme="1"/>
        <sz val="13.0"/>
      </rPr>
      <t xml:space="preserve">NIZA </t>
    </r>
    <r>
      <rPr>
        <rFont val="Calibri"/>
        <b/>
        <color rgb="FFFF0000"/>
        <sz val="13.0"/>
      </rPr>
      <t>etiquetemos</t>
    </r>
  </si>
  <si>
    <t>RHIFT ENVASADO SERUM</t>
  </si>
  <si>
    <t>AQUABOMB RICH 300x250ml</t>
  </si>
  <si>
    <t>NIZA MIXOLOGY 300x300ml</t>
  </si>
  <si>
    <t>C-PLEX PASO 3 500x150ml</t>
  </si>
  <si>
    <t>PROBIOTONIC HYDRA 300X500ML</t>
  </si>
  <si>
    <t>MIXOLOGY DESVIT 300X300ml</t>
  </si>
  <si>
    <t>RHIFT VACIAR SERUM DESPIG</t>
  </si>
  <si>
    <t>SERUM CAPIXYL 1000x10ml</t>
  </si>
  <si>
    <t>📅 Entrega:  3/7</t>
  </si>
  <si>
    <t>📅 Entrega:3/7</t>
  </si>
  <si>
    <t>Envases:  ⚠   Semielab.:</t>
  </si>
  <si>
    <r>
      <rPr>
        <rFont val="Arial"/>
        <b/>
        <color rgb="FF38A169"/>
        <sz val="15.0"/>
      </rPr>
      <t xml:space="preserve">   🍶  </t>
    </r>
    <r>
      <rPr>
        <rFont val="Arial"/>
        <b/>
        <color rgb="FF38A169"/>
        <sz val="13.0"/>
      </rPr>
      <t>ENVASADO CONSUMO MASIVO  |  3 LÍNEAS DE PRODUCCIÓN</t>
    </r>
  </si>
  <si>
    <t>MASCARA ANTIFRIZZ</t>
  </si>
  <si>
    <t>2000x250g</t>
  </si>
  <si>
    <t>800x1kg</t>
  </si>
  <si>
    <t>📅 Entrega: 10/7</t>
  </si>
  <si>
    <t xml:space="preserve">📅 Entrega:  </t>
  </si>
  <si>
    <t>Envases:  ⚠  Semielab.:</t>
  </si>
  <si>
    <t xml:space="preserve">Envases:   ⚠ Semielab.: </t>
  </si>
  <si>
    <t xml:space="preserve">Envases:  ⚠ Semielab.: </t>
  </si>
  <si>
    <t>BAHIA EVANS (3)</t>
  </si>
  <si>
    <t>POMADAS 200x150g:</t>
  </si>
  <si>
    <t>MATE X2 | BRILL GOLDEN</t>
  </si>
  <si>
    <t>MASCARA 3000</t>
  </si>
  <si>
    <t>MASCARA 800</t>
  </si>
  <si>
    <t>SANITIZANTE COCO 450x20ml</t>
  </si>
  <si>
    <t>SANITIZANTE UVA 1000x20ml</t>
  </si>
  <si>
    <t>2500x20ml</t>
  </si>
  <si>
    <t>3050 x20ml</t>
  </si>
  <si>
    <r>
      <rPr>
        <rFont val="Arial"/>
        <b/>
        <color rgb="FF6B46C1"/>
        <sz val="15.0"/>
      </rPr>
      <t xml:space="preserve">   👑  </t>
    </r>
    <r>
      <rPr>
        <rFont val="Arial"/>
        <b/>
        <color rgb="FF6B46C1"/>
        <sz val="13.0"/>
      </rPr>
      <t>ENVASADO PRODUCTOS PREMIUM  |  1 LÍNEA DE PRODUCCIÓN</t>
    </r>
  </si>
  <si>
    <t>SERUM CAFEINA 500x10ml</t>
  </si>
  <si>
    <t>EXFOLIANTE MA 500x30ml</t>
  </si>
  <si>
    <t>SERUM CEJAS</t>
  </si>
  <si>
    <t>SERUM AH 1% 500x10ml</t>
  </si>
  <si>
    <t>CONTORNO 500x15ml</t>
  </si>
  <si>
    <t>EXFOLIANTE 500x250g</t>
  </si>
  <si>
    <t>estuchar</t>
  </si>
  <si>
    <t>FECHA</t>
  </si>
  <si>
    <t>CLIENTE</t>
  </si>
  <si>
    <t>PRODUCTO</t>
  </si>
  <si>
    <t>CANTIDAD</t>
  </si>
  <si>
    <t>SERUMS X3</t>
  </si>
  <si>
    <t>OCEAN SKIN</t>
  </si>
  <si>
    <t>PERFUME REY LEON 5ML</t>
  </si>
  <si>
    <t>SERUM ORIGENES</t>
  </si>
  <si>
    <t>SHAMPOO BABY</t>
  </si>
  <si>
    <t>MIXOLOGY X3</t>
  </si>
  <si>
    <t>GEL + EMULSION DE LIMP</t>
  </si>
  <si>
    <t>PARCIAL</t>
  </si>
  <si>
    <t>SERUM DESPIGMENTANTE</t>
  </si>
  <si>
    <t xml:space="preserve">CREMA VITAMINADA </t>
  </si>
  <si>
    <t>YOUTHFUL</t>
  </si>
  <si>
    <t>BRUMAS X2</t>
  </si>
  <si>
    <t>CREMA DIA</t>
  </si>
  <si>
    <t>CREMA HIDARTANTE</t>
  </si>
  <si>
    <t>OLEO 30+1</t>
  </si>
  <si>
    <t>SERUM NIACINAMIDA</t>
  </si>
  <si>
    <t>TCL</t>
  </si>
  <si>
    <t>SERUM VIT C</t>
  </si>
  <si>
    <t>SERUM HYALU</t>
  </si>
  <si>
    <t>SERUM NIACI</t>
  </si>
  <si>
    <t>SERUM TENSOR</t>
  </si>
  <si>
    <t>SERUM INTIMO</t>
  </si>
  <si>
    <t>UNGUENTO PROPOLEOS</t>
  </si>
  <si>
    <t>SHAMPOO INFANTIL</t>
  </si>
  <si>
    <t>CREMA MANOS Y CR EXFOLIANTE</t>
  </si>
  <si>
    <t>GEL AKI</t>
  </si>
  <si>
    <t>CREMA SECRETOS X2</t>
  </si>
  <si>
    <t>ALISADO EXPERT 1KG</t>
  </si>
  <si>
    <t>ALCOHOL EN GEL SANDIA</t>
  </si>
  <si>
    <t>SHAMPOO / CONDITIONER KG</t>
  </si>
  <si>
    <t>SERUM VITAMIN SHOCK</t>
  </si>
  <si>
    <t>MASCARA VITAMIN SHOCK</t>
  </si>
  <si>
    <t>TGF</t>
  </si>
  <si>
    <t>REPARADOR DE OJERAS</t>
  </si>
  <si>
    <t>TONICO CORPORAL</t>
  </si>
  <si>
    <t>SERUM VITAMINA C</t>
  </si>
  <si>
    <t>CONTORNO DE OJOS</t>
  </si>
  <si>
    <t>LECH DE LIMPIEZA</t>
  </si>
  <si>
    <t>DEVOLUCION TODOS ENVASES</t>
  </si>
  <si>
    <t>CREMA ENEBRO</t>
  </si>
  <si>
    <t>CREMA KARITE</t>
  </si>
  <si>
    <t>BALSAMO HERBAL AGUAZU</t>
  </si>
  <si>
    <t>ESPUMAS AGUAZU</t>
  </si>
  <si>
    <t>C-PLEX REBOND PASO 1</t>
  </si>
  <si>
    <t>FINISHING C-PLEX PASO 2</t>
  </si>
  <si>
    <t>ACOND MAXLISS</t>
  </si>
  <si>
    <t>CREMA NOCHE</t>
  </si>
  <si>
    <t>SERUM AH CONCENTRADO</t>
  </si>
  <si>
    <t>ALC GEL VAINILLA/COCO</t>
  </si>
  <si>
    <t>DESMAQUILLANTE BIFASICO</t>
  </si>
  <si>
    <t>SERUM MANCHAS</t>
  </si>
  <si>
    <t>CREMA HUMECTANTE KARITE</t>
  </si>
  <si>
    <t>PARCIAL DE SH SOLIDO X2</t>
  </si>
  <si>
    <t>ACONDICIONADOR INFANTIL</t>
  </si>
  <si>
    <t>ALCOHOL CHERRY</t>
  </si>
  <si>
    <t>ALCOHOL FRUTILLA</t>
  </si>
  <si>
    <t>ACONDICIONADOR X900ML</t>
  </si>
  <si>
    <t>CREMA DE PEINAR VITAMIN</t>
  </si>
  <si>
    <t>SHAMPOO KARITE</t>
  </si>
  <si>
    <t>SHAMPOO HENNA</t>
  </si>
  <si>
    <t>BAÑO DE CREMA BE VEGAN</t>
  </si>
  <si>
    <t>ADVANCE AH 1%</t>
  </si>
  <si>
    <t>ADVANCE VIT C</t>
  </si>
  <si>
    <t>ADVANCE SILICIO</t>
  </si>
  <si>
    <t>ADVANCE CAIDA</t>
  </si>
  <si>
    <t>ADVANCE DMAE</t>
  </si>
  <si>
    <t>AFTER SHAVE AZUL + VERDE</t>
  </si>
  <si>
    <t>SHAMPOO SOLIDO</t>
  </si>
  <si>
    <t>SIGNATURE BLEND REVERSE</t>
  </si>
  <si>
    <t>REVIVE GEL</t>
  </si>
  <si>
    <t>BB LIPS NATURAL</t>
  </si>
  <si>
    <t>CREMA NOCHE ORIGENES</t>
  </si>
  <si>
    <t>pendiente</t>
  </si>
  <si>
    <t>ALCOHOL CHICLE FARMACITY</t>
  </si>
  <si>
    <t>Parcial</t>
  </si>
  <si>
    <t>SANITIZANTE COCO (sin etiq)</t>
  </si>
  <si>
    <t>SERUM DEEP</t>
  </si>
  <si>
    <t>CREMA PDRN</t>
  </si>
  <si>
    <t>CREMA ABSOLUTE READIANCE</t>
  </si>
  <si>
    <t>SANITIZANTE VAMOR ARG</t>
  </si>
  <si>
    <t>SANITIZANTE CORONADOS</t>
  </si>
  <si>
    <t>SHAMPOO BIONIC</t>
  </si>
  <si>
    <t>ACOND BIONIC</t>
  </si>
  <si>
    <t>ACOND VITAMIN SHOCK</t>
  </si>
  <si>
    <t>SHAMPOO LISS (PRIORIDAD)</t>
  </si>
  <si>
    <t>ACONDICIONADOR LISS</t>
  </si>
  <si>
    <t>MASCARA TENSORA X95G</t>
  </si>
  <si>
    <t>MASCARA TENSORA X250G</t>
  </si>
  <si>
    <t>CREMA TENSORA X250ML</t>
  </si>
  <si>
    <t>ADVANCE AH 2%</t>
  </si>
  <si>
    <t>ALCOHOL EN GEL CORONADOS</t>
  </si>
  <si>
    <t>ALCOHOL EN GEL VAMOS ARG</t>
  </si>
  <si>
    <t>SANITIZANTES FRAMBUESA</t>
  </si>
  <si>
    <t>LO MAX</t>
  </si>
  <si>
    <t>ALCOHOL EN GEL ARG</t>
  </si>
  <si>
    <t>EXFOLIANTE GA</t>
  </si>
  <si>
    <t>AGUEDA REY EPICA</t>
  </si>
  <si>
    <t>SERUM HYALU 30ML</t>
  </si>
  <si>
    <t>SERUM NIACI 30ML</t>
  </si>
  <si>
    <t>SERUM RETIN</t>
  </si>
  <si>
    <t>SERUM OIL</t>
  </si>
  <si>
    <t>SERUM RETINOL</t>
  </si>
  <si>
    <t>parcial</t>
  </si>
  <si>
    <t>SERUM P+</t>
  </si>
  <si>
    <t>ADVANCE PLACENTA</t>
  </si>
  <si>
    <t>ADVANCE AH2%</t>
  </si>
  <si>
    <t>ADVANCE AH1%</t>
  </si>
  <si>
    <t>ADVANCE COLAGENO</t>
  </si>
  <si>
    <t>SANITIZANTES MUNDIAL</t>
  </si>
  <si>
    <t>SERUM MELENA DE LEON</t>
  </si>
  <si>
    <t xml:space="preserve">SERUM ASHWAGANDA </t>
  </si>
  <si>
    <t>SERUM REISHI</t>
  </si>
  <si>
    <t>ACONDICIONADOR MAXLISS</t>
  </si>
  <si>
    <t>DISCIPLINADOR</t>
  </si>
  <si>
    <t>SANITIZANTE NEUTRO TYL</t>
  </si>
  <si>
    <t>SERUM REPARADOR DE PUNTAS</t>
  </si>
  <si>
    <t>SERUM, BRUMA, CR NOCHE, CONTOR</t>
  </si>
  <si>
    <t>POLVOS TEXTURIZADORES</t>
  </si>
  <si>
    <t>SCRUB COCO, CHICLE Y SANDIA</t>
  </si>
  <si>
    <t>BRUMA TESTER</t>
  </si>
  <si>
    <t>CREMA TESTER</t>
  </si>
  <si>
    <t>IKIGAI</t>
  </si>
  <si>
    <t>GEL CONDUCTOR NEUTRO</t>
  </si>
  <si>
    <t>LIP INJECTION X2</t>
  </si>
  <si>
    <t>RELOTEO BRONZING DROPS</t>
  </si>
  <si>
    <t>SERUM AH 1%</t>
  </si>
  <si>
    <t>SERUM AH 2%</t>
  </si>
  <si>
    <t>PERFUME VESTIDITO DP50617</t>
  </si>
  <si>
    <t>SHAMPOO ROMERO</t>
  </si>
  <si>
    <t>SERUM TODOS</t>
  </si>
  <si>
    <t>ACOND ROSAS ROSA MOSQUE</t>
  </si>
  <si>
    <t>ACOND LAVANDA LEMONGRAS</t>
  </si>
  <si>
    <t>BRIGHT AND WHITE EYES</t>
  </si>
  <si>
    <t>SIGNATURE HYDRA</t>
  </si>
  <si>
    <t>PERFUME FCO MANZANA</t>
  </si>
  <si>
    <t>SANITIZANTE UVA +  FRUTILLA</t>
  </si>
  <si>
    <t>SANITIZANTE COCO + CHERRY</t>
  </si>
  <si>
    <t>DESRRENDANTE BIFASICO</t>
  </si>
  <si>
    <t>SH VITAMIN X400 + 900ML</t>
  </si>
  <si>
    <t>AC VITAMIN X400 + 900ML</t>
  </si>
  <si>
    <t>ACOND BIONIC X900ML</t>
  </si>
  <si>
    <t>SHAMPOO X1KG</t>
  </si>
  <si>
    <t>ACONDICIONADOR 1KG + 300g</t>
  </si>
  <si>
    <t>SPRAY REPAIR</t>
  </si>
  <si>
    <t>PERFUME MANZABA BLANC</t>
  </si>
  <si>
    <t>CREMA HIDRATANTE LIGERA</t>
  </si>
  <si>
    <t>CREMA PARA RULOS</t>
  </si>
  <si>
    <t>CREMA RETINOL</t>
  </si>
  <si>
    <t>SERUM SEBORREGULADOR</t>
  </si>
  <si>
    <t>SERUM CONTORNO DE OJOS</t>
  </si>
  <si>
    <t>AFTER TODOS</t>
  </si>
  <si>
    <t>SERUM GLICOLICO</t>
  </si>
  <si>
    <t>PERFUME DP-51270</t>
  </si>
  <si>
    <t>Perfume DP-51287</t>
  </si>
  <si>
    <t>Perfume DP-51294</t>
  </si>
  <si>
    <t>PERFUME DP-51300</t>
  </si>
  <si>
    <t>PERFUME DP-51263</t>
  </si>
  <si>
    <t>SERUM CARROT OIL</t>
  </si>
  <si>
    <t>BOOSTER TELAGYN</t>
  </si>
  <si>
    <t>ALCOHOL EN GEL DURAZNO</t>
  </si>
  <si>
    <t>ALCOHOL EN GEL FRUTOS</t>
  </si>
  <si>
    <t>SKIN GLOW</t>
  </si>
  <si>
    <t>ALISADO KERATIN 1KG</t>
  </si>
  <si>
    <t>ALISADO KERATIN 300ML</t>
  </si>
  <si>
    <t>SHAMPOO BIONIC X400ML</t>
  </si>
  <si>
    <t>ACOND BIONIC X400ML</t>
  </si>
  <si>
    <t>SANITIZANTE GARDEN DREAMS</t>
  </si>
  <si>
    <t>SANITIZANTE FLORAL</t>
  </si>
  <si>
    <t>CREMA EXFOLIANTE PROBIOTIC</t>
  </si>
  <si>
    <t>ALCOHOL EN GEL X2 ARGENT</t>
  </si>
  <si>
    <t>SHAMPOO X4 VARIEDADES</t>
  </si>
  <si>
    <t>ACONDICIONADOR UNISEX</t>
  </si>
  <si>
    <t>AFTER SHAVE TODOS</t>
  </si>
  <si>
    <t>ADVANCE AH 0,5% - 1% - 2%</t>
  </si>
  <si>
    <t>ADVANCE DMAE, COL, MULT, ARG</t>
  </si>
  <si>
    <t>AQUA PEEL PG2</t>
  </si>
  <si>
    <t>BOSTER COLLAGENE</t>
  </si>
  <si>
    <t>NATURAL BIONIC ESPUMA</t>
  </si>
  <si>
    <t>SERUM + CREMA LAUDE</t>
  </si>
  <si>
    <t>POMADA MATE X50G</t>
  </si>
  <si>
    <t>ALCOHOL EN GEL FRUTILLA</t>
  </si>
  <si>
    <t>BRUMA FIJADORA DE MAQ</t>
  </si>
  <si>
    <t>CKM</t>
  </si>
  <si>
    <t>ACEITE ROSA MOSQUETA</t>
  </si>
  <si>
    <t>SERUM VIT C - W+ - N+</t>
  </si>
  <si>
    <t>TRATAMIENTO STRAIGH</t>
  </si>
  <si>
    <t>SHAMPOO VITAMIN X400ML</t>
  </si>
  <si>
    <t>GEL VEGANO</t>
  </si>
  <si>
    <t>KUNST</t>
  </si>
  <si>
    <t>ALISADO CAPILAR</t>
  </si>
  <si>
    <t>REPROCESO CREMAS</t>
  </si>
  <si>
    <t>CONDITIONER VITAMIN X400ML</t>
  </si>
  <si>
    <t>AQUABOMB RICH</t>
  </si>
  <si>
    <t>PROIBIOTONIC HYDRA</t>
  </si>
  <si>
    <t>PROIBIOTONIC BALANCE</t>
  </si>
  <si>
    <t>BALSAMOS MANGO + SANDIA</t>
  </si>
  <si>
    <t>TCS</t>
  </si>
  <si>
    <t>ESENCIA BIOME</t>
  </si>
  <si>
    <t>FEBRERO 2026</t>
  </si>
  <si>
    <t>RESPONSABLE</t>
  </si>
  <si>
    <t>TMCO MILKY TONER</t>
  </si>
  <si>
    <t xml:space="preserve">CAV ACONDICIONADOR </t>
  </si>
  <si>
    <t>JOAQUIN</t>
  </si>
  <si>
    <t>CAV SHAMPOO</t>
  </si>
  <si>
    <t>TYL EXFOLIANTE ARRZ</t>
  </si>
  <si>
    <t>NICOLAS M</t>
  </si>
  <si>
    <t xml:space="preserve">BIOESENCIA SHAMPOO BABY </t>
  </si>
  <si>
    <t>BIOESENCIA SERUM PROBIOTICS</t>
  </si>
  <si>
    <t xml:space="preserve">BIOSENCIA SERUM ORIGENES </t>
  </si>
  <si>
    <t>F.ONCE SERUM HIAL-NIACINAMIDA</t>
  </si>
  <si>
    <t xml:space="preserve">NIZA MIXOLOGY INFLAMADA </t>
  </si>
  <si>
    <t xml:space="preserve">ORIGINAL BLACK AFTER SHAVE AZUL </t>
  </si>
  <si>
    <t>NIZA MIXOLOGY DEVITALIZADA</t>
  </si>
  <si>
    <t>NIZA MIXOLOGY SENSIBLE Y ACT</t>
  </si>
  <si>
    <t xml:space="preserve">ORIGINAL BLACK AFTER SHAVE VIOLETA </t>
  </si>
  <si>
    <t>AGUSTINA H</t>
  </si>
  <si>
    <t xml:space="preserve">JACTANS AGUA BIFASICA </t>
  </si>
  <si>
    <t xml:space="preserve">ALL BEAUTY CREMA HIDRATANTE </t>
  </si>
  <si>
    <t>ALL BEAUTY OLEO 30+1</t>
  </si>
  <si>
    <t>TATWO LOCION PIRCING</t>
  </si>
  <si>
    <t>YOUTHFUL SERUM HYDRA</t>
  </si>
  <si>
    <t>NICOLAS Y</t>
  </si>
  <si>
    <t>YOUTHFUL SERUM VIT C</t>
  </si>
  <si>
    <t xml:space="preserve">TYL CREMA BIFASICA </t>
  </si>
  <si>
    <t>RHIFT SERUM DESPIGMENTANTE</t>
  </si>
  <si>
    <t>NATCEUTICALS GEL LIMPIADOR</t>
  </si>
  <si>
    <t>NATCEUTICALS CREMA DE LIMPIEZA</t>
  </si>
  <si>
    <t>YOUTHFUL GLOW CREMA DIA</t>
  </si>
  <si>
    <t>YOUTHFUL BRUMA FACIAL 125</t>
  </si>
  <si>
    <t>YOUTHFUL BRUMA FACIAL 125ML</t>
  </si>
  <si>
    <t>YOUTHFUL BRUMA FACIAL 75ML</t>
  </si>
  <si>
    <t>LURE GOLD MASK</t>
  </si>
  <si>
    <t>ALL BEAUTY CREMA ORDEÑE</t>
  </si>
  <si>
    <t>YOUTHFUL GLOW SERUM RETINOL</t>
  </si>
  <si>
    <t>TCL SERUM HIALURONICO</t>
  </si>
  <si>
    <t xml:space="preserve">DEL ARCA BOTANICA SH FORTALECEDOR </t>
  </si>
  <si>
    <t>TCL SERUM NIACINAMIDA</t>
  </si>
  <si>
    <t xml:space="preserve">TYL AGUA TERMAL </t>
  </si>
  <si>
    <t>BIOESENCIA BABA CARACOL</t>
  </si>
  <si>
    <t>FEBRERO</t>
  </si>
  <si>
    <t>TOTAL MES</t>
  </si>
  <si>
    <t>MARZO 2026</t>
  </si>
  <si>
    <t>TCL SERUM NIOACINAMIDA</t>
  </si>
  <si>
    <t xml:space="preserve">TYL SERUM DESCONGESTIVO </t>
  </si>
  <si>
    <t xml:space="preserve">KALA AGUA DE ROSAS </t>
  </si>
  <si>
    <t>INTENCIONAL CREMA ORDEÑE</t>
  </si>
  <si>
    <t xml:space="preserve">FARMACIA ONCE GEL UNIESFERAS </t>
  </si>
  <si>
    <t>WSABI SERUM TENSOR</t>
  </si>
  <si>
    <t>WSABI SERUM INTIMO</t>
  </si>
  <si>
    <t xml:space="preserve">TYL SERUM ANTIAGE </t>
  </si>
  <si>
    <t xml:space="preserve">DISNEY ESPUMA DE BAÑO </t>
  </si>
  <si>
    <t>DERMION (FRANCO) SERUM HIALURONICO</t>
  </si>
  <si>
    <t>TCL SERUM VIT C</t>
  </si>
  <si>
    <t xml:space="preserve">HEBURN BRUMA </t>
  </si>
  <si>
    <t xml:space="preserve">BL COSMETICS ALISADO EXPERT 300GR </t>
  </si>
  <si>
    <t xml:space="preserve">BL COSMETICS ALISADO EXPERT 1000GR </t>
  </si>
  <si>
    <t>TCL SERIM VIT C</t>
  </si>
  <si>
    <t xml:space="preserve">CRISLY AGUA MICELAR </t>
  </si>
  <si>
    <t xml:space="preserve">TYL SERUM BIFASICO JOJOBA </t>
  </si>
  <si>
    <t>BL ALISADO EXPERT 100GR</t>
  </si>
  <si>
    <t>BL KERATIN LISS 300GR</t>
  </si>
  <si>
    <t>COSMECEUTICALS REPARADOR DE BOLSAS Y OJERAS</t>
  </si>
  <si>
    <t>PROFESSIONAL BEAUTY GEL NEUTRO 500GR</t>
  </si>
  <si>
    <t>TGF CREMA CLARITE</t>
  </si>
  <si>
    <t>CAV SERUM SHOCK VITAMIN</t>
  </si>
  <si>
    <t xml:space="preserve">TYL SERYM BIFASICO LAVANDA </t>
  </si>
  <si>
    <t>CAV SHAMPOOO 900ML</t>
  </si>
  <si>
    <t xml:space="preserve">PLANTAE SHAMPOO SOLIDO KARITE </t>
  </si>
  <si>
    <t>WSABI LECHE DE LIMPIEZA</t>
  </si>
  <si>
    <t>WSABI CONTORNO DE OJOS Y LABIOS</t>
  </si>
  <si>
    <t xml:space="preserve">WSABI TONICO </t>
  </si>
  <si>
    <t>CAV ACONDICIONADOR 900GR</t>
  </si>
  <si>
    <t>PLANTAE SHAMPOO SOLIDO HENNA</t>
  </si>
  <si>
    <t>WSABI SERUM VIT C</t>
  </si>
  <si>
    <t>OLANN CREMA DIA</t>
  </si>
  <si>
    <t>OLANN CONTORNO DE OJIOS</t>
  </si>
  <si>
    <t xml:space="preserve">BIOESENCIA CREMA VEGAN </t>
  </si>
  <si>
    <t xml:space="preserve">CRISLY CREMA DE AVENA </t>
  </si>
  <si>
    <t>CAV MASCARA CAPILAR VITAMIN SHOCK</t>
  </si>
  <si>
    <t xml:space="preserve">FARMACITY ALCOHOL EN GEL CHICLE </t>
  </si>
  <si>
    <t xml:space="preserve">CAV CRISTAL </t>
  </si>
  <si>
    <t xml:space="preserve">CAV C PLEX </t>
  </si>
  <si>
    <t xml:space="preserve">AGUAZU BALSAMO HERBAL </t>
  </si>
  <si>
    <t>TCL BOOSTER MANCHAS X 30ML</t>
  </si>
  <si>
    <t xml:space="preserve">BIOESENCIA BRUMA ORIGENES </t>
  </si>
  <si>
    <t xml:space="preserve">AGUAZU ESPUMA BAÑO ADULTO Y BALLENA 200ML </t>
  </si>
  <si>
    <t xml:space="preserve">AGUAZU ESPUMA BAÑO ADULTO Y BALLENA 500ML </t>
  </si>
  <si>
    <t xml:space="preserve">OLAAN BRUMA FACIAL </t>
  </si>
  <si>
    <t>NE CREMA CORPORAL</t>
  </si>
  <si>
    <t>NE CREMA FACIAL NOCHE</t>
  </si>
  <si>
    <t>CAV SHAMPOO MIXLESS</t>
  </si>
  <si>
    <t>CAV ACONDICIONADOR MIXLESS</t>
  </si>
  <si>
    <t xml:space="preserve">BIOESENCIA TONICO VEGAN </t>
  </si>
  <si>
    <t>NE BRUMA FACIAL</t>
  </si>
  <si>
    <t>FARMACIA ONCE SERUM HIAL CONCENTRADO</t>
  </si>
  <si>
    <t>FARMACIA ONCE SERUM GLICOLICO</t>
  </si>
  <si>
    <t xml:space="preserve">BIOESENCIA EMULSION PROBIOTICA </t>
  </si>
  <si>
    <t>TCL BOOSTER MANCHAS X 5ML</t>
  </si>
  <si>
    <t>OLANN SERUM HIALURONICO</t>
  </si>
  <si>
    <t xml:space="preserve">JACTANS DESMAQUILLANTE BIFASICO </t>
  </si>
  <si>
    <t xml:space="preserve">TYL ALCOHOL EN GEL CHICLE FRUTILLA </t>
  </si>
  <si>
    <t>ICONO CREMA FACIAL TENSORA</t>
  </si>
  <si>
    <t>0'808'</t>
  </si>
  <si>
    <t>TYL SERUM BIFASICO ROSAS</t>
  </si>
  <si>
    <t xml:space="preserve">DUGA ACONDICIONADOR </t>
  </si>
  <si>
    <t xml:space="preserve">C-PLEX FINISHING </t>
  </si>
  <si>
    <t xml:space="preserve">C-PLEX REBOND </t>
  </si>
  <si>
    <t xml:space="preserve">UNICA CREMA KARITE </t>
  </si>
  <si>
    <t xml:space="preserve">UNICA CREMA ENEBRO </t>
  </si>
  <si>
    <t xml:space="preserve">TYL SERUM BIFASICO PEPINO </t>
  </si>
  <si>
    <t xml:space="preserve">ICONO MASCARA DE PAPAYA </t>
  </si>
  <si>
    <t>P.BEAUTY SERUM DMAE</t>
  </si>
  <si>
    <t>P.BEAUTY SERUM HIAL 1%</t>
  </si>
  <si>
    <t>P.BBEAUTY SERUM VIT C</t>
  </si>
  <si>
    <t>P.BEAUTY SERUM SILICIO</t>
  </si>
  <si>
    <t>P.BEAUTY SERUM ANTI-CAIDA</t>
  </si>
  <si>
    <t>BOR SERUM ANTIOXIDANTE</t>
  </si>
  <si>
    <t>MERMER LOCION CAPILAR</t>
  </si>
  <si>
    <t>TYL ALCOHOL EN GEL CHERRY</t>
  </si>
  <si>
    <t>BIOESENCIA SERUM ORIGENES</t>
  </si>
  <si>
    <t>NIZA SIGNATURE REVERSE</t>
  </si>
  <si>
    <t>MERMER SERUM CAPILAR</t>
  </si>
  <si>
    <t>NIZA REVIVE GEL</t>
  </si>
  <si>
    <t>NIZA CLEAR ACNE LOTION</t>
  </si>
  <si>
    <t>COSMECEUTICALS SERUM DEEP</t>
  </si>
  <si>
    <t>MARZO TOTAL MES</t>
  </si>
  <si>
    <t>ABRIL 2026</t>
  </si>
  <si>
    <t>WSABI CREMA LIGERA</t>
  </si>
  <si>
    <t>TCL EXFOLIANTE GA</t>
  </si>
  <si>
    <t xml:space="preserve">BIOESENCIA BAÑO DE CREMA BE VEGAN </t>
  </si>
  <si>
    <t xml:space="preserve">AGUEDA REY ACOND CEBOLLA </t>
  </si>
  <si>
    <t xml:space="preserve">ORIGINAL BLACK AFTER SHAVE INVICTUS </t>
  </si>
  <si>
    <t>BL COSMETICS GEL ANTIFRIZZ</t>
  </si>
  <si>
    <t xml:space="preserve">TYL BRUMA AGUA DE ROSAS </t>
  </si>
  <si>
    <t xml:space="preserve">BL SHAMPOO CONTROL LISS 300GR </t>
  </si>
  <si>
    <t>BL COSMETIUCS SERUM ARGAN</t>
  </si>
  <si>
    <t xml:space="preserve">TYL AGUA BIFASICA </t>
  </si>
  <si>
    <t>ICONO MASCARA TENSORA</t>
  </si>
  <si>
    <t>TIERRAS DEL VOLCAN EMULSION 200ML (REPROCESO)</t>
  </si>
  <si>
    <t>TIERRAS DEL VOLCAN EMULSION 500ML (REPROCESO)</t>
  </si>
  <si>
    <t>COSMECEUTICALS CREMA RADIANCE</t>
  </si>
  <si>
    <t>BL ACONDICIONADOR 300GR</t>
  </si>
  <si>
    <t>TODO MODA SANITIZANTE COCO</t>
  </si>
  <si>
    <t>COSMECEUTICALS CREMA PRDN</t>
  </si>
  <si>
    <t>ICONO CREMA TENSORA X 250GS.</t>
  </si>
  <si>
    <t>COSMECEUTICALS SERUM VIT C</t>
  </si>
  <si>
    <t>TYL SANITIZANTE CORONADOS DE GLORIA</t>
  </si>
  <si>
    <t>P.BEAUTY SERUM HIAl 1%</t>
  </si>
  <si>
    <t>TODO MODA SANITIZANTE FRAMBUESA</t>
  </si>
  <si>
    <t>TYL SANITIZANTE VAMOS ARGENTINA</t>
  </si>
  <si>
    <t>P.BEAUTY SERUM COLAGENO</t>
  </si>
  <si>
    <t>BLE LIPS LIP INJECTION (MARRON)</t>
  </si>
  <si>
    <t>TCL SERUM RETINOL</t>
  </si>
  <si>
    <t xml:space="preserve">CAV SHAMPOO BIONIC 400ML </t>
  </si>
  <si>
    <t xml:space="preserve">CAV ACONDICIONADOR BIONIC 400GR </t>
  </si>
  <si>
    <t xml:space="preserve">CAV ACONDICIONADOR VITAMIN SHOCK 400GR </t>
  </si>
  <si>
    <t xml:space="preserve">TYL SANITIZANTE CORONADOS DE GLORIA </t>
  </si>
  <si>
    <t>P.BEAUTY SERUM HIAL 2%</t>
  </si>
  <si>
    <t>TCL BOOSTER HYALU</t>
  </si>
  <si>
    <t>TCL BOOSTER NIACI</t>
  </si>
  <si>
    <t xml:space="preserve">EPICA SHAMPOO NEUTRO </t>
  </si>
  <si>
    <t xml:space="preserve">TYL CORONADOS DE GLORIA </t>
  </si>
  <si>
    <t>DERMION SERUM HIAL+NIACI</t>
  </si>
  <si>
    <t>PILAR ACEITE CORPORAL</t>
  </si>
  <si>
    <t>TMCO SERUM OIL</t>
  </si>
  <si>
    <t>BIOESENCIA CREMA PROBIOTICS</t>
  </si>
  <si>
    <t xml:space="preserve">ORIGINAL BLACK POMADAS 100GR </t>
  </si>
  <si>
    <t xml:space="preserve">ORIGINAL BLACK POMADAS 428GR </t>
  </si>
  <si>
    <t>P.BEAUTY SERUM PLACENTA</t>
  </si>
  <si>
    <t xml:space="preserve">CAV MASCARA CAPILAR </t>
  </si>
  <si>
    <t>P.BEAUTY SERUM CONTROL CAIDA</t>
  </si>
  <si>
    <t>P.BEAUTY SERUM VIT C</t>
  </si>
  <si>
    <t xml:space="preserve">FOLIMETTO LOCION CAPILAR </t>
  </si>
  <si>
    <t>P.BEAUTY SERUM ARGERILINE</t>
  </si>
  <si>
    <t>LUCENT SERUM P+</t>
  </si>
  <si>
    <t>LABORATORIO ONCE SERUM ALBA</t>
  </si>
  <si>
    <t>TYL AGUA MICELAR BIFASICA</t>
  </si>
  <si>
    <t>TYL SANITIZANTE NEUTRO VAMOS ARGENTINA</t>
  </si>
  <si>
    <t>DUGA SHAMPOO</t>
  </si>
  <si>
    <t>BIOESENCIA AGUA MICELAR PROBIOTICS</t>
  </si>
  <si>
    <t>DUGA CREMA DE LIMPIEZA</t>
  </si>
  <si>
    <t>LUCENT CREMA HANDS AND FEET</t>
  </si>
  <si>
    <t>OLANN CREMA NOCHE</t>
  </si>
  <si>
    <t>CAV SHAMPOO MAXLISS</t>
  </si>
  <si>
    <t>CAV ACONDICIONADOR MAXLISS</t>
  </si>
  <si>
    <t>TMCO SERUM RETINOL</t>
  </si>
  <si>
    <t>P.BEAUTY BB WHITE TONO 2</t>
  </si>
  <si>
    <t xml:space="preserve">LUCENT SERUM ASHWAGANDA </t>
  </si>
  <si>
    <t xml:space="preserve">BOTIK SHAMPOO SOLIDO </t>
  </si>
  <si>
    <t xml:space="preserve">TYL SCRUB DE FRUTILLA </t>
  </si>
  <si>
    <t xml:space="preserve">TYL SERUM PORCELANA </t>
  </si>
  <si>
    <t>LUCENT SERUM REISHI</t>
  </si>
  <si>
    <t>LUCENT MALENA LEON</t>
  </si>
  <si>
    <t>BOTIK SHAMPOO ROMERO</t>
  </si>
  <si>
    <t xml:space="preserve">TYL SERUM HIDRATANTE </t>
  </si>
  <si>
    <t>ABRIL TOTAL MES</t>
  </si>
  <si>
    <t>MAYO 2026</t>
  </si>
  <si>
    <t>CAV DISCIPLINADOR</t>
  </si>
  <si>
    <t>YOUTHFUL GLOW CREMA FACIAL (TESTER)</t>
  </si>
  <si>
    <t xml:space="preserve">TYL SCRUB DE SANDIA </t>
  </si>
  <si>
    <t xml:space="preserve">TYL SCRUB DE COCO </t>
  </si>
  <si>
    <t xml:space="preserve">DISNEY JABON LIQUIDO </t>
  </si>
  <si>
    <t>IKIGAI SERUM VIT C</t>
  </si>
  <si>
    <t>YOUTHFUL GLOW BRUMA FACIAL (TESTER)</t>
  </si>
  <si>
    <t>LUCENT SERUM ADN VEGETAL</t>
  </si>
  <si>
    <t xml:space="preserve">BIOESENCIA REPARADOR DE PUNTAS </t>
  </si>
  <si>
    <t>BOTIK ACONDICIONADOR SOLIDO LEMONGRASS</t>
  </si>
  <si>
    <t xml:space="preserve">TYL SANITIZANTE NEUTRO </t>
  </si>
  <si>
    <t>LUCENT SERUM ELASTINA/COLAGENO</t>
  </si>
  <si>
    <t>LUCENT SERUM ARGIRELINE</t>
  </si>
  <si>
    <t>LUCENT SERUM VITAMIN SHOCK</t>
  </si>
  <si>
    <t>LUCENT SERUM FOSFATIDILCOLINA</t>
  </si>
  <si>
    <t xml:space="preserve">CAV COLOR SHINE </t>
  </si>
  <si>
    <t xml:space="preserve">CAV HAIR REPAIR </t>
  </si>
  <si>
    <t xml:space="preserve">BOTIK ACONDICIONADOR SOLIDO ROSAS </t>
  </si>
  <si>
    <t>LUCENT SERUM DMAE</t>
  </si>
  <si>
    <t>LUCENT SERUM HIAL 1%</t>
  </si>
  <si>
    <t>LUCENT SERUM HIAL 2%</t>
  </si>
  <si>
    <t>TCL SERUM MUNAP</t>
  </si>
  <si>
    <t xml:space="preserve">TYL SANITIZANTE CHERRY </t>
  </si>
  <si>
    <t>BL COSMETICS SHAMPOO CONTROL LISS 1KG</t>
  </si>
  <si>
    <t>BL COSMETICS ACONDICIONADOR CONTROL LISS 1KG</t>
  </si>
  <si>
    <t>BL COSMETICS SERUM JOJOBA</t>
  </si>
  <si>
    <t xml:space="preserve">TYL DESENRREDANTE BIFASICO </t>
  </si>
  <si>
    <t>BL COSMETICS ACONDICIONADOR CONTROL LISS 300GR</t>
  </si>
  <si>
    <t xml:space="preserve">BL COSMETICS ALISADO EXPERT 1KG </t>
  </si>
  <si>
    <t xml:space="preserve">TLY SANITIZANTE COCO </t>
  </si>
  <si>
    <t xml:space="preserve">CAV ACONDICIONADOR 400GR </t>
  </si>
  <si>
    <t xml:space="preserve">CAV ACONDICIONADOR 900GR </t>
  </si>
  <si>
    <t>CAV SHAMPOO 900ML</t>
  </si>
  <si>
    <t xml:space="preserve">TYL SANITIZANTE UVA </t>
  </si>
  <si>
    <t xml:space="preserve">BL COSMETICS SPRAY REPAIR </t>
  </si>
  <si>
    <t>CAV SHAMPOO 400ML</t>
  </si>
  <si>
    <t>BLE LIPS TONO CLARO</t>
  </si>
  <si>
    <t>NIZA B&amp;W EYES</t>
  </si>
  <si>
    <t>NIZA AQUA BOMB RICH</t>
  </si>
  <si>
    <t xml:space="preserve">CAV SHAMPOO BIONIC 900ML </t>
  </si>
  <si>
    <t xml:space="preserve">CAV C-PLEX REBOND </t>
  </si>
  <si>
    <t>TLY SANITIZANTE FRUTILLA</t>
  </si>
  <si>
    <t>NIZA SIGNATURE PRO AGE</t>
  </si>
  <si>
    <t>CAV C-PLEX FINISHING</t>
  </si>
  <si>
    <t xml:space="preserve">TYL ALCOHOL EN GEL SANDIA </t>
  </si>
  <si>
    <t xml:space="preserve">ICONO MASCARA TENSORA </t>
  </si>
  <si>
    <t xml:space="preserve">CAV C-PLEX PROTECTOR </t>
  </si>
  <si>
    <t>DEL ARCA BOTANICA CREMA LIVIANA</t>
  </si>
  <si>
    <t>NE LECHE DE LIMPIEZA</t>
  </si>
  <si>
    <t>ROSEHIP CONTORNO DE OJOS</t>
  </si>
  <si>
    <t>TYL CREMA CHICLE</t>
  </si>
  <si>
    <t xml:space="preserve">TYL SANITIZANTE VAMOS ARGENTINA </t>
  </si>
  <si>
    <t xml:space="preserve">JACTANS BRUMA FACIAL </t>
  </si>
  <si>
    <t xml:space="preserve">BL COSMETICS ACONDICIONADOR 1KG </t>
  </si>
  <si>
    <t>ROSEHIP CREMA FACIAL RETINOL</t>
  </si>
  <si>
    <t>LIORA CREMA PARA RULOS</t>
  </si>
  <si>
    <t>ORIGINAL BLACK AFTER SHAVE AZUL</t>
  </si>
  <si>
    <t>ROSEHIP SERUM SEBORREGULADOR</t>
  </si>
  <si>
    <t>LABORATORIO ONCE SERUM GLICOLICO</t>
  </si>
  <si>
    <t xml:space="preserve">LAB ONCE GEL UNIESFERAS </t>
  </si>
  <si>
    <t xml:space="preserve">BIOESENCIA JABON ANTIBACTERIAL </t>
  </si>
  <si>
    <t>BIOESENCIA SHAMPOO BABY</t>
  </si>
  <si>
    <t xml:space="preserve">ORIGINAL BLACK AFTER SHAVE VERDE </t>
  </si>
  <si>
    <t>P.BEAUTY SERUM MULTIVITAMINICO</t>
  </si>
  <si>
    <t>NATCEUTICALS SERUM HIAL</t>
  </si>
  <si>
    <t>FARMACITY ALCOHOL EN GEL CHICLE</t>
  </si>
  <si>
    <t xml:space="preserve">BIOESENCIA CREMA BE VEGAN </t>
  </si>
  <si>
    <t>JACTANS PERFUME  DP-51287</t>
  </si>
  <si>
    <t>JACTANS PERFUME   DP-51294</t>
  </si>
  <si>
    <t>P.BEAUTY 0,5%</t>
  </si>
  <si>
    <t>THE CURIOUS SKIN BOOSTER TELAGYN</t>
  </si>
  <si>
    <t xml:space="preserve">THE CURIOUS SKIN CARROT OIL </t>
  </si>
  <si>
    <t xml:space="preserve">FOLIMETTO SHAMPOO ANTICAIDA </t>
  </si>
  <si>
    <t>BL COSMETICS ALISADO KERATIN x 300 ML</t>
  </si>
  <si>
    <t xml:space="preserve">TYL SANITIZANTE GARDEN </t>
  </si>
  <si>
    <t>LABORATORIO ONCE SERUM NIACINAMIDA</t>
  </si>
  <si>
    <t>BIOESENCIA EXFOLIANTE PROBIOTICS</t>
  </si>
  <si>
    <t xml:space="preserve">UNICA CREMA DE ORDEÑE </t>
  </si>
  <si>
    <t>TYL ALCOHOL EN GEL CHICLE</t>
  </si>
  <si>
    <t xml:space="preserve">TYL ALCOHOL EN GEL DURAZNO </t>
  </si>
  <si>
    <t xml:space="preserve">TYL SANITIZANTE FLORAL </t>
  </si>
  <si>
    <t>LABORATORIO ONCE SERUM HIAL CONCENTRADO</t>
  </si>
  <si>
    <t>TGF RADIANT EYES</t>
  </si>
  <si>
    <t xml:space="preserve">TYL ALCOHOL EN GEL FRUTOS ROJOS </t>
  </si>
  <si>
    <t>BIOESENCIA CREMA ORIGENES</t>
  </si>
  <si>
    <t>BIOESENCIA CREMA MEN INTENSIVE</t>
  </si>
  <si>
    <t xml:space="preserve">TYL  ALCOHOL EN GEL CORONADOS DE GLORIA </t>
  </si>
  <si>
    <t>MAYO TOTAL MES</t>
  </si>
  <si>
    <t>JUNIO 2026</t>
  </si>
  <si>
    <t>LUCENT SKIN GLOW</t>
  </si>
  <si>
    <t xml:space="preserve">TYL ALCOHOL EN GEL CORONADOS </t>
  </si>
  <si>
    <t>ALCOHOL EN GEL VAMOS ARGENTINA</t>
  </si>
  <si>
    <t xml:space="preserve">CAV ACONDICIONADOR BIONIC </t>
  </si>
  <si>
    <t>BL COSMETICA ALISADO KERATIN 1KG</t>
  </si>
  <si>
    <t>ORIGINAL BLACK AFTER SHAVE VIOLETA</t>
  </si>
  <si>
    <t>TCL SERUM COLLAGENE</t>
  </si>
  <si>
    <t xml:space="preserve">TYL ALCOHOL EN GEL VAMOS ARGENTINA </t>
  </si>
  <si>
    <t xml:space="preserve">UNICA AGUA MICELAR </t>
  </si>
  <si>
    <t>P.BEAUTY HIAL 1%</t>
  </si>
  <si>
    <t>P.BEASUTY HIAL 2%</t>
  </si>
  <si>
    <t>P.BEAUTY ARGERILINE</t>
  </si>
  <si>
    <t>P.BEAUTY DMAE</t>
  </si>
  <si>
    <t>LABORATORIO ONCE HOME PEEL</t>
  </si>
  <si>
    <t xml:space="preserve">IHC ENGROSADOR </t>
  </si>
  <si>
    <t xml:space="preserve">IHC ANTISEBO </t>
  </si>
  <si>
    <t>IHC ACONDICIONADOR</t>
  </si>
  <si>
    <t>IHC ANTICASPA</t>
  </si>
  <si>
    <t>TCL BOOSTER VIT C</t>
  </si>
  <si>
    <t>P.BEAUTY AQUAPEEL PG2</t>
  </si>
  <si>
    <t>IHC FORTALECEDOR</t>
  </si>
  <si>
    <t>COSMECEUTICALS CREMA PDRN</t>
  </si>
  <si>
    <t>COSMECEUTICALS ESPUMA MICELAR</t>
  </si>
  <si>
    <t xml:space="preserve">ORIGINAL BLACK POMADA MATE </t>
  </si>
  <si>
    <t xml:space="preserve">TYL ACEITE CORPORAL </t>
  </si>
  <si>
    <t>TIERRAS DEL VOLCAN JALEA TERMAL</t>
  </si>
  <si>
    <t>ORIGINAL BLACK AFTER SHAVE VERDE</t>
  </si>
  <si>
    <t>NIZA SIGNATURE HYDRA</t>
  </si>
  <si>
    <t>DISNEY PERFUME DP-50983</t>
  </si>
  <si>
    <t xml:space="preserve">TYL ACEITE CORPORTAL </t>
  </si>
  <si>
    <t>CKM ACEITE ROSA MOSQUETA</t>
  </si>
  <si>
    <t>LAUDE CREMA FACIAL</t>
  </si>
  <si>
    <t>LAUDE SERUM VIT C</t>
  </si>
  <si>
    <t>ARCA BOTANICA ACONDICIONADOR</t>
  </si>
  <si>
    <t>BIOESENCIA UNGUENTO PROPOLEO</t>
  </si>
  <si>
    <t>FRANCISCO</t>
  </si>
  <si>
    <t>ASHA SERUM ACIDO HIALURNICO</t>
  </si>
  <si>
    <t>ICONO CREMA NIACINAMIDA</t>
  </si>
  <si>
    <t>BIOESENCIA GEL VEGANO</t>
  </si>
  <si>
    <t>ICONO MASCARA PAPAYA</t>
  </si>
  <si>
    <t>BENNIE BOOBIE DROPS</t>
  </si>
  <si>
    <t>LUCENT SERUM VIT C</t>
  </si>
  <si>
    <t>TYL ACEITE CORPORAL COCO Y LIMA</t>
  </si>
  <si>
    <t>O.B POMADA MATE</t>
  </si>
  <si>
    <t>HEBURN BRUMA FIJADORA</t>
  </si>
  <si>
    <t xml:space="preserve">TYL ALCOHOL EN GEL FRUTILLA </t>
  </si>
  <si>
    <t>TYL  ACEITE CORPORAL COCO Y LIMA</t>
  </si>
  <si>
    <t>TYL EXFOLIANTE DE ARROZ</t>
  </si>
  <si>
    <t>TSU CREMA NOCHE (REPROCESO)</t>
  </si>
  <si>
    <t>TSU CREMA DIA (REPROCESO)</t>
  </si>
  <si>
    <t xml:space="preserve">KUNST ALISADO KERATIN 1000GR </t>
  </si>
  <si>
    <t>KUNST ALISADO KERATIN 250GR</t>
  </si>
  <si>
    <t xml:space="preserve">TYL GEL DE ROSAS </t>
  </si>
  <si>
    <t>BL COSMETICS ALISADO EXPERT 300GR</t>
  </si>
  <si>
    <t>TSU CREMA ACLARANTE (REPROCESO)</t>
  </si>
  <si>
    <t>LUCENT BOOSTER N+</t>
  </si>
  <si>
    <t>LUCENT BOOSTER W+</t>
  </si>
  <si>
    <t>DERMION SERUM AH+NIA</t>
  </si>
  <si>
    <t>CAV SERUM VITAMIN SHOCK</t>
  </si>
  <si>
    <t>DISNEY PERFUME DP-0304</t>
  </si>
  <si>
    <t>DISNEY PERFUME DP-0311</t>
  </si>
  <si>
    <t>DISNEY PERFUME DP-0328</t>
  </si>
  <si>
    <t>DISNEY PERFUME DP-40543</t>
  </si>
  <si>
    <t>CAV SHAMPOO VITAMIN SHOCK 400ML</t>
  </si>
  <si>
    <t>CAV SHAMPOO VITAMIN SHOCK 900ML</t>
  </si>
  <si>
    <t>KALA BALSAMO SANDIA BORRAVINO</t>
  </si>
  <si>
    <t xml:space="preserve">KALA BALSAMO SANDIA MOISON </t>
  </si>
  <si>
    <t>DISNEY PERFUME DP-50907</t>
  </si>
  <si>
    <t>NIZA PROBIOTONIC HYDRA</t>
  </si>
  <si>
    <t>BOR LOCION TONICA</t>
  </si>
  <si>
    <t>JUNIO TOTAL MES</t>
  </si>
  <si>
    <t>JULIO 2026</t>
  </si>
  <si>
    <t>NIZA PROBIOTONIC BALANCE</t>
  </si>
  <si>
    <t>LUCENT SERUM CAPIXYL</t>
  </si>
  <si>
    <t>KALA BALSAMO SANDIA STRIPE</t>
  </si>
  <si>
    <t xml:space="preserve">CAV ACONDICIONADOR SHOCK 400GR </t>
  </si>
  <si>
    <t xml:space="preserve">CAV ACONDICIONADOR SHOCK 900GR </t>
  </si>
  <si>
    <t>📊   DASHBOARD DE PRODUCTIVIDAD  ·  ACONDICIONAMIENTO  ·  2026</t>
  </si>
  <si>
    <t>Sistema automático de seguimiento de envasado  | Laboratorio Genus</t>
  </si>
  <si>
    <t>MES</t>
  </si>
  <si>
    <t>TOTAL</t>
  </si>
  <si>
    <t>MASIVO</t>
  </si>
  <si>
    <t>PREMIUM</t>
  </si>
  <si>
    <t xml:space="preserve">▌   K P I S   </t>
  </si>
  <si>
    <t>MARZO</t>
  </si>
  <si>
    <t>📦</t>
  </si>
  <si>
    <t>🏭</t>
  </si>
  <si>
    <t>⭐</t>
  </si>
  <si>
    <t>📅</t>
  </si>
  <si>
    <t>ABRIL</t>
  </si>
  <si>
    <t>TOTAL ENVASADO</t>
  </si>
  <si>
    <t>TOTAL MASIVO</t>
  </si>
  <si>
    <t>TOTAL PREMIUM</t>
  </si>
  <si>
    <t>MES MÁS PROD.</t>
  </si>
  <si>
    <t>MAYO</t>
  </si>
  <si>
    <t>JUNIO</t>
  </si>
  <si>
    <t>JULIO</t>
  </si>
  <si>
    <t>AGOSTO</t>
  </si>
  <si>
    <t>💎</t>
  </si>
  <si>
    <t>📊</t>
  </si>
  <si>
    <t>📈</t>
  </si>
  <si>
    <t>% PREMIUM</t>
  </si>
  <si>
    <t>% MASIVO (C. MASIVO)</t>
  </si>
  <si>
    <t>PROMEDIO DIARIO</t>
  </si>
  <si>
    <t>Maximo</t>
  </si>
  <si>
    <t>MES_MAX</t>
  </si>
  <si>
    <t>▌   INSIGHTS &amp; ALERTAS AUTOMÁTICAS</t>
  </si>
  <si>
    <t>🏆 MAYOR PRODUCTIVIDAD</t>
  </si>
  <si>
    <t>⚠️ MENOR PRODUCTIVIDAD</t>
  </si>
  <si>
    <t>📅 MES MÁS PRODUCTIVO</t>
  </si>
  <si>
    <t>📊 PARTICIPACIÓN MASIVO</t>
  </si>
  <si>
    <t>💎 PARTICIPACIÓN PREMIUM</t>
  </si>
  <si>
    <t>🚨 ALERTA PREMIUM</t>
  </si>
  <si>
    <t xml:space="preserve"> TENDENCIA MENSUAL COMPARATIVA  —  VARIACIÓN vs MES ANTERIOR</t>
  </si>
  <si>
    <t>TOTAL UND.</t>
  </si>
  <si>
    <t>vs ANTERIOR</t>
  </si>
  <si>
    <t>VAR. %</t>
  </si>
  <si>
    <t>TENDENCIA</t>
  </si>
  <si>
    <t>—</t>
  </si>
  <si>
    <t>TOTAL ACUM.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</si>
</sst>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dd d mmmm"/>
    <numFmt numFmtId="165" formatCode="dddd&quot;, &quot;d&quot; de &quot;mmmm&quot; de &quot;yyyy"/>
    <numFmt numFmtId="166" formatCode="dd-mm"/>
    <numFmt numFmtId="167" formatCode="d-m"/>
    <numFmt numFmtId="168" formatCode="dd/mm"/>
    <numFmt numFmtId="169" formatCode="d/m"/>
    <numFmt numFmtId="170" formatCode="dd/mm/yyyy"/>
    <numFmt numFmtId="171" formatCode="0.0%"/>
    <numFmt numFmtId="172" formatCode="d/m/yyyy"/>
    <numFmt numFmtId="173" formatCode="\+#,##0;\-#,##0;\-"/>
    <numFmt numFmtId="174" formatCode="\+0.0%;\-0.0%;\-"/>
  </numFmts>
  <fonts count="87">
    <font>
      <sz val="10.0"/>
      <color rgb="FF000000"/>
      <name val="Arial"/>
      <scheme val="minor"/>
    </font>
    <font>
      <sz val="14.0"/>
      <color theme="1"/>
      <name val="Arial"/>
    </font>
    <font/>
    <font>
      <sz val="36.0"/>
      <color theme="1"/>
      <name val="Arial"/>
    </font>
    <font>
      <color theme="1"/>
      <name val="Arial"/>
    </font>
    <font>
      <sz val="9.0"/>
      <color theme="1"/>
      <name val="Arial"/>
    </font>
    <font>
      <sz val="8.0"/>
      <color theme="1"/>
      <name val="Arial"/>
    </font>
    <font>
      <color rgb="FF38761D"/>
      <name val="Arial"/>
      <scheme val="minor"/>
    </font>
    <font>
      <color rgb="FFFF0000"/>
      <name val="Arial"/>
    </font>
    <font>
      <b/>
      <sz val="9.0"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b/>
      <sz val="9.0"/>
      <color rgb="FFFF0000"/>
      <name val="Arial"/>
    </font>
    <font>
      <b/>
      <color theme="1"/>
      <name val="Arial"/>
    </font>
    <font>
      <b/>
      <i/>
      <color theme="1"/>
      <name val="Arial"/>
    </font>
    <font>
      <b/>
      <i/>
      <color rgb="FFFF0000"/>
      <name val="Arial"/>
    </font>
    <font>
      <b/>
      <color rgb="FFFF0000"/>
      <name val="Arial"/>
    </font>
    <font>
      <color rgb="FFFFFFFF"/>
      <name val="Arial"/>
    </font>
    <font>
      <b/>
      <sz val="9.0"/>
      <color theme="1"/>
      <name val="Arial"/>
    </font>
    <font>
      <sz val="11.0"/>
      <color theme="1"/>
      <name val="Arial"/>
    </font>
    <font>
      <i/>
      <color theme="1"/>
      <name val="Arial"/>
    </font>
    <font>
      <sz val="11.0"/>
      <color theme="1"/>
      <name val="Calibri"/>
    </font>
    <font>
      <b/>
      <sz val="14.0"/>
      <color rgb="FFFFFFFF"/>
      <name val="Arial"/>
    </font>
    <font>
      <b/>
      <sz val="20.0"/>
      <color rgb="FFFFFFFF"/>
      <name val="Arial"/>
    </font>
    <font>
      <b/>
      <sz val="11.0"/>
      <color rgb="FFA0AEC0"/>
      <name val="Arial"/>
    </font>
    <font>
      <b/>
      <sz val="15.0"/>
      <color rgb="FFFFFFFF"/>
      <name val="Arial"/>
    </font>
    <font>
      <sz val="15.0"/>
      <color theme="1"/>
      <name val="Calibri"/>
    </font>
    <font>
      <b/>
      <sz val="14.0"/>
      <color rgb="FF1B2F5C"/>
      <name val="Arial"/>
    </font>
    <font>
      <b/>
      <sz val="12.0"/>
      <color rgb="FF1B2F5C"/>
      <name val="Arial"/>
    </font>
    <font>
      <sz val="12.0"/>
      <color rgb="FF4A5568"/>
      <name val="Arial"/>
    </font>
    <font>
      <b/>
      <sz val="12.0"/>
      <color rgb="FF2E4A8A"/>
      <name val="Arial"/>
    </font>
    <font>
      <b/>
      <sz val="12.0"/>
      <color rgb="FF4A5568"/>
      <name val="Arial"/>
    </font>
    <font>
      <sz val="12.0"/>
      <color rgb="FFCBD5E0"/>
      <name val="Arial"/>
    </font>
    <font>
      <b/>
      <sz val="11.0"/>
      <color rgb="FF2E4A8A"/>
      <name val="Arial"/>
    </font>
    <font>
      <sz val="11.0"/>
      <color rgb="FF4A5568"/>
      <name val="Arial"/>
    </font>
    <font>
      <sz val="12.0"/>
      <color rgb="FF2E4A8A"/>
      <name val="Arial"/>
    </font>
    <font>
      <b/>
      <sz val="11.0"/>
      <color rgb="FF4A5568"/>
      <name val="Arial"/>
    </font>
    <font>
      <sz val="10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sz val="10.0"/>
      <color theme="1"/>
      <name val="Arial"/>
      <scheme val="minor"/>
    </font>
    <font>
      <b/>
      <sz val="10.0"/>
      <color rgb="FFFFFFFF"/>
      <name val="Arial"/>
    </font>
    <font>
      <sz val="14.0"/>
      <color theme="1"/>
      <name val="Calibri"/>
    </font>
    <font>
      <b/>
      <sz val="13.0"/>
      <color rgb="FF38A169"/>
      <name val="Arial"/>
    </font>
    <font>
      <b/>
      <sz val="15.0"/>
      <color rgb="FF1B2F5C"/>
      <name val="Arial"/>
    </font>
    <font>
      <b/>
      <sz val="13.0"/>
      <color theme="1"/>
      <name val="Calibri"/>
    </font>
    <font>
      <b/>
      <sz val="22.0"/>
      <color rgb="FF1B2F5C"/>
      <name val="Arial"/>
    </font>
    <font>
      <sz val="13.0"/>
      <color rgb="FF4A5568"/>
      <name val="Arial"/>
    </font>
    <font>
      <sz val="13.0"/>
      <color theme="1"/>
      <name val="Calibri"/>
    </font>
    <font>
      <sz val="12.0"/>
      <color theme="1"/>
      <name val="Calibri"/>
    </font>
    <font>
      <b/>
      <sz val="13.0"/>
      <color rgb="FF6B46C1"/>
      <name val="Arial"/>
    </font>
    <font>
      <b/>
      <sz val="16.0"/>
      <color rgb="FF6B46C1"/>
      <name val="Arial"/>
    </font>
    <font>
      <b/>
      <sz val="24.0"/>
      <color rgb="FFFFFFFF"/>
      <name val="Arial"/>
    </font>
    <font>
      <sz val="14.0"/>
      <color rgb="FF4A5568"/>
      <name val="Arial"/>
    </font>
    <font>
      <b/>
      <sz val="11.0"/>
      <color rgb="FF744210"/>
      <name val="Arial"/>
    </font>
    <font>
      <b/>
      <sz val="13.0"/>
      <color rgb="FFFF0000"/>
      <name val="Calibri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sz val="1.0"/>
      <color rgb="FF1B3A6B"/>
      <name val="Arial"/>
    </font>
    <font>
      <b/>
      <sz val="22.0"/>
      <color rgb="FFFFFFFF"/>
      <name val="Calibri"/>
    </font>
    <font>
      <i/>
      <sz val="22.0"/>
      <color rgb="FFBDD7EE"/>
      <name val="Calibri"/>
    </font>
    <font>
      <b/>
      <sz val="8.0"/>
      <color rgb="FF333333"/>
      <name val="Calibri"/>
    </font>
    <font>
      <b/>
      <sz val="21.0"/>
      <color rgb="FF1B3A6B"/>
      <name val="Calibri"/>
    </font>
    <font>
      <sz val="23.0"/>
      <color rgb="FFFFFFFF"/>
      <name val="Calibri"/>
    </font>
    <font>
      <sz val="23.0"/>
      <color theme="1"/>
      <name val="Arial"/>
    </font>
    <font>
      <b/>
      <sz val="23.0"/>
      <color rgb="FFFFFFFF"/>
      <name val="Calibri"/>
    </font>
    <font>
      <b/>
      <sz val="15.0"/>
      <color rgb="FFFFFFFF"/>
      <name val="Calibri"/>
    </font>
    <font>
      <b/>
      <sz val="23.0"/>
      <color rgb="FF1E8449"/>
      <name val="Calibri"/>
    </font>
    <font>
      <b/>
      <sz val="23.0"/>
      <color rgb="FFC0392B"/>
      <name val="Calibri"/>
    </font>
    <font>
      <b/>
      <sz val="23.0"/>
      <color rgb="FF2563A8"/>
      <name val="Calibri"/>
    </font>
    <font>
      <b/>
      <sz val="23.0"/>
      <color rgb="FF222222"/>
      <name val="Calibri"/>
    </font>
    <font>
      <b/>
      <sz val="23.0"/>
      <color theme="1"/>
      <name val="Arial"/>
    </font>
    <font>
      <b/>
      <sz val="23.0"/>
      <color rgb="FF8E44AD"/>
      <name val="Calibri"/>
    </font>
    <font>
      <sz val="20.0"/>
      <color rgb="FF222222"/>
      <name val="Calibri"/>
    </font>
    <font>
      <sz val="20.0"/>
      <color theme="1"/>
      <name val="Arial"/>
    </font>
    <font>
      <sz val="11.0"/>
      <color rgb="FF222222"/>
      <name val="Calibri"/>
    </font>
    <font>
      <b/>
      <sz val="16.0"/>
      <color rgb="FF1B3A6B"/>
      <name val="Calibri"/>
    </font>
    <font>
      <b/>
      <sz val="12.0"/>
      <color rgb="FFFFFFFF"/>
      <name val="Calibri"/>
    </font>
    <font>
      <sz val="12.0"/>
      <color rgb="FF333333"/>
      <name val="Calibri"/>
    </font>
    <font>
      <sz val="12.0"/>
      <color rgb="FF888888"/>
      <name val="Calibri"/>
    </font>
    <font>
      <b/>
      <sz val="12.0"/>
      <color rgb="FF1E8449"/>
      <name val="Calibri"/>
    </font>
    <font>
      <b/>
      <sz val="12.0"/>
      <color rgb="FFFF0000"/>
      <name val="Calibri"/>
    </font>
    <font>
      <sz val="12.0"/>
      <color theme="1"/>
      <name val="Arial"/>
    </font>
    <font>
      <i/>
      <sz val="8.0"/>
      <color rgb="FFBDD7EE"/>
      <name val="Calibri"/>
    </font>
    <font>
      <i/>
      <sz val="12.0"/>
      <color rgb="FFBDD7EE"/>
      <name val="Calibri"/>
    </font>
    <font>
      <sz val="1.0"/>
      <color rgb="FF1B3A6B"/>
      <name val="Arial"/>
      <scheme val="minor"/>
    </font>
  </fonts>
  <fills count="4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1B2F5C"/>
        <bgColor rgb="FF1B2F5C"/>
      </patternFill>
    </fill>
    <fill>
      <patternFill patternType="solid">
        <fgColor rgb="FFF0F4F8"/>
        <bgColor rgb="FFF0F4F8"/>
      </patternFill>
    </fill>
    <fill>
      <patternFill patternType="solid">
        <fgColor rgb="FF2E4A8A"/>
        <bgColor rgb="FF2E4A8A"/>
      </patternFill>
    </fill>
    <fill>
      <patternFill patternType="solid">
        <fgColor rgb="FFD6E4F7"/>
        <bgColor rgb="FFD6E4F7"/>
      </patternFill>
    </fill>
    <fill>
      <patternFill patternType="solid">
        <fgColor rgb="FFE9D8FD"/>
        <bgColor rgb="FFE9D8FD"/>
      </patternFill>
    </fill>
    <fill>
      <patternFill patternType="solid">
        <fgColor rgb="FFC6F6D5"/>
        <bgColor rgb="FFC6F6D5"/>
      </patternFill>
    </fill>
    <fill>
      <patternFill patternType="solid">
        <fgColor rgb="FFD9EAD3"/>
        <bgColor rgb="FFD9EAD3"/>
      </patternFill>
    </fill>
    <fill>
      <patternFill patternType="solid">
        <fgColor rgb="FFE8F4FD"/>
        <bgColor rgb="FFE8F4FD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8EAADB"/>
        <bgColor rgb="FF8EAADB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EFCBF"/>
        <bgColor rgb="FFFEFCBF"/>
      </patternFill>
    </fill>
    <fill>
      <patternFill patternType="solid">
        <fgColor rgb="FFF6F8F9"/>
        <bgColor rgb="FFF6F8F9"/>
      </patternFill>
    </fill>
    <fill>
      <patternFill patternType="solid">
        <fgColor rgb="FFFE9CE1"/>
        <bgColor rgb="FFFE9CE1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1B3A6B"/>
        <bgColor rgb="FF1B3A6B"/>
      </patternFill>
    </fill>
    <fill>
      <patternFill patternType="solid">
        <fgColor rgb="FF2563A8"/>
        <bgColor rgb="FF2563A8"/>
      </patternFill>
    </fill>
    <fill>
      <patternFill patternType="solid">
        <fgColor rgb="FFD6DCE4"/>
        <bgColor rgb="FFD6DCE4"/>
      </patternFill>
    </fill>
    <fill>
      <patternFill patternType="solid">
        <fgColor rgb="FFF2F5F9"/>
        <bgColor rgb="FFF2F5F9"/>
      </patternFill>
    </fill>
    <fill>
      <patternFill patternType="solid">
        <fgColor rgb="FF4A90D9"/>
        <bgColor rgb="FF4A90D9"/>
      </patternFill>
    </fill>
    <fill>
      <patternFill patternType="solid">
        <fgColor rgb="FF1B5E98"/>
        <bgColor rgb="FF1B5E98"/>
      </patternFill>
    </fill>
    <fill>
      <patternFill patternType="solid">
        <fgColor rgb="FF8E44AD"/>
        <bgColor rgb="FF8E44AD"/>
      </patternFill>
    </fill>
    <fill>
      <patternFill patternType="solid">
        <fgColor rgb="FF218437"/>
        <bgColor rgb="FF218437"/>
      </patternFill>
    </fill>
    <fill>
      <patternFill patternType="solid">
        <fgColor rgb="FFD5F5E3"/>
        <bgColor rgb="FFD5F5E3"/>
      </patternFill>
    </fill>
    <fill>
      <patternFill patternType="solid">
        <fgColor rgb="FFBDD7EE"/>
        <bgColor rgb="FFBDD7EE"/>
      </patternFill>
    </fill>
    <fill>
      <patternFill patternType="solid">
        <fgColor rgb="FFF5EEF8"/>
        <bgColor rgb="FFF5EEF8"/>
      </patternFill>
    </fill>
    <fill>
      <patternFill patternType="solid">
        <fgColor rgb="FFFADBD8"/>
        <bgColor rgb="FFFADBD8"/>
      </patternFill>
    </fill>
  </fills>
  <borders count="8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 style="medium">
        <color rgb="FF2E4A8A"/>
      </left>
      <right style="medium">
        <color rgb="FF2E4A8A"/>
      </right>
      <top style="medium">
        <color rgb="FF2E4A8A"/>
      </top>
      <bottom style="thin">
        <color rgb="FFCBD5E0"/>
      </bottom>
    </border>
    <border>
      <left/>
      <right/>
    </border>
    <border>
      <left style="medium">
        <color rgb="FF2E4A8A"/>
      </left>
      <right style="medium">
        <color rgb="FF2E4A8A"/>
      </right>
      <top style="thin">
        <color rgb="FFCBD5E0"/>
      </top>
      <bottom style="thin">
        <color rgb="FFCBD5E0"/>
      </bottom>
    </border>
    <border>
      <left style="medium">
        <color rgb="FF2E4A8A"/>
      </left>
      <right style="medium">
        <color rgb="FF2E4A8A"/>
      </right>
      <top style="thin">
        <color rgb="FFCBD5E0"/>
      </top>
    </border>
    <border>
      <left style="medium">
        <color rgb="FF2E4A8A"/>
      </left>
      <right style="medium">
        <color rgb="FF2E4A8A"/>
      </right>
      <top style="thin">
        <color rgb="FFCBD5E0"/>
      </top>
      <bottom style="medium">
        <color rgb="FF2E4A8A"/>
      </bottom>
    </border>
    <border>
      <left style="dotted">
        <color rgb="FFCBD5E0"/>
      </left>
      <right style="dotted">
        <color rgb="FFCBD5E0"/>
      </right>
      <top/>
      <bottom/>
    </border>
    <border>
      <left style="medium">
        <color rgb="FF2E4A8A"/>
      </left>
      <right style="medium">
        <color rgb="FF2E4A8A"/>
      </right>
      <top style="thin">
        <color rgb="FF000000"/>
      </top>
      <bottom style="thin">
        <color rgb="FFCBD5E0"/>
      </bottom>
    </border>
    <border>
      <left style="dotted">
        <color rgb="FFCBD5E0"/>
      </left>
      <right style="dotted">
        <color rgb="FFCBD5E0"/>
      </right>
      <top style="dotted">
        <color rgb="FFCBD5E0"/>
      </top>
      <bottom/>
    </border>
    <border>
      <left style="dotted">
        <color rgb="FFCBD5E0"/>
      </left>
      <right style="dotted">
        <color rgb="FFCBD5E0"/>
      </right>
      <top/>
    </border>
    <border>
      <left style="dotted">
        <color rgb="FFCBD5E0"/>
      </left>
      <right style="dotted">
        <color rgb="FFCBD5E0"/>
      </right>
      <top/>
      <bottom style="dotted">
        <color rgb="FFCBD5E0"/>
      </bottom>
    </border>
    <border>
      <left style="medium">
        <color rgb="FF2E4A8A"/>
      </left>
      <right style="medium">
        <color rgb="FF2E4A8A"/>
      </right>
      <bottom style="thin">
        <color rgb="FFCBD5E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2563A8"/>
      </left>
      <top style="medium">
        <color rgb="FF2563A8"/>
      </top>
    </border>
    <border>
      <top style="medium">
        <color rgb="FF2563A8"/>
      </top>
    </border>
    <border>
      <right style="medium">
        <color rgb="FF2563A8"/>
      </right>
      <top style="medium">
        <color rgb="FF2563A8"/>
      </top>
    </border>
    <border>
      <left style="medium">
        <color rgb="FF2563A8"/>
      </left>
    </border>
    <border>
      <right style="medium">
        <color rgb="FF2563A8"/>
      </right>
    </border>
    <border>
      <left style="medium">
        <color rgb="FF2563A8"/>
      </left>
      <bottom style="medium">
        <color rgb="FF2563A8"/>
      </bottom>
    </border>
    <border>
      <bottom style="medium">
        <color rgb="FF2563A8"/>
      </bottom>
    </border>
    <border>
      <right style="medium">
        <color rgb="FF2563A8"/>
      </right>
      <bottom style="medium">
        <color rgb="FF2563A8"/>
      </bottom>
    </border>
    <border>
      <left/>
    </border>
    <border>
      <left style="medium">
        <color rgb="FF6B46C1"/>
      </left>
      <top style="medium">
        <color rgb="FF6B46C1"/>
      </top>
    </border>
    <border>
      <top style="medium">
        <color rgb="FF6B46C1"/>
      </top>
    </border>
    <border>
      <right style="medium">
        <color rgb="FF6B46C1"/>
      </right>
      <top style="medium">
        <color rgb="FF6B46C1"/>
      </top>
    </border>
    <border>
      <left style="medium">
        <color rgb="FF6B46C1"/>
      </left>
    </border>
    <border>
      <right style="medium">
        <color rgb="FF6B46C1"/>
      </right>
    </border>
    <border>
      <left style="medium">
        <color rgb="FF6B46C1"/>
      </left>
      <bottom style="medium">
        <color rgb="FF6B46C1"/>
      </bottom>
    </border>
    <border>
      <bottom style="medium">
        <color rgb="FF6B46C1"/>
      </bottom>
    </border>
    <border>
      <right style="medium">
        <color rgb="FF6B46C1"/>
      </right>
      <bottom style="medium">
        <color rgb="FF6B46C1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FFFF"/>
      </left>
      <top style="medium">
        <color rgb="FFFFFFFF"/>
      </top>
      <bottom/>
    </border>
    <border>
      <top style="medium">
        <color rgb="FFFFFFFF"/>
      </top>
      <bottom/>
    </border>
    <border>
      <right style="medium">
        <color rgb="FFFFFFFF"/>
      </right>
      <top style="medium">
        <color rgb="FFFFFFFF"/>
      </top>
      <bottom/>
    </border>
    <border>
      <left style="medium">
        <color rgb="FFFFFFFF"/>
      </left>
      <top/>
      <bottom/>
    </border>
    <border>
      <right style="medium">
        <color rgb="FFFFFFFF"/>
      </right>
      <top/>
      <bottom/>
    </border>
    <border>
      <left style="medium">
        <color rgb="FFFFFFFF"/>
      </left>
      <top/>
    </border>
    <border>
      <right style="medium">
        <color rgb="FFFFFFFF"/>
      </right>
      <top/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bottom/>
    </border>
    <border>
      <right style="medium">
        <color rgb="FFFFFFFF"/>
      </right>
      <bottom/>
    </border>
    <border>
      <left style="medium">
        <color rgb="FFFFFFFF"/>
      </left>
      <top/>
      <bottom style="medium">
        <color rgb="FFFFFFFF"/>
      </bottom>
    </border>
    <border>
      <top/>
      <bottom style="medium">
        <color rgb="FFFFFFFF"/>
      </bottom>
    </border>
    <border>
      <right style="medium">
        <color rgb="FFFFFFFF"/>
      </right>
      <top/>
      <bottom style="medium">
        <color rgb="FFFFFFFF"/>
      </bottom>
    </border>
    <border>
      <left style="thin">
        <color rgb="FFA9AAAC"/>
      </left>
      <top style="thin">
        <color rgb="FFA9AAAC"/>
      </top>
      <bottom style="thin">
        <color rgb="FFA9AAAC"/>
      </bottom>
    </border>
    <border>
      <top style="thin">
        <color rgb="FFA9AAAC"/>
      </top>
      <bottom style="thin">
        <color rgb="FFA9AAAC"/>
      </bottom>
    </border>
    <border>
      <right/>
      <top style="thin">
        <color rgb="FFA9AAAC"/>
      </top>
      <bottom style="thin">
        <color rgb="FFA9AAAC"/>
      </bottom>
    </border>
    <border>
      <left style="thin">
        <color rgb="FFA9AAAC"/>
      </left>
      <top style="thin">
        <color rgb="FFA9AAAC"/>
      </top>
    </border>
    <border>
      <top style="thin">
        <color rgb="FFA9AAAC"/>
      </top>
    </border>
    <border>
      <right/>
      <top style="thin">
        <color rgb="FFA9AAAC"/>
      </top>
    </border>
    <border>
      <left style="thin">
        <color rgb="FFA9AAAC"/>
      </left>
    </border>
    <border>
      <right/>
    </border>
    <border>
      <left style="thin">
        <color rgb="FFA9AAAC"/>
      </left>
      <bottom/>
    </border>
  </borders>
  <cellStyleXfs count="1">
    <xf borderId="0" fillId="0" fontId="0" numFmtId="0" applyAlignment="1" applyFont="1"/>
  </cellStyleXfs>
  <cellXfs count="6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2" fillId="0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5" fillId="0" fontId="2" numFmtId="0" xfId="0" applyBorder="1" applyFont="1"/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6" fillId="3" fontId="4" numFmtId="0" xfId="0" applyAlignment="1" applyBorder="1" applyFill="1" applyFont="1">
      <alignment horizontal="center" readingOrder="0" vertical="bottom"/>
    </xf>
    <xf borderId="7" fillId="0" fontId="2" numFmtId="0" xfId="0" applyBorder="1" applyFont="1"/>
    <xf borderId="8" fillId="0" fontId="2" numFmtId="0" xfId="0" applyBorder="1" applyFont="1"/>
    <xf borderId="4" fillId="4" fontId="4" numFmtId="0" xfId="0" applyAlignment="1" applyBorder="1" applyFill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5" fontId="4" numFmtId="0" xfId="0" applyAlignment="1" applyFont="1">
      <alignment horizontal="center" readingOrder="0" vertical="bottom"/>
    </xf>
    <xf borderId="0" fillId="5" fontId="5" numFmtId="0" xfId="0" applyAlignment="1" applyFont="1">
      <alignment horizontal="center" vertical="bottom"/>
    </xf>
    <xf borderId="4" fillId="4" fontId="4" numFmtId="0" xfId="0" applyAlignment="1" applyBorder="1" applyFont="1">
      <alignment horizontal="center"/>
    </xf>
    <xf borderId="0" fillId="4" fontId="4" numFmtId="0" xfId="0" applyAlignment="1" applyFont="1">
      <alignment horizontal="center"/>
    </xf>
    <xf borderId="0" fillId="6" fontId="4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5" fontId="4" numFmtId="0" xfId="0" applyAlignment="1" applyFont="1">
      <alignment horizontal="center" readingOrder="0" vertical="top"/>
    </xf>
    <xf borderId="9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6" fillId="8" fontId="4" numFmtId="0" xfId="0" applyAlignment="1" applyBorder="1" applyFill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5" fontId="6" numFmtId="0" xfId="0" applyAlignment="1" applyFont="1">
      <alignment horizontal="center" shrinkToFit="0" vertical="bottom" wrapText="1"/>
    </xf>
    <xf borderId="0" fillId="7" fontId="4" numFmtId="0" xfId="0" applyAlignment="1" applyFont="1">
      <alignment horizontal="center" readingOrder="0"/>
    </xf>
    <xf borderId="0" fillId="7" fontId="4" numFmtId="0" xfId="0" applyAlignment="1" applyFont="1">
      <alignment horizontal="center" readingOrder="0" vertical="top"/>
    </xf>
    <xf borderId="4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2" numFmtId="0" xfId="0" applyBorder="1" applyFont="1"/>
    <xf borderId="10" fillId="0" fontId="4" numFmtId="0" xfId="0" applyAlignment="1" applyBorder="1" applyFont="1">
      <alignment horizontal="center" vertical="bottom"/>
    </xf>
    <xf borderId="11" fillId="0" fontId="2" numFmtId="0" xfId="0" applyBorder="1" applyFont="1"/>
    <xf borderId="6" fillId="2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0" fillId="0" fontId="7" numFmtId="0" xfId="0" applyFont="1"/>
    <xf borderId="4" fillId="3" fontId="4" numFmtId="0" xfId="0" applyAlignment="1" applyBorder="1" applyFont="1">
      <alignment horizontal="center" readingOrder="0" vertical="bottom"/>
    </xf>
    <xf borderId="4" fillId="5" fontId="4" numFmtId="0" xfId="0" applyAlignment="1" applyBorder="1" applyFont="1">
      <alignment horizontal="center" readingOrder="0" vertical="bottom"/>
    </xf>
    <xf borderId="0" fillId="9" fontId="4" numFmtId="0" xfId="0" applyAlignment="1" applyFill="1" applyFont="1">
      <alignment horizontal="center" readingOrder="0" vertical="bottom"/>
    </xf>
    <xf borderId="0" fillId="7" fontId="4" numFmtId="0" xfId="0" applyAlignment="1" applyFont="1">
      <alignment horizontal="center" readingOrder="0" vertical="bottom"/>
    </xf>
    <xf borderId="0" fillId="9" fontId="5" numFmtId="0" xfId="0" applyAlignment="1" applyFont="1">
      <alignment horizontal="center" readingOrder="0" vertical="bottom"/>
    </xf>
    <xf borderId="4" fillId="5" fontId="4" numFmtId="0" xfId="0" applyAlignment="1" applyBorder="1" applyFont="1">
      <alignment horizontal="center" readingOrder="0"/>
    </xf>
    <xf borderId="0" fillId="5" fontId="5" numFmtId="0" xfId="0" applyAlignment="1" applyFont="1">
      <alignment horizontal="center" readingOrder="0" vertical="bottom"/>
    </xf>
    <xf borderId="4" fillId="10" fontId="8" numFmtId="0" xfId="0" applyAlignment="1" applyBorder="1" applyFill="1" applyFont="1">
      <alignment horizontal="center" readingOrder="0"/>
    </xf>
    <xf borderId="0" fillId="10" fontId="4" numFmtId="0" xfId="0" applyAlignment="1" applyFont="1">
      <alignment horizontal="center" readingOrder="0"/>
    </xf>
    <xf borderId="0" fillId="10" fontId="4" numFmtId="0" xfId="0" applyAlignment="1" applyFont="1">
      <alignment horizontal="center"/>
    </xf>
    <xf borderId="0" fillId="6" fontId="4" numFmtId="0" xfId="0" applyAlignment="1" applyFont="1">
      <alignment horizontal="center" readingOrder="0" vertical="bottom"/>
    </xf>
    <xf borderId="0" fillId="6" fontId="9" numFmtId="0" xfId="0" applyAlignment="1" applyFont="1">
      <alignment horizontal="center" readingOrder="0" vertical="bottom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4" fillId="8" fontId="4" numFmtId="0" xfId="0" applyAlignment="1" applyBorder="1" applyFont="1">
      <alignment horizontal="center" readingOrder="0"/>
    </xf>
    <xf borderId="0" fillId="7" fontId="8" numFmtId="0" xfId="0" applyAlignment="1" applyFont="1">
      <alignment horizontal="center" readingOrder="0"/>
    </xf>
    <xf borderId="0" fillId="6" fontId="8" numFmtId="0" xfId="0" applyAlignment="1" applyFont="1">
      <alignment horizontal="center" readingOrder="0" vertical="bottom"/>
    </xf>
    <xf borderId="4" fillId="5" fontId="4" numFmtId="0" xfId="0" applyAlignment="1" applyBorder="1" applyFont="1">
      <alignment horizontal="center" readingOrder="0" vertical="top"/>
    </xf>
    <xf borderId="0" fillId="6" fontId="4" numFmtId="0" xfId="0" applyAlignment="1" applyFont="1">
      <alignment horizontal="center" readingOrder="0"/>
    </xf>
    <xf borderId="0" fillId="2" fontId="10" numFmtId="0" xfId="0" applyFont="1"/>
    <xf borderId="4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top"/>
    </xf>
    <xf borderId="0" fillId="5" fontId="11" numFmtId="0" xfId="0" applyAlignment="1" applyFont="1">
      <alignment horizontal="center" readingOrder="0" vertical="bottom"/>
    </xf>
    <xf borderId="0" fillId="6" fontId="12" numFmtId="0" xfId="0" applyAlignment="1" applyFont="1">
      <alignment horizontal="center" readingOrder="0" vertical="bottom"/>
    </xf>
    <xf borderId="0" fillId="8" fontId="4" numFmtId="0" xfId="0" applyAlignment="1" applyFont="1">
      <alignment horizontal="center" readingOrder="0"/>
    </xf>
    <xf borderId="0" fillId="10" fontId="4" numFmtId="0" xfId="0" applyAlignment="1" applyFont="1">
      <alignment horizontal="center" readingOrder="0" vertical="bottom"/>
    </xf>
    <xf borderId="4" fillId="10" fontId="4" numFmtId="0" xfId="0" applyAlignment="1" applyBorder="1" applyFont="1">
      <alignment horizontal="center" readingOrder="0" vertical="bottom"/>
    </xf>
    <xf borderId="0" fillId="5" fontId="10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0" fontId="4" numFmtId="0" xfId="0" applyAlignment="1" applyFont="1">
      <alignment horizontal="left" readingOrder="0" vertical="bottom"/>
    </xf>
    <xf borderId="0" fillId="7" fontId="14" numFmtId="0" xfId="0" applyAlignment="1" applyFont="1">
      <alignment horizontal="center" readingOrder="0"/>
    </xf>
    <xf borderId="0" fillId="6" fontId="15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5" fontId="13" numFmtId="0" xfId="0" applyAlignment="1" applyFont="1">
      <alignment horizontal="center" readingOrder="0" vertical="bottom"/>
    </xf>
    <xf borderId="0" fillId="6" fontId="16" numFmtId="0" xfId="0" applyAlignment="1" applyFont="1">
      <alignment horizontal="center" readingOrder="0"/>
    </xf>
    <xf borderId="12" fillId="5" fontId="4" numFmtId="0" xfId="0" applyAlignment="1" applyBorder="1" applyFont="1">
      <alignment horizontal="center" readingOrder="0" vertical="top"/>
    </xf>
    <xf borderId="0" fillId="10" fontId="17" numFmtId="0" xfId="0" applyAlignment="1" applyFont="1">
      <alignment horizontal="left" readingOrder="0" vertical="top"/>
    </xf>
    <xf borderId="0" fillId="10" fontId="4" numFmtId="0" xfId="0" applyAlignment="1" applyFont="1">
      <alignment horizontal="center" vertical="top"/>
    </xf>
    <xf borderId="13" fillId="0" fontId="2" numFmtId="0" xfId="0" applyBorder="1" applyFont="1"/>
    <xf borderId="12" fillId="0" fontId="4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vertical="bottom"/>
    </xf>
    <xf borderId="15" fillId="0" fontId="2" numFmtId="0" xfId="0" applyBorder="1" applyFont="1"/>
    <xf borderId="15" fillId="0" fontId="4" numFmtId="0" xfId="0" applyAlignment="1" applyBorder="1" applyFont="1">
      <alignment horizontal="center" vertical="bottom"/>
    </xf>
    <xf borderId="16" fillId="0" fontId="2" numFmtId="0" xfId="0" applyBorder="1" applyFont="1"/>
    <xf borderId="4" fillId="10" fontId="4" numFmtId="0" xfId="0" applyAlignment="1" applyBorder="1" applyFont="1">
      <alignment horizontal="center" readingOrder="0"/>
    </xf>
    <xf borderId="4" fillId="9" fontId="4" numFmtId="0" xfId="0" applyAlignment="1" applyBorder="1" applyFont="1">
      <alignment horizontal="center" readingOrder="0"/>
    </xf>
    <xf borderId="0" fillId="5" fontId="18" numFmtId="0" xfId="0" applyAlignment="1" applyFont="1">
      <alignment horizontal="center" readingOrder="0"/>
    </xf>
    <xf borderId="0" fillId="10" fontId="4" numFmtId="0" xfId="0" applyAlignment="1" applyFont="1">
      <alignment horizontal="center" readingOrder="0" vertical="top"/>
    </xf>
    <xf borderId="0" fillId="0" fontId="10" numFmtId="0" xfId="0" applyAlignment="1" applyFont="1">
      <alignment readingOrder="0"/>
    </xf>
    <xf borderId="0" fillId="6" fontId="5" numFmtId="0" xfId="0" applyAlignment="1" applyFont="1">
      <alignment horizontal="center" readingOrder="0" vertical="bottom"/>
    </xf>
    <xf borderId="0" fillId="7" fontId="4" numFmtId="0" xfId="0" applyAlignment="1" applyFont="1">
      <alignment horizontal="center" vertical="top"/>
    </xf>
    <xf borderId="4" fillId="5" fontId="5" numFmtId="0" xfId="0" applyAlignment="1" applyBorder="1" applyFont="1">
      <alignment horizontal="center" readingOrder="0"/>
    </xf>
    <xf borderId="0" fillId="7" fontId="4" numFmtId="0" xfId="0" applyAlignment="1" applyFont="1">
      <alignment horizontal="center"/>
    </xf>
    <xf borderId="0" fillId="6" fontId="4" numFmtId="0" xfId="0" applyAlignment="1" applyFont="1">
      <alignment horizontal="center"/>
    </xf>
    <xf borderId="12" fillId="10" fontId="11" numFmtId="0" xfId="0" applyAlignment="1" applyBorder="1" applyFont="1">
      <alignment horizontal="center" readingOrder="0" vertical="top"/>
    </xf>
    <xf borderId="12" fillId="5" fontId="11" numFmtId="0" xfId="0" applyAlignment="1" applyBorder="1" applyFont="1">
      <alignment horizontal="center" readingOrder="0" vertical="top"/>
    </xf>
    <xf borderId="0" fillId="11" fontId="4" numFmtId="0" xfId="0" applyAlignment="1" applyFill="1" applyFont="1">
      <alignment horizontal="center" readingOrder="0"/>
    </xf>
    <xf borderId="0" fillId="11" fontId="4" numFmtId="0" xfId="0" applyAlignment="1" applyFont="1">
      <alignment horizontal="center" readingOrder="0" vertical="bottom"/>
    </xf>
    <xf borderId="0" fillId="12" fontId="4" numFmtId="0" xfId="0" applyAlignment="1" applyFill="1" applyFont="1">
      <alignment horizontal="center" readingOrder="0"/>
    </xf>
    <xf borderId="0" fillId="5" fontId="4" numFmtId="0" xfId="0" applyAlignment="1" applyFont="1">
      <alignment horizontal="center" vertical="bottom"/>
    </xf>
    <xf borderId="0" fillId="12" fontId="4" numFmtId="0" xfId="0" applyAlignment="1" applyFont="1">
      <alignment horizontal="center" readingOrder="0" vertical="bottom"/>
    </xf>
    <xf borderId="0" fillId="9" fontId="4" numFmtId="0" xfId="0" applyAlignment="1" applyFont="1">
      <alignment horizontal="center" readingOrder="0"/>
    </xf>
    <xf borderId="0" fillId="6" fontId="4" numFmtId="0" xfId="0" applyAlignment="1" applyFont="1">
      <alignment horizontal="center" vertical="bottom"/>
    </xf>
    <xf borderId="4" fillId="10" fontId="4" numFmtId="0" xfId="0" applyAlignment="1" applyBorder="1" applyFont="1">
      <alignment horizontal="center" readingOrder="0" vertical="top"/>
    </xf>
    <xf borderId="0" fillId="12" fontId="4" numFmtId="0" xfId="0" applyAlignment="1" applyFont="1">
      <alignment horizontal="center" readingOrder="0" vertical="top"/>
    </xf>
    <xf borderId="0" fillId="12" fontId="5" numFmtId="0" xfId="0" applyAlignment="1" applyFont="1">
      <alignment horizontal="center" readingOrder="0" vertical="bottom"/>
    </xf>
    <xf borderId="0" fillId="6" fontId="13" numFmtId="0" xfId="0" applyAlignment="1" applyFont="1">
      <alignment horizontal="center" readingOrder="0" vertical="bottom"/>
    </xf>
    <xf borderId="0" fillId="12" fontId="4" numFmtId="0" xfId="0" applyAlignment="1" applyFont="1">
      <alignment horizontal="center" vertical="bottom"/>
    </xf>
    <xf borderId="0" fillId="12" fontId="4" numFmtId="0" xfId="0" applyAlignment="1" applyFont="1">
      <alignment horizontal="center" vertical="top"/>
    </xf>
    <xf borderId="0" fillId="10" fontId="10" numFmtId="0" xfId="0" applyFont="1"/>
    <xf borderId="0" fillId="12" fontId="4" numFmtId="0" xfId="0" applyAlignment="1" applyFont="1">
      <alignment horizontal="center" vertical="bottom"/>
    </xf>
    <xf borderId="0" fillId="12" fontId="4" numFmtId="0" xfId="0" applyAlignment="1" applyFont="1">
      <alignment horizontal="center"/>
    </xf>
    <xf borderId="0" fillId="6" fontId="11" numFmtId="0" xfId="0" applyAlignment="1" applyFont="1">
      <alignment horizontal="center" readingOrder="0" vertical="bottom"/>
    </xf>
    <xf borderId="0" fillId="5" fontId="19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4" fillId="5" fontId="19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4" fillId="0" fontId="2" numFmtId="0" xfId="0" applyBorder="1" applyFont="1"/>
    <xf borderId="0" fillId="9" fontId="4" numFmtId="0" xfId="0" applyAlignment="1" applyFont="1">
      <alignment horizontal="center" readingOrder="0" vertical="top"/>
    </xf>
    <xf borderId="12" fillId="9" fontId="4" numFmtId="0" xfId="0" applyAlignment="1" applyBorder="1" applyFont="1">
      <alignment horizontal="center" readingOrder="0" vertical="bottom"/>
    </xf>
    <xf borderId="0" fillId="5" fontId="20" numFmtId="0" xfId="0" applyAlignment="1" applyFont="1">
      <alignment horizontal="center" readingOrder="0" shrinkToFit="0" vertical="center" wrapText="1"/>
    </xf>
    <xf borderId="12" fillId="10" fontId="4" numFmtId="0" xfId="0" applyAlignment="1" applyBorder="1" applyFont="1">
      <alignment horizontal="center" readingOrder="0" vertical="bottom"/>
    </xf>
    <xf borderId="14" fillId="5" fontId="4" numFmtId="0" xfId="0" applyAlignment="1" applyBorder="1" applyFont="1">
      <alignment horizontal="center" readingOrder="0" vertical="bottom"/>
    </xf>
    <xf borderId="17" fillId="10" fontId="4" numFmtId="0" xfId="0" applyAlignment="1" applyBorder="1" applyFont="1">
      <alignment horizontal="center" readingOrder="0" vertical="bottom"/>
    </xf>
    <xf borderId="18" fillId="0" fontId="2" numFmtId="0" xfId="0" applyBorder="1" applyFont="1"/>
    <xf borderId="6" fillId="6" fontId="4" numFmtId="0" xfId="0" applyAlignment="1" applyBorder="1" applyFont="1">
      <alignment horizontal="center" readingOrder="0" vertical="bottom"/>
    </xf>
    <xf borderId="9" fillId="6" fontId="4" numFmtId="0" xfId="0" applyAlignment="1" applyBorder="1" applyFont="1">
      <alignment horizontal="center" readingOrder="0" vertical="bottom"/>
    </xf>
    <xf borderId="15" fillId="5" fontId="4" numFmtId="0" xfId="0" applyAlignment="1" applyBorder="1" applyFont="1">
      <alignment horizontal="center" readingOrder="0" vertical="bottom"/>
    </xf>
    <xf borderId="15" fillId="9" fontId="4" numFmtId="0" xfId="0" applyAlignment="1" applyBorder="1" applyFont="1">
      <alignment horizontal="center" readingOrder="0" vertical="bottom"/>
    </xf>
    <xf borderId="0" fillId="11" fontId="4" numFmtId="0" xfId="0" applyAlignment="1" applyFont="1">
      <alignment horizontal="center" vertical="bottom"/>
    </xf>
    <xf borderId="0" fillId="11" fontId="4" numFmtId="0" xfId="0" applyAlignment="1" applyFont="1">
      <alignment horizontal="center" vertical="top"/>
    </xf>
    <xf borderId="4" fillId="0" fontId="4" numFmtId="0" xfId="0" applyAlignment="1" applyBorder="1" applyFont="1">
      <alignment horizontal="center" readingOrder="0"/>
    </xf>
    <xf borderId="0" fillId="11" fontId="4" numFmtId="0" xfId="0" applyAlignment="1" applyFont="1">
      <alignment horizontal="center"/>
    </xf>
    <xf borderId="9" fillId="0" fontId="4" numFmtId="0" xfId="0" applyAlignment="1" applyBorder="1" applyFont="1">
      <alignment horizontal="center" readingOrder="0" vertical="bottom"/>
    </xf>
    <xf borderId="10" fillId="11" fontId="4" numFmtId="0" xfId="0" applyAlignment="1" applyBorder="1" applyFont="1">
      <alignment horizontal="center" vertical="bottom"/>
    </xf>
    <xf borderId="0" fillId="9" fontId="11" numFmtId="0" xfId="0" applyAlignment="1" applyFont="1">
      <alignment horizontal="center" readingOrder="0" vertical="bottom"/>
    </xf>
    <xf borderId="10" fillId="0" fontId="4" numFmtId="0" xfId="0" applyAlignment="1" applyBorder="1" applyFont="1">
      <alignment horizontal="center" readingOrder="0" vertical="bottom"/>
    </xf>
    <xf borderId="19" fillId="0" fontId="2" numFmtId="0" xfId="0" applyBorder="1" applyFont="1"/>
    <xf borderId="20" fillId="13" fontId="21" numFmtId="0" xfId="0" applyAlignment="1" applyBorder="1" applyFill="1" applyFont="1">
      <alignment vertical="bottom"/>
    </xf>
    <xf borderId="20" fillId="13" fontId="22" numFmtId="0" xfId="0" applyAlignment="1" applyBorder="1" applyFont="1">
      <alignment readingOrder="0" shrinkToFit="0" vertical="center" wrapText="1"/>
    </xf>
    <xf borderId="21" fillId="13" fontId="21" numFmtId="0" xfId="0" applyAlignment="1" applyBorder="1" applyFont="1">
      <alignment vertical="bottom"/>
    </xf>
    <xf borderId="22" fillId="13" fontId="23" numFmtId="0" xfId="0" applyAlignment="1" applyBorder="1" applyFont="1">
      <alignment shrinkToFit="0" wrapText="1"/>
    </xf>
    <xf borderId="23" fillId="0" fontId="2" numFmtId="0" xfId="0" applyBorder="1" applyFont="1"/>
    <xf borderId="24" fillId="0" fontId="2" numFmtId="0" xfId="0" applyBorder="1" applyFont="1"/>
    <xf borderId="0" fillId="0" fontId="21" numFmtId="0" xfId="0" applyAlignment="1" applyFont="1">
      <alignment vertical="bottom"/>
    </xf>
    <xf borderId="0" fillId="0" fontId="21" numFmtId="0" xfId="0" applyAlignment="1" applyFont="1">
      <alignment vertical="bottom"/>
    </xf>
    <xf borderId="25" fillId="0" fontId="2" numFmtId="0" xfId="0" applyBorder="1" applyFont="1"/>
    <xf borderId="21" fillId="13" fontId="21" numFmtId="0" xfId="0" applyAlignment="1" applyBorder="1" applyFont="1">
      <alignment vertical="bottom"/>
    </xf>
    <xf borderId="22" fillId="13" fontId="24" numFmtId="0" xfId="0" applyAlignment="1" applyBorder="1" applyFont="1">
      <alignment shrinkToFit="0" wrapText="1"/>
    </xf>
    <xf borderId="0" fillId="0" fontId="21" numFmtId="0" xfId="0" applyAlignment="1" applyFont="1">
      <alignment vertical="bottom"/>
    </xf>
    <xf borderId="21" fillId="14" fontId="21" numFmtId="0" xfId="0" applyAlignment="1" applyBorder="1" applyFill="1" applyFont="1">
      <alignment vertical="bottom"/>
    </xf>
    <xf borderId="21" fillId="14" fontId="21" numFmtId="0" xfId="0" applyAlignment="1" applyBorder="1" applyFont="1">
      <alignment vertical="bottom"/>
    </xf>
    <xf borderId="26" fillId="15" fontId="25" numFmtId="164" xfId="0" applyAlignment="1" applyBorder="1" applyFill="1" applyFont="1" applyNumberFormat="1">
      <alignment horizontal="center" shrinkToFit="0" wrapText="0"/>
    </xf>
    <xf borderId="21" fillId="14" fontId="26" numFmtId="0" xfId="0" applyAlignment="1" applyBorder="1" applyFont="1">
      <alignment vertical="bottom"/>
    </xf>
    <xf borderId="26" fillId="15" fontId="25" numFmtId="164" xfId="0" applyAlignment="1" applyBorder="1" applyFont="1" applyNumberFormat="1">
      <alignment horizontal="center"/>
    </xf>
    <xf borderId="20" fillId="16" fontId="27" numFmtId="0" xfId="0" applyAlignment="1" applyBorder="1" applyFill="1" applyFont="1">
      <alignment horizontal="center" readingOrder="0" shrinkToFit="0" textRotation="255" vertical="center" wrapText="1"/>
    </xf>
    <xf borderId="27" fillId="17" fontId="28" numFmtId="0" xfId="0" applyAlignment="1" applyBorder="1" applyFill="1" applyFont="1">
      <alignment horizontal="center" shrinkToFit="0" wrapText="1"/>
    </xf>
    <xf borderId="27" fillId="16" fontId="28" numFmtId="0" xfId="0" applyAlignment="1" applyBorder="1" applyFont="1">
      <alignment horizontal="center" shrinkToFit="0" wrapText="1"/>
    </xf>
    <xf borderId="28" fillId="0" fontId="2" numFmtId="0" xfId="0" applyBorder="1" applyFont="1"/>
    <xf borderId="29" fillId="17" fontId="29" numFmtId="0" xfId="0" applyAlignment="1" applyBorder="1" applyFont="1">
      <alignment horizontal="center" shrinkToFit="0" wrapText="1"/>
    </xf>
    <xf borderId="29" fillId="16" fontId="29" numFmtId="0" xfId="0" applyAlignment="1" applyBorder="1" applyFont="1">
      <alignment horizontal="center" shrinkToFit="0" wrapText="1"/>
    </xf>
    <xf borderId="29" fillId="17" fontId="30" numFmtId="0" xfId="0" applyAlignment="1" applyBorder="1" applyFont="1">
      <alignment horizontal="center" shrinkToFit="0" wrapText="1"/>
    </xf>
    <xf borderId="29" fillId="16" fontId="30" numFmtId="0" xfId="0" applyAlignment="1" applyBorder="1" applyFont="1">
      <alignment horizontal="center" shrinkToFit="0" wrapText="1"/>
    </xf>
    <xf borderId="29" fillId="16" fontId="30" numFmtId="0" xfId="0" applyAlignment="1" applyBorder="1" applyFont="1">
      <alignment horizontal="center" readingOrder="0" shrinkToFit="0" wrapText="1"/>
    </xf>
    <xf borderId="30" fillId="17" fontId="30" numFmtId="0" xfId="0" applyAlignment="1" applyBorder="1" applyFont="1">
      <alignment horizontal="center" shrinkToFit="0" wrapText="1"/>
    </xf>
    <xf borderId="30" fillId="16" fontId="30" numFmtId="0" xfId="0" applyAlignment="1" applyBorder="1" applyFont="1">
      <alignment horizontal="center" shrinkToFit="0" wrapText="1"/>
    </xf>
    <xf borderId="30" fillId="17" fontId="30" numFmtId="0" xfId="0" applyAlignment="1" applyBorder="1" applyFont="1">
      <alignment horizontal="center" readingOrder="0" shrinkToFit="0" wrapText="1"/>
    </xf>
    <xf borderId="30" fillId="16" fontId="30" numFmtId="0" xfId="0" applyAlignment="1" applyBorder="1" applyFont="1">
      <alignment horizontal="center" readingOrder="0" shrinkToFit="0" wrapText="1"/>
    </xf>
    <xf borderId="31" fillId="17" fontId="29" numFmtId="0" xfId="0" applyAlignment="1" applyBorder="1" applyFont="1">
      <alignment horizontal="center" shrinkToFit="0" wrapText="1"/>
    </xf>
    <xf borderId="31" fillId="16" fontId="29" numFmtId="0" xfId="0" applyAlignment="1" applyBorder="1" applyFont="1">
      <alignment horizontal="center" shrinkToFit="0" wrapText="1"/>
    </xf>
    <xf borderId="31" fillId="16" fontId="29" numFmtId="0" xfId="0" applyAlignment="1" applyBorder="1" applyFont="1">
      <alignment horizontal="center" readingOrder="0" shrinkToFit="0" wrapText="1"/>
    </xf>
    <xf borderId="21" fillId="16" fontId="21" numFmtId="0" xfId="0" applyAlignment="1" applyBorder="1" applyFont="1">
      <alignment vertical="bottom"/>
    </xf>
    <xf borderId="27" fillId="16" fontId="28" numFmtId="0" xfId="0" applyAlignment="1" applyBorder="1" applyFont="1">
      <alignment horizontal="center" readingOrder="0" shrinkToFit="0" wrapText="1"/>
    </xf>
    <xf borderId="29" fillId="16" fontId="29" numFmtId="0" xfId="0" applyAlignment="1" applyBorder="1" applyFont="1">
      <alignment horizontal="center" readingOrder="0" shrinkToFit="0" wrapText="1"/>
    </xf>
    <xf borderId="21" fillId="14" fontId="21" numFmtId="0" xfId="0" applyAlignment="1" applyBorder="1" applyFont="1">
      <alignment horizontal="center" textRotation="255" vertical="center"/>
    </xf>
    <xf borderId="32" fillId="14" fontId="21" numFmtId="0" xfId="0" applyAlignment="1" applyBorder="1" applyFont="1">
      <alignment vertical="bottom"/>
    </xf>
    <xf borderId="20" fillId="18" fontId="27" numFmtId="0" xfId="0" applyAlignment="1" applyBorder="1" applyFill="1" applyFont="1">
      <alignment horizontal="center" readingOrder="0" shrinkToFit="0" textRotation="255" vertical="center" wrapText="1"/>
    </xf>
    <xf borderId="33" fillId="17" fontId="31" numFmtId="0" xfId="0" applyAlignment="1" applyBorder="1" applyFont="1">
      <alignment horizontal="center" shrinkToFit="0" wrapText="1"/>
    </xf>
    <xf borderId="29" fillId="16" fontId="29" numFmtId="0" xfId="0" applyAlignment="1" applyBorder="1" applyFont="1">
      <alignment horizontal="center" shrinkToFit="0" vertical="center" wrapText="1"/>
    </xf>
    <xf borderId="29" fillId="17" fontId="30" numFmtId="0" xfId="0" applyAlignment="1" applyBorder="1" applyFont="1">
      <alignment horizontal="center" readingOrder="0" shrinkToFit="0" wrapText="1"/>
    </xf>
    <xf borderId="27" fillId="16" fontId="28" numFmtId="0" xfId="0" applyAlignment="1" applyBorder="1" applyFont="1">
      <alignment horizontal="center" shrinkToFit="0" wrapText="1"/>
    </xf>
    <xf borderId="21" fillId="14" fontId="21" numFmtId="0" xfId="0" applyAlignment="1" applyBorder="1" applyFont="1">
      <alignment vertical="center"/>
    </xf>
    <xf borderId="29" fillId="17" fontId="29" numFmtId="0" xfId="0" applyAlignment="1" applyBorder="1" applyFont="1">
      <alignment horizontal="center" shrinkToFit="0" vertical="center" wrapText="1"/>
    </xf>
    <xf borderId="21" fillId="14" fontId="21" numFmtId="0" xfId="0" applyAlignment="1" applyBorder="1" applyFont="1">
      <alignment vertical="center"/>
    </xf>
    <xf borderId="29" fillId="17" fontId="29" numFmtId="0" xfId="0" applyAlignment="1" applyBorder="1" applyFont="1">
      <alignment horizontal="center" shrinkToFit="0" wrapText="1"/>
    </xf>
    <xf borderId="21" fillId="14" fontId="21" numFmtId="0" xfId="0" applyAlignment="1" applyBorder="1" applyFont="1">
      <alignment vertical="bottom"/>
    </xf>
    <xf borderId="29" fillId="16" fontId="30" numFmtId="0" xfId="0" applyAlignment="1" applyBorder="1" applyFont="1">
      <alignment horizontal="center" shrinkToFit="0" wrapText="1"/>
    </xf>
    <xf borderId="29" fillId="17" fontId="30" numFmtId="0" xfId="0" applyAlignment="1" applyBorder="1" applyFont="1">
      <alignment horizontal="center" shrinkToFit="0" wrapText="1"/>
    </xf>
    <xf borderId="31" fillId="17" fontId="29" numFmtId="0" xfId="0" applyAlignment="1" applyBorder="1" applyFont="1">
      <alignment horizontal="center" shrinkToFit="0" wrapText="1"/>
    </xf>
    <xf borderId="27" fillId="0" fontId="28" numFmtId="0" xfId="0" applyAlignment="1" applyBorder="1" applyFont="1">
      <alignment horizontal="center" shrinkToFit="0" wrapText="1"/>
    </xf>
    <xf borderId="27" fillId="17" fontId="28" numFmtId="0" xfId="0" applyAlignment="1" applyBorder="1" applyFont="1">
      <alignment horizontal="center" shrinkToFit="0" wrapText="1"/>
    </xf>
    <xf borderId="34" fillId="14" fontId="21" numFmtId="0" xfId="0" applyAlignment="1" applyBorder="1" applyFont="1">
      <alignment vertical="bottom"/>
    </xf>
    <xf borderId="29" fillId="0" fontId="29" numFmtId="0" xfId="0" applyAlignment="1" applyBorder="1" applyFont="1">
      <alignment horizontal="center" shrinkToFit="0" wrapText="1"/>
    </xf>
    <xf borderId="29" fillId="16" fontId="29" numFmtId="0" xfId="0" applyAlignment="1" applyBorder="1" applyFont="1">
      <alignment horizontal="center" shrinkToFit="0" wrapText="1"/>
    </xf>
    <xf borderId="32" fillId="14" fontId="32" numFmtId="0" xfId="0" applyAlignment="1" applyBorder="1" applyFont="1">
      <alignment horizontal="center" shrinkToFit="0" wrapText="1"/>
    </xf>
    <xf borderId="29" fillId="0" fontId="30" numFmtId="0" xfId="0" applyAlignment="1" applyBorder="1" applyFont="1">
      <alignment horizontal="center" shrinkToFit="0" wrapText="1"/>
    </xf>
    <xf borderId="30" fillId="0" fontId="30" numFmtId="0" xfId="0" applyAlignment="1" applyBorder="1" applyFont="1">
      <alignment horizontal="center" shrinkToFit="0" wrapText="1"/>
    </xf>
    <xf borderId="35" fillId="14" fontId="21" numFmtId="0" xfId="0" applyAlignment="1" applyBorder="1" applyFont="1">
      <alignment vertical="bottom"/>
    </xf>
    <xf borderId="31" fillId="0" fontId="29" numFmtId="0" xfId="0" applyAlignment="1" applyBorder="1" applyFont="1">
      <alignment horizontal="center" shrinkToFit="0" wrapText="1"/>
    </xf>
    <xf borderId="36" fillId="14" fontId="21" numFmtId="0" xfId="0" applyAlignment="1" applyBorder="1" applyFont="1">
      <alignment vertical="bottom"/>
    </xf>
    <xf borderId="26" fillId="15" fontId="25" numFmtId="164" xfId="0" applyAlignment="1" applyBorder="1" applyFont="1" applyNumberFormat="1">
      <alignment horizontal="center" readingOrder="0" shrinkToFit="0" wrapText="0"/>
    </xf>
    <xf borderId="26" fillId="15" fontId="25" numFmtId="164" xfId="0" applyAlignment="1" applyBorder="1" applyFont="1" applyNumberFormat="1">
      <alignment horizontal="center" readingOrder="0"/>
    </xf>
    <xf borderId="27" fillId="17" fontId="28" numFmtId="0" xfId="0" applyAlignment="1" applyBorder="1" applyFont="1">
      <alignment horizontal="center" readingOrder="0" shrinkToFit="0" wrapText="1"/>
    </xf>
    <xf borderId="29" fillId="17" fontId="29" numFmtId="0" xfId="0" applyAlignment="1" applyBorder="1" applyFont="1">
      <alignment horizontal="center" readingOrder="0" shrinkToFit="0" wrapText="1"/>
    </xf>
    <xf borderId="31" fillId="17" fontId="29" numFmtId="0" xfId="0" applyAlignment="1" applyBorder="1" applyFont="1">
      <alignment horizontal="center" readingOrder="0" shrinkToFit="0" wrapText="1"/>
    </xf>
    <xf borderId="33" fillId="17" fontId="31" numFmtId="0" xfId="0" applyAlignment="1" applyBorder="1" applyFont="1">
      <alignment horizontal="center" readingOrder="0" shrinkToFit="0" wrapText="1"/>
    </xf>
    <xf borderId="29" fillId="17" fontId="33" numFmtId="0" xfId="0" applyAlignment="1" applyBorder="1" applyFont="1">
      <alignment horizontal="center" readingOrder="0" shrinkToFit="0" wrapText="1"/>
    </xf>
    <xf borderId="27" fillId="19" fontId="28" numFmtId="0" xfId="0" applyAlignment="1" applyBorder="1" applyFill="1" applyFont="1">
      <alignment horizontal="center" readingOrder="0" shrinkToFit="0" wrapText="1"/>
    </xf>
    <xf borderId="27" fillId="3" fontId="28" numFmtId="0" xfId="0" applyAlignment="1" applyBorder="1" applyFont="1">
      <alignment horizontal="center" readingOrder="0" shrinkToFit="0" wrapText="1"/>
    </xf>
    <xf borderId="29" fillId="16" fontId="29" numFmtId="0" xfId="0" applyAlignment="1" applyBorder="1" applyFont="1">
      <alignment horizontal="center" readingOrder="0" shrinkToFit="0" vertical="center" wrapText="1"/>
    </xf>
    <xf borderId="29" fillId="19" fontId="30" numFmtId="0" xfId="0" applyAlignment="1" applyBorder="1" applyFont="1">
      <alignment horizontal="center" readingOrder="0" shrinkToFit="0" wrapText="1"/>
    </xf>
    <xf borderId="29" fillId="3" fontId="33" numFmtId="0" xfId="0" applyAlignment="1" applyBorder="1" applyFont="1">
      <alignment horizontal="center" readingOrder="0" shrinkToFit="0" wrapText="1"/>
    </xf>
    <xf borderId="30" fillId="19" fontId="30" numFmtId="0" xfId="0" applyAlignment="1" applyBorder="1" applyFont="1">
      <alignment horizontal="center" readingOrder="0" shrinkToFit="0" vertical="center" wrapText="1"/>
    </xf>
    <xf borderId="29" fillId="3" fontId="30" numFmtId="0" xfId="0" applyAlignment="1" applyBorder="1" applyFont="1">
      <alignment horizontal="center" readingOrder="0" shrinkToFit="0" wrapText="1"/>
    </xf>
    <xf borderId="37" fillId="0" fontId="2" numFmtId="0" xfId="0" applyBorder="1" applyFont="1"/>
    <xf borderId="30" fillId="3" fontId="30" numFmtId="0" xfId="0" applyAlignment="1" applyBorder="1" applyFont="1">
      <alignment horizontal="center" readingOrder="0" shrinkToFit="0" wrapText="1"/>
    </xf>
    <xf borderId="31" fillId="19" fontId="29" numFmtId="0" xfId="0" applyAlignment="1" applyBorder="1" applyFont="1">
      <alignment horizontal="center" readingOrder="0" shrinkToFit="0" wrapText="1"/>
    </xf>
    <xf borderId="31" fillId="3" fontId="29" numFmtId="0" xfId="0" applyAlignment="1" applyBorder="1" applyFont="1">
      <alignment horizontal="center" shrinkToFit="0" wrapText="1"/>
    </xf>
    <xf borderId="0" fillId="0" fontId="27" numFmtId="0" xfId="0" applyAlignment="1" applyFont="1">
      <alignment horizontal="center" readingOrder="0" shrinkToFit="0" textRotation="255" vertical="center" wrapText="1"/>
    </xf>
    <xf borderId="0" fillId="0" fontId="29" numFmtId="0" xfId="0" applyAlignment="1" applyFont="1">
      <alignment horizontal="center" shrinkToFit="0" wrapText="1"/>
    </xf>
    <xf borderId="27" fillId="11" fontId="28" numFmtId="0" xfId="0" applyAlignment="1" applyBorder="1" applyFont="1">
      <alignment horizontal="center" readingOrder="0" shrinkToFit="0" wrapText="1"/>
    </xf>
    <xf borderId="29" fillId="11" fontId="29" numFmtId="0" xfId="0" applyAlignment="1" applyBorder="1" applyFont="1">
      <alignment horizontal="center" readingOrder="0" shrinkToFit="0" wrapText="1"/>
    </xf>
    <xf borderId="30" fillId="11" fontId="30" numFmtId="0" xfId="0" applyAlignment="1" applyBorder="1" applyFont="1">
      <alignment horizontal="center" shrinkToFit="0" wrapText="1"/>
    </xf>
    <xf borderId="31" fillId="11" fontId="29" numFmtId="0" xfId="0" applyAlignment="1" applyBorder="1" applyFont="1">
      <alignment horizontal="center" readingOrder="0" shrinkToFit="0" wrapText="1"/>
    </xf>
    <xf borderId="29" fillId="11" fontId="30" numFmtId="0" xfId="0" applyAlignment="1" applyBorder="1" applyFont="1">
      <alignment horizontal="center" readingOrder="0" shrinkToFit="0" wrapText="1"/>
    </xf>
    <xf borderId="32" fillId="11" fontId="21" numFmtId="0" xfId="0" applyAlignment="1" applyBorder="1" applyFont="1">
      <alignment vertical="bottom"/>
    </xf>
    <xf borderId="33" fillId="11" fontId="31" numFmtId="0" xfId="0" applyAlignment="1" applyBorder="1" applyFont="1">
      <alignment horizontal="center" readingOrder="0" shrinkToFit="0" wrapText="1"/>
    </xf>
    <xf borderId="30" fillId="11" fontId="30" numFmtId="0" xfId="0" applyAlignment="1" applyBorder="1" applyFont="1">
      <alignment horizontal="center" readingOrder="0" shrinkToFit="0" wrapText="1"/>
    </xf>
    <xf borderId="29" fillId="17" fontId="29" numFmtId="0" xfId="0" applyAlignment="1" applyBorder="1" applyFont="1">
      <alignment horizontal="center" readingOrder="0" shrinkToFit="0" vertical="center" wrapText="1"/>
    </xf>
    <xf borderId="30" fillId="16" fontId="30" numFmtId="0" xfId="0" applyAlignment="1" applyBorder="1" applyFont="1">
      <alignment horizontal="center" readingOrder="0" shrinkToFit="0" vertical="center" wrapText="1"/>
    </xf>
    <xf borderId="29" fillId="11" fontId="30" numFmtId="0" xfId="0" applyAlignment="1" applyBorder="1" applyFont="1">
      <alignment horizontal="center" shrinkToFit="0" wrapText="1"/>
    </xf>
    <xf borderId="31" fillId="11" fontId="29" numFmtId="0" xfId="0" applyAlignment="1" applyBorder="1" applyFont="1">
      <alignment horizontal="center" shrinkToFit="0" wrapText="1"/>
    </xf>
    <xf borderId="29" fillId="16" fontId="34" numFmtId="0" xfId="0" applyAlignment="1" applyBorder="1" applyFont="1">
      <alignment horizontal="center" readingOrder="0" shrinkToFit="0" wrapText="1"/>
    </xf>
    <xf borderId="29" fillId="16" fontId="33" numFmtId="0" xfId="0" applyAlignment="1" applyBorder="1" applyFont="1">
      <alignment horizontal="center" readingOrder="0" shrinkToFit="0" wrapText="1"/>
    </xf>
    <xf borderId="30" fillId="17" fontId="30" numFmtId="0" xfId="0" applyAlignment="1" applyBorder="1" applyFont="1">
      <alignment horizontal="center" readingOrder="0" shrinkToFit="0" vertical="center" wrapText="1"/>
    </xf>
    <xf borderId="29" fillId="20" fontId="30" numFmtId="0" xfId="0" applyAlignment="1" applyBorder="1" applyFill="1" applyFont="1">
      <alignment horizontal="center" readingOrder="0" shrinkToFit="0" wrapText="1"/>
    </xf>
    <xf borderId="30" fillId="20" fontId="30" numFmtId="0" xfId="0" applyAlignment="1" applyBorder="1" applyFont="1">
      <alignment horizontal="center" shrinkToFit="0" wrapText="1"/>
    </xf>
    <xf borderId="31" fillId="20" fontId="29" numFmtId="0" xfId="0" applyAlignment="1" applyBorder="1" applyFont="1">
      <alignment horizontal="center" shrinkToFit="0" wrapText="1"/>
    </xf>
    <xf borderId="21" fillId="0" fontId="21" numFmtId="0" xfId="0" applyAlignment="1" applyBorder="1" applyFont="1">
      <alignment vertical="bottom"/>
    </xf>
    <xf borderId="30" fillId="16" fontId="35" numFmtId="0" xfId="0" applyAlignment="1" applyBorder="1" applyFont="1">
      <alignment horizontal="center" readingOrder="0" shrinkToFit="0" wrapText="1"/>
    </xf>
    <xf borderId="22" fillId="14" fontId="21" numFmtId="0" xfId="0" applyAlignment="1" applyBorder="1" applyFont="1">
      <alignment vertical="bottom"/>
    </xf>
    <xf borderId="24" fillId="14" fontId="21" numFmtId="0" xfId="0" applyAlignment="1" applyBorder="1" applyFont="1">
      <alignment vertical="bottom"/>
    </xf>
    <xf borderId="27" fillId="5" fontId="28" numFmtId="0" xfId="0" applyAlignment="1" applyBorder="1" applyFont="1">
      <alignment horizontal="center" readingOrder="0" shrinkToFit="0" wrapText="1"/>
    </xf>
    <xf borderId="31" fillId="16" fontId="36" numFmtId="0" xfId="0" applyAlignment="1" applyBorder="1" applyFont="1">
      <alignment horizontal="center" readingOrder="0" shrinkToFit="0" wrapText="1"/>
    </xf>
    <xf borderId="29" fillId="3" fontId="29" numFmtId="0" xfId="0" applyAlignment="1" applyBorder="1" applyFont="1">
      <alignment horizontal="center" readingOrder="0" shrinkToFit="0" wrapText="1"/>
    </xf>
    <xf borderId="30" fillId="3" fontId="30" numFmtId="0" xfId="0" applyAlignment="1" applyBorder="1" applyFont="1">
      <alignment horizontal="center" shrinkToFit="0" wrapText="1"/>
    </xf>
    <xf borderId="31" fillId="3" fontId="29" numFmtId="0" xfId="0" applyAlignment="1" applyBorder="1" applyFont="1">
      <alignment horizontal="center" readingOrder="0" shrinkToFit="0" wrapText="1"/>
    </xf>
    <xf borderId="29" fillId="17" fontId="35" numFmtId="0" xfId="0" applyAlignment="1" applyBorder="1" applyFont="1">
      <alignment horizontal="center" readingOrder="0" shrinkToFit="0" wrapText="1"/>
    </xf>
    <xf borderId="30" fillId="9" fontId="30" numFmtId="0" xfId="0" applyAlignment="1" applyBorder="1" applyFont="1">
      <alignment horizontal="center" readingOrder="0" shrinkToFit="0" wrapText="1"/>
    </xf>
    <xf borderId="27" fillId="3" fontId="28" numFmtId="0" xfId="0" applyAlignment="1" applyBorder="1" applyFont="1">
      <alignment horizontal="center" shrinkToFit="0" wrapText="1"/>
    </xf>
    <xf borderId="29" fillId="3" fontId="29" numFmtId="0" xfId="0" applyAlignment="1" applyBorder="1" applyFont="1">
      <alignment horizontal="center" shrinkToFit="0" wrapText="1"/>
    </xf>
    <xf borderId="29" fillId="3" fontId="30" numFmtId="0" xfId="0" applyAlignment="1" applyBorder="1" applyFont="1">
      <alignment horizontal="center" shrinkToFit="0" wrapText="1"/>
    </xf>
    <xf borderId="29" fillId="16" fontId="35" numFmtId="0" xfId="0" applyAlignment="1" applyBorder="1" applyFont="1">
      <alignment horizontal="center" readingOrder="0" shrinkToFit="0" wrapText="1"/>
    </xf>
    <xf borderId="30" fillId="3" fontId="30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vertical="bottom"/>
    </xf>
    <xf borderId="6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0" fillId="11" fontId="21" numFmtId="0" xfId="0" applyAlignment="1" applyFont="1">
      <alignment horizontal="center" vertical="bottom"/>
    </xf>
    <xf borderId="0" fillId="21" fontId="21" numFmtId="0" xfId="0" applyAlignment="1" applyFill="1" applyFont="1">
      <alignment horizontal="center" vertical="bottom"/>
    </xf>
    <xf borderId="4" fillId="11" fontId="21" numFmtId="0" xfId="0" applyAlignment="1" applyBorder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22" fontId="21" numFmtId="0" xfId="0" applyAlignment="1" applyFill="1" applyFont="1">
      <alignment horizontal="center" vertical="bottom"/>
    </xf>
    <xf borderId="5" fillId="0" fontId="21" numFmtId="0" xfId="0" applyAlignment="1" applyBorder="1" applyFont="1">
      <alignment horizontal="center" vertical="bottom"/>
    </xf>
    <xf borderId="0" fillId="23" fontId="21" numFmtId="0" xfId="0" applyAlignment="1" applyFill="1" applyFont="1">
      <alignment horizontal="center" vertical="bottom"/>
    </xf>
    <xf borderId="4" fillId="24" fontId="21" numFmtId="0" xfId="0" applyAlignment="1" applyBorder="1" applyFill="1" applyFont="1">
      <alignment horizontal="center" vertical="bottom"/>
    </xf>
    <xf borderId="0" fillId="24" fontId="21" numFmtId="0" xfId="0" applyAlignment="1" applyFont="1">
      <alignment horizontal="center" vertical="bottom"/>
    </xf>
    <xf borderId="0" fillId="25" fontId="21" numFmtId="0" xfId="0" applyAlignment="1" applyFill="1" applyFont="1">
      <alignment horizontal="center" vertical="bottom"/>
    </xf>
    <xf borderId="0" fillId="24" fontId="21" numFmtId="0" xfId="0" applyAlignment="1" applyFont="1">
      <alignment horizontal="center" shrinkToFit="0" vertical="center" wrapText="1"/>
    </xf>
    <xf borderId="0" fillId="25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24" fontId="21" numFmtId="0" xfId="0" applyAlignment="1" applyFont="1">
      <alignment horizontal="center"/>
    </xf>
    <xf borderId="0" fillId="26" fontId="21" numFmtId="0" xfId="0" applyAlignment="1" applyFill="1" applyFont="1">
      <alignment horizontal="center"/>
    </xf>
    <xf borderId="0" fillId="26" fontId="21" numFmtId="0" xfId="0" applyAlignment="1" applyFont="1">
      <alignment horizontal="center" vertical="bottom"/>
    </xf>
    <xf borderId="0" fillId="0" fontId="21" numFmtId="0" xfId="0" applyAlignment="1" applyFont="1">
      <alignment horizontal="center" readingOrder="0" vertical="bottom"/>
    </xf>
    <xf borderId="9" fillId="24" fontId="21" numFmtId="0" xfId="0" applyAlignment="1" applyBorder="1" applyFont="1">
      <alignment horizontal="center" vertical="bottom"/>
    </xf>
    <xf borderId="10" fillId="24" fontId="21" numFmtId="0" xfId="0" applyAlignment="1" applyBorder="1" applyFont="1">
      <alignment horizontal="center"/>
    </xf>
    <xf borderId="10" fillId="0" fontId="21" numFmtId="0" xfId="0" applyAlignment="1" applyBorder="1" applyFont="1">
      <alignment horizontal="center" vertical="bottom"/>
    </xf>
    <xf borderId="10" fillId="0" fontId="21" numFmtId="0" xfId="0" applyAlignment="1" applyBorder="1" applyFont="1">
      <alignment horizontal="center" readingOrder="0" vertical="bottom"/>
    </xf>
    <xf borderId="0" fillId="0" fontId="21" numFmtId="0" xfId="0" applyAlignment="1" applyFont="1">
      <alignment horizontal="center"/>
    </xf>
    <xf borderId="4" fillId="21" fontId="21" numFmtId="0" xfId="0" applyAlignment="1" applyBorder="1" applyFont="1">
      <alignment horizontal="center" vertical="bottom"/>
    </xf>
    <xf borderId="0" fillId="21" fontId="21" numFmtId="0" xfId="0" applyAlignment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4" fillId="22" fontId="21" numFmtId="0" xfId="0" applyAlignment="1" applyBorder="1" applyFont="1">
      <alignment horizontal="center" vertical="bottom"/>
    </xf>
    <xf borderId="0" fillId="22" fontId="21" numFmtId="0" xfId="0" applyAlignment="1" applyFont="1">
      <alignment horizontal="center" readingOrder="0" vertical="bottom"/>
    </xf>
    <xf borderId="0" fillId="22" fontId="10" numFmtId="0" xfId="0" applyAlignment="1" applyFont="1">
      <alignment horizontal="center" readingOrder="0"/>
    </xf>
    <xf borderId="0" fillId="9" fontId="21" numFmtId="0" xfId="0" applyAlignment="1" applyFont="1">
      <alignment horizontal="center" readingOrder="0" vertical="bottom"/>
    </xf>
    <xf borderId="4" fillId="23" fontId="21" numFmtId="0" xfId="0" applyAlignment="1" applyBorder="1" applyFont="1">
      <alignment horizontal="center" vertical="bottom"/>
    </xf>
    <xf borderId="0" fillId="23" fontId="21" numFmtId="0" xfId="0" applyAlignment="1" applyFont="1">
      <alignment horizontal="center" readingOrder="0" vertical="bottom"/>
    </xf>
    <xf borderId="7" fillId="9" fontId="21" numFmtId="0" xfId="0" applyAlignment="1" applyBorder="1" applyFont="1">
      <alignment horizontal="center" readingOrder="0" vertical="bottom"/>
    </xf>
    <xf borderId="4" fillId="25" fontId="21" numFmtId="0" xfId="0" applyAlignment="1" applyBorder="1" applyFont="1">
      <alignment horizontal="center" readingOrder="0" vertical="bottom"/>
    </xf>
    <xf borderId="0" fillId="25" fontId="21" numFmtId="0" xfId="0" applyAlignment="1" applyFont="1">
      <alignment horizontal="center" readingOrder="0" vertical="bottom"/>
    </xf>
    <xf borderId="0" fillId="25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4" fillId="26" fontId="21" numFmtId="0" xfId="0" applyAlignment="1" applyBorder="1" applyFont="1">
      <alignment horizontal="center" readingOrder="0" vertical="bottom"/>
    </xf>
    <xf borderId="0" fillId="26" fontId="10" numFmtId="0" xfId="0" applyFont="1"/>
    <xf borderId="0" fillId="26" fontId="10" numFmtId="0" xfId="0" applyFont="1"/>
    <xf borderId="0" fillId="26" fontId="21" numFmtId="0" xfId="0" applyAlignment="1" applyFont="1">
      <alignment horizontal="center" readingOrder="0" vertical="bottom"/>
    </xf>
    <xf borderId="0" fillId="26" fontId="21" numFmtId="0" xfId="0" applyAlignment="1" applyFont="1">
      <alignment horizontal="center" readingOrder="0"/>
    </xf>
    <xf borderId="0" fillId="9" fontId="10" numFmtId="0" xfId="0" applyAlignment="1" applyFont="1">
      <alignment horizontal="center" readingOrder="0"/>
    </xf>
    <xf borderId="9" fillId="0" fontId="21" numFmtId="0" xfId="0" applyAlignment="1" applyBorder="1" applyFont="1">
      <alignment horizontal="center" vertical="bottom"/>
    </xf>
    <xf borderId="10" fillId="0" fontId="21" numFmtId="0" xfId="0" applyAlignment="1" applyBorder="1" applyFont="1">
      <alignment horizontal="center"/>
    </xf>
    <xf borderId="4" fillId="21" fontId="21" numFmtId="0" xfId="0" applyAlignment="1" applyBorder="1" applyFont="1">
      <alignment horizontal="center" readingOrder="0" vertical="bottom"/>
    </xf>
    <xf borderId="4" fillId="22" fontId="21" numFmtId="0" xfId="0" applyAlignment="1" applyBorder="1" applyFont="1">
      <alignment horizontal="center" readingOrder="0" vertical="bottom"/>
    </xf>
    <xf borderId="0" fillId="27" fontId="21" numFmtId="0" xfId="0" applyAlignment="1" applyFill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9" fontId="21" numFmtId="0" xfId="0" applyAlignment="1" applyBorder="1" applyFont="1">
      <alignment horizontal="center" readingOrder="0" vertical="bottom"/>
    </xf>
    <xf borderId="4" fillId="23" fontId="21" numFmtId="0" xfId="0" applyAlignment="1" applyBorder="1" applyFont="1">
      <alignment horizontal="center" readingOrder="0" vertical="bottom"/>
    </xf>
    <xf borderId="4" fillId="26" fontId="10" numFmtId="0" xfId="0" applyAlignment="1" applyBorder="1" applyFont="1">
      <alignment horizontal="center" readingOrder="0"/>
    </xf>
    <xf borderId="0" fillId="26" fontId="10" numFmtId="0" xfId="0" applyAlignment="1" applyFont="1">
      <alignment horizontal="center" readingOrder="0"/>
    </xf>
    <xf borderId="0" fillId="26" fontId="10" numFmtId="0" xfId="0" applyAlignment="1" applyFont="1">
      <alignment readingOrder="0"/>
    </xf>
    <xf borderId="4" fillId="26" fontId="10" numFmtId="0" xfId="0" applyBorder="1" applyFont="1"/>
    <xf borderId="0" fillId="0" fontId="21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10" fillId="0" fontId="21" numFmtId="0" xfId="0" applyAlignment="1" applyBorder="1" applyFont="1">
      <alignment horizontal="center" readingOrder="0"/>
    </xf>
    <xf borderId="0" fillId="21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vertical="center" wrapText="1"/>
    </xf>
    <xf borderId="4" fillId="26" fontId="21" numFmtId="0" xfId="0" applyAlignment="1" applyBorder="1" applyFont="1">
      <alignment horizontal="center" vertical="bottom"/>
    </xf>
    <xf borderId="9" fillId="0" fontId="21" numFmtId="0" xfId="0" applyAlignment="1" applyBorder="1" applyFont="1">
      <alignment horizontal="center" readingOrder="0" vertical="bottom"/>
    </xf>
    <xf borderId="0" fillId="23" fontId="21" numFmtId="0" xfId="0" applyAlignment="1" applyFont="1">
      <alignment horizontal="center" readingOrder="0" shrinkToFit="0" vertical="center" wrapText="1"/>
    </xf>
    <xf borderId="0" fillId="25" fontId="37" numFmtId="0" xfId="0" applyAlignment="1" applyFont="1">
      <alignment horizontal="center" readingOrder="0" shrinkToFit="0" vertical="center" wrapText="1"/>
    </xf>
    <xf borderId="0" fillId="11" fontId="21" numFmtId="0" xfId="0" applyAlignment="1" applyFont="1">
      <alignment horizontal="center" readingOrder="0" vertical="bottom"/>
    </xf>
    <xf borderId="0" fillId="28" fontId="21" numFmtId="0" xfId="0" applyAlignment="1" applyFill="1" applyFont="1">
      <alignment horizontal="center" readingOrder="0" vertical="bottom"/>
    </xf>
    <xf borderId="0" fillId="28" fontId="21" numFmtId="0" xfId="0" applyAlignment="1" applyFont="1">
      <alignment horizontal="center" vertical="bottom"/>
    </xf>
    <xf borderId="4" fillId="11" fontId="21" numFmtId="0" xfId="0" applyAlignment="1" applyBorder="1" applyFont="1">
      <alignment horizontal="center" readingOrder="0" vertical="bottom"/>
    </xf>
    <xf borderId="6" fillId="0" fontId="38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readingOrder="0" vertical="bottom"/>
    </xf>
    <xf borderId="4" fillId="11" fontId="38" numFmtId="0" xfId="0" applyAlignment="1" applyBorder="1" applyFont="1">
      <alignment horizontal="center" readingOrder="0" vertical="bottom"/>
    </xf>
    <xf borderId="0" fillId="11" fontId="21" numFmtId="0" xfId="0" applyAlignment="1" applyFont="1">
      <alignment horizontal="center" readingOrder="0" shrinkToFit="0" vertical="center" wrapText="1"/>
    </xf>
    <xf borderId="0" fillId="11" fontId="21" numFmtId="0" xfId="0" applyAlignment="1" applyFont="1">
      <alignment horizontal="center" readingOrder="0"/>
    </xf>
    <xf borderId="9" fillId="11" fontId="21" numFmtId="0" xfId="0" applyAlignment="1" applyBorder="1" applyFont="1">
      <alignment horizontal="center" vertical="bottom"/>
    </xf>
    <xf borderId="10" fillId="11" fontId="2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 vertical="bottom"/>
    </xf>
    <xf borderId="5" fillId="11" fontId="21" numFmtId="0" xfId="0" applyAlignment="1" applyBorder="1" applyFont="1">
      <alignment horizontal="center" vertical="bottom"/>
    </xf>
    <xf borderId="0" fillId="11" fontId="21" numFmtId="0" xfId="0" applyAlignment="1" applyFont="1">
      <alignment horizontal="center" shrinkToFit="0" vertical="center" wrapText="1"/>
    </xf>
    <xf borderId="10" fillId="11" fontId="21" numFmtId="0" xfId="0" applyAlignment="1" applyBorder="1" applyFont="1">
      <alignment horizontal="center" readingOrder="0" vertical="bottom"/>
    </xf>
    <xf borderId="10" fillId="11" fontId="21" numFmtId="0" xfId="0" applyAlignment="1" applyBorder="1" applyFont="1">
      <alignment horizontal="center" vertical="bottom"/>
    </xf>
    <xf borderId="0" fillId="12" fontId="21" numFmtId="0" xfId="0" applyAlignment="1" applyFont="1">
      <alignment horizontal="center" readingOrder="0" vertical="bottom"/>
    </xf>
    <xf borderId="0" fillId="9" fontId="21" numFmtId="0" xfId="0" applyAlignment="1" applyFont="1">
      <alignment horizontal="center" readingOrder="0" shrinkToFit="0" vertical="center" wrapText="1"/>
    </xf>
    <xf borderId="0" fillId="24" fontId="21" numFmtId="0" xfId="0" applyAlignment="1" applyFont="1">
      <alignment horizontal="center" readingOrder="0" vertical="bottom"/>
    </xf>
    <xf borderId="0" fillId="0" fontId="39" numFmtId="0" xfId="0" applyAlignment="1" applyFont="1">
      <alignment horizontal="center" readingOrder="0" vertical="bottom"/>
    </xf>
    <xf borderId="7" fillId="11" fontId="21" numFmtId="0" xfId="0" applyAlignment="1" applyBorder="1" applyFont="1">
      <alignment horizontal="center" vertical="bottom"/>
    </xf>
    <xf borderId="10" fillId="0" fontId="38" numFmtId="0" xfId="0" applyAlignment="1" applyBorder="1" applyFont="1">
      <alignment horizontal="center" readingOrder="0"/>
    </xf>
    <xf borderId="10" fillId="9" fontId="21" numFmtId="0" xfId="0" applyAlignment="1" applyBorder="1" applyFont="1">
      <alignment horizontal="center" readingOrder="0" vertical="bottom"/>
    </xf>
    <xf borderId="10" fillId="0" fontId="21" numFmtId="0" xfId="0" applyAlignment="1" applyBorder="1" applyFont="1">
      <alignment horizontal="center" readingOrder="0" shrinkToFit="0" vertical="center" wrapText="1"/>
    </xf>
    <xf borderId="10" fillId="0" fontId="40" numFmtId="0" xfId="0" applyAlignment="1" applyBorder="1" applyFont="1">
      <alignment horizontal="center" readingOrder="0" vertical="bottom"/>
    </xf>
    <xf borderId="4" fillId="12" fontId="21" numFmtId="0" xfId="0" applyAlignment="1" applyBorder="1" applyFont="1">
      <alignment horizontal="center" readingOrder="0" vertical="bottom"/>
    </xf>
    <xf borderId="4" fillId="12" fontId="21" numFmtId="0" xfId="0" applyAlignment="1" applyBorder="1" applyFont="1">
      <alignment horizontal="center" vertical="bottom"/>
    </xf>
    <xf borderId="0" fillId="12" fontId="21" numFmtId="0" xfId="0" applyAlignment="1" applyFont="1">
      <alignment horizontal="center" vertical="bottom"/>
    </xf>
    <xf borderId="0" fillId="3" fontId="39" numFmtId="0" xfId="0" applyAlignment="1" applyFont="1">
      <alignment horizontal="center" readingOrder="0" vertical="bottom"/>
    </xf>
    <xf borderId="0" fillId="0" fontId="10" numFmtId="0" xfId="0" applyAlignment="1" applyFont="1">
      <alignment shrinkToFit="0" wrapText="1"/>
    </xf>
    <xf borderId="9" fillId="12" fontId="21" numFmtId="0" xfId="0" applyAlignment="1" applyBorder="1" applyFont="1">
      <alignment horizontal="center" readingOrder="0" vertical="bottom"/>
    </xf>
    <xf borderId="38" fillId="13" fontId="41" numFmtId="0" xfId="0" applyAlignment="1" applyBorder="1" applyFont="1">
      <alignment horizontal="center" readingOrder="0" shrinkToFit="0" vertical="center" wrapText="1"/>
    </xf>
    <xf borderId="39" fillId="0" fontId="2" numFmtId="0" xfId="0" applyBorder="1" applyFont="1"/>
    <xf borderId="40" fillId="0" fontId="2" numFmtId="0" xfId="0" applyBorder="1" applyFont="1"/>
    <xf borderId="38" fillId="13" fontId="25" numFmtId="0" xfId="0" applyAlignment="1" applyBorder="1" applyFont="1">
      <alignment shrinkToFit="0" vertical="center" wrapText="1"/>
    </xf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1" fillId="13" fontId="25" numFmtId="0" xfId="0" applyAlignment="1" applyBorder="1" applyFont="1">
      <alignment shrinkToFit="0" vertical="center" wrapText="1"/>
    </xf>
    <xf borderId="42" fillId="13" fontId="25" numFmtId="0" xfId="0" applyAlignment="1" applyBorder="1" applyFont="1">
      <alignment shrinkToFit="0" vertical="center" wrapText="1"/>
    </xf>
    <xf borderId="43" fillId="13" fontId="25" numFmtId="0" xfId="0" applyAlignment="1" applyBorder="1" applyFont="1">
      <alignment shrinkToFit="0" vertical="center" wrapText="1"/>
    </xf>
    <xf borderId="20" fillId="14" fontId="21" numFmtId="0" xfId="0" applyAlignment="1" applyBorder="1" applyFont="1">
      <alignment vertical="bottom"/>
    </xf>
    <xf borderId="20" fillId="14" fontId="21" numFmtId="0" xfId="0" applyAlignment="1" applyBorder="1" applyFont="1">
      <alignment vertical="bottom"/>
    </xf>
    <xf borderId="20" fillId="14" fontId="21" numFmtId="0" xfId="0" applyAlignment="1" applyBorder="1" applyFont="1">
      <alignment vertical="bottom"/>
    </xf>
    <xf borderId="0" fillId="13" fontId="42" numFmtId="0" xfId="0" applyAlignment="1" applyFont="1">
      <alignment vertical="bottom"/>
    </xf>
    <xf borderId="0" fillId="13" fontId="22" numFmtId="164" xfId="0" applyAlignment="1" applyFont="1" applyNumberFormat="1">
      <alignment horizontal="center" readingOrder="0" shrinkToFit="0" wrapText="1"/>
    </xf>
    <xf borderId="0" fillId="13" fontId="9" numFmtId="164" xfId="0" applyAlignment="1" applyFont="1" applyNumberFormat="1">
      <alignment horizontal="center" readingOrder="0" shrinkToFit="0" wrapText="1"/>
    </xf>
    <xf borderId="40" fillId="13" fontId="22" numFmtId="0" xfId="0" applyAlignment="1" applyBorder="1" applyFont="1">
      <alignment horizontal="center" shrinkToFit="0" wrapText="1"/>
    </xf>
    <xf borderId="22" fillId="18" fontId="43" numFmtId="0" xfId="0" applyAlignment="1" applyBorder="1" applyFont="1">
      <alignment readingOrder="0" shrinkToFit="0" wrapText="1"/>
    </xf>
    <xf borderId="22" fillId="14" fontId="21" numFmtId="0" xfId="0" applyAlignment="1" applyBorder="1" applyFont="1">
      <alignment vertical="bottom"/>
    </xf>
    <xf borderId="44" fillId="16" fontId="44" numFmtId="0" xfId="0" applyAlignment="1" applyBorder="1" applyFont="1">
      <alignment horizontal="center" readingOrder="0" shrinkToFit="0" textRotation="255" vertical="center" wrapText="1"/>
    </xf>
    <xf borderId="45" fillId="2" fontId="45" numFmtId="0" xfId="0" applyAlignment="1" applyBorder="1" applyFont="1">
      <alignment horizontal="center" readingOrder="0"/>
    </xf>
    <xf borderId="45" fillId="14" fontId="45" numFmtId="0" xfId="0" applyAlignment="1" applyBorder="1" applyFont="1">
      <alignment horizontal="center" vertical="bottom"/>
    </xf>
    <xf borderId="45" fillId="14" fontId="45" numFmtId="0" xfId="0" applyAlignment="1" applyBorder="1" applyFont="1">
      <alignment horizontal="center" vertical="bottom"/>
    </xf>
    <xf borderId="46" fillId="2" fontId="45" numFmtId="0" xfId="0" applyAlignment="1" applyBorder="1" applyFont="1">
      <alignment horizontal="center" readingOrder="0"/>
    </xf>
    <xf borderId="24" fillId="14" fontId="21" numFmtId="0" xfId="0" applyAlignment="1" applyBorder="1" applyFont="1">
      <alignment vertical="bottom"/>
    </xf>
    <xf borderId="21" fillId="15" fontId="22" numFmtId="0" xfId="0" applyAlignment="1" applyBorder="1" applyFont="1">
      <alignment horizontal="center" shrinkToFit="0" wrapText="1"/>
    </xf>
    <xf borderId="47" fillId="0" fontId="2" numFmtId="0" xfId="0" applyBorder="1" applyFont="1"/>
    <xf borderId="0" fillId="2" fontId="45" numFmtId="0" xfId="0" applyAlignment="1" applyFont="1">
      <alignment horizontal="center" readingOrder="0"/>
    </xf>
    <xf borderId="0" fillId="14" fontId="45" numFmtId="0" xfId="0" applyAlignment="1" applyFont="1">
      <alignment horizontal="center" vertical="bottom"/>
    </xf>
    <xf borderId="0" fillId="14" fontId="45" numFmtId="0" xfId="0" applyAlignment="1" applyFont="1">
      <alignment horizontal="center" vertical="bottom"/>
    </xf>
    <xf borderId="48" fillId="2" fontId="45" numFmtId="0" xfId="0" applyAlignment="1" applyBorder="1" applyFont="1">
      <alignment horizontal="center" readingOrder="0"/>
    </xf>
    <xf borderId="20" fillId="16" fontId="46" numFmtId="0" xfId="0" applyAlignment="1" applyBorder="1" applyFont="1">
      <alignment horizontal="center" readingOrder="0" shrinkToFit="0" wrapText="1"/>
    </xf>
    <xf borderId="0" fillId="14" fontId="47" numFmtId="0" xfId="0" applyAlignment="1" applyFont="1">
      <alignment horizontal="center" readingOrder="0" shrinkToFit="0" wrapText="1"/>
    </xf>
    <xf borderId="0" fillId="14" fontId="48" numFmtId="0" xfId="0" applyAlignment="1" applyFont="1">
      <alignment vertical="bottom"/>
    </xf>
    <xf borderId="0" fillId="14" fontId="48" numFmtId="0" xfId="0" applyAlignment="1" applyFont="1">
      <alignment vertical="bottom"/>
    </xf>
    <xf borderId="48" fillId="14" fontId="47" numFmtId="0" xfId="0" applyAlignment="1" applyBorder="1" applyFont="1">
      <alignment horizontal="center" readingOrder="0" shrinkToFit="0" wrapText="1"/>
    </xf>
    <xf borderId="49" fillId="0" fontId="2" numFmtId="0" xfId="0" applyBorder="1" applyFont="1"/>
    <xf borderId="50" fillId="14" fontId="29" numFmtId="0" xfId="0" applyAlignment="1" applyBorder="1" applyFont="1">
      <alignment horizontal="center" readingOrder="0" shrinkToFit="0" wrapText="1"/>
    </xf>
    <xf borderId="50" fillId="14" fontId="49" numFmtId="0" xfId="0" applyAlignment="1" applyBorder="1" applyFont="1">
      <alignment vertical="bottom"/>
    </xf>
    <xf borderId="50" fillId="14" fontId="49" numFmtId="0" xfId="0" applyAlignment="1" applyBorder="1" applyFont="1">
      <alignment vertical="bottom"/>
    </xf>
    <xf borderId="51" fillId="14" fontId="29" numFmtId="0" xfId="0" applyAlignment="1" applyBorder="1" applyFont="1">
      <alignment horizontal="center" readingOrder="0" shrinkToFit="0" wrapText="1"/>
    </xf>
    <xf borderId="52" fillId="14" fontId="21" numFmtId="0" xfId="0" applyAlignment="1" applyBorder="1" applyFont="1">
      <alignment textRotation="255" vertical="center"/>
    </xf>
    <xf borderId="0" fillId="14" fontId="21" numFmtId="0" xfId="0" applyAlignment="1" applyFont="1">
      <alignment vertical="bottom"/>
    </xf>
    <xf borderId="0" fillId="14" fontId="21" numFmtId="0" xfId="0" applyAlignment="1" applyFont="1">
      <alignment vertical="bottom"/>
    </xf>
    <xf borderId="0" fillId="14" fontId="21" numFmtId="0" xfId="0" applyAlignment="1" applyFont="1">
      <alignment vertical="bottom"/>
    </xf>
    <xf borderId="45" fillId="14" fontId="45" numFmtId="0" xfId="0" applyAlignment="1" applyBorder="1" applyFont="1">
      <alignment horizontal="center" vertical="bottom"/>
    </xf>
    <xf borderId="0" fillId="14" fontId="45" numFmtId="0" xfId="0" applyAlignment="1" applyFont="1">
      <alignment horizontal="center" vertical="bottom"/>
    </xf>
    <xf borderId="48" fillId="14" fontId="47" numFmtId="0" xfId="0" applyAlignment="1" applyBorder="1" applyFont="1">
      <alignment horizontal="center" shrinkToFit="0" wrapText="1"/>
    </xf>
    <xf borderId="52" fillId="14" fontId="26" numFmtId="0" xfId="0" applyAlignment="1" applyBorder="1" applyFont="1">
      <alignment textRotation="255" vertical="center"/>
    </xf>
    <xf borderId="45" fillId="14" fontId="39" numFmtId="0" xfId="0" applyAlignment="1" applyBorder="1" applyFont="1">
      <alignment horizontal="center" vertical="bottom"/>
    </xf>
    <xf borderId="45" fillId="14" fontId="39" numFmtId="0" xfId="0" applyAlignment="1" applyBorder="1" applyFont="1">
      <alignment horizontal="center" vertical="bottom"/>
    </xf>
    <xf borderId="0" fillId="14" fontId="39" numFmtId="0" xfId="0" applyAlignment="1" applyFont="1">
      <alignment horizontal="center" vertical="bottom"/>
    </xf>
    <xf borderId="0" fillId="14" fontId="39" numFmtId="0" xfId="0" applyAlignment="1" applyFont="1">
      <alignment horizontal="center" vertical="bottom"/>
    </xf>
    <xf borderId="48" fillId="14" fontId="47" numFmtId="0" xfId="0" applyAlignment="1" applyBorder="1" applyFont="1">
      <alignment horizontal="center" shrinkToFit="0" wrapText="1"/>
    </xf>
    <xf borderId="25" fillId="14" fontId="21" numFmtId="0" xfId="0" applyAlignment="1" applyBorder="1" applyFont="1">
      <alignment vertical="bottom"/>
    </xf>
    <xf borderId="25" fillId="14" fontId="21" numFmtId="0" xfId="0" applyAlignment="1" applyBorder="1" applyFont="1">
      <alignment vertical="bottom"/>
    </xf>
    <xf borderId="25" fillId="14" fontId="21" numFmtId="0" xfId="0" applyAlignment="1" applyBorder="1" applyFont="1">
      <alignment vertical="bottom"/>
    </xf>
    <xf borderId="22" fillId="17" fontId="50" numFmtId="0" xfId="0" applyAlignment="1" applyBorder="1" applyFont="1">
      <alignment readingOrder="0" shrinkToFit="0" wrapText="1"/>
    </xf>
    <xf borderId="38" fillId="17" fontId="51" numFmtId="0" xfId="0" applyAlignment="1" applyBorder="1" applyFont="1">
      <alignment horizontal="center" readingOrder="0" shrinkToFit="0" textRotation="255" vertical="center" wrapText="1"/>
    </xf>
    <xf borderId="53" fillId="2" fontId="45" numFmtId="0" xfId="0" applyAlignment="1" applyBorder="1" applyFont="1">
      <alignment horizontal="center" readingOrder="0"/>
    </xf>
    <xf borderId="54" fillId="14" fontId="39" numFmtId="0" xfId="0" applyAlignment="1" applyBorder="1" applyFont="1">
      <alignment horizontal="center" vertical="bottom"/>
    </xf>
    <xf borderId="54" fillId="2" fontId="45" numFmtId="0" xfId="0" applyAlignment="1" applyBorder="1" applyFont="1">
      <alignment horizontal="center" readingOrder="0"/>
    </xf>
    <xf borderId="54" fillId="14" fontId="39" numFmtId="0" xfId="0" applyAlignment="1" applyBorder="1" applyFont="1">
      <alignment horizontal="center" vertical="bottom"/>
    </xf>
    <xf borderId="55" fillId="2" fontId="45" numFmtId="0" xfId="0" applyAlignment="1" applyBorder="1" applyFont="1">
      <alignment horizontal="center" readingOrder="0"/>
    </xf>
    <xf borderId="52" fillId="0" fontId="2" numFmtId="0" xfId="0" applyBorder="1" applyFont="1"/>
    <xf borderId="56" fillId="2" fontId="45" numFmtId="0" xfId="0" applyAlignment="1" applyBorder="1" applyFont="1">
      <alignment horizontal="center" readingOrder="0"/>
    </xf>
    <xf borderId="57" fillId="2" fontId="45" numFmtId="0" xfId="0" applyAlignment="1" applyBorder="1" applyFont="1">
      <alignment horizontal="center" readingOrder="0"/>
    </xf>
    <xf borderId="57" fillId="2" fontId="45" numFmtId="0" xfId="0" applyAlignment="1" applyBorder="1" applyFont="1">
      <alignment horizontal="center"/>
    </xf>
    <xf borderId="56" fillId="14" fontId="47" numFmtId="0" xfId="0" applyAlignment="1" applyBorder="1" applyFont="1">
      <alignment horizontal="center" readingOrder="0" shrinkToFit="0" wrapText="1"/>
    </xf>
    <xf borderId="57" fillId="14" fontId="47" numFmtId="0" xfId="0" applyAlignment="1" applyBorder="1" applyFont="1">
      <alignment horizontal="center" readingOrder="0" shrinkToFit="0" wrapText="1"/>
    </xf>
    <xf borderId="21" fillId="13" fontId="22" numFmtId="0" xfId="0" applyAlignment="1" applyBorder="1" applyFont="1">
      <alignment horizontal="center" readingOrder="0" shrinkToFit="0" wrapText="0"/>
    </xf>
    <xf borderId="58" fillId="14" fontId="47" numFmtId="0" xfId="0" applyAlignment="1" applyBorder="1" applyFont="1">
      <alignment horizontal="center" readingOrder="0" shrinkToFit="0" wrapText="1"/>
    </xf>
    <xf borderId="59" fillId="14" fontId="21" numFmtId="0" xfId="0" applyAlignment="1" applyBorder="1" applyFont="1">
      <alignment vertical="bottom"/>
    </xf>
    <xf borderId="59" fillId="14" fontId="47" numFmtId="0" xfId="0" applyAlignment="1" applyBorder="1" applyFont="1">
      <alignment horizontal="center" readingOrder="0" shrinkToFit="0" wrapText="1"/>
    </xf>
    <xf borderId="59" fillId="14" fontId="21" numFmtId="0" xfId="0" applyAlignment="1" applyBorder="1" applyFont="1">
      <alignment vertical="bottom"/>
    </xf>
    <xf borderId="60" fillId="14" fontId="47" numFmtId="0" xfId="0" applyAlignment="1" applyBorder="1" applyFont="1">
      <alignment horizontal="center" readingOrder="0" shrinkToFit="0" wrapText="1"/>
    </xf>
    <xf borderId="21" fillId="13" fontId="52" numFmtId="0" xfId="0" applyAlignment="1" applyBorder="1" applyFont="1">
      <alignment horizontal="center" shrinkToFit="0" wrapText="1"/>
    </xf>
    <xf borderId="22" fillId="14" fontId="53" numFmtId="0" xfId="0" applyAlignment="1" applyBorder="1" applyFont="1">
      <alignment horizontal="center" readingOrder="0" shrinkToFit="0" wrapText="1"/>
    </xf>
    <xf borderId="22" fillId="29" fontId="54" numFmtId="0" xfId="0" applyAlignment="1" applyBorder="1" applyFill="1" applyFont="1">
      <alignment horizontal="center" readingOrder="0" shrinkToFit="0" wrapText="1"/>
    </xf>
    <xf borderId="0" fillId="14" fontId="47" numFmtId="0" xfId="0" applyAlignment="1" applyFont="1">
      <alignment horizontal="center" shrinkToFit="0" wrapText="1"/>
    </xf>
    <xf borderId="50" fillId="14" fontId="47" numFmtId="0" xfId="0" applyAlignment="1" applyBorder="1" applyFont="1">
      <alignment horizontal="center" readingOrder="0" shrinkToFit="0" wrapText="1"/>
    </xf>
    <xf borderId="50" fillId="14" fontId="48" numFmtId="0" xfId="0" applyAlignment="1" applyBorder="1" applyFont="1">
      <alignment vertical="bottom"/>
    </xf>
    <xf borderId="50" fillId="14" fontId="48" numFmtId="0" xfId="0" applyAlignment="1" applyBorder="1" applyFont="1">
      <alignment vertical="bottom"/>
    </xf>
    <xf borderId="51" fillId="14" fontId="47" numFmtId="0" xfId="0" applyAlignment="1" applyBorder="1" applyFont="1">
      <alignment horizontal="center" readingOrder="0" shrinkToFit="0" wrapText="1"/>
    </xf>
    <xf borderId="45" fillId="11" fontId="45" numFmtId="0" xfId="0" applyAlignment="1" applyBorder="1" applyFont="1">
      <alignment horizontal="center" readingOrder="0"/>
    </xf>
    <xf borderId="0" fillId="11" fontId="45" numFmtId="0" xfId="0" applyAlignment="1" applyFont="1">
      <alignment horizontal="center" readingOrder="0"/>
    </xf>
    <xf borderId="0" fillId="14" fontId="47" numFmtId="0" xfId="0" applyAlignment="1" applyFont="1">
      <alignment horizontal="center" shrinkToFit="0" wrapText="1"/>
    </xf>
    <xf borderId="50" fillId="14" fontId="21" numFmtId="0" xfId="0" applyAlignment="1" applyBorder="1" applyFont="1">
      <alignment vertical="bottom"/>
    </xf>
    <xf borderId="50" fillId="14" fontId="21" numFmtId="0" xfId="0" applyAlignment="1" applyBorder="1" applyFont="1">
      <alignment vertical="bottom"/>
    </xf>
    <xf borderId="45" fillId="24" fontId="45" numFmtId="0" xfId="0" applyAlignment="1" applyBorder="1" applyFont="1">
      <alignment horizontal="center" readingOrder="0"/>
    </xf>
    <xf borderId="45" fillId="12" fontId="45" numFmtId="0" xfId="0" applyAlignment="1" applyBorder="1" applyFont="1">
      <alignment horizontal="center" readingOrder="0"/>
    </xf>
    <xf borderId="0" fillId="24" fontId="45" numFmtId="0" xfId="0" applyAlignment="1" applyFont="1">
      <alignment horizontal="center" readingOrder="0"/>
    </xf>
    <xf borderId="0" fillId="12" fontId="45" numFmtId="0" xfId="0" applyAlignment="1" applyFont="1">
      <alignment horizontal="center" readingOrder="0"/>
    </xf>
    <xf borderId="0" fillId="24" fontId="47" numFmtId="0" xfId="0" applyAlignment="1" applyFont="1">
      <alignment horizontal="center" readingOrder="0" shrinkToFit="0" wrapText="1"/>
    </xf>
    <xf borderId="48" fillId="9" fontId="47" numFmtId="0" xfId="0" applyAlignment="1" applyBorder="1" applyFont="1">
      <alignment horizontal="center" readingOrder="0" shrinkToFit="0" wrapText="1"/>
    </xf>
    <xf borderId="50" fillId="24" fontId="47" numFmtId="0" xfId="0" applyAlignment="1" applyBorder="1" applyFont="1">
      <alignment horizontal="center" readingOrder="0" shrinkToFit="0" wrapText="1"/>
    </xf>
    <xf borderId="0" fillId="24" fontId="21" numFmtId="0" xfId="0" applyAlignment="1" applyFont="1">
      <alignment vertical="bottom"/>
    </xf>
    <xf borderId="0" fillId="24" fontId="47" numFmtId="0" xfId="0" applyAlignment="1" applyFont="1">
      <alignment horizontal="center" shrinkToFit="0" wrapText="1"/>
    </xf>
    <xf borderId="25" fillId="24" fontId="21" numFmtId="0" xfId="0" applyAlignment="1" applyBorder="1" applyFont="1">
      <alignment vertical="bottom"/>
    </xf>
    <xf borderId="20" fillId="24" fontId="21" numFmtId="0" xfId="0" applyAlignment="1" applyBorder="1" applyFont="1">
      <alignment vertical="bottom"/>
    </xf>
    <xf borderId="53" fillId="24" fontId="45" numFmtId="0" xfId="0" applyAlignment="1" applyBorder="1" applyFont="1">
      <alignment horizontal="center" readingOrder="0"/>
    </xf>
    <xf borderId="56" fillId="24" fontId="45" numFmtId="0" xfId="0" applyAlignment="1" applyBorder="1" applyFont="1">
      <alignment horizontal="center" readingOrder="0"/>
    </xf>
    <xf borderId="56" fillId="24" fontId="47" numFmtId="0" xfId="0" applyAlignment="1" applyBorder="1" applyFont="1">
      <alignment horizontal="center" readingOrder="0" shrinkToFit="0" wrapText="1"/>
    </xf>
    <xf borderId="21" fillId="14" fontId="21" numFmtId="0" xfId="0" applyAlignment="1" applyBorder="1" applyFont="1">
      <alignment readingOrder="0" vertical="bottom"/>
    </xf>
    <xf borderId="58" fillId="24" fontId="47" numFmtId="0" xfId="0" applyAlignment="1" applyBorder="1" applyFont="1">
      <alignment horizontal="center" readingOrder="0" shrinkToFit="0" wrapText="1"/>
    </xf>
    <xf borderId="46" fillId="11" fontId="45" numFmtId="0" xfId="0" applyAlignment="1" applyBorder="1" applyFont="1">
      <alignment horizontal="center" readingOrder="0"/>
    </xf>
    <xf borderId="48" fillId="11" fontId="45" numFmtId="0" xfId="0" applyAlignment="1" applyBorder="1" applyFont="1">
      <alignment horizontal="center" readingOrder="0"/>
    </xf>
    <xf borderId="0" fillId="23" fontId="45" numFmtId="0" xfId="0" applyAlignment="1" applyFont="1">
      <alignment horizontal="center" readingOrder="0"/>
    </xf>
    <xf borderId="45" fillId="0" fontId="45" numFmtId="0" xfId="0" applyAlignment="1" applyBorder="1" applyFont="1">
      <alignment horizontal="center" readingOrder="0"/>
    </xf>
    <xf borderId="0" fillId="0" fontId="45" numFmtId="0" xfId="0" applyAlignment="1" applyFont="1">
      <alignment horizontal="center" readingOrder="0"/>
    </xf>
    <xf borderId="0" fillId="2" fontId="55" numFmtId="0" xfId="0" applyAlignment="1" applyFont="1">
      <alignment horizontal="center" readingOrder="0"/>
    </xf>
    <xf borderId="45" fillId="4" fontId="45" numFmtId="0" xfId="0" applyAlignment="1" applyBorder="1" applyFont="1">
      <alignment horizontal="center" readingOrder="0"/>
    </xf>
    <xf borderId="0" fillId="4" fontId="45" numFmtId="0" xfId="0" applyAlignment="1" applyFont="1">
      <alignment horizontal="center" readingOrder="0"/>
    </xf>
    <xf borderId="0" fillId="24" fontId="21" numFmtId="0" xfId="0" applyAlignment="1" applyFont="1">
      <alignment vertical="bottom"/>
    </xf>
    <xf borderId="0" fillId="24" fontId="47" numFmtId="0" xfId="0" applyAlignment="1" applyFont="1">
      <alignment horizontal="center" shrinkToFit="0" wrapText="1"/>
    </xf>
    <xf borderId="20" fillId="24" fontId="21" numFmtId="0" xfId="0" applyAlignment="1" applyBorder="1" applyFont="1">
      <alignment vertical="bottom"/>
    </xf>
    <xf borderId="54" fillId="24" fontId="45" numFmtId="0" xfId="0" applyAlignment="1" applyBorder="1" applyFont="1">
      <alignment horizontal="center" readingOrder="0"/>
    </xf>
    <xf borderId="59" fillId="24" fontId="47" numFmtId="0" xfId="0" applyAlignment="1" applyBorder="1" applyFont="1">
      <alignment horizontal="center" readingOrder="0" shrinkToFit="0" wrapText="1"/>
    </xf>
    <xf borderId="17" fillId="28" fontId="13" numFmtId="0" xfId="0" applyAlignment="1" applyBorder="1" applyFont="1">
      <alignment horizontal="center" readingOrder="0" shrinkToFit="0" vertical="center" wrapText="0"/>
    </xf>
    <xf borderId="61" fillId="28" fontId="13" numFmtId="0" xfId="0" applyAlignment="1" applyBorder="1" applyFont="1">
      <alignment horizontal="center" readingOrder="0" shrinkToFit="0" vertical="center" wrapText="0"/>
    </xf>
    <xf borderId="4" fillId="23" fontId="4" numFmtId="165" xfId="0" applyAlignment="1" applyBorder="1" applyFont="1" applyNumberFormat="1">
      <alignment readingOrder="0" shrinkToFit="0" vertical="center" wrapText="0"/>
    </xf>
    <xf borderId="0" fillId="23" fontId="4" numFmtId="0" xfId="0" applyAlignment="1" applyFont="1">
      <alignment readingOrder="0" shrinkToFit="0" vertical="center" wrapText="0"/>
    </xf>
    <xf borderId="4" fillId="19" fontId="4" numFmtId="165" xfId="0" applyAlignment="1" applyBorder="1" applyFont="1" applyNumberFormat="1">
      <alignment readingOrder="0" shrinkToFit="0" vertical="center" wrapText="0"/>
    </xf>
    <xf borderId="0" fillId="19" fontId="4" numFmtId="0" xfId="0" applyAlignment="1" applyFont="1">
      <alignment readingOrder="0" shrinkToFit="0" vertical="center" wrapText="0"/>
    </xf>
    <xf borderId="4" fillId="28" fontId="4" numFmtId="165" xfId="0" applyAlignment="1" applyBorder="1" applyFont="1" applyNumberFormat="1">
      <alignment readingOrder="0" shrinkToFit="0" vertical="center" wrapText="0"/>
    </xf>
    <xf borderId="0" fillId="28" fontId="4" numFmtId="0" xfId="0" applyAlignment="1" applyFont="1">
      <alignment readingOrder="0" shrinkToFit="0" vertical="center" wrapText="0"/>
    </xf>
    <xf borderId="4" fillId="30" fontId="4" numFmtId="165" xfId="0" applyAlignment="1" applyBorder="1" applyFill="1" applyFont="1" applyNumberFormat="1">
      <alignment readingOrder="0" shrinkToFit="0" vertical="center" wrapText="0"/>
    </xf>
    <xf borderId="0" fillId="30" fontId="4" numFmtId="0" xfId="0" applyAlignment="1" applyFont="1">
      <alignment readingOrder="0" shrinkToFit="0" vertical="center" wrapText="0"/>
    </xf>
    <xf borderId="4" fillId="3" fontId="4" numFmtId="165" xfId="0" applyAlignment="1" applyBorder="1" applyFont="1" applyNumberForma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horizontal="right" readingOrder="0" shrinkToFit="0" vertical="center" wrapText="0"/>
    </xf>
    <xf borderId="4" fillId="31" fontId="4" numFmtId="165" xfId="0" applyAlignment="1" applyBorder="1" applyFill="1" applyFont="1" applyNumberFormat="1">
      <alignment readingOrder="0" shrinkToFit="0" vertical="center" wrapText="0"/>
    </xf>
    <xf borderId="0" fillId="31" fontId="4" numFmtId="0" xfId="0" applyAlignment="1" applyFont="1">
      <alignment readingOrder="0" shrinkToFit="0" vertical="center" wrapText="0"/>
    </xf>
    <xf borderId="4" fillId="8" fontId="4" numFmtId="165" xfId="0" applyAlignment="1" applyBorder="1" applyFont="1" applyNumberFormat="1">
      <alignment readingOrder="0" shrinkToFit="0" vertical="center" wrapText="0"/>
    </xf>
    <xf borderId="0" fillId="8" fontId="4" numFmtId="0" xfId="0" applyAlignment="1" applyFont="1">
      <alignment readingOrder="0" shrinkToFit="0" vertical="center" wrapText="0"/>
    </xf>
    <xf borderId="4" fillId="32" fontId="4" numFmtId="165" xfId="0" applyAlignment="1" applyBorder="1" applyFill="1" applyFont="1" applyNumberFormat="1">
      <alignment readingOrder="0" shrinkToFit="0" vertical="center" wrapText="0"/>
    </xf>
    <xf borderId="0" fillId="32" fontId="4" numFmtId="0" xfId="0" applyAlignment="1" applyFont="1">
      <alignment readingOrder="0" shrinkToFit="0" vertical="center" wrapText="0"/>
    </xf>
    <xf borderId="4" fillId="2" fontId="4" numFmtId="165" xfId="0" applyAlignment="1" applyBorder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4" fillId="27" fontId="4" numFmtId="165" xfId="0" applyAlignment="1" applyBorder="1" applyFont="1" applyNumberFormat="1">
      <alignment readingOrder="0" shrinkToFit="0" vertical="center" wrapText="0"/>
    </xf>
    <xf borderId="0" fillId="27" fontId="4" numFmtId="0" xfId="0" applyAlignment="1" applyFont="1">
      <alignment readingOrder="0" shrinkToFit="0" vertical="center" wrapText="0"/>
    </xf>
    <xf borderId="4" fillId="25" fontId="4" numFmtId="165" xfId="0" applyAlignment="1" applyBorder="1" applyFont="1" applyNumberFormat="1">
      <alignment readingOrder="0" shrinkToFit="0" vertical="center" wrapText="0"/>
    </xf>
    <xf borderId="0" fillId="25" fontId="4" numFmtId="0" xfId="0" applyAlignment="1" applyFont="1">
      <alignment readingOrder="0" shrinkToFit="0" vertical="center" wrapText="0"/>
    </xf>
    <xf borderId="4" fillId="33" fontId="4" numFmtId="165" xfId="0" applyAlignment="1" applyBorder="1" applyFill="1" applyFont="1" applyNumberFormat="1">
      <alignment readingOrder="0" shrinkToFit="0" vertical="center" wrapText="0"/>
    </xf>
    <xf borderId="0" fillId="33" fontId="4" numFmtId="0" xfId="0" applyAlignment="1" applyFont="1">
      <alignment readingOrder="0" shrinkToFit="0" vertical="center" wrapText="0"/>
    </xf>
    <xf borderId="4" fillId="9" fontId="4" numFmtId="165" xfId="0" applyAlignment="1" applyBorder="1" applyFont="1" applyNumberFormat="1">
      <alignment readingOrder="0" shrinkToFit="0" vertical="center" wrapText="0"/>
    </xf>
    <xf borderId="0" fillId="9" fontId="4" numFmtId="0" xfId="0" applyAlignment="1" applyFont="1">
      <alignment readingOrder="0" shrinkToFit="0" vertical="center" wrapText="0"/>
    </xf>
    <xf borderId="4" fillId="34" fontId="4" numFmtId="165" xfId="0" applyAlignment="1" applyBorder="1" applyFill="1" applyFont="1" applyNumberFormat="1">
      <alignment readingOrder="0" shrinkToFit="0" vertical="center" wrapText="0"/>
    </xf>
    <xf borderId="0" fillId="34" fontId="4" numFmtId="0" xfId="0" applyAlignment="1" applyFont="1">
      <alignment readingOrder="0" shrinkToFit="0" vertical="center" wrapText="0"/>
    </xf>
    <xf borderId="4" fillId="6" fontId="4" numFmtId="165" xfId="0" applyAlignment="1" applyBorder="1" applyFont="1" applyNumberFormat="1">
      <alignment readingOrder="0" shrinkToFit="0" vertical="center" wrapText="0"/>
    </xf>
    <xf borderId="0" fillId="6" fontId="4" numFmtId="0" xfId="0" applyAlignment="1" applyFont="1">
      <alignment readingOrder="0" shrinkToFit="0" vertical="center" wrapText="0"/>
    </xf>
    <xf borderId="4" fillId="3" fontId="4" numFmtId="0" xfId="0" applyAlignment="1" applyBorder="1" applyFont="1">
      <alignment readingOrder="0" shrinkToFit="0" vertical="center" wrapText="0"/>
    </xf>
    <xf borderId="4" fillId="19" fontId="4" numFmtId="165" xfId="0" applyAlignment="1" applyBorder="1" applyFont="1" applyNumberFormat="1">
      <alignment horizontal="right" readingOrder="0"/>
    </xf>
    <xf borderId="0" fillId="19" fontId="4" numFmtId="0" xfId="0" applyAlignment="1" applyFont="1">
      <alignment readingOrder="0"/>
    </xf>
    <xf borderId="0" fillId="19" fontId="4" numFmtId="0" xfId="0" applyAlignment="1" applyFont="1">
      <alignment horizontal="right" readingOrder="0"/>
    </xf>
    <xf borderId="4" fillId="32" fontId="4" numFmtId="165" xfId="0" applyAlignment="1" applyBorder="1" applyFont="1" applyNumberFormat="1">
      <alignment horizontal="right"/>
    </xf>
    <xf borderId="0" fillId="32" fontId="4" numFmtId="0" xfId="0" applyFont="1"/>
    <xf borderId="0" fillId="32" fontId="4" numFmtId="0" xfId="0" applyAlignment="1" applyFont="1">
      <alignment horizontal="right"/>
    </xf>
    <xf borderId="0" fillId="8" fontId="4" numFmtId="0" xfId="0" applyAlignment="1" applyFont="1">
      <alignment shrinkToFit="0" vertical="center" wrapText="0"/>
    </xf>
    <xf borderId="0" fillId="19" fontId="11" numFmtId="0" xfId="0" applyAlignment="1" applyFont="1">
      <alignment readingOrder="0" shrinkToFit="0" vertical="center" wrapText="0"/>
    </xf>
    <xf borderId="0" fillId="28" fontId="11" numFmtId="0" xfId="0" applyAlignment="1" applyFont="1">
      <alignment readingOrder="0" shrinkToFit="0" vertical="center" wrapText="0"/>
    </xf>
    <xf borderId="0" fillId="28" fontId="5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5" fontId="4" numFmtId="0" xfId="0" applyAlignment="1" applyFont="1">
      <alignment horizontal="left" readingOrder="0" shrinkToFit="0" vertical="center" wrapText="0"/>
    </xf>
    <xf borderId="0" fillId="19" fontId="4" numFmtId="0" xfId="0" applyAlignment="1" applyFont="1">
      <alignment horizontal="left" readingOrder="0" shrinkToFit="0" vertical="center" wrapText="0"/>
    </xf>
    <xf borderId="0" fillId="9" fontId="4" numFmtId="0" xfId="0" applyAlignment="1" applyFont="1">
      <alignment horizontal="left" readingOrder="0" shrinkToFit="0" vertical="center" wrapText="0"/>
    </xf>
    <xf borderId="4" fillId="7" fontId="4" numFmtId="165" xfId="0" applyAlignment="1" applyBorder="1" applyFont="1" applyNumberFormat="1">
      <alignment readingOrder="0" shrinkToFit="0" vertical="center" wrapText="0"/>
    </xf>
    <xf borderId="0" fillId="7" fontId="4" numFmtId="0" xfId="0" applyAlignment="1" applyFont="1">
      <alignment readingOrder="0" shrinkToFit="0" vertical="center" wrapText="0"/>
    </xf>
    <xf borderId="4" fillId="24" fontId="4" numFmtId="165" xfId="0" applyAlignment="1" applyBorder="1" applyFont="1" applyNumberFormat="1">
      <alignment readingOrder="0" shrinkToFit="0" vertical="center" wrapText="0"/>
    </xf>
    <xf borderId="0" fillId="24" fontId="4" numFmtId="0" xfId="0" applyAlignment="1" applyFont="1">
      <alignment readingOrder="0" shrinkToFit="0" vertical="center" wrapText="0"/>
    </xf>
    <xf borderId="4" fillId="20" fontId="4" numFmtId="165" xfId="0" applyAlignment="1" applyBorder="1" applyFont="1" applyNumberFormat="1">
      <alignment readingOrder="0" shrinkToFit="0" vertical="center" wrapText="0"/>
    </xf>
    <xf borderId="0" fillId="20" fontId="4" numFmtId="0" xfId="0" applyAlignment="1" applyFont="1">
      <alignment readingOrder="0" shrinkToFit="0" vertical="center" wrapText="0"/>
    </xf>
    <xf borderId="4" fillId="17" fontId="4" numFmtId="165" xfId="0" applyAlignment="1" applyBorder="1" applyFont="1" applyNumberFormat="1">
      <alignment readingOrder="0" shrinkToFit="0" vertical="center" wrapText="0"/>
    </xf>
    <xf borderId="0" fillId="17" fontId="4" numFmtId="0" xfId="0" applyAlignment="1" applyFont="1">
      <alignment readingOrder="0" shrinkToFit="0" vertical="center" wrapText="0"/>
    </xf>
    <xf borderId="0" fillId="20" fontId="4" numFmtId="0" xfId="0" applyAlignment="1" applyFont="1">
      <alignment horizontal="right" readingOrder="0" shrinkToFit="0" vertical="center" wrapText="0"/>
    </xf>
    <xf borderId="0" fillId="17" fontId="4" numFmtId="0" xfId="0" applyAlignment="1" applyFont="1">
      <alignment horizontal="right" readingOrder="0" shrinkToFit="0" vertical="center" wrapText="0"/>
    </xf>
    <xf borderId="4" fillId="14" fontId="4" numFmtId="165" xfId="0" applyAlignment="1" applyBorder="1" applyFont="1" applyNumberFormat="1">
      <alignment readingOrder="0" shrinkToFit="0" vertical="center" wrapText="0"/>
    </xf>
    <xf borderId="0" fillId="14" fontId="4" numFmtId="0" xfId="0" applyAlignment="1" applyFont="1">
      <alignment readingOrder="0" shrinkToFit="0" vertical="center" wrapText="0"/>
    </xf>
    <xf borderId="0" fillId="17" fontId="5" numFmtId="0" xfId="0" applyAlignment="1" applyFont="1">
      <alignment readingOrder="0" shrinkToFit="0" vertical="center" wrapText="0"/>
    </xf>
    <xf borderId="4" fillId="2" fontId="4" numFmtId="165" xfId="0" applyAlignment="1" applyBorder="1" applyFont="1" applyNumberFormat="1">
      <alignment shrinkToFit="0" vertical="center" wrapText="0"/>
    </xf>
    <xf borderId="0" fillId="2" fontId="4" numFmtId="0" xfId="0" applyAlignment="1" applyFont="1">
      <alignment shrinkToFit="0" vertical="center" wrapText="0"/>
    </xf>
    <xf borderId="4" fillId="30" fontId="4" numFmtId="165" xfId="0" applyAlignment="1" applyBorder="1" applyFont="1" applyNumberFormat="1">
      <alignment shrinkToFit="0" vertical="center" wrapText="0"/>
    </xf>
    <xf borderId="0" fillId="3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4" fillId="30" fontId="4" numFmtId="0" xfId="0" applyAlignment="1" applyBorder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30" fontId="5" numFmtId="0" xfId="0" applyAlignment="1" applyFont="1">
      <alignment shrinkToFit="0" vertical="center" wrapText="0"/>
    </xf>
    <xf borderId="0" fillId="2" fontId="4" numFmtId="165" xfId="0" applyAlignment="1" applyFont="1" applyNumberFormat="1">
      <alignment shrinkToFit="0" vertical="center" wrapText="0"/>
    </xf>
    <xf borderId="0" fillId="30" fontId="4" numFmtId="165" xfId="0" applyAlignment="1" applyFont="1" applyNumberFormat="1">
      <alignment shrinkToFit="0" vertical="center" wrapText="0"/>
    </xf>
    <xf borderId="7" fillId="2" fontId="4" numFmtId="165" xfId="0" applyAlignment="1" applyBorder="1" applyFont="1" applyNumberFormat="1">
      <alignment shrinkToFit="0" vertical="center" wrapText="0"/>
    </xf>
    <xf borderId="7" fillId="2" fontId="4" numFmtId="0" xfId="0" applyAlignment="1" applyBorder="1" applyFont="1">
      <alignment shrinkToFit="0" vertical="center" wrapText="0"/>
    </xf>
    <xf borderId="0" fillId="30" fontId="4" numFmtId="0" xfId="0" applyAlignment="1" applyFont="1">
      <alignment horizontal="right" shrinkToFit="0" vertical="center" wrapText="0"/>
    </xf>
    <xf borderId="0" fillId="2" fontId="4" numFmtId="0" xfId="0" applyAlignment="1" applyFont="1">
      <alignment horizontal="right" shrinkToFit="0" vertical="center" wrapText="0"/>
    </xf>
    <xf borderId="17" fillId="0" fontId="56" numFmtId="49" xfId="0" applyAlignment="1" applyBorder="1" applyFont="1" applyNumberFormat="1">
      <alignment horizontal="center" readingOrder="0"/>
    </xf>
    <xf borderId="61" fillId="0" fontId="2" numFmtId="0" xfId="0" applyBorder="1" applyFont="1"/>
    <xf borderId="62" fillId="0" fontId="57" numFmtId="0" xfId="0" applyAlignment="1" applyBorder="1" applyFont="1">
      <alignment horizontal="center" readingOrder="0"/>
    </xf>
    <xf borderId="62" fillId="0" fontId="10" numFmtId="166" xfId="0" applyAlignment="1" applyBorder="1" applyFont="1" applyNumberFormat="1">
      <alignment readingOrder="0"/>
    </xf>
    <xf borderId="62" fillId="0" fontId="10" numFmtId="0" xfId="0" applyAlignment="1" applyBorder="1" applyFont="1">
      <alignment readingOrder="0"/>
    </xf>
    <xf borderId="62" fillId="0" fontId="10" numFmtId="0" xfId="0" applyBorder="1" applyFont="1"/>
    <xf borderId="62" fillId="0" fontId="4" numFmtId="0" xfId="0" applyAlignment="1" applyBorder="1" applyFont="1">
      <alignment readingOrder="0"/>
    </xf>
    <xf borderId="62" fillId="0" fontId="10" numFmtId="167" xfId="0" applyAlignment="1" applyBorder="1" applyFont="1" applyNumberFormat="1">
      <alignment readingOrder="0"/>
    </xf>
    <xf borderId="62" fillId="0" fontId="10" numFmtId="168" xfId="0" applyAlignment="1" applyBorder="1" applyFont="1" applyNumberFormat="1">
      <alignment readingOrder="0"/>
    </xf>
    <xf borderId="63" fillId="0" fontId="10" numFmtId="0" xfId="0" applyBorder="1" applyFont="1"/>
    <xf borderId="63" fillId="0" fontId="10" numFmtId="0" xfId="0" applyAlignment="1" applyBorder="1" applyFont="1">
      <alignment readingOrder="0"/>
    </xf>
    <xf borderId="63" fillId="0" fontId="4" numFmtId="0" xfId="0" applyAlignment="1" applyBorder="1" applyFont="1">
      <alignment readingOrder="0"/>
    </xf>
    <xf borderId="0" fillId="8" fontId="56" numFmtId="0" xfId="0" applyAlignment="1" applyFont="1">
      <alignment horizontal="right" readingOrder="0"/>
    </xf>
    <xf borderId="0" fillId="8" fontId="58" numFmtId="0" xfId="0" applyAlignment="1" applyFont="1">
      <alignment readingOrder="0"/>
    </xf>
    <xf borderId="0" fillId="8" fontId="56" numFmtId="0" xfId="0" applyAlignment="1" applyFont="1">
      <alignment readingOrder="0"/>
    </xf>
    <xf borderId="0" fillId="0" fontId="56" numFmtId="49" xfId="0" applyAlignment="1" applyFont="1" applyNumberFormat="1">
      <alignment horizontal="center" readingOrder="0"/>
    </xf>
    <xf borderId="62" fillId="0" fontId="4" numFmtId="0" xfId="0" applyAlignment="1" applyBorder="1" applyFont="1">
      <alignment vertical="bottom"/>
    </xf>
    <xf borderId="62" fillId="0" fontId="10" numFmtId="169" xfId="0" applyAlignment="1" applyBorder="1" applyFont="1" applyNumberFormat="1">
      <alignment readingOrder="0"/>
    </xf>
    <xf borderId="10" fillId="0" fontId="10" numFmtId="0" xfId="0" applyAlignment="1" applyBorder="1" applyFont="1">
      <alignment readingOrder="0"/>
    </xf>
    <xf borderId="62" fillId="0" fontId="4" numFmtId="0" xfId="0" applyBorder="1" applyFont="1"/>
    <xf borderId="0" fillId="6" fontId="56" numFmtId="49" xfId="0" applyAlignment="1" applyFont="1" applyNumberFormat="1">
      <alignment horizontal="right" readingOrder="0"/>
    </xf>
    <xf borderId="0" fillId="0" fontId="56" numFmtId="49" xfId="0" applyAlignment="1" applyFont="1" applyNumberFormat="1">
      <alignment horizontal="right" readingOrder="0"/>
    </xf>
    <xf borderId="62" fillId="0" fontId="4" numFmtId="0" xfId="0" applyAlignment="1" applyBorder="1" applyFont="1">
      <alignment horizontal="right" vertical="bottom"/>
    </xf>
    <xf borderId="0" fillId="7" fontId="56" numFmtId="0" xfId="0" applyAlignment="1" applyFont="1">
      <alignment horizontal="right" readingOrder="0"/>
    </xf>
    <xf borderId="0" fillId="7" fontId="56" numFmtId="0" xfId="0" applyFont="1"/>
    <xf borderId="0" fillId="0" fontId="4" numFmtId="0" xfId="0" applyFont="1"/>
    <xf borderId="0" fillId="28" fontId="56" numFmtId="0" xfId="0" applyAlignment="1" applyFont="1">
      <alignment horizontal="right" readingOrder="0"/>
    </xf>
    <xf borderId="0" fillId="28" fontId="56" numFmtId="0" xfId="0" applyFont="1"/>
    <xf borderId="0" fillId="0" fontId="10" numFmtId="0" xfId="0" applyFont="1"/>
    <xf borderId="62" fillId="0" fontId="10" numFmtId="0" xfId="0" applyAlignment="1" applyBorder="1" applyFont="1">
      <alignment horizontal="right" readingOrder="0"/>
    </xf>
    <xf borderId="0" fillId="3" fontId="56" numFmtId="0" xfId="0" applyAlignment="1" applyFont="1">
      <alignment horizontal="right" readingOrder="0"/>
    </xf>
    <xf borderId="0" fillId="3" fontId="56" numFmtId="0" xfId="0" applyFont="1"/>
    <xf borderId="21" fillId="35" fontId="59" numFmtId="170" xfId="0" applyAlignment="1" applyBorder="1" applyFill="1" applyFont="1" applyNumberFormat="1">
      <alignment readingOrder="0" vertical="bottom"/>
    </xf>
    <xf borderId="22" fillId="35" fontId="60" numFmtId="0" xfId="0" applyAlignment="1" applyBorder="1" applyFont="1">
      <alignment horizontal="center" readingOrder="0"/>
    </xf>
    <xf borderId="21" fillId="35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2" fillId="36" fontId="61" numFmtId="0" xfId="0" applyAlignment="1" applyBorder="1" applyFill="1" applyFont="1">
      <alignment horizontal="center" readingOrder="0"/>
    </xf>
    <xf borderId="21" fillId="37" fontId="62" numFmtId="0" xfId="0" applyAlignment="1" applyBorder="1" applyFill="1" applyFont="1">
      <alignment horizontal="center"/>
    </xf>
    <xf borderId="21" fillId="37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22" fillId="38" fontId="63" numFmtId="0" xfId="0" applyAlignment="1" applyBorder="1" applyFill="1" applyFont="1">
      <alignment horizontal="center" readingOrder="0"/>
    </xf>
    <xf borderId="64" fillId="35" fontId="64" numFmtId="0" xfId="0" applyAlignment="1" applyBorder="1" applyFont="1">
      <alignment horizontal="center"/>
    </xf>
    <xf borderId="65" fillId="0" fontId="2" numFmtId="0" xfId="0" applyBorder="1" applyFont="1"/>
    <xf borderId="66" fillId="0" fontId="2" numFmtId="0" xfId="0" applyBorder="1" applyFont="1"/>
    <xf borderId="0" fillId="0" fontId="65" numFmtId="0" xfId="0" applyAlignment="1" applyFont="1">
      <alignment vertical="bottom"/>
    </xf>
    <xf borderId="64" fillId="36" fontId="64" numFmtId="0" xfId="0" applyAlignment="1" applyBorder="1" applyFont="1">
      <alignment horizontal="center"/>
    </xf>
    <xf borderId="64" fillId="39" fontId="64" numFmtId="0" xfId="0" applyAlignment="1" applyBorder="1" applyFill="1" applyFont="1">
      <alignment horizontal="center"/>
    </xf>
    <xf borderId="64" fillId="40" fontId="64" numFmtId="0" xfId="0" applyAlignment="1" applyBorder="1" applyFill="1" applyFont="1">
      <alignment horizontal="center"/>
    </xf>
    <xf borderId="67" fillId="35" fontId="66" numFmtId="0" xfId="0" applyAlignment="1" applyBorder="1" applyFont="1">
      <alignment horizontal="center"/>
    </xf>
    <xf borderId="68" fillId="0" fontId="2" numFmtId="0" xfId="0" applyBorder="1" applyFont="1"/>
    <xf borderId="67" fillId="36" fontId="66" numFmtId="0" xfId="0" applyAlignment="1" applyBorder="1" applyFont="1">
      <alignment horizontal="center"/>
    </xf>
    <xf borderId="67" fillId="39" fontId="66" numFmtId="0" xfId="0" applyAlignment="1" applyBorder="1" applyFont="1">
      <alignment horizontal="center"/>
    </xf>
    <xf borderId="67" fillId="40" fontId="66" numFmtId="0" xfId="0" applyAlignment="1" applyBorder="1" applyFont="1">
      <alignment horizontal="center"/>
    </xf>
    <xf borderId="69" fillId="35" fontId="66" numFmtId="3" xfId="0" applyAlignment="1" applyBorder="1" applyFont="1" applyNumberFormat="1">
      <alignment horizontal="center"/>
    </xf>
    <xf borderId="70" fillId="0" fontId="2" numFmtId="0" xfId="0" applyBorder="1" applyFont="1"/>
    <xf borderId="69" fillId="36" fontId="66" numFmtId="3" xfId="0" applyAlignment="1" applyBorder="1" applyFont="1" applyNumberFormat="1">
      <alignment horizontal="center"/>
    </xf>
    <xf borderId="69" fillId="39" fontId="66" numFmtId="3" xfId="0" applyAlignment="1" applyBorder="1" applyFont="1" applyNumberFormat="1">
      <alignment horizontal="center"/>
    </xf>
    <xf borderId="69" fillId="39" fontId="66" numFmtId="49" xfId="0" applyAlignment="1" applyBorder="1" applyFont="1" applyNumberFormat="1">
      <alignment horizontal="center"/>
    </xf>
    <xf borderId="71" fillId="0" fontId="2" numFmtId="0" xfId="0" applyBorder="1" applyFont="1"/>
    <xf borderId="72" fillId="0" fontId="2" numFmtId="0" xfId="0" applyBorder="1" applyFont="1"/>
    <xf borderId="73" fillId="0" fontId="2" numFmtId="0" xfId="0" applyBorder="1" applyFont="1"/>
    <xf borderId="21" fillId="37" fontId="65" numFmtId="0" xfId="0" applyAlignment="1" applyBorder="1" applyFont="1">
      <alignment vertical="bottom"/>
    </xf>
    <xf borderId="64" fillId="41" fontId="64" numFmtId="0" xfId="0" applyAlignment="1" applyBorder="1" applyFill="1" applyFont="1">
      <alignment horizontal="center"/>
    </xf>
    <xf borderId="64" fillId="42" fontId="64" numFmtId="0" xfId="0" applyAlignment="1" applyBorder="1" applyFill="1" applyFont="1">
      <alignment horizontal="center"/>
    </xf>
    <xf borderId="67" fillId="41" fontId="66" numFmtId="0" xfId="0" applyAlignment="1" applyBorder="1" applyFont="1">
      <alignment horizontal="center"/>
    </xf>
    <xf borderId="67" fillId="42" fontId="66" numFmtId="0" xfId="0" applyAlignment="1" applyBorder="1" applyFont="1">
      <alignment horizontal="center"/>
    </xf>
    <xf borderId="6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horizontal="right" vertical="bottom"/>
    </xf>
    <xf borderId="69" fillId="41" fontId="66" numFmtId="171" xfId="0" applyAlignment="1" applyBorder="1" applyFont="1" applyNumberFormat="1">
      <alignment horizontal="center"/>
    </xf>
    <xf borderId="69" fillId="42" fontId="66" numFmtId="171" xfId="0" applyAlignment="1" applyBorder="1" applyFont="1" applyNumberFormat="1">
      <alignment horizontal="center"/>
    </xf>
    <xf borderId="69" fillId="40" fontId="66" numFmtId="3" xfId="0" applyAlignment="1" applyBorder="1" applyFont="1" applyNumberFormat="1">
      <alignment horizontal="center"/>
    </xf>
    <xf borderId="9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74" fillId="0" fontId="2" numFmtId="0" xfId="0" applyBorder="1" applyFont="1"/>
    <xf borderId="75" fillId="0" fontId="2" numFmtId="0" xfId="0" applyBorder="1" applyFont="1"/>
    <xf borderId="76" fillId="41" fontId="65" numFmtId="0" xfId="0" applyBorder="1" applyFont="1"/>
    <xf borderId="77" fillId="0" fontId="2" numFmtId="0" xfId="0" applyBorder="1" applyFont="1"/>
    <xf borderId="78" fillId="0" fontId="2" numFmtId="0" xfId="0" applyBorder="1" applyFont="1"/>
    <xf borderId="76" fillId="42" fontId="65" numFmtId="0" xfId="0" applyBorder="1" applyFont="1"/>
    <xf borderId="76" fillId="40" fontId="65" numFmtId="0" xfId="0" applyBorder="1" applyFont="1"/>
    <xf borderId="22" fillId="35" fontId="67" numFmtId="0" xfId="0" applyAlignment="1" applyBorder="1" applyFont="1">
      <alignment horizontal="center"/>
    </xf>
    <xf borderId="79" fillId="43" fontId="68" numFmtId="0" xfId="0" applyAlignment="1" applyBorder="1" applyFill="1" applyFont="1">
      <alignment horizontal="center"/>
    </xf>
    <xf borderId="80" fillId="0" fontId="2" numFmtId="0" xfId="0" applyBorder="1" applyFont="1"/>
    <xf borderId="81" fillId="0" fontId="2" numFmtId="0" xfId="0" applyBorder="1" applyFont="1"/>
    <xf borderId="79" fillId="8" fontId="69" numFmtId="0" xfId="0" applyAlignment="1" applyBorder="1" applyFont="1">
      <alignment horizontal="center"/>
    </xf>
    <xf borderId="79" fillId="44" fontId="70" numFmtId="0" xfId="0" applyAlignment="1" applyBorder="1" applyFill="1" applyFont="1">
      <alignment horizontal="center"/>
    </xf>
    <xf borderId="0" fillId="0" fontId="4" numFmtId="0" xfId="0" applyAlignment="1" applyFont="1">
      <alignment readingOrder="0" vertical="bottom"/>
    </xf>
    <xf borderId="82" fillId="43" fontId="71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84" fillId="0" fontId="2" numFmtId="0" xfId="0" applyBorder="1" applyFont="1"/>
    <xf borderId="0" fillId="0" fontId="72" numFmtId="0" xfId="0" applyAlignment="1" applyFont="1">
      <alignment vertical="center"/>
    </xf>
    <xf borderId="82" fillId="8" fontId="71" numFmtId="0" xfId="0" applyAlignment="1" applyBorder="1" applyFont="1">
      <alignment horizontal="center" shrinkToFit="0" vertical="center" wrapText="1"/>
    </xf>
    <xf borderId="82" fillId="44" fontId="71" numFmtId="0" xfId="0" applyAlignment="1" applyBorder="1" applyFont="1">
      <alignment horizontal="center" shrinkToFit="0" vertical="center" wrapText="1"/>
    </xf>
    <xf borderId="85" fillId="0" fontId="2" numFmtId="0" xfId="0" applyBorder="1" applyFont="1"/>
    <xf borderId="86" fillId="0" fontId="2" numFmtId="0" xfId="0" applyBorder="1" applyFont="1"/>
    <xf borderId="87" fillId="0" fontId="2" numFmtId="0" xfId="0" applyBorder="1" applyFont="1"/>
    <xf borderId="79" fillId="20" fontId="70" numFmtId="0" xfId="0" applyAlignment="1" applyBorder="1" applyFont="1">
      <alignment horizontal="center"/>
    </xf>
    <xf borderId="79" fillId="45" fontId="73" numFmtId="0" xfId="0" applyAlignment="1" applyBorder="1" applyFill="1" applyFont="1">
      <alignment horizontal="center"/>
    </xf>
    <xf borderId="79" fillId="46" fontId="69" numFmtId="0" xfId="0" applyAlignment="1" applyBorder="1" applyFill="1" applyFont="1">
      <alignment horizontal="center"/>
    </xf>
    <xf borderId="21" fillId="35" fontId="59" numFmtId="172" xfId="0" applyAlignment="1" applyBorder="1" applyFont="1" applyNumberFormat="1">
      <alignment readingOrder="0" vertical="bottom"/>
    </xf>
    <xf borderId="82" fillId="20" fontId="74" numFmtId="0" xfId="0" applyAlignment="1" applyBorder="1" applyFont="1">
      <alignment horizontal="center" shrinkToFit="0" vertical="center" wrapText="1"/>
    </xf>
    <xf borderId="0" fillId="0" fontId="75" numFmtId="0" xfId="0" applyAlignment="1" applyFont="1">
      <alignment vertical="center"/>
    </xf>
    <xf borderId="82" fillId="45" fontId="74" numFmtId="0" xfId="0" applyAlignment="1" applyBorder="1" applyFont="1">
      <alignment horizontal="center" shrinkToFit="0" vertical="center" wrapText="1"/>
    </xf>
    <xf borderId="82" fillId="46" fontId="76" numFmtId="0" xfId="0" applyAlignment="1" applyBorder="1" applyFont="1">
      <alignment horizontal="center" shrinkToFit="0" wrapText="1"/>
    </xf>
    <xf borderId="22" fillId="38" fontId="77" numFmtId="0" xfId="0" applyAlignment="1" applyBorder="1" applyFont="1">
      <alignment horizontal="center" readingOrder="0"/>
    </xf>
    <xf borderId="79" fillId="35" fontId="78" numFmtId="0" xfId="0" applyAlignment="1" applyBorder="1" applyFont="1">
      <alignment horizontal="center"/>
    </xf>
    <xf borderId="79" fillId="38" fontId="79" numFmtId="0" xfId="0" applyAlignment="1" applyBorder="1" applyFont="1">
      <alignment horizontal="center"/>
    </xf>
    <xf borderId="79" fillId="38" fontId="79" numFmtId="3" xfId="0" applyAlignment="1" applyBorder="1" applyFont="1" applyNumberFormat="1">
      <alignment horizontal="center"/>
    </xf>
    <xf borderId="79" fillId="38" fontId="80" numFmtId="0" xfId="0" applyAlignment="1" applyBorder="1" applyFont="1">
      <alignment horizontal="center"/>
    </xf>
    <xf borderId="21" fillId="35" fontId="59" numFmtId="0" xfId="0" applyAlignment="1" applyBorder="1" applyFont="1">
      <alignment vertical="bottom"/>
    </xf>
    <xf borderId="79" fillId="2" fontId="79" numFmtId="0" xfId="0" applyAlignment="1" applyBorder="1" applyFont="1">
      <alignment horizontal="center"/>
    </xf>
    <xf borderId="79" fillId="2" fontId="79" numFmtId="3" xfId="0" applyAlignment="1" applyBorder="1" applyFont="1" applyNumberFormat="1">
      <alignment horizontal="center"/>
    </xf>
    <xf borderId="79" fillId="2" fontId="79" numFmtId="173" xfId="0" applyAlignment="1" applyBorder="1" applyFont="1" applyNumberFormat="1">
      <alignment horizontal="center"/>
    </xf>
    <xf borderId="79" fillId="2" fontId="79" numFmtId="174" xfId="0" applyAlignment="1" applyBorder="1" applyFont="1" applyNumberFormat="1">
      <alignment horizontal="center"/>
    </xf>
    <xf borderId="79" fillId="2" fontId="81" numFmtId="0" xfId="0" applyAlignment="1" applyBorder="1" applyFont="1">
      <alignment horizontal="center"/>
    </xf>
    <xf borderId="79" fillId="38" fontId="79" numFmtId="173" xfId="0" applyAlignment="1" applyBorder="1" applyFont="1" applyNumberFormat="1">
      <alignment horizontal="center"/>
    </xf>
    <xf borderId="79" fillId="38" fontId="79" numFmtId="174" xfId="0" applyAlignment="1" applyBorder="1" applyFont="1" applyNumberFormat="1">
      <alignment horizontal="center"/>
    </xf>
    <xf borderId="79" fillId="38" fontId="81" numFmtId="0" xfId="0" applyAlignment="1" applyBorder="1" applyFont="1">
      <alignment horizontal="center"/>
    </xf>
    <xf borderId="22" fillId="35" fontId="59" numFmtId="0" xfId="0" applyAlignment="1" applyBorder="1" applyFont="1">
      <alignment vertical="bottom"/>
    </xf>
    <xf borderId="79" fillId="38" fontId="82" numFmtId="0" xfId="0" applyAlignment="1" applyBorder="1" applyFont="1">
      <alignment horizontal="center"/>
    </xf>
    <xf borderId="41" fillId="37" fontId="83" numFmtId="0" xfId="0" applyAlignment="1" applyBorder="1" applyFont="1">
      <alignment vertical="bottom"/>
    </xf>
    <xf borderId="25" fillId="37" fontId="83" numFmtId="0" xfId="0" applyAlignment="1" applyBorder="1" applyFont="1">
      <alignment vertical="bottom"/>
    </xf>
    <xf borderId="82" fillId="35" fontId="78" numFmtId="0" xfId="0" applyAlignment="1" applyBorder="1" applyFont="1">
      <alignment horizontal="center"/>
    </xf>
    <xf borderId="82" fillId="35" fontId="78" numFmtId="3" xfId="0" applyAlignment="1" applyBorder="1" applyFont="1" applyNumberFormat="1">
      <alignment horizontal="center"/>
    </xf>
    <xf borderId="82" fillId="35" fontId="83" numFmtId="0" xfId="0" applyBorder="1" applyFont="1"/>
    <xf borderId="22" fillId="35" fontId="84" numFmtId="0" xfId="0" applyAlignment="1" applyBorder="1" applyFont="1">
      <alignment horizontal="center"/>
    </xf>
    <xf borderId="23" fillId="35" fontId="84" numFmtId="0" xfId="0" applyAlignment="1" applyBorder="1" applyFont="1">
      <alignment horizontal="center"/>
    </xf>
    <xf borderId="23" fillId="35" fontId="85" numFmtId="10" xfId="0" applyAlignment="1" applyBorder="1" applyFont="1" applyNumberFormat="1">
      <alignment horizontal="center"/>
    </xf>
    <xf borderId="24" fillId="35" fontId="84" numFmtId="0" xfId="0" applyAlignment="1" applyBorder="1" applyFont="1">
      <alignment horizontal="center"/>
    </xf>
    <xf borderId="0" fillId="0" fontId="86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378</xdr:row>
      <xdr:rowOff>0</xdr:rowOff>
    </xdr:from>
    <xdr:ext cx="3619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412</xdr:row>
      <xdr:rowOff>0</xdr:rowOff>
    </xdr:from>
    <xdr:ext cx="3619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446</xdr:row>
      <xdr:rowOff>0</xdr:rowOff>
    </xdr:from>
    <xdr:ext cx="3619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480</xdr:row>
      <xdr:rowOff>0</xdr:rowOff>
    </xdr:from>
    <xdr:ext cx="3619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514</xdr:row>
      <xdr:rowOff>0</xdr:rowOff>
    </xdr:from>
    <xdr:ext cx="3619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548</xdr:row>
      <xdr:rowOff>0</xdr:rowOff>
    </xdr:from>
    <xdr:ext cx="3619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c={3df7fe6c-9554-4716-8724-dd2715ac6399}" id="{688d9382-dbc3-4395-9a5a-8866464cc4e1}" providerId="google-sheets"/>
  <x18tc:person displayName="Deposito Laboratorio Genus" id="{aefd811f-2822-436f-9b4a-c5923d223c34}" providerId="google-sheets"/>
  <x18tc:person displayName="tc={b5b4c58c-7924-4100-93a8-5b7396a648e5}" id="{fdf78a30-dfba-4b30-b6ac-efa4e56051e0}" providerId="google-sheets"/>
  <x18tc:person displayName="tc={69b05ea9-0cff-4f4e-84eb-e1bb7ee4b551}" id="{dc0015d7-070a-493d-be27-d97838b17ac0}" providerId="google-sheets"/>
  <x18tc:person displayName="" id="{2327d432-009c-4402-80b5-d4e2c51b2821}" providerId="google-sheets"/>
  <x18tc:person displayName="Agustina Zunich" id="{335b28ce-1c09-4fa5-9865-60d165f8c74b}" providerId="google-sheets"/>
  <x18tc:person displayName="tc={bb09dd5b-f589-4fbb-a48a-3a86eeeffd19}" id="{5bc82baa-b721-4eed-8200-0d649f47cf68}" providerId="google-sheets"/>
  <x18tc:person displayName="tc={029cd2d5-4733-432f-affa-2843ef660753}" id="{ae21c39c-bd1a-48ae-8287-097f984e5290}" providerId="google-sheets"/>
  <x18tc:person displayName="tc={2a557bea-aaf3-495c-a13f-6c481991a9e2}" id="{f727b63b-c648-4211-bba2-d9c1507a57f5}" providerId="google-sheets"/>
  <x18tc:person displayName="Envasado Genus" id="{6f405320-639f-498c-947c-c0cc80ec216a}" providerId="google-sheets"/>
  <x18tc:person displayName="Seria" id="{2a0ec7d5-c90b-4e23-8616-e3a8b80c45d0}" providerId="google-sheets"/>
  <x18tc:person displayName="tc={2e7e68d3-18a1-4e0c-a224-04e54115e2e4}" id="{b1847c8a-31b4-4918-95b2-d18dfcd0dc5d}" providerId="google-sheets"/>
  <x18tc:person displayName="tc={e8c92032-8876-441d-95b7-c7167e486fad}" id="{8c22d3fe-eec4-43fa-bb46-62a42fec7cb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83" dT="2026-04-09T18:22:54.00" personId="{aefd811f-2822-436f-9b4a-c5923d223c34}" id="{131310f3-cd7c-4666-ab25-766636ea92be}" done="0">
    <x18tc:text xml:space="preserve">SE PUEDEN ARRANCAR</x18tc:text>
  </x18tc:threadedComment>
  <x18tc:threadedComment ref="A1" dT="2026-02-18T12:38:33.00" personId="{688d9382-dbc3-4395-9a5a-8866464cc4e1}" id="{438ffbc4-77e8-420d-80c8-99e0aceb7b57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lleva estuche, no guarden final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J174" dT="2026-04-09T18:22:26.00" personId="{aefd811f-2822-436f-9b4a-c5923d223c34}" id="{014fc1ae-f077-4886-80a1-11483045d1c0}" done="0">
    <x18tc:text xml:space="preserve">SE PUEDE HACER</x18tc:text>
  </x18tc:threadedComment>
  <x18tc:threadedComment ref="A1" dT="2026-02-18T12:38:33.00" personId="{5bc82baa-b721-4eed-8200-0d649f47cf68}" id="{e29bcc0e-9ab7-442a-a81f-421dd3137193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contemplando la pendiente (el activo llega en estos dias)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78" dT="2026-02-26T19:13:24.00" personId="{aefd811f-2822-436f-9b4a-c5923d223c34}" id="{d09dfe0a-ae35-41e6-9fa4-c5df532bb436}" done="0">
    <x18tc:text xml:space="preserve">FALT VIT E Y GLICERINA</x18tc:text>
  </x18tc:threadedComment>
  <x18tc:threadedComment ref="A1" dT="2026-02-18T12:38:33.00" personId="{b1847c8a-31b4-4918-95b2-d18dfcd0dc5d}" id="{428134f1-97f7-4102-b0c3-da0934d53014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 Y SACAR BOLSITA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H177" dT="2026-04-09T18:18:34.00" personId="{aefd811f-2822-436f-9b4a-c5923d223c34}" id="{f3866175-0fb4-4b78-b627-980c65b9b5be}" done="0">
    <x18tc:text xml:space="preserve">SE PUEDE HACER</x18tc:text>
  </x18tc:threadedComment>
  <x18tc:threadedComment ref="J183" dT="2026-04-09T18:18:21.00" personId="{aefd811f-2822-436f-9b4a-c5923d223c34}" id="{988bf9c8-3186-45ee-a73a-20b5339385f7}" done="0">
    <x18tc:text xml:space="preserve">SE PUEDE HACER</x18tc:text>
  </x18tc:threadedComment>
  <x18tc:threadedComment ref="D230" dT="2026-04-17T16:49:50.00" personId="{aefd811f-2822-436f-9b4a-c5923d223c34}" id="{8dbd3175-07ac-4e8a-baab-c574b8db291f}" done="0">
    <x18tc:text xml:space="preserve">SE PUEDEN HACER LAS DOS COSAS</x18tc:text>
  </x18tc:threadedComment>
  <x18tc:threadedComment ref="H198" dT="2026-04-09T18:14:22.00" personId="{aefd811f-2822-436f-9b4a-c5923d223c34}" id="{d32cd05a-e6f5-4f3d-be12-d41d30b0407b}" done="1">
    <x18tc:text xml:space="preserve">FALTA QUE LLEGUE LA FRAGANCIA</x18tc:text>
  </x18tc:threadedComment>
  <x18tc:threadedComment ref="D234" dT="2026-04-17T16:50:16.00" personId="{aefd811f-2822-436f-9b4a-c5923d223c34}" id="{dd1c9006-67e8-47ae-a697-387e4e5d95e3}" done="0">
    <x18tc:text xml:space="preserve">SE PUEDE HACER
FRACCIONADO!!!</x18tc:text>
  </x18tc:threadedComment>
  <x18tc:threadedComment ref="D209" dT="2026-04-09T18:13:06.00" personId="{aefd811f-2822-436f-9b4a-c5923d223c34}" id="{43b646d9-a76c-4476-8c8d-dda3afeea76f}" done="0">
    <x18tc:text xml:space="preserve">SE PUEDE HACER</x18tc:text>
  </x18tc:threadedComment>
  <x18tc:threadedComment ref="F162" dT="2026-03-31T13:52:39.00" personId="{aefd811f-2822-436f-9b4a-c5923d223c34}" id="{3921c41d-f0b3-425b-b68d-aefdfecbca0f}" done="1">
    <x18tc:text xml:space="preserve">FALTA LA VIT C</x18tc:text>
  </x18tc:threadedComment>
  <x18tc:threadedComment ref="A1" dT="2026-02-18T12:38:33.00" personId="{2a0ec7d5-c90b-4e23-8616-e3a8b80c45d0}" id="{ad1c8f19-9c26-44a7-ac7c-57a9834feb8b}" done="0">
    <x18tc:text xml:space="preserve">750 unidades x 200ml (rox200ml)
250 unidades x500ml (pote 1/2kg)</x18tc:text>
  </x18tc:threadedComment>
  <x18tc:threadedComment ref="F149" dT="2026-03-31T13:48:02.00" personId="{aefd811f-2822-436f-9b4a-c5923d223c34}" id="{348dee2f-6f1d-4fb1-8d68-1e6abd8d9af9}" done="0">
    <x18tc:text xml:space="preserve">SE PUEDE EMPEZAR PERO VA A FALTAR TWEEN Q ESTA PEDIDO</x18tc:text>
  </x18tc:threadedComment>
  <x18tc:threadedComment ref="A1" dT="2026-02-18T12:38:33.00" personId="{8c22d3fe-eec4-43fa-bb46-62a42fec7cbf}" id="{e741500f-1904-493b-8eef-3667c3df5b87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lleva estuche, no guarden final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A1" dT="2026-02-18T12:38:33.00" personId="{f727b63b-c648-4211-bba2-d9c1507a57f5}" id="{1d3dd7fc-e0fc-4782-8837-a6c5c14133fa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Lleva estuche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A1" dT="2026-02-18T12:38:33.00" personId="{2327d432-009c-4402-80b5-d4e2c51b2821}" id="{0bc3add3-ad58-4264-8cc7-a33c93227f29}" done="0">
    <x18tc:text xml:space="preserve">70% agua - 30% vaselina (igualmente chequear especificaciones)</x18tc:text>
  </x18tc:threadedComment>
  <x18tc:threadedComment ref="A1" dT="2026-02-18T12:38:33.00" personId="{2327d432-009c-4402-80b5-d4e2c51b2821}" id="{ae5c3ed2-0e58-4871-9706-8ee2e2ba9382}" done="0">
    <x18tc:text xml:space="preserve">Por ahora no estan los envases, cualquier cosa avancen con el viernes</x18tc:text>
  </x18tc:threadedComment>
  <x18tc:threadedComment ref="A1" dT="2026-02-18T12:38:33.00" personId="{fdf78a30-dfba-4b30-b6ac-efa4e56051e0}" id="{ecc9a70c-aa7c-407e-bca2-5f4f03ba52ec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Lleva estuche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F327" dT="2026-05-18T17:18:10.00" personId="{aefd811f-2822-436f-9b4a-c5923d223c34}" id="{a2356b3d-f747-46d3-b6ab-fdb2885c05f6}" done="0">
    <x18tc:text xml:space="preserve">FALTA
PROPILENGLICOL-4KG FALTA
CERAL ME-11KG
EXTRACTO HIDROGLIC ALOE VERA-12KG
ACEITE DE HIGADO DE BACALAO-
FRAGANCIA BQ MARAL-0,5KG</x18tc:text>
  </x18tc:threadedComment>
  <x18tc:threadedComment ref="A1" dT="2026-02-18T12:38:33.00" personId="{2327d432-009c-4402-80b5-d4e2c51b2821}" id="{e0f063e0-edcd-418b-83ac-fa68b11cda81}" done="0">
    <x18tc:text xml:space="preserve">pueden ser 60ml si queda bajo</x18tc:text>
  </x18tc:threadedComment>
  <x18tc:threadedComment ref="A1" dT="2026-02-18T12:38:33.00" personId="{f727b63b-c648-4211-bba2-d9c1507a57f5}" id="{3f821159-d0ea-477b-b761-de006379707c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Lleva estuche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A1" dT="2026-02-18T12:38:33.00" personId="{dc0015d7-070a-493d-be27-d97838b17ac0}" id="{3ff4a054-0e24-4cbc-b6b0-99bd808c906d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LLEVA ETIQUETA LAS TENGO EN LA OFICINA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B85" dT="2026-02-26T19:06:30.00" personId="{aefd811f-2822-436f-9b4a-c5923d223c34}" id="{f98b754f-0cac-40af-8190-84d80860e5b2}" done="1">
    <x18tc:text xml:space="preserve">FALTA DHA Y QUE CHEMIST TRAIGA LA MP</x18tc:text>
  </x18tc:threadedComment>
  <x18tc:threadedComment ref="B86" dT="2026-02-26T19:05:43.00" personId="{aefd811f-2822-436f-9b4a-c5923d223c34}" id="{58a316bd-4ba0-43ff-87b5-ebeeabebf70a}" done="1">
    <x18tc:text xml:space="preserve">FALTAN 100G DE RETINOL, 24KG DE ESCUALENO Y30G DE LIPOVHROMAN</x18tc:text>
  </x18tc:threadedComment>
  <x18tc:threadedComment ref="J32" dT="2026-02-26T19:25:38.00" personId="{aefd811f-2822-436f-9b4a-c5923d223c34}" id="{8b040ca7-1223-4134-b1d8-a67ddd1b042a}" done="1">
    <x18tc:text xml:space="preserve">FALTA ACEITE DE LINO</x18tc:text>
  </x18tc:threadedComment>
  <x18tc:threadedComment ref="F153" dT="2026-03-31T13:41:12.00" personId="{aefd811f-2822-436f-9b4a-c5923d223c34}" id="{d945d312-febe-4669-96d8-651d450c2e89}" done="0">
    <x18tc:text xml:space="preserve">FALTA MP Q TIENEN Q TRAER</x18tc:text>
  </x18tc:threadedComment>
  <x18tc:threadedComment ref="J173" dT="2026-03-31T14:06:51.00" personId="{aefd811f-2822-436f-9b4a-c5923d223c34}" id="{eaebc5a0-5022-484a-aa44-5b8bb0ecdf8a}" done="1">
    <x18tc:text xml:space="preserve">FALTA ETOXILADO Q YA ESTA PEDIDO Y COMPERLAND</x18tc:text>
  </x18tc:threadedComment>
  <x18tc:threadedComment ref="D51" dT="2026-02-27T12:02:06.00" personId="{aefd811f-2822-436f-9b4a-c5923d223c34}" id="{e5f3301e-a9cb-4204-afb2-31ddbfb17201}" done="0">
    <x18tc:text xml:space="preserve">FALTA EXTRACTO HIDROGLIC ALOE VERA
VITAMINA A
ACEITE DE HIGADO DE BACALAO
VITAMINA E</x18tc:text>
  </x18tc:threadedComment>
  <x18tc:threadedComment ref="A1" dT="2026-05-04T14:58:04.00" personId="{aefd811f-2822-436f-9b4a-c5923d223c34}" id="{20ffb24a-072d-45c5-8ee8-4b941844a418}" done="1">
    <x18tc:text xml:space="preserve">ES DE 150 ML</x18tc:text>
  </x18tc:threadedComment>
  <x18tc:threadedComment ref="D198" dT="2026-04-07T11:47:20.00" personId="{335b28ce-1c09-4fa5-9865-60d165f8c74b}" id="{cca6f5da-07c7-43d4-874b-26d57c14c37c}" done="1">
    <x18tc:text xml:space="preserve">CAPAZ QUE ESTA EL SOBRANTE</x18tc:text>
  </x18tc:threadedComment>
  <x18tc:threadedComment ref="F173" dT="2026-03-31T14:04:52.00" personId="{aefd811f-2822-436f-9b4a-c5923d223c34}" id="{1ecb3d56-5a03-4585-899d-8ea89c66903a}" done="0">
    <x18tc:text xml:space="preserve">SE PUEDE HACER</x18tc:text>
  </x18tc:threadedComment>
  <x18tc:threadedComment ref="B67" dT="2026-02-26T19:00:01.00" personId="{aefd811f-2822-436f-9b4a-c5923d223c34}" id="{14562562-0a64-4477-9672-b2e1cd0abe74}" done="1">
    <x18tc:text xml:space="preserve">SE PUEDE HACER PERO FALTA RETINOL, CAPAZ SE LE PUEDE PONER UN POQUITO DE VIT A</x18tc:text>
  </x18tc:threadedComment>
  <x18tc:threadedComment ref="B173" dT="2026-03-31T14:18:39.00" personId="{aefd811f-2822-436f-9b4a-c5923d223c34}" id="{8e5e6dbd-f482-4885-89e8-d04302c32840}" done="0">
    <x18tc:text xml:space="preserve">SE PUEDE HACER</x18tc:text>
  </x18tc:threadedComment>
  <x18tc:threadedComment ref="A1" dT="2026-05-04T14:00:33.00" personId="{aefd811f-2822-436f-9b4a-c5923d223c34}" id="{1e44af99-fb03-474a-9207-b81fb5a7eabd}" done="0">
    <x18tc:text xml:space="preserve">SOLICITAR TAPAS ( SOLO INGRESARON ENVASES)</x18tc:text>
  </x18tc:threadedComment>
  <x18tc:threadedComment ref="D149" dT="2026-03-31T13:47:08.00" personId="{aefd811f-2822-436f-9b4a-c5923d223c34}" id="{7605f85a-72bf-47e7-8412-3cbe51449478}" done="0">
    <x18tc:text xml:space="preserve">SE PUEDE EMPEZAR FALTA FRAGANCIA</x18tc:text>
  </x18tc:threadedComment>
  <x18tc:threadedComment ref="B164" dT="2026-03-31T14:17:23.00" personId="{aefd811f-2822-436f-9b4a-c5923d223c34}" id="{5b192c4f-a973-49b2-8ccc-ea253c85dc4b}" done="0">
    <x18tc:text xml:space="preserve">VA A FALTAR EMULCARE PARA ENDURECERLO Y CERAL PW QUE LLEGA HOY 31/3</x18tc:text>
  </x18tc:threadedComment>
  <x18tc:threadedComment ref="J61" dT="2026-02-26T19:18:10.00" personId="{aefd811f-2822-436f-9b4a-c5923d223c34}" id="{fb18c07e-3926-42d9-bc89-4366a171d1ca}" done="1">
    <x18tc:text xml:space="preserve">FALTA: Baterkil LS 5000
Baterkil Plus 
Mentol 
AC. ES. Eucalipto 
HARPAGOFITO GLICOLICO</x18tc:text>
  </x18tc:threadedComment>
  <x18tc:threadedComment ref="B66" dT="2026-02-26T19:01:03.00" personId="{aefd811f-2822-436f-9b4a-c5923d223c34}" id="{638737d9-c2b8-4c00-b4cb-d5b946d57316}" done="1">
    <x18tc:text xml:space="preserve">HAY UN POCO DE TREMELLA DE ALL BEAUTY PARA PONERLE O SI NO HIALURONICO EN POLVO</x18tc:text>
  </x18tc:threadedComment>
  <x18tc:threadedComment ref="B55" dT="2026-02-26T18:49:24.00" personId="{aefd811f-2822-436f-9b4a-c5923d223c34}" id="{2b092500-54f2-4a13-b3b9-158cfabbb459}" done="1">
    <x18tc:text xml:space="preserve">FALTA OLIVEM1000</x18tc:text>
  </x18tc:threadedComment>
  <x18tc:threadedComment ref="B230" dT="2026-04-17T16:47:27.00" personId="{aefd811f-2822-436f-9b4a-c5923d223c34}" id="{449fda4d-1867-431a-8206-d44099d383c3}" done="1">
    <x18tc:text xml:space="preserve">SE PUEDE HACER</x18tc:text>
  </x18tc:threadedComment>
  <x18tc:threadedComment ref="J64" dT="2026-02-26T18:47:26.00" personId="{aefd811f-2822-436f-9b4a-c5923d223c34}" id="{0a605924-25c9-4689-93e9-3dd55ba318f8}" done="0">
    <x18tc:text xml:space="preserve">FALTA MENTOL Y EXT DE ALOE VERA</x18tc:text>
  </x18tc:threadedComment>
  <x18tc:threadedComment ref="B236" dT="2026-04-17T16:48:08.00" personId="{aefd811f-2822-436f-9b4a-c5923d223c34}" id="{4553ed0a-9ac7-4b32-aa34-a07caadb0698}" done="0">
    <x18tc:text xml:space="preserve">SE PUEDE HACER</x18tc:text>
  </x18tc:threadedComment>
  <x18tc:threadedComment ref="B233" dT="2026-04-17T16:48:34.00" personId="{aefd811f-2822-436f-9b4a-c5923d223c34}" id="{9cc95afa-0773-42b7-bdea-ff56edfbe8cb}" done="0">
    <x18tc:text xml:space="preserve">YA SE ESTA ADELANTANDO EL 17/4</x18tc:text>
  </x18tc:threadedComment>
  <x18tc:threadedComment ref="B66" dT="2026-02-26T19:16:05.00" personId="{aefd811f-2822-436f-9b4a-c5923d223c34}" id="{a67ab6e5-3bd9-45ea-ac1f-199032f9170c}" done="1">
    <x18tc:text xml:space="preserve">FALTA FRAG, PROTEINA  DE ARROZ YEXT DE LINO</x18tc:text>
  </x18tc:threadedComment>
  <x18tc:threadedComment ref="F230" dT="2026-04-20T18:21:22.00" personId="{aefd811f-2822-436f-9b4a-c5923d223c34}" id="{43e8c152-679e-4efd-90a5-89a9faaf8668}" done="1">
    <x18tc:text xml:space="preserve">FALTA SILICONA Y ACEITE DE JOJOBA</x18tc:text>
  </x18tc:threadedComment>
  <x18tc:threadedComment ref="D76" dT="2026-02-26T19:13:54.00" personId="{aefd811f-2822-436f-9b4a-c5923d223c34}" id="{061e9e8b-eaec-425e-b4de-e075edca06d9}" done="1">
    <x18tc:text xml:space="preserve">FALTA TODO</x18tc:text>
  </x18tc:threadedComment>
  <x18tc:threadedComment ref="H223" dT="2026-04-20T18:20:36.00" personId="{aefd811f-2822-436f-9b4a-c5923d223c34}" id="{7ca6dfdd-b553-4646-a94b-069c00664c33}" done="1">
    <x18tc:text xml:space="preserve">FALTA 
KRIM 400
ACEITE DE ARGAN
ACIDO GLIOXILICO
FRAGANCIA PUMITA FULL- VASANA
ALCOHOL CETILICO</x18tc:text>
  </x18tc:threadedComment>
  <x18tc:threadedComment ref="H222" dT="2026-04-20T18:19:00.00" personId="{aefd811f-2822-436f-9b4a-c5923d223c34}" id="{b288d6de-defd-41e7-87f9-ace3210ac588}" done="1">
    <x18tc:text xml:space="preserve">FALTA 
KRIM 400
ACEITE DE ARGAN
ACIDO GLIOXILICO
FRAGANCIA PUMITA FULL- VASANA
ALCOHOL CETILICO</x18tc:text>
  </x18tc:threadedComment>
  <x18tc:threadedComment ref="A1" dT="2026-05-12T19:43:47.00" personId="{aefd811f-2822-436f-9b4a-c5923d223c34}" id="{9ce793e0-be6a-41bc-8966-2026dbbe8c3d}" done="0">
    <x18tc:text xml:space="preserve">FALTA COENZIMA Q10 Y EUXYL K903</x18tc:text>
  </x18tc:threadedComment>
  <x18tc:threadedComment ref="A1" dT="2026-05-07T19:04:35.00" personId="{aefd811f-2822-436f-9b4a-c5923d223c34}" id="{829b5cf8-eb36-47fd-9f4d-7438477b5749}" done="0">
    <x18tc:text xml:space="preserve">FALTA
OLIVEM1000
ACEITE JOJOBA
COLAGENO HIDROLIZADO
HIDROLIZADO DE PROTEINA DE ARROZ
COENZIMA Q10
EUXYL K903</x18tc:text>
  </x18tc:threadedComment>
  <x18tc:threadedComment ref="A1" dT="2026-05-07T19:05:32.00" personId="{aefd811f-2822-436f-9b4a-c5923d223c34}" id="{9854c0b7-314a-40a3-b709-463be4d5e227}" done="0">
    <x18tc:text xml:space="preserve">FALTA ACEITE DE LINO PERO CAPAZ SE PUEDE HACER IGUAL</x18tc:text>
  </x18tc:threadedComment>
  <x18tc:threadedComment ref="B79" dT="2026-03-03T17:39:42.00" personId="{aefd811f-2822-436f-9b4a-c5923d223c34}" id="{a9e0c14a-d25d-4f66-b69a-98e38e880afa}" done="0">
    <x18tc:text xml:space="preserve">FALTA
PROTEINA HIDROLIZADA DE ARROZ
EXTRACTO DE LINO
FRAGANCIA SWEET VAINILLA / COCO VAINILLA / COOKIES VAINILLA</x18tc:text>
  </x18tc:threadedComment>
  <x18tc:threadedComment ref="A1" dT="2026-05-07T19:05:04.00" personId="{aefd811f-2822-436f-9b4a-c5923d223c34}" id="{b7defadd-8722-4387-b7e3-39bd2392fa1e}" done="0">
    <x18tc:text xml:space="preserve">FALTA SIRTALICE Y MIEVIEW</x18tc:text>
  </x18tc:threadedComment>
  <x18tc:threadedComment ref="A1" dT="2026-05-07T19:06:10.00" personId="{aefd811f-2822-436f-9b4a-c5923d223c34}" id="{b7d7dc9c-892c-475f-84f3-0bca0bbb4727}" done="0">
    <x18tc:text xml:space="preserve">SE PUEDE HACER</x18tc:text>
  </x18tc:threadedComment>
  <x18tc:threadedComment ref="A1" dT="2026-05-07T19:06:02.00" personId="{aefd811f-2822-436f-9b4a-c5923d223c34}" id="{015b9b6c-df86-4479-83bb-7c5b0f739d8f}" done="0">
    <x18tc:text xml:space="preserve">FALTA NIACINAMIDA</x18tc:text>
  </x18tc:threadedComment>
  <x18tc:threadedComment ref="D231" dT="2026-04-20T18:23:27.00" personId="{aefd811f-2822-436f-9b4a-c5923d223c34}" id="{87884abb-9769-4486-8191-e6aa375d2853}" done="0">
    <x18tc:text xml:space="preserve">YA FRACCIONADO</x18tc:text>
  </x18tc:threadedComment>
  <x18tc:threadedComment ref="H174" dT="2026-04-08T15:42:29.00" personId="{aefd811f-2822-436f-9b4a-c5923d223c34}" id="{1dfe7678-e877-4ffa-9265-eef3e93225f9}" done="0">
    <x18tc:text xml:space="preserve">FALTA CAPILMAX
DEHYQUART GUAR TC (BASF)
Y FRAGANCIA</x18tc:text>
  </x18tc:threadedComment>
  <x18tc:threadedComment ref="F235" dT="2026-04-20T18:22:31.00" personId="{aefd811f-2822-436f-9b4a-c5923d223c34}" id="{44da8de1-05ce-4ba4-b22f-cef08e9d0500}" done="1">
    <x18tc:text xml:space="preserve">NO HAY RETINOL NI VIT A</x18tc:text>
  </x18tc:threadedComment>
  <x18tc:threadedComment ref="H175" dT="2026-04-08T15:43:14.00" personId="{aefd811f-2822-436f-9b4a-c5923d223c34}" id="{e3a24626-5c31-4322-a02f-f61cdcb53411}" done="0">
    <x18tc:text xml:space="preserve">AMONIO CUATERNARIO 25
SILICONA 949
SILICONA QUATERNIUM 22
FRAGANCIA
CAPILMAX</x18tc:text>
  </x18tc:threadedComment>
  <x18tc:threadedComment ref="D199" dT="2026-04-09T17:19:42.00" personId="{aefd811f-2822-436f-9b4a-c5923d223c34}" id="{ee5385e9-90b2-45e9-b7af-e090c89c3b46}" done="0">
    <x18tc:text xml:space="preserve">FALTA
EXTRACTO DE QUINOA
PHYTOSCREEN PATAGONIA
FRAGANCIA GD-40669</x18tc:text>
  </x18tc:threadedComment>
  <x18tc:threadedComment ref="D249" dT="2026-04-28T17:05:23.00" personId="{aefd811f-2822-436f-9b4a-c5923d223c34}" id="{ba10e538-cad0-4116-9326-88811af56b30}" done="0">
    <x18tc:text xml:space="preserve">SE PUEDE HACER</x18tc:text>
  </x18tc:threadedComment>
  <x18tc:threadedComment ref="H231" dT="2026-04-20T18:22:10.00" personId="{aefd811f-2822-436f-9b4a-c5923d223c34}" id="{ab9bfb51-4bae-4791-8c42-e85a2ed58687}" done="1">
    <x18tc:text xml:space="preserve">FALTA SEBOREDUCTYL</x18tc:text>
  </x18tc:threadedComment>
  <x18tc:threadedComment ref="H178" dT="2026-04-08T15:44:05.00" personId="{aefd811f-2822-436f-9b4a-c5923d223c34}" id="{829a04e8-9129-4200-9b24-6b0fd92ee44b}" done="1">
    <x18tc:text xml:space="preserve">SOLO FALTA SOLUCION AMARANTO 1% PERO SUPONGO Q SE PUEDE HACER IGUAL</x18tc:text>
  </x18tc:threadedComment>
  <x18tc:threadedComment ref="D198" dT="2026-04-09T17:17:20.00" personId="{aefd811f-2822-436f-9b4a-c5923d223c34}" id="{092a5770-5766-4ad1-9939-229958b67a1a}" done="0">
    <x18tc:text xml:space="preserve">FALTA
SILICONA DL501
CICLOMETICONA
FENILTRIMETICONA
OCTILMETOXICINAMATO</x18tc:text>
  </x18tc:threadedComment>
  <x18tc:threadedComment ref="B207" dT="2026-04-09T17:15:53.00" personId="{aefd811f-2822-436f-9b4a-c5923d223c34}" id="{7101d59a-b3dc-4718-9584-4823036e7b82}" done="1">
    <x18tc:text xml:space="preserve">SE PUEDE HACER</x18tc:text>
  </x18tc:threadedComment>
  <x18tc:threadedComment ref="A1" dT="2026-04-29T13:29:06.00" personId="{aefd811f-2822-436f-9b4a-c5923d223c34}" id="{d5135ff6-8b21-4ba4-b0a1-23b15b05554c}" done="0">
    <x18tc:text xml:space="preserve">BELU: VALVULAS CREMERAS COMPLICADAS DE CERRAR. HABLAR CON AGUS</x18tc:text>
  </x18tc:threadedComment>
  <x18tc:threadedComment ref="B254" dT="2026-04-20T18:24:43.00" personId="{aefd811f-2822-436f-9b4a-c5923d223c34}" id="{150c95ba-b598-4c2f-925f-494bf74d733d}" done="1">
    <x18tc:text xml:space="preserve">SE PUEDE HACER
YA FRACCIONADO!!</x18tc:text>
  </x18tc:threadedComment>
  <x18tc:threadedComment ref="D226" dT="2026-04-20T18:24:11.00" personId="{aefd811f-2822-436f-9b4a-c5923d223c34}" id="{6e3a25db-d202-4195-8530-61b33a2dc3cc}" done="0">
    <x18tc:text xml:space="preserve">SE PUEDE HACER</x18tc:text>
  </x18tc:threadedComment>
  <x18tc:threadedComment ref="A1" dT="2026-02-18T12:38:33.00" personId="{ae21c39c-bd1a-48ae-8287-097f984e5290}" id="{86e58b80-8bc1-4299-93ba-4c0ab4fe9a4c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Cortar valvulas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B108" dT="2026-03-13T14:57:16.00" personId="{aefd811f-2822-436f-9b4a-c5923d223c34}" id="{42f29b7d-b69c-4195-b53c-eddd9aa42cae}" done="1">
    <x18tc:text xml:space="preserve">FALTA VASELINA</x18tc:text>
  </x18tc:threadedComment>
  <x18tc:threadedComment ref="B101" dT="2026-03-13T15:01:06.00" personId="{aefd811f-2822-436f-9b4a-c5923d223c34}" id="{4a01dc54-fb8a-4281-9f94-a4066189e85f}" done="0">
    <x18tc:text xml:space="preserve">FALTA:
SILICONA QUATERNIUM 22	3.150
AMODIMETICONA 	2.100
ALCOHOL CETOESTEARILICO	2.100
Y FALTA SABER FRAG</x18tc:text>
  </x18tc:threadedComment>
  <x18tc:threadedComment ref="B100" dT="2026-03-13T14:59:51.00" personId="{aefd811f-2822-436f-9b4a-c5923d223c34}" id="{2397b169-6e81-4ef4-90d9-25b77fca7267}" done="0">
    <x18tc:text xml:space="preserve">FALTA:
PEG-7 GLICERIL COCOATO	104.500
OCTILMETOXIXINAMATO	0.220
Y NECESITO SABER CUAL ES LA FRAGANCIA</x18tc:text>
  </x18tc:threadedComment>
  <x18tc:threadedComment ref="H248" dT="2026-04-28T17:04:58.00" personId="{aefd811f-2822-436f-9b4a-c5923d223c34}" id="{94aaa989-05e5-48a7-b3e9-51b022a9c93f}" done="0">
    <x18tc:text xml:space="preserve">SE PUEDE HACER</x18tc:text>
  </x18tc:threadedComment>
  <x18tc:threadedComment ref="D103" dT="2026-03-13T14:41:48.00" personId="{aefd811f-2822-436f-9b4a-c5923d223c34}" id="{6a7728cc-2b93-45d3-afb6-ce897724d10a}" done="1">
    <x18tc:text xml:space="preserve">FALTA BTMS</x18tc:text>
  </x18tc:threadedComment>
  <x18tc:threadedComment ref="B115" dT="2026-03-13T15:04:52.00" personId="{aefd811f-2822-436f-9b4a-c5923d223c34}" id="{bc920dcd-c835-415e-aa2f-ae377345b5b3}" done="1">
    <x18tc:text xml:space="preserve">SE PUEDE HACER</x18tc:text>
  </x18tc:threadedComment>
  <x18tc:threadedComment ref="B113" dT="2026-03-13T15:04:33.00" personId="{aefd811f-2822-436f-9b4a-c5923d223c34}" id="{97fb3948-ee15-4c80-97ab-c6769fbe08e7}" done="0">
    <x18tc:text xml:space="preserve">FALTA TWEEN Y PLANTAREN</x18tc:text>
  </x18tc:threadedComment>
  <x18tc:threadedComment ref="H187" dT="2026-04-08T18:05:57.00" personId="{aefd811f-2822-436f-9b4a-c5923d223c34}" id="{9eefd817-c4a6-4d22-ac3d-10cf70d4898a}" done="1">
    <x18tc:text xml:space="preserve">SE PUEDE HACER</x18tc:text>
  </x18tc:threadedComment>
  <x18tc:threadedComment ref="B198" dT="2026-04-09T19:01:58.00" personId="{aefd811f-2822-436f-9b4a-c5923d223c34}" id="{618c8d55-75d8-42ca-9d3a-c10bc731dd90}" done="0">
    <x18tc:text xml:space="preserve">FALTA 
AMONIO CUAT. 25
EXT. DE MACA
EXT. DE QUINOA
FRAGANCIA ADORE HI 44964</x18tc:text>
  </x18tc:threadedComment>
  <x18tc:threadedComment ref="F201" dT="2026-04-09T17:15:36.00" personId="{aefd811f-2822-436f-9b4a-c5923d223c34}" id="{47a797af-05e4-4310-8160-3a195e9664ae}" done="0">
    <x18tc:text xml:space="preserve">SE PUEDE HACER</x18tc:text>
  </x18tc:threadedComment>
  <x18tc:threadedComment ref="F176" dT="2026-04-08T15:38:54.00" personId="{aefd811f-2822-436f-9b4a-c5923d223c34}" id="{46c45973-dc0d-438c-b153-79f884fbcad6}" done="0">
    <x18tc:text xml:space="preserve">SE PUEDE HACER</x18tc:text>
  </x18tc:threadedComment>
  <x18tc:threadedComment ref="B209" dT="2026-04-09T18:05:33.00" personId="{aefd811f-2822-436f-9b4a-c5923d223c34}" id="{3ef60c69-bb31-4384-965f-e8b0e0230c29}" done="1">
    <x18tc:text xml:space="preserve">SE PUEDE HACER</x18tc:text>
  </x18tc:threadedComment>
  <x18tc:threadedComment ref="D207" dT="2026-04-09T17:14:47.00" personId="{aefd811f-2822-436f-9b4a-c5923d223c34}" id="{225a026b-8934-4ba2-8edf-44e74babc8ba}" done="1">
    <x18tc:text xml:space="preserve">SE PUEDE HACER</x18tc:text>
  </x18tc:threadedComment>
  <x18tc:threadedComment ref="B199" dT="2026-04-09T18:04:48.00" personId="{aefd811f-2822-436f-9b4a-c5923d223c34}" id="{2e75c2c6-468b-44c7-bed8-014f887bb0a8}" done="0">
    <x18tc:text xml:space="preserve">FALTA AMONIO CUATERNARIO Y FRAGANNCIA</x18tc:text>
  </x18tc:threadedComment>
  <x18tc:threadedComment ref="F199" dT="2026-04-09T17:14:35.00" personId="{aefd811f-2822-436f-9b4a-c5923d223c34}" id="{f20bf048-d0a6-41f6-9aed-93ba2c6444da}" done="1">
    <x18tc:text xml:space="preserve">FALTAN 100G DE GLUCONATO DE ZINC, IGUAL CAPAZ SE PUEDE HACER POR Q LLEVA 0.3KG Y HAY 0.2KG</x18tc:text>
  </x18tc:threadedComment>
  <x18tc:threadedComment ref="F198" dT="2026-04-09T17:13:34.00" personId="{aefd811f-2822-436f-9b4a-c5923d223c34}" id="{96e7e833-9cd2-4a80-bf28-6cff213b78e3}" done="0">
    <x18tc:text xml:space="preserve">SE PUEDE HACER</x18tc:text>
  </x18tc:threadedComment>
  <x18tc:threadedComment ref="F183" dT="2026-04-08T18:05:32.00" personId="{aefd811f-2822-436f-9b4a-c5923d223c34}" id="{09b8a93c-a0bb-41a0-b2e3-dc04719208e7}" done="1">
    <x18tc:text xml:space="preserve">SE PUEDEN HACER TODAS</x18tc:text>
  </x18tc:threadedComment>
  <x18tc:threadedComment ref="D200" dT="2026-04-09T17:20:24.00" personId="{aefd811f-2822-436f-9b4a-c5923d223c34}" id="{0da3ab42-8567-4758-ad7a-1890e2936374}" done="0">
    <x18tc:text xml:space="preserve">FALTA
AMONIO CUATERNARIO
HIDROLIZADO DE QUINOA
PHYTOSCREEN PATAGONIA 
FRAGANCIA GD-40669</x18tc:text>
  </x18tc:threadedComment>
  <x18tc:threadedComment ref="F182" dT="2026-03-31T13:04:19.00" personId="{aefd811f-2822-436f-9b4a-c5923d223c34}" id="{8c1b4d83-b370-46f3-a99e-8f116113aa70}" done="1">
    <x18tc:text xml:space="preserve">FALTA HIALURONICO</x18tc:text>
  </x18tc:threadedComment>
  <x18tc:threadedComment ref="D105" dT="2026-03-13T14:41:59.00" personId="{aefd811f-2822-436f-9b4a-c5923d223c34}" id="{330b1613-acc1-4ecc-9838-a8edb561e9a7}" done="1">
    <x18tc:text xml:space="preserve">SE PUEDE HACER</x18tc:text>
  </x18tc:threadedComment>
  <x18tc:threadedComment ref="H30" dT="2026-02-24T18:03:47.00" personId="{aefd811f-2822-436f-9b4a-c5923d223c34}" id="{4c69016b-7388-42b6-a1c1-a46a5e2c9632}" done="1">
    <x18tc:text xml:space="preserve">FALTA PROPI, GLUCONATO DE ZINC Y NIACINAMIDA</x18tc:text>
  </x18tc:threadedComment>
  <x18tc:threadedComment ref="H33" dT="2026-02-24T17:08:45.00" personId="{335b28ce-1c09-4fa5-9865-60d165f8c74b}" id="{e31666ac-b1f6-4e26-97cd-af833a562688}" done="0">
    <x18tc:text xml:space="preserve">Falta MP PARA ALGUNAS VARIEDADES (fragancias y micas)</x18tc:text>
  </x18tc:threadedComment>
  <x18tc:threadedComment ref="B51" dT="2026-02-25T15:43:45.00" personId="{aefd811f-2822-436f-9b4a-c5923d223c34}" id="{f7d73cd7-a609-450a-b53e-4df626837a89}" done="1">
    <x18tc:text xml:space="preserve">FALTA PEG</x18tc:text>
  </x18tc:threadedComment>
  <x18tc:threadedComment ref="J100" dT="2026-03-13T14:46:39.00" personId="{aefd811f-2822-436f-9b4a-c5923d223c34}" id="{2a2eb724-1152-40b6-8bb2-207e414f2705}" done="1">
    <x18tc:text xml:space="preserve">FALTA DHA, ERITRULOSA  Y SEADERMIUM</x18tc:text>
  </x18tc:threadedComment>
  <x18tc:threadedComment ref="J32" dT="2026-02-24T18:04:14.00" personId="{aefd811f-2822-436f-9b4a-c5923d223c34}" id="{ecf7555f-8a2e-45af-b706-7adc37637183}" done="1">
    <x18tc:text xml:space="preserve">FALTAN 0.1 KG DE ACEITE DE LINO</x18tc:text>
  </x18tc:threadedComment>
  <x18tc:threadedComment ref="B245" dT="2026-04-24T11:42:33.00" personId="{aefd811f-2822-436f-9b4a-c5923d223c34}" id="{6c8b35e6-330c-483d-a83d-745007162406}" done="1">
    <x18tc:text xml:space="preserve">SOLO FALTA GLIOXILICO</x18tc:text>
  </x18tc:threadedComment>
  <x18tc:threadedComment ref="J62" dT="2026-02-27T19:41:03.00" personId="{335b28ce-1c09-4fa5-9865-60d165f8c74b}" id="{a50e47dc-e1a2-4847-8735-67f05c0c9fdd}" done="1">
    <x18tc:text xml:space="preserve">falta olivem 1000</x18tc:text>
  </x18tc:threadedComment>
  <x18tc:threadedComment ref="B53" dT="2026-02-25T15:43:27.00" personId="{aefd811f-2822-436f-9b4a-c5923d223c34}" id="{75db1048-4185-40ae-b60a-4972cfa4ba8f}" done="1">
    <x18tc:text xml:space="preserve">FALTA PEG</x18tc:text>
  </x18tc:threadedComment>
  <x18tc:threadedComment ref="B182" dT="2026-03-31T13:03:02.00" personId="{aefd811f-2822-436f-9b4a-c5923d223c34}" id="{38989371-8fc0-4549-9c98-34b4a6989bfa}" done="1">
    <x18tc:text xml:space="preserve">TODO LO Q FALTA YA SE PIDIO</x18tc:text>
  </x18tc:threadedComment>
  <x18tc:threadedComment ref="H182" dT="2026-03-31T13:03:37.00" personId="{aefd811f-2822-436f-9b4a-c5923d223c34}" id="{6128c879-4b91-487d-9f32-83f5da25236f}" done="1">
    <x18tc:text xml:space="preserve">FALTAN TODAS LAS MP RARAS QUE PIDIERON</x18tc:text>
  </x18tc:threadedComment>
  <x18tc:threadedComment ref="H182" dT="2026-03-31T19:28:10.00" personId="{335b28ce-1c09-4fa5-9865-60d165f8c74b}" id="{b042c811-7a16-40f6-8d18-1a0b014be3e2}" parentId="{6128c879-4b91-487d-9f32-83f5da25236f}">
    <x18tc:text xml:space="preserve">estan pedidas?</x18tc:text>
  </x18tc:threadedComment>
  <x18tc:threadedComment ref="D108" dT="2026-03-13T14:54:53.00" personId="{aefd811f-2822-436f-9b4a-c5923d223c34}" id="{1f27423c-dca9-41b7-ba1a-b27013c169de}" done="0">
    <x18tc:text xml:space="preserve">FALTA:
OXIDO DE ZINC	22.000
MIP	4.000
VASELINA	64.000
DIOXIDO DE TITANIO	32.000
CAOLIN	56.000</x18tc:text>
  </x18tc:threadedComment>
  <x18tc:threadedComment ref="J101" dT="2026-03-13T14:49:47.00" personId="{aefd811f-2822-436f-9b4a-c5923d223c34}" id="{25829720-670b-485a-91b7-836005198c79}" done="1">
    <x18tc:text xml:space="preserve">FALTA:    SE NECESITA / TENEMOS
ESCUALANO: 30.905 / 28
MYRITOL: 3.500 / 8
VITAMINA E: 0.350 / 0
RETINOL: 0.210 / 0
LIPOCHROMAN: 0.035 / 0.005</x18tc:text>
  </x18tc:threadedComment>
  <x18tc:threadedComment ref="F63" dT="2026-02-24T17:03:17.00" personId="{aefd811f-2822-436f-9b4a-c5923d223c34}" id="{74a71dc8-4b69-4ec3-a65b-2c5784890719}" done="1">
    <x18tc:text xml:space="preserve">FALTA ACIDO ESTEARICO!!</x18tc:text>
  </x18tc:threadedComment>
  <x18tc:threadedComment ref="F62" dT="2026-02-24T17:02:43.00" personId="{aefd811f-2822-436f-9b4a-c5923d223c34}" id="{13809607-f86e-4c34-85e0-610ef9fca1cb}" done="0">
    <x18tc:text xml:space="preserve">HAY 300G DE EXFLOIANTE Y LLEVA 600G</x18tc:text>
  </x18tc:threadedComment>
  <x18tc:threadedComment ref="H176" dT="2026-03-31T13:01:39.00" personId="{aefd811f-2822-436f-9b4a-c5923d223c34}" id="{ff2c6f6b-e861-4fe0-959a-6f3f6c393564}" done="1">
    <x18tc:text xml:space="preserve">SE PUEDE HACER</x18tc:text>
  </x18tc:threadedComment>
  <x18tc:threadedComment ref="H56" dT="2026-02-24T17:46:50.00" personId="{aefd811f-2822-436f-9b4a-c5923d223c34}" id="{062227a1-52e2-46a3-8775-e44934a68eac}" done="0">
    <x18tc:text xml:space="preserve">NO HAY EXTRACTO DE BLUEBERRY NI AC ES LAVANDA</x18tc:text>
  </x18tc:threadedComment>
  <x18tc:threadedComment ref="H56" dT="2026-02-26T19:08:41.00" personId="{335b28ce-1c09-4fa5-9865-60d165f8c74b}" id="{00ccc00c-eef5-46f8-9275-67dedeb24fd6}" parentId="{062227a1-52e2-46a3-8775-e44934a68eac}">
    <x18tc:text xml:space="preserve">De lavanda no hay de otro?</x18tc:text>
  </x18tc:threadedComment>
  <x18tc:threadedComment ref="J28" dT="2026-02-24T17:04:36.00" personId="{aefd811f-2822-436f-9b4a-c5923d223c34}" id="{c2960f5a-5e72-403a-b1ff-492567d3458c}" done="0">
    <x18tc:text xml:space="preserve">SE PUEDE ARRANCAR PERO FALTA MP</x18tc:text>
  </x18tc:threadedComment>
  <x18tc:threadedComment ref="H55" dT="2026-02-24T17:47:18.00" personId="{aefd811f-2822-436f-9b4a-c5923d223c34}" id="{dca4392a-d1b4-446a-8aaf-4a8c5ad405e9}" done="0">
    <x18tc:text xml:space="preserve">HAY 0.6KG DE FRAG Y LLEVA 0.8KG</x18tc:text>
  </x18tc:threadedComment>
  <x18tc:threadedComment ref="H29" dT="2026-02-24T18:02:48.00" personId="{aefd811f-2822-436f-9b4a-c5923d223c34}" id="{c825fadd-6b8d-49b3-b39d-f572c5aaa7ec}" done="1">
    <x18tc:text xml:space="preserve">FALTA CREMOPHOR Y NO TRAJERON GLUTATION PERO TENEMOS</x18tc:text>
  </x18tc:threadedComment>
  <x18tc:threadedComment ref="H29" dT="2026-02-25T12:33:25.00" personId="{aefd811f-2822-436f-9b4a-c5923d223c34}" id="{78f8995a-fc23-4dbf-a40f-36680450b037}" parentId="{c825fadd-6b8d-49b3-b39d-f572c5aaa7ec}">
    <x18tc:text xml:space="preserve">FALTA AC. FERULICO TAMBIEN</x18tc:text>
  </x18tc:threadedComment>
  <x18tc:threadedComment ref="J41" dT="2026-02-24T18:00:37.00" personId="{aefd811f-2822-436f-9b4a-c5923d223c34}" id="{03110b5c-ffcc-41e3-ad7b-affbad155325}" done="1">
    <x18tc:text xml:space="preserve">FALTA PROTEINA DE ARROZ, EXTRACTO DE LINO, FRAGANCIA Y ACEITE DE GIRASOL</x18tc:text>
  </x18tc:threadedComment>
  <x18tc:threadedComment ref="F38" dT="2026-02-24T17:09:14.00" personId="{335b28ce-1c09-4fa5-9865-60d165f8c74b}" id="{07341d19-f8b6-49e2-a660-213c90d8e961}" done="0">
    <x18tc:text xml:space="preserve">falta frag y micas para algunas variedades</x18tc:text>
  </x18tc:threadedComment>
  <x18tc:threadedComment ref="H234" dT="2026-04-20T18:21:41.00" personId="{aefd811f-2822-436f-9b4a-c5923d223c34}" id="{ad764245-3f88-4f46-b833-ff82def4ed72}" done="1">
    <x18tc:text xml:space="preserve">SE PUEDE HACER
YA FRACCIONADO!!!!!</x18tc:text>
  </x18tc:threadedComment>
  <x18tc:threadedComment ref="D64" dT="2026-02-24T17:10:06.00" personId="{335b28ce-1c09-4fa5-9865-60d165f8c74b}" id="{bb89a042-ba3f-4560-a12b-866a19e48035}" done="1">
    <x18tc:text xml:space="preserve">falta acido estearico</x18tc:text>
  </x18tc:threadedComment>
  <x18tc:threadedComment ref="F61" dT="2026-02-24T17:02:04.00" personId="{aefd811f-2822-436f-9b4a-c5923d223c34}" id="{d3a3b753-d6b8-4184-99b0-c2d970c80e02}" done="1">
    <x18tc:text xml:space="preserve">CREMA DE MANOS 50KG FALTA FRAG</x18tc:text>
  </x18tc:threadedComment>
  <x18tc:threadedComment ref="H51" dT="2026-02-27T11:59:54.00" personId="{aefd811f-2822-436f-9b4a-c5923d223c34}" id="{6b7e9276-4c9c-4c77-a707-b438292cbdcf}" done="0">
    <x18tc:text xml:space="preserve">FALTA EXT MANZANILLA Y EXT ALOE</x18tc:text>
  </x18tc:threadedComment>
  <x18tc:threadedComment ref="H51" dT="2026-02-27T13:35:48.00" personId="{335b28ce-1c09-4fa5-9865-60d165f8c74b}" id="{b30e6a97-3217-43fc-a81f-6a8ef057c458}" parentId="{6b7e9276-4c9c-4c77-a707-b438292cbdcf}">
    <x18tc:text xml:space="preserve">llega el lunes la NIACI</x18tc:text>
  </x18tc:threadedComment>
  <x18tc:threadedComment ref="H257" dT="2026-04-27T18:49:21.00" personId="{aefd811f-2822-436f-9b4a-c5923d223c34}" id="{da526ab0-63e8-4632-9a72-cd3680305153}" done="0">
    <x18tc:text xml:space="preserve">MANDARON TODO</x18tc:text>
  </x18tc:threadedComment>
  <x18tc:threadedComment ref="F245" dT="2026-04-27T19:03:49.00" personId="{aefd811f-2822-436f-9b4a-c5923d223c34}" id="{64a5bdf1-0401-480e-bc4b-bc2905887cd1}" done="0">
    <x18tc:text xml:space="preserve">YA ESTA FRACCIONADO</x18tc:text>
  </x18tc:threadedComment>
  <x18tc:threadedComment ref="D256" dT="2026-04-27T18:42:36.00" personId="{aefd811f-2822-436f-9b4a-c5923d223c34}" id="{9a5aa566-3e67-46c2-952c-ff7a740c3a60}" done="1">
    <x18tc:text xml:space="preserve">VA A FALTAR FRAGANCIA</x18tc:text>
  </x18tc:threadedComment>
  <x18tc:threadedComment ref="B269" dT="2026-04-27T19:37:44.00" personId="{aefd811f-2822-436f-9b4a-c5923d223c34}" id="{57bf0937-abf7-47c8-931c-bfc3a07fbe30}" done="1">
    <x18tc:text xml:space="preserve">FALTA AC. FERULICO NADA MAS</x18tc:text>
  </x18tc:threadedComment>
  <x18tc:threadedComment ref="D245" dT="2026-04-27T19:23:34.00" personId="{aefd811f-2822-436f-9b4a-c5923d223c34}" id="{ee269931-4857-4e05-8973-96c6a2c6a381}" done="0">
    <x18tc:text xml:space="preserve">SE PUEDE HACER</x18tc:text>
  </x18tc:threadedComment>
  <x18tc:threadedComment ref="H255" dT="2026-04-27T18:49:13.00" personId="{aefd811f-2822-436f-9b4a-c5923d223c34}" id="{6b0f6d16-27fe-4b65-8c44-3ab5eeebfa21}" done="0">
    <x18tc:text xml:space="preserve">FALTA GLIOXILICO NADA MAS</x18tc:text>
  </x18tc:threadedComment>
  <x18tc:threadedComment ref="F254" dT="2026-04-27T18:48:54.00" personId="{aefd811f-2822-436f-9b4a-c5923d223c34}" id="{74fada5d-c0b1-4d61-a85b-68ff4d2c4ab9}" done="0">
    <x18tc:text xml:space="preserve">SE PUEDE HACER</x18tc:text>
  </x18tc:threadedComment>
  <x18tc:threadedComment ref="F52" dT="2026-02-25T14:24:00.00" personId="{aefd811f-2822-436f-9b4a-c5923d223c34}" id="{56e5f21b-c80e-4f38-9723-2a0cf5e5576c}" done="1">
    <x18tc:text xml:space="preserve">FALTA VARISOFT BT 85, FRAG JADORE Y CETOESTEARILICO</x18tc:text>
  </x18tc:threadedComment>
  <x18tc:threadedComment ref="D237" dT="2026-04-17T16:50:26.00" personId="{aefd811f-2822-436f-9b4a-c5923d223c34}" id="{2f5d9933-1fda-4965-8456-61a8e7f4ef28}" done="0">
    <x18tc:text xml:space="preserve">SE PUEDE HACER
FRACCIONADO!!!</x18tc:text>
  </x18tc:threadedComment>
  <x18tc:threadedComment ref="D223" dT="2026-04-20T18:17:49.00" personId="{aefd811f-2822-436f-9b4a-c5923d223c34}" id="{0eadcbd6-7456-492f-9b9f-877c3c11ed92}" done="0">
    <x18tc:text xml:space="preserve">FALTA BTMS Y FRAG WOOD TALE</x18tc:text>
  </x18tc:threadedComment>
  <x18tc:threadedComment ref="D222" dT="2026-04-20T18:15:01.00" personId="{aefd811f-2822-436f-9b4a-c5923d223c34}" id="{fb5ff1ec-5ff5-436b-a47b-3af6da14c5d4}" done="0">
    <x18tc:text xml:space="preserve">FALTA
COMPERLAN
FRAGANCIA wood tale
ACEITE DE JOJOBA</x18tc:text>
  </x18tc:threadedComment>
  <x18tc:threadedComment ref="D273" dT="2026-04-30T15:48:01.00" personId="{335b28ce-1c09-4fa5-9865-60d165f8c74b}" id="{ebe703c1-254e-45ec-bea7-77e942587f55}" done="1">
    <x18tc:text xml:space="preserve">Toda la MP de ECODERM llega el Lunes, se puede dejar fraccionado</x18tc:text>
  </x18tc:threadedComment>
  <x18tc:threadedComment ref="F248" dT="2026-04-27T19:04:04.00" personId="{aefd811f-2822-436f-9b4a-c5923d223c34}" id="{19438da7-07f3-49cd-965e-b4874f781f5f}" done="1">
    <x18tc:text xml:space="preserve">FALTA GLIOXILICO</x18tc:text>
  </x18tc:threadedComment>
  <x18tc:threadedComment ref="D255" dT="2026-04-27T18:42:25.00" personId="{aefd811f-2822-436f-9b4a-c5923d223c34}" id="{6350b201-591a-4f9b-9941-3f31f05637b0}" done="0">
    <x18tc:text xml:space="preserve">SE PUEDE HACER</x18tc:text>
  </x18tc:threadedComment>
  <x18tc:threadedComment ref="D183" dT="2026-03-31T14:21:04.00" personId="{aefd811f-2822-436f-9b4a-c5923d223c34}" id="{f4250076-6390-4322-a728-8ba4d5ad5d5d}" done="1">
    <x18tc:text xml:space="preserve">FALTAN 0.1KG DE RETINOL Y 0.03KG DE LIPOCHROMAN O CHROMANOL</x18tc:text>
  </x18tc:threadedComment>
  <x18tc:threadedComment ref="D100" dT="2026-03-09T19:42:19.00" personId="{335b28ce-1c09-4fa5-9865-60d165f8c74b}" id="{53a3a524-bd48-4901-a83a-dac532916588}" done="1">
    <x18tc:text xml:space="preserve">es la misma formula de siempre, pero esencia CALVIN KLEIN. ya la pidio David</x18tc:text>
  </x18tc:threadedComment>
  <x18tc:threadedComment ref="J183" dT="2026-03-31T14:25:47.00" personId="{335b28ce-1c09-4fa5-9865-60d165f8c74b}" id="{06e1b6f9-a159-4a93-a86a-1d5426ca49a6}" done="1">
    <x18tc:text xml:space="preserve">falta retinol 100g y lipochroman 30g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23" dT="2026-04-14T19:26:12.00" personId="{aefd811f-2822-436f-9b4a-c5923d223c34}" id="{c267ed12-bbab-4537-a781-6233fac84098}" done="0">
    <x18tc:text xml:space="preserve">TAPON ALUMINIO COLOR BLANCO</x18tc:text>
  </x18tc:threadedComment>
  <x18tc:threadedComment ref="I407" dT="2026-05-29T18:34:37.00" personId="{aefd811f-2822-436f-9b4a-c5923d223c34}" id="{cc1cdb9d-aa3e-442a-8460-6cd727edcb44}" done="1">
    <x18tc:text xml:space="preserve">FALTA INGRESO DE TAPAS</x18tc:text>
  </x18tc:threadedComment>
  <x18tc:threadedComment ref="F199" dT="2026-04-07T11:12:14.00" personId="{aefd811f-2822-436f-9b4a-c5923d223c34}" id="{623a55ca-c3c4-4d64-a4ad-8a1374273ae0}" done="0">
    <x18tc:text xml:space="preserve">CORTAR VALVULAS</x18tc:text>
  </x18tc:threadedComment>
  <x18tc:threadedComment ref="J96" dT="2026-03-03T19:30:47.00" personId="{335b28ce-1c09-4fa5-9865-60d165f8c74b}" id="{91ec9f06-a158-40f2-9a89-5ef25c701d2c}" done="1">
    <x18tc:text xml:space="preserve">etiquetemoslo</x18tc:text>
  </x18tc:threadedComment>
  <x18tc:threadedComment ref="J208" dT="2026-04-14T15:26:28.00" personId="{aefd811f-2822-436f-9b4a-c5923d223c34}" id="{2f1e3a7c-1b2d-4dc4-ba35-2b99e3a7af34}" done="1">
    <x18tc:text xml:space="preserve">CORTAR VALVULAS</x18tc:text>
  </x18tc:threadedComment>
  <x18tc:threadedComment ref="H271" dT="2026-04-28T11:31:06.00" personId="{aefd811f-2822-436f-9b4a-c5923d223c34}" id="{34f5890e-c064-4f3d-9e1c-577a8b89ec1d}" done="0">
    <x18tc:text xml:space="preserve">LAS CAJAS VAN A QUEDAR JUSTAS POR GATILLO</x18tc:text>
  </x18tc:threadedComment>
  <x18tc:threadedComment ref="H208" dT="2026-04-14T15:26:15.00" personId="{aefd811f-2822-436f-9b4a-c5923d223c34}" id="{0d9ff19e-d7a4-4582-9c16-231f375cf73b}" done="1">
    <x18tc:text xml:space="preserve">CORTAR VALVULAS</x18tc:text>
  </x18tc:threadedComment>
  <x18tc:threadedComment ref="F157" dT="2026-04-14T15:25:49.00" personId="{aefd811f-2822-436f-9b4a-c5923d223c34}" id="{7278d5cd-eb35-4181-b62c-e2eaaed3621f}" done="0">
    <x18tc:text xml:space="preserve">CORTAR VALVULAS</x18tc:text>
  </x18tc:threadedComment>
  <x18tc:threadedComment ref="F276" dT="2026-04-28T11:30:44.00" personId="{aefd811f-2822-436f-9b4a-c5923d223c34}" id="{5791eb00-9051-4927-8e84-1e8246d3e56c}" done="0">
    <x18tc:text xml:space="preserve">LLEVA INSERTO!!</x18tc:text>
  </x18tc:threadedComment>
  <x18tc:threadedComment ref="D106" dT="2026-03-12T11:34:32.00" personId="{335b28ce-1c09-4fa5-9865-60d165f8c74b}" id="{c3b1ea88-92fc-4429-abaa-87df2e1635e9}" done="0">
    <x18tc:text xml:space="preserve">etiquetemos aca</x18tc:text>
  </x18tc:threadedComment>
  <x18tc:threadedComment ref="F274" dT="2026-04-28T11:30:28.00" personId="{aefd811f-2822-436f-9b4a-c5923d223c34}" id="{c35b00e1-73f9-4679-a85d-08a44616266d}" done="0">
    <x18tc:text xml:space="preserve">SACAR BOLSITA A ENVASES</x18tc:text>
  </x18tc:threadedComment>
  <x18tc:threadedComment ref="K454" dT="2026-06-17T13:08:28.00" personId="{aefd811f-2822-436f-9b4a-c5923d223c34}" id="{b28b7f3a-d4cd-44fb-9f6c-448e295e3aec}" done="1">
    <x18tc:text xml:space="preserve">FALTA INGRESO DE ETIQUETAS</x18tc:text>
  </x18tc:threadedComment>
  <x18tc:threadedComment ref="C419" dT="2026-06-03T19:53:05.00" personId="{335b28ce-1c09-4fa5-9865-60d165f8c74b}" id="{2a87e9c7-404e-481a-81f0-94f239506406}" done="1">
    <x18tc:text xml:space="preserve">Etiqueta Masivo</x18tc:text>
  </x18tc:threadedComment>
  <x18tc:threadedComment ref="B99" dT="2026-03-04T12:16:47.00" personId="{335b28ce-1c09-4fa5-9865-60d165f8c74b}" id="{3ddab5fd-1a5d-4238-bb40-86dc36b281b5}" done="1">
    <x18tc:text xml:space="preserve">etiquetemoslo</x18tc:text>
  </x18tc:threadedComment>
  <x18tc:threadedComment ref="B187" dT="2026-03-31T15:45:36.00" personId="{aefd811f-2822-436f-9b4a-c5923d223c34}" id="{884a99a5-a568-4167-8678-9125421739f5}" done="0">
    <x18tc:text xml:space="preserve">lleva inserto</x18tc:text>
  </x18tc:threadedComment>
  <x18tc:threadedComment ref="F46" dT="2026-02-20T14:04:57.00" personId="{aefd811f-2822-436f-9b4a-c5923d223c34}" id="{93d8f896-5e01-4653-9cc0-27020d869ad4}" done="0">
    <x18tc:text xml:space="preserve">LAVAR POTES</x18tc:text>
  </x18tc:threadedComment>
  <x18tc:threadedComment ref="K406" dT="2026-05-29T13:56:45.00" personId="{aefd811f-2822-436f-9b4a-c5923d223c34}" id="{1bd18ed2-e60e-4eeb-a385-34a7d79f2f20}" done="0">
    <x18tc:text xml:space="preserve">SEPARAR TAPA DE POTE</x18tc:text>
  </x18tc:threadedComment>
  <x18tc:threadedComment ref="K406" dT="2026-05-29T18:34:56.00" personId="{aefd811f-2822-436f-9b4a-c5923d223c34}" id="{126f6d37-5426-46b4-a77a-1624206b53c5}" parentId="{1bd18ed2-e60e-4eeb-a385-34a7d79f2f20}">
    <x18tc:text xml:space="preserve">SACAR BOLSITA DE ENVASES</x18tc:text>
  </x18tc:threadedComment>
  <x18tc:threadedComment ref="F316" dT="2026-05-04T14:00:01.00" personId="{aefd811f-2822-436f-9b4a-c5923d223c34}" id="{0aa0470f-268a-4eff-90c6-d49f084680c6}" done="1">
    <x18tc:text xml:space="preserve">NO INGRESO</x18tc:text>
  </x18tc:threadedComment>
  <x18tc:threadedComment ref="G406" dT="2026-05-28T13:08:51.00" personId="{aefd811f-2822-436f-9b4a-c5923d223c34}" id="{eb3e68fc-aebf-49af-bd15-e1f4fd6768f9}" done="1">
    <x18tc:text xml:space="preserve">HAY Q SOLICITAR TAPONES DE ALUMINIO (STOCK 0)</x18tc:text>
  </x18tc:threadedComment>
  <x18tc:threadedComment ref="B308" dT="2026-05-04T13:59:01.00" personId="{aefd811f-2822-436f-9b4a-c5923d223c34}" id="{d219678e-b520-462e-8052-1b5bf705e5f2}" done="0">
    <x18tc:text xml:space="preserve">NO INGRESO PARA CANTIDADES SOLICITADAS POR EL CLIENTE</x18tc:text>
  </x18tc:threadedComment>
  <x18tc:threadedComment ref="B308" dT="2026-05-06T19:58:28.00" personId="{335b28ce-1c09-4fa5-9865-60d165f8c74b}" id="{0aaac760-b0ef-4afc-9aed-2617caf783e2}" parentId="{d219678e-b520-462e-8052-1b5bf705e5f2}">
    <x18tc:text xml:space="preserve">cuantos envases ingresaron?</x18tc:text>
  </x18tc:threadedComment>
  <x18tc:threadedComment ref="B308" dT="2026-05-07T15:37:19.00" personId="{aefd811f-2822-436f-9b4a-c5923d223c34}" id="{93cbdef8-8ed5-4062-968b-aa8393dffe3f}" parentId="{d219678e-b520-462e-8052-1b5bf705e5f2}">
    <x18tc:text xml:space="preserve">En total ingreso 1176 unidades (ESTO INCLUYE LA PRODUCCION DEL 7/5</x18tc:text>
  </x18tc:threadedComment>
  <x18tc:threadedComment ref="F312" dT="2026-05-04T13:59:47.00" personId="{aefd811f-2822-436f-9b4a-c5923d223c34}" id="{feae10d8-f24d-4119-8068-922ae54732ae}" done="1">
    <x18tc:text xml:space="preserve">NO INGRESO</x18tc:text>
  </x18tc:threadedComment>
  <x18tc:threadedComment ref="D44" dT="2026-02-20T12:31:42.00" personId="{aefd811f-2822-436f-9b4a-c5923d223c34}" id="{a101e8f8-227d-47ec-9ec8-e300dad45e4a}" done="0">
    <x18tc:text xml:space="preserve">CORTAR VALVULAS</x18tc:text>
  </x18tc:threadedComment>
  <x18tc:threadedComment ref="E392" dT="2026-05-28T12:58:00.00" personId="{aefd811f-2822-436f-9b4a-c5923d223c34}" id="{0782c6f6-26f5-4bd1-a1a1-8b376cb5787d}" done="0">
    <x18tc:text xml:space="preserve">no ingresaron etiquetas</x18tc:text>
  </x18tc:threadedComment>
  <x18tc:threadedComment ref="E407" dT="2026-05-28T13:06:45.00" personId="{aefd811f-2822-436f-9b4a-c5923d223c34}" id="{9213e0c9-21cd-47d3-a09b-11bdbc65a0df}" done="1">
    <x18tc:text xml:space="preserve">hay que solicitar tapas de aluminio. no alcanza para el pedido</x18tc:text>
  </x18tc:threadedComment>
  <x18tc:threadedComment ref="E407" dT="2026-05-28T17:48:27.00" personId="{335b28ce-1c09-4fa5-9865-60d165f8c74b}" id="{5bd57575-3f22-42f1-9d93-90719c89de22}" parentId="{9213e0c9-21cd-47d3-a09b-11bdbc65a0df}">
    <x18tc:text xml:space="preserve">llegan el lunes</x18tc:text>
  </x18tc:threadedComment>
  <x18tc:threadedComment ref="C425" dT="2026-06-08T11:30:30.00" personId="{aefd811f-2822-436f-9b4a-c5923d223c34}" id="{22fd9556-767b-457e-b296-d1e87c201019}" done="0">
    <x18tc:text xml:space="preserve">FALTAN INGRESO ETIQ</x18tc:text>
  </x18tc:threadedComment>
  <x18tc:threadedComment ref="I392" dT="2026-05-28T12:58:47.00" personId="{aefd811f-2822-436f-9b4a-c5923d223c34}" id="{5aa4524b-83d9-4963-a65d-cdbd27817887}" done="1">
    <x18tc:text xml:space="preserve">no ingreso material de empaque</x18tc:text>
  </x18tc:threadedComment>
  <x18tc:threadedComment ref="I392" dT="2026-05-28T17:49:56.00" personId="{335b28ce-1c09-4fa5-9865-60d165f8c74b}" id="{2f5c3064-9d49-4e1a-8d89-0a86f653bda8}" parentId="{5aa4524b-83d9-4963-a65d-cdbd27817887}">
    <x18tc:text xml:space="preserve">llega mañana viernes</x18tc:text>
  </x18tc:threadedComment>
  <x18tc:threadedComment ref="F208" dT="2026-04-13T13:44:11.00" personId="{335b28ce-1c09-4fa5-9865-60d165f8c74b}" id="{7fbddf3b-a3ad-457e-9ef4-47fb8bbc4ce0}" done="1">
    <x18tc:text xml:space="preserve">ETIQUETA MASIVO. hay que llenar aprox 50 unidades de acondicionador vitamin shock (envase dorado) con un sobrante</x18tc:text>
  </x18tc:threadedComment>
  <x18tc:threadedComment ref="D43" dT="2026-02-20T12:31:25.00" personId="{aefd811f-2822-436f-9b4a-c5923d223c34}" id="{c150c2c6-b9d1-4cf2-9142-5ac992f2cf61}" done="0">
    <x18tc:text xml:space="preserve">CORTAR VALVULAS</x18tc:text>
  </x18tc:threadedComment>
  <x18tc:threadedComment ref="G385" dT="2026-05-28T14:50:18.00" personId="{aefd811f-2822-436f-9b4a-c5923d223c34}" id="{f63351df-6336-494c-b2eb-3faaaed48b3a}" done="1">
    <x18tc:text xml:space="preserve">NO INGRESO M.E</x18tc:text>
  </x18tc:threadedComment>
  <x18tc:threadedComment ref="D225" dT="2026-03-31T19:30:38.00" personId="{335b28ce-1c09-4fa5-9865-60d165f8c74b}" id="{c87cd0e5-cda2-4e2c-b1bd-e74b59163b1b}" done="1">
    <x18tc:text xml:space="preserve">Si vienen las tapas pendientes de la vez pasada llenemos esas 300 que faltaron</x18tc:text>
  </x18tc:threadedComment>
  <x18tc:threadedComment ref="C406" dT="2026-05-28T14:43:48.00" personId="{aefd811f-2822-436f-9b4a-c5923d223c34}" id="{50dfda3c-6a5c-4338-bfe5-aeab7359db5f}" done="1">
    <x18tc:text xml:space="preserve">NO TENGO ETIQUETAS</x18tc:text>
  </x18tc:threadedComment>
  <x18tc:threadedComment ref="C385" dT="2026-05-27T18:06:59.00" personId="{335b28ce-1c09-4fa5-9865-60d165f8c74b}" id="{1ddad1a0-37ff-43ec-bc51-a98bf2af7fd5}" done="1">
    <x18tc:text xml:space="preserve">hay que cortar valvulas</x18tc:text>
  </x18tc:threadedComment>
  <x18tc:threadedComment ref="D35" dT="2026-02-19T18:16:06.00" personId="{aefd811f-2822-436f-9b4a-c5923d223c34}" id="{ddbfcd3e-bc01-4098-b259-55d4c99b16bd}" done="0">
    <x18tc:text xml:space="preserve">LIMPIAR ENVASES (ESTAN CONTAMINADOS)</x18tc:text>
  </x18tc:threadedComment>
  <x18tc:threadedComment ref="B324" dT="2026-04-28T18:57:30.00" personId="{335b28ce-1c09-4fa5-9865-60d165f8c74b}" id="{4b3aaad4-1713-49f8-929a-6bfdfee8e228}" done="1">
    <x18tc:text xml:space="preserve">Cortar valvulas</x18tc:text>
  </x18tc:threadedComment>
  <x18tc:threadedComment ref="D262" dT="2026-04-20T19:44:16.00" personId="{335b28ce-1c09-4fa5-9865-60d165f8c74b}" id="{c999779e-2309-424d-b707-8958087bc156}" done="1">
    <x18tc:text xml:space="preserve">una vez que se tapan hay que pegar etiqueta de la tapa!!</x18tc:text>
  </x18tc:threadedComment>
  <x18tc:threadedComment ref="C393" dT="2026-05-28T14:50:52.00" personId="{aefd811f-2822-436f-9b4a-c5923d223c34}" id="{bd0b4ea2-7be7-4862-9e1c-f6c3be074e35}" done="0">
    <x18tc:text xml:space="preserve">INGRESARON 1800</x18tc:text>
  </x18tc:threadedComment>
  <x18tc:threadedComment ref="F283" dT="2026-04-29T12:47:00.00" personId="{aefd811f-2822-436f-9b4a-c5923d223c34}" id="{6446cec2-d5c1-4991-8f26-65f8977040e4}" done="1">
    <x18tc:text xml:space="preserve">NO INGRESO (ETIQUETAS NO HAY NADA)</x18tc:text>
  </x18tc:threadedComment>
  <x18tc:threadedComment ref="F283" dT="2026-05-04T12:46:23.00" personId="{335b28ce-1c09-4fa5-9865-60d165f8c74b}" id="{646d1542-f71f-4fbc-918e-a294b262c9f0}" parentId="{6446cec2-d5c1-4991-8f26-65f8977040e4}">
    <x18tc:text xml:space="preserve">llegan hoy</x18tc:text>
  </x18tc:threadedComment>
  <x18tc:threadedComment ref="H249" dT="2026-04-20T19:27:31.00" personId="{aefd811f-2822-436f-9b4a-c5923d223c34}" id="{061b30cf-7ecd-462f-a997-e718c11319ea}" done="0">
    <x18tc:text xml:space="preserve">Belu: Los envases tienen bolsita</x18tc:text>
  </x18tc:threadedComment>
  <x18tc:threadedComment ref="K386" dT="2026-05-28T14:50:39.00" personId="{aefd811f-2822-436f-9b4a-c5923d223c34}" id="{bf602614-1758-41ba-b3a0-8c5967245e2d}" done="1">
    <x18tc:text xml:space="preserve">SOLO INGRESARON 500 TAPAS, FALTARIAN 200 PARA COMPLETAR EL PEDIDO</x18tc:text>
  </x18tc:threadedComment>
  <x18tc:threadedComment ref="B309" dT="2026-05-07T15:39:23.00" personId="{aefd811f-2822-436f-9b4a-c5923d223c34}" id="{3e56ff41-afb0-4160-9667-cd1a413f64af}" done="0">
    <x18tc:text xml:space="preserve">PEDIR CAJAS BL COSMETICS PARA ENVASE DE KG</x18tc:text>
  </x18tc:threadedComment>
  <x18tc:threadedComment ref="F309" dT="2026-05-12T16:00:13.00" personId="{aefd811f-2822-436f-9b4a-c5923d223c34}" id="{97f3e033-ae1a-466e-b896-3ca2517a822c}" done="0">
    <x18tc:text xml:space="preserve">Segun ingreso van a faltar 100 unidades de etiquetas.</x18tc:text>
  </x18tc:threadedComment>
  <x18tc:threadedComment ref="J364" dT="2026-05-28T14:42:44.00" personId="{aefd811f-2822-436f-9b4a-c5923d223c34}" id="{fe3f7726-eb46-49ca-9c9c-c55266f5db6f}" done="0">
    <x18tc:text xml:space="preserve">FRAN: tengo coronados de gloria para arrancar</x18tc:text>
  </x18tc:threadedComment>
  <x18tc:threadedComment ref="B299" dT="2026-04-29T13:07:07.00" personId="{aefd811f-2822-436f-9b4a-c5923d223c34}" id="{0b8a0472-4370-4da4-a928-f4f44efc04c2}" done="0">
    <x18tc:text xml:space="preserve">CORTAR VALVULAS</x18tc:text>
  </x18tc:threadedComment>
  <x18tc:threadedComment ref="J309" dT="2026-05-07T15:35:16.00" personId="{aefd811f-2822-436f-9b4a-c5923d223c34}" id="{9d8ea793-3d78-470b-b04a-30ede9d84d88}" done="1">
    <x18tc:text xml:space="preserve">NO HAY ENVASES ACA EN EL LAB, LE DEVOLVIMOS TODO EXCEPTO VIT SHOCK</x18tc:text>
  </x18tc:threadedComment>
  <x18tc:threadedComment ref="H288" dT="2026-04-29T13:09:47.00" personId="{aefd811f-2822-436f-9b4a-c5923d223c34}" id="{81f0e19f-e96c-40d8-b427-eac766f1386b}" done="1">
    <x18tc:text xml:space="preserve">ingreso 4920 (van a faltar 80 u)</x18tc:text>
  </x18tc:threadedComment>
  <x18tc:threadedComment ref="B296" dT="2026-04-29T13:11:43.00" personId="{aefd811f-2822-436f-9b4a-c5923d223c34}" id="{e5ae326c-9a54-40df-a7c3-635805b5a005}" done="0">
    <x18tc:text xml:space="preserve">ingresaron 959 u</x18tc:text>
  </x18tc:threadedComment>
  <x18tc:threadedComment ref="F309" dT="2026-05-07T15:34:02.00" personId="{aefd811f-2822-436f-9b4a-c5923d223c34}" id="{35ad65d6-06b4-4134-b175-6831689c0d92}" done="1">
    <x18tc:text xml:space="preserve">NUNCA INGRESO AL LAB BIONIC X900</x18tc:text>
  </x18tc:threadedComment>
  <x18tc:threadedComment ref="F47" dT="2026-02-20T14:05:08.00" personId="{aefd811f-2822-436f-9b4a-c5923d223c34}" id="{2af6aa04-3827-400a-9a74-d290179f9912}" done="0">
    <x18tc:text xml:space="preserve">LAVAR SERUMS</x18tc:text>
  </x18tc:threadedComment>
  <x18tc:threadedComment ref="F263" dT="2026-04-29T13:12:41.00" personId="{aefd811f-2822-436f-9b4a-c5923d223c34}" id="{919d1840-d526-47cf-9b87-228f1e9c818c}" done="0">
    <x18tc:text xml:space="preserve">INGRESARON 855 U</x18tc:text>
  </x18tc:threadedComment>
  <x18tc:threadedComment ref="F262" dT="2026-04-23T14:28:06.00" personId="{335b28ce-1c09-4fa5-9865-60d165f8c74b}" id="{3a6528fd-bcef-4c71-b5fb-6a0f9b8bb75e}" done="1">
    <x18tc:text xml:space="preserve">LLEVA ETIQUETA EN LA TAPA E INCERTO!</x18tc:text>
  </x18tc:threadedComment>
  <x18tc:threadedComment ref="F262" dT="2026-04-29T13:12:13.00" personId="{aefd811f-2822-436f-9b4a-c5923d223c34}" id="{95a9af6c-2089-49b5-8393-7ffd8bbf4e02}" parentId="{3a6528fd-bcef-4c71-b5fb-6a0f9b8bb75e}">
    <x18tc:text xml:space="preserve">INGRESARON 855 U
Marcado como resuelto</x18tc:text>
  </x18tc:threadedComment>
  <x18tc:threadedComment ref="F238" dT="2026-04-20T19:24:56.00" personId="{aefd811f-2822-436f-9b4a-c5923d223c34}" id="{a8a3cbfc-19e6-4cc2-984d-76a4b1b86864}" done="1">
    <x18tc:text xml:space="preserve">No esta etiquetado</x18tc:text>
  </x18tc:threadedComment>
  <x18tc:threadedComment ref="D334" dT="2026-05-07T15:23:54.00" personId="{aefd811f-2822-436f-9b4a-c5923d223c34}" id="{6e7e5815-7441-45b2-be3c-1487697ec5be}" done="1">
    <x18tc:text xml:space="preserve">SOLO LLEGARON 51 ETIQUETAS.</x18tc:text>
  </x18tc:threadedComment>
  <x18tc:threadedComment ref="F71" dT="2026-02-19T19:53:39.00" personId="{aefd811f-2822-436f-9b4a-c5923d223c34}" id="{62e8592b-3f5b-4ea1-86a7-cda75a02137f}" done="1">
    <x18tc:text xml:space="preserve">LIMPIAR ENVASES</x18tc:text>
  </x18tc:threadedComment>
  <x18tc:threadedComment ref="D174" dT="2026-03-27T12:16:05.00" personId="{aefd811f-2822-436f-9b4a-c5923d223c34}" id="{168f67dc-61ae-4dfb-9d96-295701ce6b13}" done="0">
    <x18tc:text xml:space="preserve">VAN A FALTAR 50 UNIDADES, ENTRARON 450</x18tc:text>
  </x18tc:threadedComment>
  <x18tc:threadedComment ref="I439" dT="2026-06-09T12:59:14.00" personId="{aefd811f-2822-436f-9b4a-c5923d223c34}" id="{e53eddf4-5957-42e7-af29-4692afb5399d}" done="0">
    <x18tc:text xml:space="preserve">NO INGRESO</x18tc:text>
  </x18tc:threadedComment>
  <x18tc:threadedComment ref="C544" dT="2026-06-25T13:37:23.00" personId="{aefd811f-2822-436f-9b4a-c5923d223c34}" id="{fe784259-916c-4dc7-946e-7915e7dddba4}" done="1">
    <x18tc:text xml:space="preserve">FALTA INGRESO DE ETIQUETAS</x18tc:text>
  </x18tc:threadedComment>
  <x18tc:threadedComment ref="D274" dT="2026-04-17T14:57:56.00" personId="{335b28ce-1c09-4fa5-9865-60d165f8c74b}" id="{d046892e-de5e-486d-acf9-912570eae088}" done="0">
    <x18tc:text xml:space="preserve">etiquetemos y estuchemos</x18tc:text>
  </x18tc:threadedComment>
  <x18tc:threadedComment ref="C522" dT="2026-06-25T13:36:35.00" personId="{aefd811f-2822-436f-9b4a-c5923d223c34}" id="{2f0756be-18a6-4d03-9f79-afacc70f10f3}" done="0">
    <x18tc:text xml:space="preserve">LIMPIAR CON PAPEL LAS TAPAS</x18tc:text>
  </x18tc:threadedComment>
  <x18tc:threadedComment ref="D233" dT="2026-04-14T15:26:56.00" personId="{aefd811f-2822-436f-9b4a-c5923d223c34}" id="{2dd17afe-6894-4e8c-95c8-c60ba1c9c85a}" done="1">
    <x18tc:text xml:space="preserve">CORTAR VALULAS</x18tc:text>
  </x18tc:threadedComment>
  <x18tc:threadedComment ref="B233" dT="2026-04-14T15:26:45.00" personId="{aefd811f-2822-436f-9b4a-c5923d223c34}" id="{7e2a8df9-a1fd-4fc7-a0d4-fdfb8b52cb58}" done="1">
    <x18tc:text xml:space="preserve">CORTAR VALVULAS</x18tc:text>
  </x18tc:threadedComment>
  <x18tc:threadedComment ref="H82" dT="2026-03-03T13:23:11.00" personId="{aefd811f-2822-436f-9b4a-c5923d223c34}" id="{3895c50a-b90b-4fc1-9e6a-344a01456d88}" done="1">
    <x18tc:text xml:space="preserve">hay que etiquetar</x18tc:text>
  </x18tc:threadedComment>
  <x18tc:threadedComment ref="H82" dT="2026-03-03T13:23:18.00" personId="{aefd811f-2822-436f-9b4a-c5923d223c34}" id="{53f78384-3a27-4c0e-8fdd-eab0eb3c6ee3}" parentId="{3895c50a-b90b-4fc1-9e6a-344a01456d88}">
    <x18tc:text xml:space="preserve">aca</x18tc:text>
  </x18tc:threadedComment>
  <x18tc:threadedComment ref="H208" dT="2026-04-01T17:46:53.00" personId="{335b28ce-1c09-4fa5-9865-60d165f8c74b}" id="{3648e0f0-d137-4245-9ef2-1760586df585}" done="1">
    <x18tc:text xml:space="preserve">Etiqueta E Masivo!</x18tc:text>
  </x18tc:threadedComment>
  <x18tc:threadedComment ref="C386" dT="2026-05-28T14:52:58.00" personId="{aefd811f-2822-436f-9b4a-c5923d223c34}" id="{0031fa4b-c852-4c8c-9067-c02c0a430fa1}" done="1">
    <x18tc:text xml:space="preserve">NO INGRESO ENV NUEVO (SE DEVUELVEN LOS FALLADOS?)</x18tc:text>
  </x18tc:threadedComment>
  <x18tc:threadedComment ref="G408" dT="2026-05-28T14:51:42.00" personId="{aefd811f-2822-436f-9b4a-c5923d223c34}" id="{ba861a81-a8d0-4e4a-8a28-2f6ef86aa78d}" done="1">
    <x18tc:text xml:space="preserve">NO INGRESO MATERIAL DE EMPAUQE</x18tc:text>
  </x18tc:threadedComment>
  <x18tc:threadedComment ref="D208" dT="2026-04-09T17:58:10.00" personId="{335b28ce-1c09-4fa5-9865-60d165f8c74b}" id="{f9ae80de-15ad-4a60-9bcd-1a73788138fc}" done="1">
    <x18tc:text xml:space="preserve">etiqueta E masivo</x18tc:text>
  </x18tc:threadedComment>
  <x18tc:threadedComment ref="F360" dT="2026-05-26T13:57:05.00" personId="{aefd811f-2822-436f-9b4a-c5923d223c34}" id="{d510c359-4f3a-41f2-ba24-0e4fd3f3d332}" done="0">
    <x18tc:text xml:space="preserve">no llego a etiquetar cantidad total (etiquetas rotas)</x18tc:text>
  </x18tc:threadedComment>
  <x18tc:threadedComment ref="C397" dT="2026-05-27T18:09:56.00" personId="{335b28ce-1c09-4fa5-9865-60d165f8c74b}" id="{a652d2f3-1bca-43e0-a536-fe6cab335f71}" done="0">
    <x18tc:text xml:space="preserve">las cantidades son por dia</x18tc:text>
  </x18tc:threadedComment>
  <x18tc:threadedComment ref="K510" dT="2026-06-26T13:03:01.00" personId="{aefd811f-2822-436f-9b4a-c5923d223c34}" id="{e1e49d89-2df4-4177-9ba2-f438249bf754}" done="1">
    <x18tc:text xml:space="preserve">NO LLEGARON ETIQEUTAS</x18tc:text>
  </x18tc:threadedComment>
  <x18tc:threadedComment ref="K508" dT="2026-06-26T13:03:02.00" personId="{aefd811f-2822-436f-9b4a-c5923d223c34}" id="{90a9101a-0b5d-494d-aa4d-b762643576ab}" done="0">
    <x18tc:text xml:space="preserve">LIMPIAR ENVASES</x18tc:text>
  </x18tc:threadedComment>
  <x18tc:threadedComment ref="H289" dT="2026-05-05T12:08:31.00" personId="{aefd811f-2822-436f-9b4a-c5923d223c34}" id="{79e574f6-76a1-44c0-9bd4-0ae27648961a}" done="0">
    <x18tc:text xml:space="preserve">no se llega con la cantidad de estuches</x18tc:text>
  </x18tc:threadedComment>
  <x18tc:threadedComment ref="H288" dT="2026-05-05T12:08:01.00" personId="{aefd811f-2822-436f-9b4a-c5923d223c34}" id="{2cf3df00-9001-4814-bd52-b50d954c4187}" done="0">
    <x18tc:text xml:space="preserve">no se llega con la cantidad de estuches.</x18tc:text>
  </x18tc:threadedComment>
  <x18tc:threadedComment ref="H313" dT="2026-05-05T12:14:44.00" personId="{aefd811f-2822-436f-9b4a-c5923d223c34}" id="{3cd820d8-2cd2-4728-aad4-de10e2aca0aa}" done="1">
    <x18tc:text xml:space="preserve">tiene que traer valvulas o bombas</x18tc:text>
  </x18tc:threadedComment>
  <x18tc:threadedComment ref="G385" dT="2026-05-28T17:50:46.00" personId="{335b28ce-1c09-4fa5-9865-60d165f8c74b}" id="{6402449e-2207-4d71-afc3-87e997e9703b}" done="0">
    <x18tc:text xml:space="preserve">hay que cortar valvulas</x18tc:text>
  </x18tc:threadedComment>
  <x18tc:threadedComment ref="G391" dT="2026-05-28T17:50:53.00" personId="{335b28ce-1c09-4fa5-9865-60d165f8c74b}" id="{0b916125-e0d7-4603-afcd-1db700b1ce5b}" done="0">
    <x18tc:text xml:space="preserve">cortar valvulas</x18tc:text>
  </x18tc:threadedComment>
  <x18tc:threadedComment ref="E419" dT="2026-06-02T19:47:13.00" personId="{aefd811f-2822-436f-9b4a-c5923d223c34}" id="{de352499-6687-4699-a377-b78ad5f9e8ba}" done="1">
    <x18tc:text xml:space="preserve">ENVASES VINIERON SIN SERIGRAFIAR ¿LLEVA ETIQUETA?</x18tc:text>
  </x18tc:threadedComment>
  <x18tc:threadedComment ref="K392" dT="2026-06-05T11:32:40.00" personId="{aefd811f-2822-436f-9b4a-c5923d223c34}" id="{eb09c114-0677-4e0e-807d-843e19a2f7b6}" done="0">
    <x18tc:text xml:space="preserve">VAN A FALTAR 100 UNIDADES P/ETIQUETAR</x18tc:text>
  </x18tc:threadedComment>
  <x18tc:threadedComment ref="C421" dT="2026-06-05T11:36:42.00" personId="{aefd811f-2822-436f-9b4a-c5923d223c34}" id="{e3fd8804-2e23-4be8-b8ad-830232b52f5d}" done="0">
    <x18tc:text xml:space="preserve">Faltan ingreso etiquetas</x18tc:text>
  </x18tc:threadedComment>
  <x18tc:threadedComment ref="J299" dT="2026-04-27T18:02:33.00" personId="{aefd811f-2822-436f-9b4a-c5923d223c34}" id="{5fdc106a-468c-4932-9803-0bba5170a361}" done="1">
    <x18tc:text xml:space="preserve">Cortar valvulas!</x18tc:text>
  </x18tc:threadedComment>
  <x18tc:threadedComment ref="H251" dT="2026-04-21T19:48:08.00" personId="{aefd811f-2822-436f-9b4a-c5923d223c34}" id="{7b546c38-9f03-4883-92d2-463fd940c197}" done="0">
    <x18tc:text xml:space="preserve">PARA MI ETIQUETAR ACA.</x18tc:text>
  </x18tc:threadedComment>
  <x18tc:threadedComment ref="C420" dT="2026-06-04T11:14:47.00" personId="{aefd811f-2822-436f-9b4a-c5923d223c34}" id="{fcd031c0-97b5-458a-b4e5-f522b084e3c1}" done="1">
    <x18tc:text xml:space="preserve">NO INGRESARON ETIQUETAS</x18tc:text>
  </x18tc:threadedComment>
  <x18tc:threadedComment ref="I386" dT="2026-05-28T15:13:06.00" personId="{aefd811f-2822-436f-9b4a-c5923d223c34}" id="{d426d9b8-e7d1-4448-a848-ff8b287d19f4}" done="0">
    <x18tc:text xml:space="preserve">Faltante etiquetas (tapa 100 y pote 1.600 u)</x18tc:text>
  </x18tc:threadedComment>
  <x18tc:threadedComment ref="B239" dT="2026-04-15T15:36:18.00" personId="{335b28ce-1c09-4fa5-9865-60d165f8c74b}" id="{b63d4c8c-a6ba-4367-8be0-98c5af2c4d2c}" done="1">
    <x18tc:text xml:space="preserve">en 100ml exacto</x18tc:text>
  </x18tc:threadedComment>
  <x18tc:threadedComment ref="H324" dT="2026-05-11T19:58:20.00" personId="{aefd811f-2822-436f-9b4a-c5923d223c34}" id="{d5e7dbeb-adef-4293-a272-54af784e28bc}" done="1">
    <x18tc:text xml:space="preserve">CORTAR VALVULAS</x18tc:text>
  </x18tc:threadedComment>
  <x18tc:threadedComment ref="D263" dT="2026-04-22T15:05:29.00" personId="{aefd811f-2822-436f-9b4a-c5923d223c34}" id="{bf66770b-78bd-40b8-b57b-8235ccdbaf97}" done="1">
    <x18tc:text xml:space="preserve">LLEVAN INSERTO</x18tc:text>
  </x18tc:threadedComment>
  <x18tc:threadedComment ref="H327" dT="2026-05-13T14:24:46.00" personId="{6f405320-639f-498c-947c-c0cc80ec216a}" id="{17e4e55a-d864-4e9d-af51-d71d209e9a96}" done="1">
    <x18tc:text xml:space="preserve">NO ESTAN LOS ENVASES.</x18tc:text>
  </x18tc:threadedComment>
  <x18tc:threadedComment ref="K386" dT="2026-05-28T19:49:31.00" personId="{aefd811f-2822-436f-9b4a-c5923d223c34}" id="{59881f1f-8802-470f-ba0f-9e450ed2b6cd}" done="1">
    <x18tc:text xml:space="preserve">FALTANTES ETIQUETAS</x18tc:text>
  </x18tc:threadedComment>
  <x18tc:threadedComment ref="E385" dT="2026-05-28T17:22:43.00" personId="{335b28ce-1c09-4fa5-9865-60d165f8c74b}" id="{49ee4216-a4cd-4342-a664-fd4314d318d9}" done="0">
    <x18tc:text xml:space="preserve">ingresaron 500 tapas</x18tc:text>
  </x18tc:threadedComment>
  <x18tc:threadedComment ref="H326" dT="2026-05-06T18:35:50.00" personId="{aefd811f-2822-436f-9b4a-c5923d223c34}" id="{3e7fc7b4-7a9d-4d65-944d-3bd2528f1446}" done="1">
    <x18tc:text xml:space="preserve">NO ALCANZAN LOS ESTUCHES</x18tc:text>
  </x18tc:threadedComment>
  <x18tc:threadedComment ref="F81" dT="2026-03-05T18:27:42.00" personId="{aefd811f-2822-436f-9b4a-c5923d223c34}" id="{c59b6d5f-b60d-4b5d-8d19-8f9f16b14547}" done="1">
    <x18tc:text xml:space="preserve">No se llego a etiquetar todos los envases. Llegaron menos etiquetas</x18tc:text>
  </x18tc:threadedComment>
  <x18tc:threadedComment ref="H208" dT="2026-04-15T14:27:27.00" personId="{335b28ce-1c09-4fa5-9865-60d165f8c74b}" id="{3f9b9f4b-fce4-4107-84b0-9a9847466458}" done="0">
    <x18tc:text xml:space="preserve">ETIQUETA MASIVO</x18tc:text>
  </x18tc:threadedComment>
  <x18tc:threadedComment ref="G398" dT="2026-05-28T14:56:56.00" personId="{aefd811f-2822-436f-9b4a-c5923d223c34}" id="{b3fc2c79-c95c-4d10-9d93-88aa90037cb8}" done="0">
    <x18tc:text xml:space="preserve">SOLICITAR MAS CAJAS VARIEDAD VERDE Y AZUL. LO MISMO CON LAS ETIQUETAS. INGRESARON 3.000 DE C/U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42.0" topLeftCell="A143" activePane="bottomLeft" state="frozen"/>
      <selection activeCell="B144" sqref="B144" pane="bottomLeft"/>
    </sheetView>
  </sheetViews>
  <sheetFormatPr customHeight="1" defaultColWidth="12.63" defaultRowHeight="15.0"/>
  <cols>
    <col customWidth="1" min="1" max="1" width="6.88"/>
    <col customWidth="1" min="2" max="2" width="33.88"/>
    <col customWidth="1" min="3" max="3" width="2.13"/>
    <col customWidth="1" min="4" max="4" width="34.88"/>
    <col customWidth="1" min="5" max="5" width="1.5"/>
    <col customWidth="1" min="6" max="6" width="31.75"/>
    <col customWidth="1" min="7" max="7" width="1.5"/>
    <col customWidth="1" min="8" max="8" width="31.25"/>
    <col customWidth="1" min="9" max="9" width="1.88"/>
    <col customWidth="1" min="10" max="10" width="33.25"/>
    <col customWidth="1" min="11" max="11" width="10.0"/>
  </cols>
  <sheetData>
    <row r="1" ht="15.75" hidden="1" customHeight="1">
      <c r="B1" s="1" t="s">
        <v>0</v>
      </c>
      <c r="C1" s="2"/>
      <c r="D1" s="3" t="s">
        <v>1</v>
      </c>
      <c r="E1" s="2"/>
      <c r="F1" s="4" t="s">
        <v>2</v>
      </c>
      <c r="G1" s="2"/>
      <c r="H1" s="4" t="s">
        <v>3</v>
      </c>
      <c r="I1" s="2"/>
      <c r="J1" s="4" t="s">
        <v>4</v>
      </c>
      <c r="K1" s="5"/>
    </row>
    <row r="2" ht="15.75" hidden="1" customHeight="1">
      <c r="B2" s="6">
        <v>16.0</v>
      </c>
      <c r="D2" s="7">
        <v>17.0</v>
      </c>
      <c r="F2" s="7">
        <v>18.0</v>
      </c>
      <c r="H2" s="7">
        <v>19.0</v>
      </c>
      <c r="J2" s="7">
        <v>20.0</v>
      </c>
      <c r="K2" s="8"/>
    </row>
    <row r="3" ht="15.75" hidden="1" customHeight="1">
      <c r="B3" s="9" t="s">
        <v>5</v>
      </c>
      <c r="D3" s="10" t="s">
        <v>5</v>
      </c>
      <c r="F3" s="10" t="s">
        <v>5</v>
      </c>
      <c r="H3" s="10" t="s">
        <v>5</v>
      </c>
      <c r="J3" s="10" t="s">
        <v>5</v>
      </c>
      <c r="K3" s="8"/>
    </row>
    <row r="4" ht="15.75" hidden="1" customHeight="1">
      <c r="B4" s="11" t="s">
        <v>6</v>
      </c>
      <c r="C4" s="12"/>
      <c r="D4" s="12"/>
      <c r="E4" s="12"/>
      <c r="F4" s="12"/>
      <c r="G4" s="12"/>
      <c r="H4" s="12"/>
      <c r="I4" s="12"/>
      <c r="J4" s="12"/>
      <c r="K4" s="13"/>
    </row>
    <row r="5" ht="15.75" hidden="1" customHeight="1">
      <c r="B5" s="14"/>
      <c r="D5" s="15"/>
      <c r="F5" s="16" t="s">
        <v>7</v>
      </c>
      <c r="H5" s="16" t="s">
        <v>8</v>
      </c>
      <c r="J5" s="17" t="s">
        <v>9</v>
      </c>
      <c r="K5" s="8"/>
    </row>
    <row r="6" ht="15.75" hidden="1" customHeight="1">
      <c r="B6" s="14"/>
      <c r="D6" s="15"/>
      <c r="F6" s="16" t="s">
        <v>10</v>
      </c>
      <c r="H6" s="18" t="s">
        <v>11</v>
      </c>
      <c r="J6" s="17" t="s">
        <v>12</v>
      </c>
      <c r="K6" s="8"/>
    </row>
    <row r="7" ht="15.75" hidden="1" customHeight="1">
      <c r="B7" s="14"/>
      <c r="D7" s="15"/>
      <c r="F7" s="16" t="s">
        <v>13</v>
      </c>
      <c r="H7" s="18" t="s">
        <v>14</v>
      </c>
      <c r="J7" s="17" t="s">
        <v>15</v>
      </c>
      <c r="K7" s="8"/>
    </row>
    <row r="8" ht="15.75" hidden="1" customHeight="1">
      <c r="B8" s="19"/>
      <c r="D8" s="20"/>
      <c r="F8" s="21"/>
      <c r="H8" s="16" t="s">
        <v>16</v>
      </c>
      <c r="J8" s="22"/>
      <c r="K8" s="8"/>
    </row>
    <row r="9" ht="15.75" hidden="1" customHeight="1">
      <c r="B9" s="19"/>
      <c r="D9" s="20"/>
      <c r="F9" s="16" t="s">
        <v>17</v>
      </c>
      <c r="H9" s="16" t="s">
        <v>14</v>
      </c>
      <c r="J9" s="17" t="s">
        <v>18</v>
      </c>
      <c r="K9" s="8"/>
    </row>
    <row r="10" ht="15.75" hidden="1" customHeight="1">
      <c r="B10" s="19"/>
      <c r="D10" s="20"/>
      <c r="F10" s="16" t="s">
        <v>19</v>
      </c>
      <c r="H10" s="16" t="s">
        <v>20</v>
      </c>
      <c r="J10" s="23" t="s">
        <v>21</v>
      </c>
      <c r="K10" s="8"/>
    </row>
    <row r="11" ht="15.75" hidden="1" customHeight="1">
      <c r="B11" s="14"/>
      <c r="D11" s="15"/>
      <c r="F11" s="16" t="s">
        <v>22</v>
      </c>
      <c r="H11" s="16" t="s">
        <v>14</v>
      </c>
      <c r="J11" s="17" t="s">
        <v>23</v>
      </c>
      <c r="K11" s="8"/>
    </row>
    <row r="12" ht="15.75" hidden="1" customHeight="1">
      <c r="B12" s="24"/>
      <c r="C12" s="25"/>
      <c r="D12" s="25"/>
      <c r="E12" s="25"/>
      <c r="F12" s="25"/>
      <c r="G12" s="25"/>
      <c r="H12" s="25"/>
      <c r="I12" s="25"/>
      <c r="J12" s="25"/>
      <c r="K12" s="26"/>
    </row>
    <row r="13" ht="15.75" hidden="1" customHeight="1">
      <c r="B13" s="27" t="s">
        <v>24</v>
      </c>
      <c r="C13" s="12"/>
      <c r="D13" s="12"/>
      <c r="E13" s="12"/>
      <c r="F13" s="12"/>
      <c r="G13" s="12"/>
      <c r="H13" s="12"/>
      <c r="I13" s="12"/>
      <c r="J13" s="12"/>
      <c r="K13" s="13"/>
    </row>
    <row r="14" ht="15.75" hidden="1" customHeight="1">
      <c r="B14" s="19"/>
      <c r="D14" s="15"/>
      <c r="F14" s="16" t="s">
        <v>25</v>
      </c>
      <c r="H14" s="17" t="s">
        <v>17</v>
      </c>
      <c r="J14" s="28" t="s">
        <v>9</v>
      </c>
      <c r="K14" s="8"/>
    </row>
    <row r="15" ht="15.75" hidden="1" customHeight="1">
      <c r="B15" s="14"/>
      <c r="D15" s="15"/>
      <c r="F15" s="29" t="s">
        <v>26</v>
      </c>
      <c r="H15" s="17" t="s">
        <v>27</v>
      </c>
      <c r="J15" s="28" t="s">
        <v>28</v>
      </c>
      <c r="K15" s="8"/>
    </row>
    <row r="16" ht="15.75" hidden="1" customHeight="1">
      <c r="B16" s="14"/>
      <c r="D16" s="15"/>
      <c r="H16" s="17" t="s">
        <v>29</v>
      </c>
      <c r="J16" s="28" t="s">
        <v>30</v>
      </c>
      <c r="K16" s="8"/>
    </row>
    <row r="17" ht="15.75" hidden="1" customHeight="1">
      <c r="B17" s="19"/>
      <c r="D17" s="15"/>
      <c r="F17" s="21"/>
      <c r="H17" s="21"/>
      <c r="J17" s="28" t="s">
        <v>31</v>
      </c>
      <c r="K17" s="8"/>
    </row>
    <row r="18" ht="15.75" hidden="1" customHeight="1">
      <c r="B18" s="19"/>
      <c r="D18" s="15"/>
      <c r="F18" s="16" t="s">
        <v>32</v>
      </c>
      <c r="H18" s="17" t="s">
        <v>33</v>
      </c>
      <c r="J18" s="30"/>
      <c r="K18" s="8"/>
    </row>
    <row r="19" ht="15.75" hidden="1" customHeight="1">
      <c r="B19" s="19"/>
      <c r="D19" s="15"/>
      <c r="F19" s="16" t="s">
        <v>34</v>
      </c>
      <c r="H19" s="17" t="s">
        <v>35</v>
      </c>
      <c r="J19" s="31"/>
      <c r="K19" s="8"/>
    </row>
    <row r="20" ht="15.75" hidden="1" customHeight="1">
      <c r="B20" s="19"/>
      <c r="D20" s="15"/>
      <c r="F20" s="16" t="s">
        <v>36</v>
      </c>
      <c r="H20" s="17">
        <v>800.0</v>
      </c>
      <c r="K20" s="8"/>
    </row>
    <row r="21" ht="15.75" hidden="1" customHeight="1">
      <c r="B21" s="32"/>
      <c r="D21" s="33"/>
      <c r="E21" s="33"/>
      <c r="F21" s="33"/>
      <c r="G21" s="33"/>
      <c r="H21" s="33"/>
      <c r="I21" s="33"/>
      <c r="J21" s="33"/>
      <c r="K21" s="8"/>
    </row>
    <row r="22" ht="15.75" hidden="1" customHeight="1">
      <c r="B22" s="34"/>
      <c r="C22" s="35"/>
      <c r="D22" s="36"/>
      <c r="E22" s="36"/>
      <c r="F22" s="36"/>
      <c r="G22" s="36"/>
      <c r="H22" s="36"/>
      <c r="I22" s="36"/>
      <c r="J22" s="36"/>
      <c r="K22" s="37"/>
    </row>
    <row r="23" ht="15.75" hidden="1" customHeight="1"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ht="15.75" hidden="1" customHeight="1">
      <c r="B24" s="38" t="s">
        <v>0</v>
      </c>
      <c r="C24" s="12"/>
      <c r="D24" s="39" t="s">
        <v>1</v>
      </c>
      <c r="E24" s="12"/>
      <c r="F24" s="40" t="s">
        <v>2</v>
      </c>
      <c r="G24" s="12"/>
      <c r="H24" s="40" t="s">
        <v>3</v>
      </c>
      <c r="I24" s="12"/>
      <c r="J24" s="40" t="s">
        <v>4</v>
      </c>
      <c r="K24" s="13"/>
    </row>
    <row r="25" ht="15.75" hidden="1" customHeight="1">
      <c r="B25" s="6">
        <v>23.0</v>
      </c>
      <c r="D25" s="7">
        <v>24.0</v>
      </c>
      <c r="F25" s="7">
        <v>25.0</v>
      </c>
      <c r="H25" s="7">
        <v>26.0</v>
      </c>
      <c r="J25" s="7">
        <v>27.0</v>
      </c>
      <c r="K25" s="8"/>
    </row>
    <row r="26" ht="15.75" hidden="1" customHeight="1">
      <c r="B26" s="41" t="s">
        <v>5</v>
      </c>
      <c r="C26" s="35"/>
      <c r="D26" s="42" t="s">
        <v>5</v>
      </c>
      <c r="E26" s="35"/>
      <c r="F26" s="42" t="s">
        <v>5</v>
      </c>
      <c r="G26" s="35"/>
      <c r="H26" s="42" t="s">
        <v>5</v>
      </c>
      <c r="I26" s="35"/>
      <c r="J26" s="42" t="s">
        <v>5</v>
      </c>
      <c r="K26" s="37"/>
      <c r="M26" s="43"/>
    </row>
    <row r="27" ht="15.75" hidden="1" customHeight="1">
      <c r="B27" s="44" t="s">
        <v>6</v>
      </c>
      <c r="K27" s="8"/>
    </row>
    <row r="28" ht="15.75" hidden="1" customHeight="1">
      <c r="B28" s="45" t="s">
        <v>17</v>
      </c>
      <c r="D28" s="17" t="s">
        <v>37</v>
      </c>
      <c r="F28" s="46" t="s">
        <v>38</v>
      </c>
      <c r="H28" s="46" t="s">
        <v>39</v>
      </c>
      <c r="J28" s="47" t="s">
        <v>40</v>
      </c>
      <c r="K28" s="8"/>
    </row>
    <row r="29" ht="15.75" hidden="1" customHeight="1">
      <c r="B29" s="45" t="s">
        <v>41</v>
      </c>
      <c r="D29" s="17" t="s">
        <v>27</v>
      </c>
      <c r="F29" s="46" t="s">
        <v>42</v>
      </c>
      <c r="H29" s="48" t="s">
        <v>43</v>
      </c>
      <c r="J29" s="47" t="s">
        <v>44</v>
      </c>
      <c r="K29" s="8"/>
    </row>
    <row r="30" ht="15.75" hidden="1" customHeight="1">
      <c r="B30" s="49" t="s">
        <v>13</v>
      </c>
      <c r="D30" s="17" t="s">
        <v>45</v>
      </c>
      <c r="F30" s="46" t="s">
        <v>46</v>
      </c>
      <c r="H30" s="50" t="s">
        <v>47</v>
      </c>
      <c r="J30" s="47"/>
      <c r="K30" s="8"/>
    </row>
    <row r="31" ht="15.75" hidden="1" customHeight="1">
      <c r="B31" s="51" t="s">
        <v>48</v>
      </c>
      <c r="D31" s="52"/>
      <c r="F31" s="46" t="s">
        <v>49</v>
      </c>
      <c r="H31" s="21"/>
      <c r="J31" s="47"/>
      <c r="K31" s="8"/>
    </row>
    <row r="32" ht="15.75" hidden="1" customHeight="1">
      <c r="B32" s="51" t="s">
        <v>50</v>
      </c>
      <c r="D32" s="53"/>
      <c r="F32" s="54"/>
      <c r="H32" s="46" t="s">
        <v>51</v>
      </c>
      <c r="J32" s="47"/>
      <c r="K32" s="8"/>
    </row>
    <row r="33" ht="15.75" hidden="1" customHeight="1">
      <c r="B33" s="49" t="s">
        <v>52</v>
      </c>
      <c r="D33" s="28" t="s">
        <v>39</v>
      </c>
      <c r="F33" s="54"/>
      <c r="H33" s="46" t="s">
        <v>53</v>
      </c>
      <c r="J33" s="31"/>
      <c r="K33" s="8"/>
    </row>
    <row r="34" ht="15.75" hidden="1" customHeight="1">
      <c r="B34" s="45" t="s">
        <v>54</v>
      </c>
      <c r="D34" s="17" t="s">
        <v>55</v>
      </c>
      <c r="F34" s="54"/>
      <c r="H34" s="55"/>
      <c r="J34" s="22"/>
      <c r="K34" s="8"/>
    </row>
    <row r="35" ht="15.75" hidden="1" customHeight="1">
      <c r="B35" s="56"/>
      <c r="D35" s="57"/>
      <c r="F35" s="57"/>
      <c r="H35" s="57"/>
      <c r="J35" s="58"/>
      <c r="K35" s="8"/>
    </row>
    <row r="36" ht="15.75" hidden="1" customHeight="1">
      <c r="B36" s="59" t="s">
        <v>24</v>
      </c>
      <c r="K36" s="8"/>
    </row>
    <row r="37" ht="15.75" hidden="1" customHeight="1">
      <c r="B37" s="45" t="s">
        <v>56</v>
      </c>
      <c r="D37" s="17" t="s">
        <v>17</v>
      </c>
      <c r="F37" s="46" t="s">
        <v>51</v>
      </c>
      <c r="H37" s="17" t="s">
        <v>57</v>
      </c>
      <c r="J37" s="60"/>
      <c r="K37" s="8"/>
    </row>
    <row r="38" ht="15.75" hidden="1" customHeight="1">
      <c r="B38" s="45" t="s">
        <v>58</v>
      </c>
      <c r="D38" s="17" t="s">
        <v>59</v>
      </c>
      <c r="F38" s="46" t="s">
        <v>60</v>
      </c>
      <c r="H38" s="17" t="s">
        <v>61</v>
      </c>
      <c r="J38" s="60"/>
      <c r="K38" s="8"/>
    </row>
    <row r="39" ht="15.75" hidden="1" customHeight="1">
      <c r="B39" s="49" t="s">
        <v>25</v>
      </c>
      <c r="D39" s="17" t="s">
        <v>62</v>
      </c>
      <c r="F39" s="55"/>
      <c r="H39" s="17" t="s">
        <v>63</v>
      </c>
      <c r="J39" s="60"/>
      <c r="K39" s="8"/>
    </row>
    <row r="40" ht="15.75" hidden="1" customHeight="1">
      <c r="B40" s="49" t="s">
        <v>64</v>
      </c>
      <c r="D40" s="17" t="s">
        <v>65</v>
      </c>
      <c r="F40" s="61" t="s">
        <v>48</v>
      </c>
      <c r="H40" s="46" t="s">
        <v>40</v>
      </c>
      <c r="J40" s="30"/>
      <c r="K40" s="8"/>
    </row>
    <row r="41" ht="15.75" hidden="1" customHeight="1">
      <c r="B41" s="49" t="s">
        <v>51</v>
      </c>
      <c r="D41" s="17" t="s">
        <v>66</v>
      </c>
      <c r="F41" s="61" t="s">
        <v>67</v>
      </c>
      <c r="H41" s="46" t="s">
        <v>68</v>
      </c>
      <c r="J41" s="28" t="s">
        <v>69</v>
      </c>
      <c r="K41" s="8"/>
    </row>
    <row r="42" ht="15.75" hidden="1" customHeight="1">
      <c r="B42" s="49" t="s">
        <v>70</v>
      </c>
      <c r="D42" s="17" t="s">
        <v>71</v>
      </c>
      <c r="F42" s="54"/>
      <c r="H42" s="54"/>
      <c r="J42" s="28" t="s">
        <v>72</v>
      </c>
      <c r="K42" s="8"/>
    </row>
    <row r="43" ht="15.75" hidden="1" customHeight="1">
      <c r="B43" s="62" t="s">
        <v>73</v>
      </c>
      <c r="D43" s="23" t="s">
        <v>13</v>
      </c>
      <c r="F43" s="54"/>
      <c r="H43" s="63"/>
      <c r="J43" s="17" t="s">
        <v>74</v>
      </c>
      <c r="K43" s="8"/>
    </row>
    <row r="44" ht="15.75" hidden="1" customHeight="1">
      <c r="B44" s="32"/>
      <c r="D44" s="33"/>
      <c r="E44" s="33"/>
      <c r="F44" s="33"/>
      <c r="G44" s="33"/>
      <c r="H44" s="33"/>
      <c r="I44" s="33"/>
      <c r="J44" s="33"/>
      <c r="K44" s="8"/>
    </row>
    <row r="45" ht="15.75" hidden="1" customHeight="1">
      <c r="B45" s="34"/>
      <c r="C45" s="35"/>
      <c r="D45" s="36"/>
      <c r="E45" s="36"/>
      <c r="F45" s="36"/>
      <c r="G45" s="36"/>
      <c r="H45" s="36"/>
      <c r="I45" s="36"/>
      <c r="J45" s="36"/>
      <c r="K45" s="37"/>
    </row>
    <row r="46" ht="15.75" hidden="1" customHeight="1"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ht="15.75" hidden="1" customHeight="1">
      <c r="B47" s="1" t="s">
        <v>0</v>
      </c>
      <c r="C47" s="2"/>
      <c r="D47" s="3" t="s">
        <v>1</v>
      </c>
      <c r="E47" s="2"/>
      <c r="F47" s="4" t="s">
        <v>2</v>
      </c>
      <c r="G47" s="2"/>
      <c r="H47" s="4" t="s">
        <v>3</v>
      </c>
      <c r="I47" s="2"/>
      <c r="J47" s="4" t="s">
        <v>4</v>
      </c>
      <c r="K47" s="5"/>
      <c r="M47" s="64"/>
      <c r="N47" s="64"/>
      <c r="O47" s="64"/>
    </row>
    <row r="48" ht="15.75" hidden="1" customHeight="1">
      <c r="B48" s="65">
        <v>2.0</v>
      </c>
      <c r="D48" s="66">
        <v>3.0</v>
      </c>
      <c r="F48" s="66">
        <v>4.0</v>
      </c>
      <c r="H48" s="66">
        <v>5.0</v>
      </c>
      <c r="J48" s="66">
        <v>6.0</v>
      </c>
      <c r="K48" s="8"/>
    </row>
    <row r="49" ht="15.75" hidden="1" customHeight="1">
      <c r="B49" s="67" t="s">
        <v>75</v>
      </c>
      <c r="D49" s="68" t="s">
        <v>75</v>
      </c>
      <c r="F49" s="68" t="s">
        <v>75</v>
      </c>
      <c r="H49" s="68" t="s">
        <v>75</v>
      </c>
      <c r="J49" s="68" t="s">
        <v>75</v>
      </c>
      <c r="K49" s="8"/>
      <c r="N49" s="69"/>
    </row>
    <row r="50" ht="15.75" hidden="1" customHeight="1">
      <c r="B50" s="44" t="s">
        <v>6</v>
      </c>
      <c r="K50" s="8"/>
    </row>
    <row r="51" ht="15.75" hidden="1" customHeight="1">
      <c r="B51" s="45" t="s">
        <v>76</v>
      </c>
      <c r="D51" s="17" t="s">
        <v>77</v>
      </c>
      <c r="F51" s="17" t="s">
        <v>40</v>
      </c>
      <c r="H51" s="17" t="s">
        <v>25</v>
      </c>
      <c r="J51" s="17" t="s">
        <v>78</v>
      </c>
      <c r="K51" s="8"/>
      <c r="N51" s="69"/>
    </row>
    <row r="52" ht="15.75" hidden="1" customHeight="1">
      <c r="B52" s="45" t="s">
        <v>79</v>
      </c>
      <c r="D52" s="17" t="s">
        <v>27</v>
      </c>
      <c r="F52" s="17" t="s">
        <v>44</v>
      </c>
      <c r="H52" s="70" t="s">
        <v>80</v>
      </c>
      <c r="J52" s="17" t="s">
        <v>81</v>
      </c>
      <c r="K52" s="8"/>
    </row>
    <row r="53" ht="15.75" hidden="1" customHeight="1">
      <c r="B53" s="49" t="s">
        <v>76</v>
      </c>
      <c r="D53" s="17" t="s">
        <v>82</v>
      </c>
      <c r="F53" s="54"/>
      <c r="H53" s="71"/>
      <c r="J53" s="17" t="s">
        <v>83</v>
      </c>
      <c r="K53" s="8"/>
    </row>
    <row r="54" ht="15.75" hidden="1" customHeight="1">
      <c r="B54" s="49" t="s">
        <v>84</v>
      </c>
      <c r="D54" s="72" t="s">
        <v>85</v>
      </c>
      <c r="F54" s="46" t="s">
        <v>7</v>
      </c>
      <c r="H54" s="17" t="s">
        <v>69</v>
      </c>
      <c r="J54" s="17" t="s">
        <v>86</v>
      </c>
      <c r="K54" s="8"/>
    </row>
    <row r="55" ht="15.75" hidden="1" customHeight="1">
      <c r="B55" s="49" t="s">
        <v>38</v>
      </c>
      <c r="D55" s="52"/>
      <c r="F55" s="46" t="s">
        <v>87</v>
      </c>
      <c r="H55" s="17" t="s">
        <v>88</v>
      </c>
      <c r="J55" s="17" t="s">
        <v>89</v>
      </c>
      <c r="K55" s="8"/>
    </row>
    <row r="56" ht="15.75" hidden="1" customHeight="1">
      <c r="B56" s="49" t="s">
        <v>42</v>
      </c>
      <c r="D56" s="52"/>
      <c r="F56" s="54"/>
      <c r="H56" s="17" t="s">
        <v>90</v>
      </c>
      <c r="J56" s="23" t="s">
        <v>91</v>
      </c>
      <c r="K56" s="8"/>
    </row>
    <row r="57" ht="15.75" hidden="1" customHeight="1">
      <c r="B57" s="45" t="s">
        <v>92</v>
      </c>
      <c r="D57" s="73"/>
      <c r="F57" s="54"/>
      <c r="H57" s="17" t="s">
        <v>93</v>
      </c>
      <c r="J57" s="22"/>
      <c r="K57" s="8"/>
    </row>
    <row r="58" ht="15.75" hidden="1" customHeight="1">
      <c r="B58" s="56"/>
      <c r="D58" s="57"/>
      <c r="F58" s="57"/>
      <c r="H58" s="57"/>
      <c r="J58" s="58"/>
      <c r="K58" s="8"/>
    </row>
    <row r="59" ht="15.75" hidden="1" customHeight="1">
      <c r="B59" s="59" t="s">
        <v>24</v>
      </c>
      <c r="K59" s="8"/>
    </row>
    <row r="60" ht="15.75" hidden="1" customHeight="1">
      <c r="B60" s="74"/>
      <c r="D60" s="75" t="s">
        <v>94</v>
      </c>
      <c r="F60" s="17" t="s">
        <v>94</v>
      </c>
      <c r="H60" s="17" t="s">
        <v>25</v>
      </c>
      <c r="J60" s="76" t="s">
        <v>86</v>
      </c>
      <c r="K60" s="8"/>
    </row>
    <row r="61" ht="15.75" hidden="1" customHeight="1">
      <c r="B61" s="74"/>
      <c r="D61" s="75" t="s">
        <v>95</v>
      </c>
      <c r="F61" s="17" t="s">
        <v>96</v>
      </c>
      <c r="H61" s="17" t="s">
        <v>97</v>
      </c>
      <c r="J61" s="76" t="s">
        <v>98</v>
      </c>
      <c r="K61" s="8"/>
      <c r="N61" s="77"/>
    </row>
    <row r="62" ht="15.75" hidden="1" customHeight="1">
      <c r="B62" s="49" t="s">
        <v>99</v>
      </c>
      <c r="D62" s="75" t="s">
        <v>100</v>
      </c>
      <c r="F62" s="17" t="s">
        <v>101</v>
      </c>
      <c r="H62" s="17" t="s">
        <v>102</v>
      </c>
      <c r="J62" s="78"/>
      <c r="K62" s="8"/>
      <c r="N62" s="77"/>
    </row>
    <row r="63" ht="15.75" hidden="1" customHeight="1">
      <c r="B63" s="49" t="s">
        <v>103</v>
      </c>
      <c r="D63" s="73"/>
      <c r="F63" s="79" t="s">
        <v>39</v>
      </c>
      <c r="H63" s="54"/>
      <c r="J63" s="78"/>
      <c r="K63" s="8"/>
      <c r="N63" s="80"/>
    </row>
    <row r="64" ht="15.75" hidden="1" customHeight="1">
      <c r="B64" s="49" t="s">
        <v>40</v>
      </c>
      <c r="D64" s="17" t="s">
        <v>66</v>
      </c>
      <c r="F64" s="79" t="s">
        <v>104</v>
      </c>
      <c r="H64" s="81" t="s">
        <v>105</v>
      </c>
      <c r="J64" s="17" t="s">
        <v>94</v>
      </c>
    </row>
    <row r="65" ht="15.75" hidden="1" customHeight="1">
      <c r="B65" s="49" t="s">
        <v>106</v>
      </c>
      <c r="D65" s="17" t="s">
        <v>107</v>
      </c>
      <c r="F65" s="54" t="s">
        <v>108</v>
      </c>
      <c r="H65" s="81" t="s">
        <v>109</v>
      </c>
      <c r="J65" s="17" t="s">
        <v>110</v>
      </c>
    </row>
    <row r="66" ht="15.75" hidden="1" customHeight="1">
      <c r="B66" s="62" t="s">
        <v>37</v>
      </c>
      <c r="D66" s="23" t="s">
        <v>111</v>
      </c>
      <c r="F66" s="46" t="s">
        <v>48</v>
      </c>
      <c r="H66" s="82"/>
      <c r="J66" s="17" t="s">
        <v>112</v>
      </c>
    </row>
    <row r="67" ht="15.75" hidden="1" customHeight="1">
      <c r="B67" s="83" t="s">
        <v>113</v>
      </c>
      <c r="D67" s="84"/>
      <c r="E67" s="85"/>
      <c r="F67" s="46" t="s">
        <v>114</v>
      </c>
      <c r="H67" s="63"/>
      <c r="J67" s="22"/>
      <c r="K67" s="86"/>
    </row>
    <row r="68" ht="15.75" hidden="1" customHeight="1">
      <c r="B68" s="87"/>
      <c r="D68" s="33"/>
      <c r="E68" s="33"/>
      <c r="F68" s="54" t="s">
        <v>115</v>
      </c>
      <c r="H68" s="33"/>
      <c r="I68" s="33"/>
      <c r="J68" s="33"/>
      <c r="K68" s="86"/>
    </row>
    <row r="69" ht="15.75" hidden="1" customHeight="1">
      <c r="B69" s="88"/>
      <c r="C69" s="89"/>
      <c r="D69" s="90"/>
      <c r="E69" s="90"/>
      <c r="F69" s="90"/>
      <c r="G69" s="90"/>
      <c r="H69" s="90"/>
      <c r="I69" s="90"/>
      <c r="J69" s="90"/>
      <c r="K69" s="91"/>
    </row>
    <row r="70" ht="15.75" hidden="1" customHeight="1"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 ht="15.75" hidden="1" customHeight="1">
      <c r="B71" s="1" t="s">
        <v>0</v>
      </c>
      <c r="C71" s="2"/>
      <c r="D71" s="3" t="s">
        <v>1</v>
      </c>
      <c r="E71" s="2"/>
      <c r="F71" s="4" t="s">
        <v>2</v>
      </c>
      <c r="G71" s="2"/>
      <c r="H71" s="4" t="s">
        <v>3</v>
      </c>
      <c r="I71" s="2"/>
      <c r="J71" s="4" t="s">
        <v>4</v>
      </c>
      <c r="K71" s="5"/>
    </row>
    <row r="72" ht="15.75" hidden="1" customHeight="1">
      <c r="B72" s="65">
        <v>9.0</v>
      </c>
      <c r="D72" s="66">
        <v>10.0</v>
      </c>
      <c r="F72" s="66">
        <v>11.0</v>
      </c>
      <c r="H72" s="66">
        <v>12.0</v>
      </c>
      <c r="J72" s="66">
        <v>13.0</v>
      </c>
      <c r="K72" s="8"/>
    </row>
    <row r="73" ht="15.75" hidden="1" customHeight="1">
      <c r="B73" s="67" t="s">
        <v>75</v>
      </c>
      <c r="D73" s="68" t="s">
        <v>75</v>
      </c>
      <c r="F73" s="68" t="s">
        <v>75</v>
      </c>
      <c r="H73" s="68" t="s">
        <v>75</v>
      </c>
      <c r="J73" s="68" t="s">
        <v>75</v>
      </c>
      <c r="K73" s="8"/>
    </row>
    <row r="74" ht="15.75" hidden="1" customHeight="1">
      <c r="B74" s="44" t="s">
        <v>6</v>
      </c>
      <c r="K74" s="8"/>
    </row>
    <row r="75" ht="15.75" hidden="1" customHeight="1">
      <c r="B75" s="45" t="s">
        <v>116</v>
      </c>
      <c r="D75" s="17" t="s">
        <v>25</v>
      </c>
      <c r="F75" s="17" t="s">
        <v>40</v>
      </c>
      <c r="H75" s="17" t="s">
        <v>117</v>
      </c>
      <c r="J75" s="17" t="s">
        <v>78</v>
      </c>
      <c r="K75" s="8"/>
    </row>
    <row r="76" ht="15.75" hidden="1" customHeight="1">
      <c r="B76" s="45" t="s">
        <v>118</v>
      </c>
      <c r="D76" s="17" t="s">
        <v>119</v>
      </c>
      <c r="F76" s="17" t="s">
        <v>120</v>
      </c>
      <c r="H76" s="50" t="s">
        <v>121</v>
      </c>
      <c r="J76" s="17" t="s">
        <v>122</v>
      </c>
      <c r="K76" s="8"/>
    </row>
    <row r="77" ht="15.75" hidden="1" customHeight="1">
      <c r="B77" s="92"/>
      <c r="D77" s="73"/>
      <c r="F77" s="54"/>
      <c r="H77" s="50" t="s">
        <v>123</v>
      </c>
      <c r="J77" s="17" t="s">
        <v>40</v>
      </c>
      <c r="K77" s="8"/>
    </row>
    <row r="78" ht="15.75" hidden="1" customHeight="1">
      <c r="B78" s="93" t="s">
        <v>124</v>
      </c>
      <c r="D78" s="28" t="s">
        <v>125</v>
      </c>
      <c r="F78" s="17" t="s">
        <v>78</v>
      </c>
      <c r="H78" s="54"/>
      <c r="J78" s="17" t="s">
        <v>126</v>
      </c>
      <c r="K78" s="8"/>
    </row>
    <row r="79" ht="15.75" hidden="1" customHeight="1">
      <c r="B79" s="93" t="s">
        <v>127</v>
      </c>
      <c r="D79" s="28" t="s">
        <v>128</v>
      </c>
      <c r="F79" s="17" t="s">
        <v>129</v>
      </c>
      <c r="H79" s="54"/>
      <c r="J79" s="17" t="s">
        <v>130</v>
      </c>
      <c r="K79" s="8"/>
    </row>
    <row r="80" ht="15.75" hidden="1" customHeight="1">
      <c r="B80" s="49" t="s">
        <v>40</v>
      </c>
      <c r="D80" s="28" t="s">
        <v>131</v>
      </c>
      <c r="F80" s="54"/>
      <c r="H80" s="54"/>
      <c r="J80" s="23" t="s">
        <v>66</v>
      </c>
      <c r="K80" s="8"/>
    </row>
    <row r="81" ht="15.75" hidden="1" customHeight="1">
      <c r="B81" s="45" t="s">
        <v>44</v>
      </c>
      <c r="D81" s="73"/>
      <c r="F81" s="54"/>
      <c r="H81" s="54"/>
      <c r="J81" s="17" t="s">
        <v>132</v>
      </c>
      <c r="K81" s="8"/>
    </row>
    <row r="82" ht="15.75" hidden="1" customHeight="1">
      <c r="B82" s="56"/>
      <c r="D82" s="57"/>
      <c r="F82" s="57"/>
      <c r="H82" s="57"/>
      <c r="J82" s="58"/>
      <c r="K82" s="8"/>
    </row>
    <row r="83" ht="15.75" hidden="1" customHeight="1">
      <c r="B83" s="59" t="s">
        <v>24</v>
      </c>
      <c r="K83" s="8"/>
    </row>
    <row r="84" ht="15.75" hidden="1" customHeight="1">
      <c r="B84" s="45" t="s">
        <v>66</v>
      </c>
      <c r="D84" s="17" t="s">
        <v>133</v>
      </c>
      <c r="F84" s="17" t="s">
        <v>39</v>
      </c>
      <c r="H84" s="17" t="s">
        <v>134</v>
      </c>
      <c r="J84" s="30"/>
      <c r="K84" s="8"/>
    </row>
    <row r="85" ht="15.75" hidden="1" customHeight="1">
      <c r="B85" s="45" t="s">
        <v>135</v>
      </c>
      <c r="D85" s="17" t="s">
        <v>136</v>
      </c>
      <c r="F85" s="17" t="s">
        <v>137</v>
      </c>
      <c r="H85" s="17" t="s">
        <v>138</v>
      </c>
      <c r="J85" s="30"/>
      <c r="K85" s="8"/>
    </row>
    <row r="86" ht="15.75" hidden="1" customHeight="1">
      <c r="B86" s="17" t="s">
        <v>139</v>
      </c>
      <c r="D86" s="17" t="s">
        <v>140</v>
      </c>
      <c r="F86" s="54"/>
      <c r="H86" s="17" t="s">
        <v>7</v>
      </c>
      <c r="J86" s="30" t="s">
        <v>141</v>
      </c>
      <c r="K86" s="8"/>
    </row>
    <row r="87" ht="15.75" hidden="1" customHeight="1">
      <c r="B87" s="92"/>
      <c r="D87" s="17" t="s">
        <v>78</v>
      </c>
      <c r="F87" s="54"/>
      <c r="H87" s="17" t="s">
        <v>142</v>
      </c>
      <c r="J87" s="30" t="s">
        <v>143</v>
      </c>
      <c r="K87" s="8"/>
    </row>
    <row r="88" ht="15.75" hidden="1" customHeight="1">
      <c r="B88" s="49" t="s">
        <v>69</v>
      </c>
      <c r="D88" s="17" t="s">
        <v>102</v>
      </c>
      <c r="F88" s="54"/>
      <c r="H88" s="17" t="s">
        <v>40</v>
      </c>
      <c r="J88" s="28" t="s">
        <v>7</v>
      </c>
      <c r="K88" s="8"/>
    </row>
    <row r="89" ht="15.75" hidden="1" customHeight="1">
      <c r="B89" s="49" t="s">
        <v>144</v>
      </c>
      <c r="D89" s="17" t="s">
        <v>145</v>
      </c>
      <c r="F89" s="17" t="s">
        <v>145</v>
      </c>
      <c r="H89" s="17" t="s">
        <v>146</v>
      </c>
      <c r="J89" s="94" t="s">
        <v>147</v>
      </c>
      <c r="K89" s="8"/>
    </row>
    <row r="90" ht="15.75" hidden="1" customHeight="1">
      <c r="B90" s="62" t="s">
        <v>148</v>
      </c>
      <c r="D90" s="23" t="s">
        <v>149</v>
      </c>
      <c r="F90" s="17" t="s">
        <v>150</v>
      </c>
      <c r="H90" s="28" t="s">
        <v>151</v>
      </c>
      <c r="J90" s="17" t="s">
        <v>40</v>
      </c>
      <c r="K90" s="8"/>
    </row>
    <row r="91" ht="15.75" hidden="1" customHeight="1">
      <c r="B91" s="83" t="s">
        <v>93</v>
      </c>
      <c r="D91" s="95"/>
      <c r="F91" s="54"/>
      <c r="H91" s="28" t="s">
        <v>152</v>
      </c>
      <c r="J91" s="94" t="s">
        <v>153</v>
      </c>
      <c r="K91" s="8"/>
    </row>
    <row r="92" ht="15.75" hidden="1" customHeight="1">
      <c r="B92" s="87"/>
      <c r="D92" s="33"/>
      <c r="E92" s="33"/>
      <c r="F92" s="33"/>
      <c r="G92" s="33"/>
      <c r="H92" s="33"/>
      <c r="I92" s="33"/>
      <c r="J92" s="17" t="s">
        <v>130</v>
      </c>
      <c r="K92" s="8"/>
    </row>
    <row r="93" ht="15.75" hidden="1" customHeight="1">
      <c r="B93" s="88"/>
      <c r="C93" s="89"/>
      <c r="D93" s="90"/>
      <c r="E93" s="90"/>
      <c r="F93" s="90"/>
      <c r="G93" s="90"/>
      <c r="H93" s="90"/>
      <c r="I93" s="90"/>
      <c r="J93" s="90"/>
      <c r="K93" s="91"/>
    </row>
    <row r="94" ht="15.75" hidden="1" customHeight="1"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 ht="15.75" hidden="1" customHeight="1">
      <c r="B95" s="1" t="s">
        <v>0</v>
      </c>
      <c r="C95" s="2"/>
      <c r="D95" s="3" t="s">
        <v>1</v>
      </c>
      <c r="E95" s="2"/>
      <c r="F95" s="4" t="s">
        <v>2</v>
      </c>
      <c r="G95" s="2"/>
      <c r="H95" s="4" t="s">
        <v>3</v>
      </c>
      <c r="I95" s="2"/>
      <c r="J95" s="4" t="s">
        <v>4</v>
      </c>
      <c r="K95" s="5"/>
    </row>
    <row r="96" ht="15.75" hidden="1" customHeight="1">
      <c r="B96" s="65">
        <v>16.0</v>
      </c>
      <c r="D96" s="66">
        <v>17.0</v>
      </c>
      <c r="F96" s="66">
        <v>18.0</v>
      </c>
      <c r="H96" s="66">
        <v>19.0</v>
      </c>
      <c r="J96" s="66">
        <v>20.0</v>
      </c>
      <c r="K96" s="8"/>
    </row>
    <row r="97" ht="15.75" hidden="1" customHeight="1">
      <c r="B97" s="67" t="s">
        <v>75</v>
      </c>
      <c r="D97" s="68" t="s">
        <v>75</v>
      </c>
      <c r="F97" s="68" t="s">
        <v>75</v>
      </c>
      <c r="H97" s="68" t="s">
        <v>75</v>
      </c>
      <c r="J97" s="68" t="s">
        <v>75</v>
      </c>
      <c r="K97" s="8"/>
    </row>
    <row r="98" ht="15.75" hidden="1" customHeight="1">
      <c r="B98" s="44" t="s">
        <v>6</v>
      </c>
      <c r="K98" s="8"/>
    </row>
    <row r="99" ht="15.75" hidden="1" customHeight="1">
      <c r="B99" s="45" t="s">
        <v>40</v>
      </c>
      <c r="D99" s="28" t="s">
        <v>9</v>
      </c>
      <c r="F99" s="46" t="s">
        <v>154</v>
      </c>
      <c r="H99" s="17" t="s">
        <v>40</v>
      </c>
      <c r="J99" s="47"/>
      <c r="K99" s="8"/>
    </row>
    <row r="100" ht="15.75" hidden="1" customHeight="1">
      <c r="B100" s="45" t="s">
        <v>155</v>
      </c>
      <c r="D100" s="28" t="s">
        <v>156</v>
      </c>
      <c r="F100" s="46" t="s">
        <v>157</v>
      </c>
      <c r="H100" s="50" t="s">
        <v>158</v>
      </c>
      <c r="J100" s="47"/>
      <c r="K100" s="8"/>
    </row>
    <row r="101" ht="15.75" hidden="1" customHeight="1">
      <c r="A101" s="96" t="s">
        <v>159</v>
      </c>
      <c r="B101" s="49" t="s">
        <v>160</v>
      </c>
      <c r="D101" s="52"/>
      <c r="F101" s="46" t="s">
        <v>161</v>
      </c>
      <c r="H101" s="97"/>
      <c r="J101" s="47"/>
      <c r="K101" s="8"/>
    </row>
    <row r="102" ht="15.75" hidden="1" customHeight="1">
      <c r="B102" s="49" t="s">
        <v>66</v>
      </c>
      <c r="D102" s="17" t="s">
        <v>66</v>
      </c>
      <c r="F102" s="17" t="s">
        <v>48</v>
      </c>
      <c r="H102" s="17" t="s">
        <v>25</v>
      </c>
      <c r="J102" s="22"/>
      <c r="K102" s="8"/>
    </row>
    <row r="103" ht="15.75" hidden="1" customHeight="1">
      <c r="B103" s="49" t="s">
        <v>162</v>
      </c>
      <c r="D103" s="28" t="s">
        <v>163</v>
      </c>
      <c r="F103" s="50" t="s">
        <v>164</v>
      </c>
      <c r="H103" s="50" t="s">
        <v>165</v>
      </c>
      <c r="J103" s="22"/>
      <c r="K103" s="8"/>
    </row>
    <row r="104" ht="15.75" hidden="1" customHeight="1">
      <c r="B104" s="49" t="s">
        <v>51</v>
      </c>
      <c r="D104" s="28" t="s">
        <v>166</v>
      </c>
      <c r="F104" s="17" t="s">
        <v>18</v>
      </c>
      <c r="H104" s="54"/>
      <c r="J104" s="98"/>
      <c r="K104" s="8"/>
    </row>
    <row r="105" ht="15.75" hidden="1" customHeight="1">
      <c r="B105" s="99" t="s">
        <v>167</v>
      </c>
      <c r="D105" s="17" t="s">
        <v>168</v>
      </c>
      <c r="F105" s="17" t="s">
        <v>169</v>
      </c>
      <c r="H105" s="54"/>
      <c r="J105" s="22"/>
      <c r="K105" s="8"/>
    </row>
    <row r="106" ht="15.75" hidden="1" customHeight="1">
      <c r="B106" s="49" t="s">
        <v>170</v>
      </c>
      <c r="D106" s="57"/>
      <c r="F106" s="57"/>
      <c r="H106" s="57"/>
      <c r="J106" s="58"/>
      <c r="K106" s="8"/>
    </row>
    <row r="107" ht="15.75" hidden="1" customHeight="1">
      <c r="B107" s="59" t="s">
        <v>24</v>
      </c>
      <c r="K107" s="8"/>
    </row>
    <row r="108" ht="15.75" hidden="1" customHeight="1">
      <c r="B108" s="45" t="s">
        <v>99</v>
      </c>
      <c r="D108" s="17" t="s">
        <v>171</v>
      </c>
      <c r="F108" s="17" t="s">
        <v>8</v>
      </c>
      <c r="H108" s="17" t="s">
        <v>99</v>
      </c>
      <c r="J108" s="30"/>
      <c r="K108" s="8"/>
    </row>
    <row r="109" ht="15.75" hidden="1" customHeight="1">
      <c r="B109" s="45" t="s">
        <v>172</v>
      </c>
      <c r="D109" s="17" t="s">
        <v>173</v>
      </c>
      <c r="F109" s="17" t="s">
        <v>174</v>
      </c>
      <c r="H109" s="17" t="s">
        <v>175</v>
      </c>
      <c r="J109" s="30"/>
      <c r="K109" s="8"/>
    </row>
    <row r="110" ht="15.75" hidden="1" customHeight="1">
      <c r="B110" s="49" t="s">
        <v>86</v>
      </c>
      <c r="D110" s="17" t="s">
        <v>176</v>
      </c>
      <c r="F110" s="17" t="s">
        <v>177</v>
      </c>
      <c r="H110" s="54"/>
      <c r="J110" s="30"/>
      <c r="K110" s="8"/>
    </row>
    <row r="111" ht="15.75" hidden="1" customHeight="1">
      <c r="B111" s="49" t="s">
        <v>178</v>
      </c>
      <c r="D111" s="73"/>
      <c r="F111" s="17" t="s">
        <v>179</v>
      </c>
      <c r="H111" s="54"/>
      <c r="J111" s="28" t="s">
        <v>99</v>
      </c>
      <c r="K111" s="8"/>
    </row>
    <row r="112" ht="15.75" hidden="1" customHeight="1">
      <c r="B112" s="49" t="s">
        <v>18</v>
      </c>
      <c r="D112" s="17" t="s">
        <v>171</v>
      </c>
      <c r="F112" s="17" t="s">
        <v>18</v>
      </c>
      <c r="H112" s="54"/>
      <c r="J112" s="28" t="s">
        <v>180</v>
      </c>
      <c r="K112" s="8"/>
    </row>
    <row r="113" ht="15.75" hidden="1" customHeight="1">
      <c r="B113" s="49" t="s">
        <v>181</v>
      </c>
      <c r="D113" s="17" t="s">
        <v>182</v>
      </c>
      <c r="F113" s="17" t="s">
        <v>183</v>
      </c>
      <c r="H113" s="21"/>
      <c r="J113" s="100"/>
      <c r="K113" s="8"/>
    </row>
    <row r="114" ht="15.75" hidden="1" customHeight="1">
      <c r="B114" s="62" t="s">
        <v>184</v>
      </c>
      <c r="D114" s="95"/>
      <c r="F114" s="21"/>
      <c r="G114" s="21"/>
      <c r="H114" s="101"/>
      <c r="J114" s="22"/>
      <c r="K114" s="8"/>
    </row>
    <row r="115" ht="15.75" hidden="1" customHeight="1">
      <c r="B115" s="102"/>
      <c r="D115" s="95"/>
      <c r="F115" s="21"/>
      <c r="G115" s="21"/>
      <c r="H115" s="101"/>
      <c r="I115" s="101"/>
      <c r="J115" s="22"/>
      <c r="K115" s="86"/>
    </row>
    <row r="116" ht="15.75" hidden="1" customHeight="1">
      <c r="B116" s="103" t="s">
        <v>185</v>
      </c>
      <c r="D116" s="73"/>
      <c r="F116" s="21"/>
      <c r="G116" s="21"/>
      <c r="H116" s="21"/>
      <c r="I116" s="21"/>
      <c r="J116" s="22"/>
      <c r="K116" s="86"/>
    </row>
    <row r="117" ht="15.75" hidden="1" customHeight="1">
      <c r="B117" s="88"/>
      <c r="C117" s="89"/>
      <c r="D117" s="90"/>
      <c r="E117" s="90"/>
      <c r="F117" s="90"/>
      <c r="G117" s="90"/>
      <c r="H117" s="90"/>
      <c r="I117" s="90"/>
      <c r="J117" s="90"/>
      <c r="K117" s="91"/>
    </row>
    <row r="118" ht="15.75" hidden="1" customHeight="1"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 ht="15.75" hidden="1" customHeight="1"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 ht="15.75" hidden="1" customHeight="1">
      <c r="B120" s="1" t="s">
        <v>0</v>
      </c>
      <c r="C120" s="2"/>
      <c r="D120" s="3" t="s">
        <v>1</v>
      </c>
      <c r="E120" s="2"/>
      <c r="F120" s="4" t="s">
        <v>2</v>
      </c>
      <c r="G120" s="2"/>
      <c r="H120" s="4" t="s">
        <v>3</v>
      </c>
      <c r="I120" s="2"/>
      <c r="J120" s="4" t="s">
        <v>4</v>
      </c>
      <c r="K120" s="5"/>
    </row>
    <row r="121" ht="15.75" hidden="1" customHeight="1">
      <c r="B121" s="65">
        <v>23.0</v>
      </c>
      <c r="D121" s="66">
        <v>24.0</v>
      </c>
      <c r="F121" s="66">
        <v>25.0</v>
      </c>
      <c r="H121" s="66">
        <v>26.0</v>
      </c>
      <c r="J121" s="66">
        <v>27.0</v>
      </c>
      <c r="K121" s="8"/>
    </row>
    <row r="122" ht="15.75" hidden="1" customHeight="1">
      <c r="B122" s="67" t="s">
        <v>75</v>
      </c>
      <c r="D122" s="68" t="s">
        <v>75</v>
      </c>
      <c r="F122" s="68" t="s">
        <v>75</v>
      </c>
      <c r="H122" s="68" t="s">
        <v>75</v>
      </c>
      <c r="J122" s="68" t="s">
        <v>75</v>
      </c>
      <c r="K122" s="8"/>
    </row>
    <row r="123" ht="15.75" hidden="1" customHeight="1">
      <c r="B123" s="44" t="s">
        <v>6</v>
      </c>
      <c r="K123" s="8"/>
    </row>
    <row r="124" ht="15.75" hidden="1" customHeight="1">
      <c r="B124" s="74"/>
      <c r="D124" s="104"/>
      <c r="F124" s="17" t="s">
        <v>69</v>
      </c>
      <c r="H124" s="54" t="s">
        <v>186</v>
      </c>
      <c r="J124" s="47"/>
      <c r="K124" s="8"/>
    </row>
    <row r="125" ht="15.75" hidden="1" customHeight="1">
      <c r="B125" s="74"/>
      <c r="D125" s="104"/>
      <c r="F125" s="17" t="s">
        <v>187</v>
      </c>
      <c r="H125" s="48" t="s">
        <v>188</v>
      </c>
      <c r="J125" s="47"/>
      <c r="K125" s="8"/>
    </row>
    <row r="126" ht="15.75" hidden="1" customHeight="1">
      <c r="B126" s="92"/>
      <c r="D126" s="104"/>
      <c r="F126" s="17" t="s">
        <v>189</v>
      </c>
      <c r="H126" s="48" t="s">
        <v>190</v>
      </c>
      <c r="J126" s="47"/>
      <c r="K126" s="8"/>
    </row>
    <row r="127" ht="15.75" hidden="1" customHeight="1">
      <c r="B127" s="92"/>
      <c r="D127" s="105"/>
      <c r="F127" s="17" t="s">
        <v>191</v>
      </c>
      <c r="H127" s="46" t="s">
        <v>192</v>
      </c>
      <c r="J127" s="47"/>
      <c r="K127" s="8"/>
    </row>
    <row r="128" ht="15.75" hidden="1" customHeight="1">
      <c r="B128" s="92"/>
      <c r="D128" s="104"/>
      <c r="F128" s="54"/>
      <c r="H128" s="54" t="s">
        <v>193</v>
      </c>
      <c r="J128" s="22"/>
      <c r="K128" s="8"/>
    </row>
    <row r="129" ht="15.75" hidden="1" customHeight="1">
      <c r="B129" s="92"/>
      <c r="D129" s="104"/>
      <c r="E129" s="104"/>
      <c r="F129" s="54"/>
      <c r="H129" s="17" t="s">
        <v>39</v>
      </c>
      <c r="J129" s="23" t="s">
        <v>8</v>
      </c>
      <c r="K129" s="8"/>
    </row>
    <row r="130" ht="15.75" hidden="1" customHeight="1">
      <c r="B130" s="92"/>
      <c r="D130" s="105"/>
      <c r="F130" s="54"/>
      <c r="H130" s="17" t="s">
        <v>194</v>
      </c>
      <c r="J130" s="17" t="s">
        <v>195</v>
      </c>
      <c r="K130" s="8"/>
    </row>
    <row r="131" ht="15.75" hidden="1" customHeight="1">
      <c r="B131" s="56"/>
      <c r="D131" s="57"/>
      <c r="F131" s="57"/>
      <c r="H131" s="57"/>
      <c r="J131" s="58"/>
      <c r="K131" s="8"/>
    </row>
    <row r="132" ht="15.75" hidden="1" customHeight="1">
      <c r="B132" s="59" t="s">
        <v>24</v>
      </c>
      <c r="K132" s="8"/>
    </row>
    <row r="133" ht="15.75" hidden="1" customHeight="1">
      <c r="B133" s="74"/>
      <c r="D133" s="106"/>
      <c r="F133" s="107" t="s">
        <v>196</v>
      </c>
      <c r="H133" s="107" t="s">
        <v>196</v>
      </c>
      <c r="J133" s="30" t="s">
        <v>186</v>
      </c>
      <c r="K133" s="8"/>
    </row>
    <row r="134" ht="15.75" hidden="1" customHeight="1">
      <c r="B134" s="74"/>
      <c r="D134" s="108"/>
      <c r="F134" s="17" t="s">
        <v>197</v>
      </c>
      <c r="H134" s="17" t="s">
        <v>198</v>
      </c>
      <c r="J134" s="109" t="s">
        <v>199</v>
      </c>
      <c r="K134" s="8"/>
    </row>
    <row r="135" ht="15.75" hidden="1" customHeight="1">
      <c r="B135" s="92"/>
      <c r="D135" s="108"/>
      <c r="F135" s="110"/>
      <c r="H135" s="110"/>
      <c r="J135" s="109" t="s">
        <v>200</v>
      </c>
      <c r="K135" s="8"/>
    </row>
    <row r="136" ht="15.75" hidden="1" customHeight="1">
      <c r="B136" s="92"/>
      <c r="D136" s="108"/>
      <c r="F136" s="17" t="s">
        <v>66</v>
      </c>
      <c r="H136" s="54" t="s">
        <v>69</v>
      </c>
      <c r="J136" s="30" t="s">
        <v>193</v>
      </c>
      <c r="K136" s="8"/>
    </row>
    <row r="137" ht="15.75" hidden="1" customHeight="1">
      <c r="B137" s="92"/>
      <c r="D137" s="108"/>
      <c r="F137" s="17" t="s">
        <v>201</v>
      </c>
      <c r="H137" s="17" t="s">
        <v>202</v>
      </c>
      <c r="J137" s="30"/>
      <c r="K137" s="8"/>
    </row>
    <row r="138" ht="15.75" hidden="1" customHeight="1">
      <c r="B138" s="92"/>
      <c r="D138" s="108"/>
      <c r="F138" s="17" t="s">
        <v>203</v>
      </c>
      <c r="H138" s="17" t="s">
        <v>204</v>
      </c>
      <c r="J138" s="28" t="s">
        <v>205</v>
      </c>
      <c r="K138" s="8"/>
    </row>
    <row r="139" ht="15.75" hidden="1" customHeight="1">
      <c r="B139" s="111"/>
      <c r="D139" s="112"/>
      <c r="F139" s="54"/>
      <c r="H139" s="63"/>
      <c r="J139" s="17" t="s">
        <v>206</v>
      </c>
      <c r="K139" s="8"/>
    </row>
    <row r="140" ht="15.75" hidden="1" customHeight="1">
      <c r="B140" s="102"/>
      <c r="D140" s="112"/>
      <c r="F140" s="54"/>
      <c r="H140" s="63"/>
      <c r="J140" s="17" t="s">
        <v>207</v>
      </c>
      <c r="K140" s="86"/>
    </row>
    <row r="141" ht="15.75" hidden="1" customHeight="1">
      <c r="B141" s="87"/>
      <c r="D141" s="33"/>
      <c r="E141" s="33"/>
      <c r="F141" s="57"/>
      <c r="H141" s="57"/>
      <c r="J141" s="17" t="s">
        <v>208</v>
      </c>
      <c r="K141" s="86"/>
    </row>
    <row r="142" ht="15.75" hidden="1" customHeight="1">
      <c r="B142" s="88"/>
      <c r="C142" s="89"/>
      <c r="D142" s="90"/>
      <c r="E142" s="90"/>
      <c r="F142" s="90"/>
      <c r="G142" s="90"/>
      <c r="H142" s="90"/>
      <c r="I142" s="90"/>
      <c r="J142" s="90"/>
      <c r="K142" s="91"/>
    </row>
    <row r="143" ht="15.75" hidden="1" customHeight="1"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 ht="15.75" hidden="1" customHeight="1"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 ht="15.75" hidden="1" customHeight="1">
      <c r="B145" s="1" t="s">
        <v>0</v>
      </c>
      <c r="C145" s="2"/>
      <c r="D145" s="3" t="s">
        <v>1</v>
      </c>
      <c r="E145" s="2"/>
      <c r="F145" s="4" t="s">
        <v>2</v>
      </c>
      <c r="G145" s="2"/>
      <c r="H145" s="4" t="s">
        <v>3</v>
      </c>
      <c r="I145" s="2"/>
      <c r="J145" s="4" t="s">
        <v>4</v>
      </c>
      <c r="K145" s="5"/>
    </row>
    <row r="146" ht="15.75" hidden="1" customHeight="1">
      <c r="B146" s="65">
        <v>30.0</v>
      </c>
      <c r="D146" s="66">
        <v>31.0</v>
      </c>
      <c r="F146" s="66">
        <v>1.0</v>
      </c>
      <c r="H146" s="66">
        <v>2.0</v>
      </c>
      <c r="J146" s="66">
        <v>3.0</v>
      </c>
      <c r="K146" s="8"/>
    </row>
    <row r="147" ht="15.75" hidden="1" customHeight="1">
      <c r="B147" s="67" t="s">
        <v>75</v>
      </c>
      <c r="D147" s="68" t="s">
        <v>75</v>
      </c>
      <c r="F147" s="68" t="s">
        <v>209</v>
      </c>
      <c r="H147" s="68" t="s">
        <v>209</v>
      </c>
      <c r="J147" s="68" t="s">
        <v>209</v>
      </c>
      <c r="K147" s="8"/>
    </row>
    <row r="148" ht="15.75" hidden="1" customHeight="1">
      <c r="B148" s="44" t="s">
        <v>6</v>
      </c>
      <c r="K148" s="8"/>
    </row>
    <row r="149" ht="15.75" hidden="1" customHeight="1">
      <c r="B149" s="45" t="s">
        <v>38</v>
      </c>
      <c r="D149" s="17" t="s">
        <v>210</v>
      </c>
      <c r="F149" s="28" t="s">
        <v>211</v>
      </c>
      <c r="H149" s="108"/>
      <c r="J149" s="108"/>
      <c r="K149" s="8"/>
    </row>
    <row r="150" ht="15.75" hidden="1" customHeight="1">
      <c r="B150" s="45" t="s">
        <v>212</v>
      </c>
      <c r="D150" s="28" t="s">
        <v>213</v>
      </c>
      <c r="F150" s="17" t="s">
        <v>214</v>
      </c>
      <c r="H150" s="113"/>
      <c r="J150" s="108"/>
      <c r="K150" s="8"/>
    </row>
    <row r="151" ht="15.75" hidden="1" customHeight="1">
      <c r="B151" s="49" t="s">
        <v>215</v>
      </c>
      <c r="D151" s="28" t="s">
        <v>216</v>
      </c>
      <c r="F151" s="54"/>
      <c r="H151" s="113"/>
      <c r="J151" s="108"/>
      <c r="K151" s="8"/>
    </row>
    <row r="152" ht="15.75" hidden="1" customHeight="1">
      <c r="B152" s="49" t="s">
        <v>217</v>
      </c>
      <c r="D152" s="73"/>
      <c r="F152" s="114"/>
      <c r="H152" s="108"/>
      <c r="J152" s="108"/>
      <c r="K152" s="8"/>
    </row>
    <row r="153" ht="15.75" hidden="1" customHeight="1">
      <c r="B153" s="49" t="s">
        <v>215</v>
      </c>
      <c r="D153" s="52"/>
      <c r="F153" s="54" t="s">
        <v>7</v>
      </c>
      <c r="H153" s="108"/>
      <c r="J153" s="115"/>
      <c r="K153" s="8"/>
    </row>
    <row r="154" ht="15.75" hidden="1" customHeight="1">
      <c r="B154" s="92"/>
      <c r="D154" s="52"/>
      <c r="F154" s="54" t="s">
        <v>87</v>
      </c>
      <c r="H154" s="108"/>
      <c r="J154" s="116"/>
      <c r="K154" s="8"/>
    </row>
    <row r="155" ht="15.75" hidden="1" customHeight="1">
      <c r="B155" s="92"/>
      <c r="D155" s="73"/>
      <c r="F155" s="54"/>
      <c r="H155" s="108"/>
      <c r="J155" s="115"/>
      <c r="K155" s="8"/>
    </row>
    <row r="156" ht="15.75" hidden="1" customHeight="1">
      <c r="B156" s="56"/>
      <c r="D156" s="57"/>
      <c r="F156" s="57"/>
      <c r="H156" s="57"/>
      <c r="J156" s="58"/>
      <c r="K156" s="8"/>
    </row>
    <row r="157" ht="15.75" hidden="1" customHeight="1">
      <c r="B157" s="59" t="s">
        <v>24</v>
      </c>
      <c r="K157" s="8"/>
    </row>
    <row r="158" ht="15.75" hidden="1" customHeight="1">
      <c r="B158" s="45" t="s">
        <v>38</v>
      </c>
      <c r="D158" s="117"/>
      <c r="E158" s="117"/>
      <c r="F158" s="54" t="s">
        <v>171</v>
      </c>
      <c r="H158" s="118"/>
      <c r="J158" s="106"/>
      <c r="K158" s="8"/>
    </row>
    <row r="159" ht="15.75" hidden="1" customHeight="1">
      <c r="B159" s="45" t="s">
        <v>218</v>
      </c>
      <c r="D159" s="117"/>
      <c r="E159" s="117"/>
      <c r="F159" s="54" t="s">
        <v>219</v>
      </c>
      <c r="H159" s="118"/>
      <c r="J159" s="106"/>
      <c r="K159" s="8"/>
    </row>
    <row r="160" ht="15.75" hidden="1" customHeight="1">
      <c r="B160" s="49" t="s">
        <v>220</v>
      </c>
      <c r="D160" s="73"/>
      <c r="F160" s="110"/>
      <c r="H160" s="118"/>
      <c r="J160" s="106"/>
      <c r="K160" s="8"/>
    </row>
    <row r="161" ht="15.75" hidden="1" customHeight="1">
      <c r="B161" s="92"/>
      <c r="D161" s="17" t="s">
        <v>51</v>
      </c>
      <c r="F161" s="54"/>
      <c r="H161" s="108"/>
      <c r="J161" s="106"/>
      <c r="K161" s="8"/>
    </row>
    <row r="162" ht="15.75" hidden="1" customHeight="1">
      <c r="B162" s="92"/>
      <c r="D162" s="17" t="s">
        <v>221</v>
      </c>
      <c r="F162" s="54"/>
      <c r="H162" s="108"/>
      <c r="J162" s="106"/>
      <c r="K162" s="8"/>
    </row>
    <row r="163" ht="15.75" hidden="1" customHeight="1">
      <c r="B163" s="92"/>
      <c r="D163" s="73"/>
      <c r="F163" s="54"/>
      <c r="H163" s="115"/>
      <c r="J163" s="119"/>
      <c r="K163" s="8"/>
    </row>
    <row r="164" ht="15.75" hidden="1" customHeight="1">
      <c r="B164" s="62" t="s">
        <v>171</v>
      </c>
      <c r="D164" s="23" t="s">
        <v>171</v>
      </c>
      <c r="F164" s="54"/>
      <c r="H164" s="119"/>
      <c r="J164" s="115"/>
      <c r="K164" s="8"/>
    </row>
    <row r="165" ht="15.75" hidden="1" customHeight="1">
      <c r="B165" s="103" t="s">
        <v>222</v>
      </c>
      <c r="D165" s="23" t="s">
        <v>222</v>
      </c>
      <c r="F165" s="21"/>
      <c r="G165" s="21"/>
      <c r="H165" s="119"/>
      <c r="I165" s="119"/>
      <c r="J165" s="115"/>
      <c r="K165" s="86"/>
    </row>
    <row r="166" ht="15.75" hidden="1" customHeight="1">
      <c r="B166" s="87"/>
      <c r="D166" s="33"/>
      <c r="E166" s="33"/>
      <c r="F166" s="33"/>
      <c r="G166" s="33"/>
      <c r="H166" s="33"/>
      <c r="I166" s="33"/>
      <c r="J166" s="33"/>
      <c r="K166" s="86"/>
    </row>
    <row r="167" ht="15.75" hidden="1" customHeight="1">
      <c r="B167" s="88"/>
      <c r="C167" s="89"/>
      <c r="D167" s="90"/>
      <c r="E167" s="90"/>
      <c r="F167" s="90"/>
      <c r="G167" s="90"/>
      <c r="H167" s="90"/>
      <c r="I167" s="90"/>
      <c r="J167" s="90"/>
      <c r="K167" s="91"/>
    </row>
    <row r="168" ht="15.75" hidden="1" customHeight="1"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 ht="15.75" hidden="1" customHeight="1">
      <c r="B169" s="1" t="s">
        <v>0</v>
      </c>
      <c r="C169" s="2"/>
      <c r="D169" s="3" t="s">
        <v>1</v>
      </c>
      <c r="E169" s="2"/>
      <c r="F169" s="4" t="s">
        <v>2</v>
      </c>
      <c r="G169" s="2"/>
      <c r="H169" s="4" t="s">
        <v>3</v>
      </c>
      <c r="I169" s="2"/>
      <c r="J169" s="4" t="s">
        <v>4</v>
      </c>
      <c r="K169" s="5"/>
    </row>
    <row r="170" ht="15.75" hidden="1" customHeight="1">
      <c r="B170" s="65">
        <v>6.0</v>
      </c>
      <c r="D170" s="66">
        <v>7.0</v>
      </c>
      <c r="F170" s="66">
        <v>8.0</v>
      </c>
      <c r="H170" s="66">
        <v>9.0</v>
      </c>
      <c r="J170" s="66">
        <v>10.0</v>
      </c>
      <c r="K170" s="8"/>
    </row>
    <row r="171" ht="15.75" hidden="1" customHeight="1">
      <c r="B171" s="67" t="s">
        <v>209</v>
      </c>
      <c r="D171" s="68" t="s">
        <v>209</v>
      </c>
      <c r="F171" s="68" t="s">
        <v>209</v>
      </c>
      <c r="H171" s="68" t="s">
        <v>209</v>
      </c>
      <c r="J171" s="68" t="s">
        <v>209</v>
      </c>
      <c r="K171" s="8"/>
    </row>
    <row r="172" ht="15.75" hidden="1" customHeight="1">
      <c r="B172" s="44" t="s">
        <v>6</v>
      </c>
      <c r="K172" s="8"/>
    </row>
    <row r="173" ht="15.75" hidden="1" customHeight="1">
      <c r="B173" s="45" t="s">
        <v>211</v>
      </c>
      <c r="D173" s="23" t="s">
        <v>40</v>
      </c>
      <c r="F173" s="17" t="s">
        <v>223</v>
      </c>
      <c r="H173" s="54" t="s">
        <v>40</v>
      </c>
      <c r="J173" s="17" t="s">
        <v>69</v>
      </c>
      <c r="K173" s="8"/>
    </row>
    <row r="174" ht="15.75" hidden="1" customHeight="1">
      <c r="B174" s="45" t="s">
        <v>224</v>
      </c>
      <c r="D174" s="23" t="s">
        <v>225</v>
      </c>
      <c r="F174" s="17" t="s">
        <v>226</v>
      </c>
      <c r="H174" s="120" t="s">
        <v>227</v>
      </c>
      <c r="J174" s="17" t="s">
        <v>228</v>
      </c>
      <c r="K174" s="8"/>
    </row>
    <row r="175" ht="15.75" hidden="1" customHeight="1">
      <c r="B175" s="93" t="s">
        <v>229</v>
      </c>
      <c r="D175" s="109" t="s">
        <v>230</v>
      </c>
      <c r="F175" s="46" t="s">
        <v>231</v>
      </c>
      <c r="H175" s="120" t="s">
        <v>232</v>
      </c>
      <c r="J175" s="17" t="s">
        <v>233</v>
      </c>
      <c r="K175" s="8"/>
    </row>
    <row r="176" ht="15.75" hidden="1" customHeight="1">
      <c r="B176" s="93" t="s">
        <v>230</v>
      </c>
      <c r="D176" s="17" t="s">
        <v>207</v>
      </c>
      <c r="F176" s="17" t="s">
        <v>99</v>
      </c>
      <c r="H176" s="121" t="s">
        <v>231</v>
      </c>
      <c r="J176" s="17" t="s">
        <v>234</v>
      </c>
      <c r="K176" s="8"/>
    </row>
    <row r="177" ht="15.75" hidden="1" customHeight="1">
      <c r="B177" s="92"/>
      <c r="D177" s="28" t="s">
        <v>235</v>
      </c>
      <c r="F177" s="17" t="s">
        <v>236</v>
      </c>
      <c r="H177" s="54" t="s">
        <v>7</v>
      </c>
      <c r="J177" s="46" t="s">
        <v>237</v>
      </c>
      <c r="K177" s="8"/>
    </row>
    <row r="178" ht="15.75" hidden="1" customHeight="1">
      <c r="B178" s="92"/>
      <c r="D178" s="109" t="s">
        <v>237</v>
      </c>
      <c r="F178" s="17" t="s">
        <v>238</v>
      </c>
      <c r="H178" s="54" t="s">
        <v>239</v>
      </c>
      <c r="J178" s="31"/>
      <c r="K178" s="8"/>
    </row>
    <row r="179" ht="15.75" hidden="1" customHeight="1">
      <c r="B179" s="92"/>
      <c r="D179" s="73"/>
      <c r="F179" s="46" t="s">
        <v>237</v>
      </c>
      <c r="H179" s="17" t="s">
        <v>231</v>
      </c>
      <c r="J179" s="47"/>
      <c r="K179" s="8"/>
    </row>
    <row r="180" ht="15.75" hidden="1" customHeight="1">
      <c r="B180" s="56"/>
      <c r="D180" s="57"/>
      <c r="F180" s="57"/>
      <c r="H180" s="57"/>
      <c r="J180" s="122"/>
      <c r="K180" s="8"/>
    </row>
    <row r="181" ht="15.75" hidden="1" customHeight="1">
      <c r="B181" s="59" t="s">
        <v>24</v>
      </c>
      <c r="K181" s="8"/>
    </row>
    <row r="182" ht="15.75" hidden="1" customHeight="1">
      <c r="B182" s="49" t="s">
        <v>171</v>
      </c>
      <c r="D182" s="17" t="s">
        <v>171</v>
      </c>
      <c r="F182" s="17" t="s">
        <v>18</v>
      </c>
      <c r="H182" s="54" t="s">
        <v>40</v>
      </c>
      <c r="J182" s="28" t="s">
        <v>39</v>
      </c>
      <c r="K182" s="8"/>
    </row>
    <row r="183" ht="15.75" hidden="1" customHeight="1">
      <c r="B183" s="49" t="s">
        <v>240</v>
      </c>
      <c r="D183" s="17" t="s">
        <v>240</v>
      </c>
      <c r="F183" s="17" t="s">
        <v>241</v>
      </c>
      <c r="H183" s="54" t="s">
        <v>242</v>
      </c>
      <c r="J183" s="28" t="s">
        <v>243</v>
      </c>
      <c r="K183" s="8"/>
    </row>
    <row r="184" ht="15.75" hidden="1" customHeight="1">
      <c r="B184" s="49" t="s">
        <v>244</v>
      </c>
      <c r="D184" s="17" t="s">
        <v>244</v>
      </c>
      <c r="F184" s="17" t="s">
        <v>245</v>
      </c>
      <c r="H184" s="54" t="s">
        <v>246</v>
      </c>
      <c r="J184" s="109" t="s">
        <v>247</v>
      </c>
      <c r="K184" s="8"/>
    </row>
    <row r="185" ht="15.75" hidden="1" customHeight="1">
      <c r="B185" s="93" t="s">
        <v>248</v>
      </c>
      <c r="F185" s="17" t="s">
        <v>249</v>
      </c>
      <c r="H185" s="17" t="s">
        <v>247</v>
      </c>
      <c r="J185" s="30"/>
      <c r="K185" s="8"/>
      <c r="Q185" s="96" t="s">
        <v>250</v>
      </c>
    </row>
    <row r="186" ht="15.75" hidden="1" customHeight="1">
      <c r="B186" s="49" t="s">
        <v>9</v>
      </c>
      <c r="D186" s="73" t="s">
        <v>207</v>
      </c>
      <c r="F186" s="46" t="s">
        <v>237</v>
      </c>
      <c r="H186" s="17" t="s">
        <v>9</v>
      </c>
      <c r="J186" s="30"/>
      <c r="K186" s="8"/>
    </row>
    <row r="187" ht="15.75" hidden="1" customHeight="1">
      <c r="B187" s="49" t="s">
        <v>251</v>
      </c>
      <c r="D187" s="17" t="s">
        <v>252</v>
      </c>
      <c r="F187" s="54"/>
      <c r="H187" s="17" t="s">
        <v>134</v>
      </c>
      <c r="J187" s="30"/>
      <c r="K187" s="8"/>
    </row>
    <row r="188" ht="15.75" hidden="1" customHeight="1">
      <c r="B188" s="123" t="s">
        <v>253</v>
      </c>
      <c r="D188" s="23" t="s">
        <v>254</v>
      </c>
      <c r="F188" s="54" t="s">
        <v>99</v>
      </c>
      <c r="H188" s="124" t="s">
        <v>255</v>
      </c>
      <c r="J188" s="47"/>
      <c r="K188" s="8"/>
    </row>
    <row r="189" ht="15.75" hidden="1" customHeight="1">
      <c r="B189" s="125"/>
      <c r="D189" s="126" t="s">
        <v>256</v>
      </c>
      <c r="F189" s="54" t="s">
        <v>257</v>
      </c>
      <c r="J189" s="47"/>
      <c r="K189" s="8"/>
    </row>
    <row r="190" ht="15.75" hidden="1" customHeight="1">
      <c r="B190" s="127" t="s">
        <v>258</v>
      </c>
      <c r="D190" s="33"/>
      <c r="E190" s="33"/>
      <c r="F190" s="17" t="s">
        <v>237</v>
      </c>
      <c r="H190" s="46" t="s">
        <v>237</v>
      </c>
      <c r="J190" s="47"/>
      <c r="K190" s="8"/>
    </row>
    <row r="191" ht="15.75" hidden="1" customHeight="1">
      <c r="B191" s="88"/>
      <c r="C191" s="89"/>
      <c r="D191" s="90"/>
      <c r="E191" s="90"/>
      <c r="F191" s="90"/>
      <c r="G191" s="90"/>
      <c r="H191" s="90"/>
      <c r="I191" s="90"/>
      <c r="J191" s="90"/>
      <c r="K191" s="91"/>
    </row>
    <row r="192" ht="15.75" hidden="1" customHeight="1">
      <c r="B192" s="33"/>
      <c r="C192" s="33"/>
      <c r="D192" s="57" t="s">
        <v>259</v>
      </c>
      <c r="E192" s="33"/>
      <c r="F192" s="33"/>
      <c r="G192" s="33"/>
      <c r="H192" s="33"/>
      <c r="I192" s="33"/>
      <c r="J192" s="33"/>
      <c r="K192" s="33"/>
    </row>
    <row r="193" ht="15.75" hidden="1" customHeight="1">
      <c r="B193" s="1" t="s">
        <v>0</v>
      </c>
      <c r="C193" s="2"/>
      <c r="D193" s="3" t="s">
        <v>1</v>
      </c>
      <c r="E193" s="2"/>
      <c r="F193" s="4" t="s">
        <v>2</v>
      </c>
      <c r="G193" s="2"/>
      <c r="H193" s="4" t="s">
        <v>3</v>
      </c>
      <c r="I193" s="2"/>
      <c r="J193" s="4" t="s">
        <v>4</v>
      </c>
      <c r="K193" s="5"/>
    </row>
    <row r="194" ht="15.75" hidden="1" customHeight="1">
      <c r="B194" s="65">
        <v>13.0</v>
      </c>
      <c r="D194" s="66">
        <v>14.0</v>
      </c>
      <c r="F194" s="66">
        <v>15.0</v>
      </c>
      <c r="H194" s="66">
        <v>16.0</v>
      </c>
      <c r="J194" s="66">
        <v>17.0</v>
      </c>
      <c r="K194" s="8"/>
    </row>
    <row r="195" ht="15.75" hidden="1" customHeight="1">
      <c r="B195" s="67" t="s">
        <v>209</v>
      </c>
      <c r="D195" s="68" t="s">
        <v>209</v>
      </c>
      <c r="F195" s="68" t="s">
        <v>209</v>
      </c>
      <c r="H195" s="68" t="s">
        <v>209</v>
      </c>
      <c r="J195" s="68" t="s">
        <v>209</v>
      </c>
      <c r="K195" s="8"/>
    </row>
    <row r="196" ht="15.75" hidden="1" customHeight="1">
      <c r="B196" s="44" t="s">
        <v>6</v>
      </c>
      <c r="K196" s="8"/>
    </row>
    <row r="197" ht="15.75" hidden="1" customHeight="1">
      <c r="B197" s="45" t="s">
        <v>40</v>
      </c>
      <c r="D197" s="52" t="s">
        <v>40</v>
      </c>
      <c r="F197" s="54" t="s">
        <v>40</v>
      </c>
      <c r="H197" s="54" t="s">
        <v>39</v>
      </c>
      <c r="J197" s="47" t="s">
        <v>76</v>
      </c>
      <c r="K197" s="8"/>
    </row>
    <row r="198" ht="15.75" hidden="1" customHeight="1">
      <c r="B198" s="45" t="s">
        <v>227</v>
      </c>
      <c r="D198" s="28" t="s">
        <v>260</v>
      </c>
      <c r="F198" s="17" t="s">
        <v>261</v>
      </c>
      <c r="H198" s="54" t="s">
        <v>262</v>
      </c>
      <c r="J198" s="47" t="s">
        <v>263</v>
      </c>
      <c r="K198" s="8"/>
    </row>
    <row r="199" ht="15.75" hidden="1" customHeight="1">
      <c r="B199" s="28" t="s">
        <v>232</v>
      </c>
      <c r="D199" s="28" t="s">
        <v>264</v>
      </c>
      <c r="F199" s="17" t="s">
        <v>265</v>
      </c>
      <c r="H199" s="54" t="s">
        <v>266</v>
      </c>
      <c r="J199" s="47" t="s">
        <v>267</v>
      </c>
      <c r="K199" s="8"/>
    </row>
    <row r="200" ht="15.75" hidden="1" customHeight="1">
      <c r="B200" s="49" t="s">
        <v>268</v>
      </c>
      <c r="D200" s="17" t="s">
        <v>268</v>
      </c>
      <c r="F200" s="54" t="s">
        <v>269</v>
      </c>
      <c r="H200" s="17" t="s">
        <v>270</v>
      </c>
      <c r="J200" s="46" t="s">
        <v>271</v>
      </c>
      <c r="K200" s="8"/>
    </row>
    <row r="201" ht="15.75" hidden="1" customHeight="1">
      <c r="B201" s="92"/>
      <c r="D201" s="52"/>
      <c r="F201" s="54" t="s">
        <v>272</v>
      </c>
      <c r="H201" s="17" t="s">
        <v>273</v>
      </c>
      <c r="J201" s="22"/>
      <c r="K201" s="8"/>
    </row>
    <row r="202" ht="15.75" hidden="1" customHeight="1">
      <c r="B202" s="92"/>
      <c r="D202" s="52"/>
      <c r="F202" s="17" t="s">
        <v>270</v>
      </c>
      <c r="H202" s="17" t="s">
        <v>270</v>
      </c>
      <c r="J202" s="98"/>
      <c r="K202" s="8"/>
    </row>
    <row r="203" ht="15.75" hidden="1" customHeight="1">
      <c r="B203" s="92"/>
      <c r="D203" s="73"/>
      <c r="F203" s="54"/>
      <c r="H203" s="54"/>
      <c r="J203" s="22"/>
      <c r="K203" s="8"/>
    </row>
    <row r="204" ht="15.75" hidden="1" customHeight="1">
      <c r="B204" s="56"/>
      <c r="D204" s="57"/>
      <c r="F204" s="57"/>
      <c r="H204" s="57"/>
      <c r="J204" s="58"/>
      <c r="K204" s="8"/>
    </row>
    <row r="205" ht="15.75" hidden="1" customHeight="1">
      <c r="B205" s="59" t="s">
        <v>24</v>
      </c>
      <c r="K205" s="8"/>
    </row>
    <row r="206" ht="15.75" hidden="1" customHeight="1">
      <c r="B206" s="45" t="s">
        <v>66</v>
      </c>
      <c r="D206" s="52" t="s">
        <v>274</v>
      </c>
      <c r="F206" s="54" t="s">
        <v>99</v>
      </c>
      <c r="H206" s="54" t="s">
        <v>275</v>
      </c>
      <c r="J206" s="30" t="s">
        <v>69</v>
      </c>
      <c r="K206" s="8"/>
    </row>
    <row r="207" ht="15.75" hidden="1" customHeight="1">
      <c r="B207" s="45" t="s">
        <v>276</v>
      </c>
      <c r="D207" s="17" t="s">
        <v>277</v>
      </c>
      <c r="F207" s="17" t="s">
        <v>236</v>
      </c>
      <c r="H207" s="54" t="s">
        <v>278</v>
      </c>
      <c r="J207" s="30" t="s">
        <v>279</v>
      </c>
      <c r="K207" s="8"/>
    </row>
    <row r="208" ht="15.75" hidden="1" customHeight="1">
      <c r="B208" s="49" t="s">
        <v>280</v>
      </c>
      <c r="D208" s="46" t="s">
        <v>281</v>
      </c>
      <c r="F208" s="17" t="s">
        <v>238</v>
      </c>
      <c r="H208" s="17" t="s">
        <v>270</v>
      </c>
      <c r="J208" s="30" t="s">
        <v>282</v>
      </c>
      <c r="K208" s="8"/>
    </row>
    <row r="209" ht="15.75" hidden="1" customHeight="1">
      <c r="B209" s="49" t="s">
        <v>283</v>
      </c>
      <c r="D209" s="17" t="s">
        <v>284</v>
      </c>
      <c r="F209" s="17" t="s">
        <v>285</v>
      </c>
      <c r="H209" s="54"/>
      <c r="J209" s="28" t="s">
        <v>270</v>
      </c>
      <c r="K209" s="8"/>
    </row>
    <row r="210" ht="15.75" hidden="1" customHeight="1">
      <c r="B210" s="49" t="s">
        <v>13</v>
      </c>
      <c r="D210" s="17" t="s">
        <v>286</v>
      </c>
      <c r="F210" s="128" t="s">
        <v>287</v>
      </c>
      <c r="H210" s="54" t="s">
        <v>288</v>
      </c>
      <c r="J210" s="30" t="s">
        <v>7</v>
      </c>
      <c r="K210" s="8"/>
    </row>
    <row r="211" ht="15.75" hidden="1" customHeight="1">
      <c r="B211" s="93" t="s">
        <v>268</v>
      </c>
      <c r="D211" s="17" t="s">
        <v>289</v>
      </c>
      <c r="H211" s="54" t="s">
        <v>290</v>
      </c>
      <c r="J211" s="30" t="s">
        <v>87</v>
      </c>
      <c r="K211" s="8"/>
    </row>
    <row r="212" ht="15.75" hidden="1" customHeight="1">
      <c r="B212" s="111" t="s">
        <v>40</v>
      </c>
      <c r="D212" s="23" t="s">
        <v>291</v>
      </c>
      <c r="F212" s="17" t="s">
        <v>292</v>
      </c>
      <c r="H212" s="28" t="s">
        <v>270</v>
      </c>
      <c r="J212" s="17" t="s">
        <v>293</v>
      </c>
      <c r="K212" s="8"/>
    </row>
    <row r="213" ht="15.75" hidden="1" customHeight="1">
      <c r="B213" s="102" t="s">
        <v>242</v>
      </c>
      <c r="D213" s="126" t="s">
        <v>268</v>
      </c>
      <c r="F213" s="17" t="s">
        <v>270</v>
      </c>
      <c r="H213" s="63"/>
      <c r="J213" s="22"/>
      <c r="K213" s="86"/>
    </row>
    <row r="214" ht="15.75" hidden="1" customHeight="1">
      <c r="B214" s="129" t="s">
        <v>246</v>
      </c>
      <c r="D214" s="33"/>
      <c r="E214" s="33"/>
      <c r="F214" s="33"/>
      <c r="G214" s="33"/>
      <c r="H214" s="33"/>
      <c r="I214" s="33"/>
      <c r="J214" s="33"/>
      <c r="K214" s="86"/>
    </row>
    <row r="215" ht="15.75" hidden="1" customHeight="1">
      <c r="B215" s="130" t="s">
        <v>268</v>
      </c>
      <c r="C215" s="89"/>
      <c r="D215" s="90"/>
      <c r="E215" s="90"/>
      <c r="F215" s="90"/>
      <c r="G215" s="90"/>
      <c r="H215" s="90"/>
      <c r="I215" s="90"/>
      <c r="J215" s="90"/>
      <c r="K215" s="91"/>
    </row>
    <row r="216" ht="15.75" hidden="1" customHeight="1">
      <c r="B216" s="57"/>
      <c r="C216" s="33"/>
      <c r="D216" s="33"/>
      <c r="E216" s="33"/>
      <c r="F216" s="33"/>
      <c r="G216" s="33"/>
      <c r="H216" s="33"/>
      <c r="I216" s="33"/>
      <c r="J216" s="33"/>
      <c r="K216" s="33"/>
    </row>
    <row r="217" ht="15.75" hidden="1" customHeight="1">
      <c r="B217" s="1" t="s">
        <v>0</v>
      </c>
      <c r="C217" s="2"/>
      <c r="D217" s="3" t="s">
        <v>1</v>
      </c>
      <c r="E217" s="2"/>
      <c r="F217" s="4" t="s">
        <v>2</v>
      </c>
      <c r="G217" s="2"/>
      <c r="H217" s="4" t="s">
        <v>3</v>
      </c>
      <c r="I217" s="2"/>
      <c r="J217" s="4" t="s">
        <v>4</v>
      </c>
      <c r="K217" s="5"/>
    </row>
    <row r="218" ht="15.75" hidden="1" customHeight="1">
      <c r="B218" s="65">
        <v>20.0</v>
      </c>
      <c r="D218" s="66">
        <v>21.0</v>
      </c>
      <c r="F218" s="66">
        <v>22.0</v>
      </c>
      <c r="H218" s="66">
        <v>23.0</v>
      </c>
      <c r="J218" s="66">
        <v>24.0</v>
      </c>
      <c r="K218" s="8"/>
    </row>
    <row r="219" ht="15.75" hidden="1" customHeight="1">
      <c r="B219" s="67" t="s">
        <v>209</v>
      </c>
      <c r="D219" s="68" t="s">
        <v>209</v>
      </c>
      <c r="F219" s="68" t="s">
        <v>209</v>
      </c>
      <c r="H219" s="68" t="s">
        <v>209</v>
      </c>
      <c r="J219" s="68" t="s">
        <v>209</v>
      </c>
      <c r="K219" s="8"/>
    </row>
    <row r="220" ht="15.75" hidden="1" customHeight="1">
      <c r="B220" s="44" t="s">
        <v>6</v>
      </c>
      <c r="K220" s="8"/>
    </row>
    <row r="221" ht="15.75" hidden="1" customHeight="1">
      <c r="B221" s="74" t="s">
        <v>294</v>
      </c>
      <c r="D221" s="52" t="s">
        <v>38</v>
      </c>
      <c r="F221" s="54" t="s">
        <v>38</v>
      </c>
      <c r="H221" s="54" t="s">
        <v>38</v>
      </c>
      <c r="J221" s="47" t="s">
        <v>38</v>
      </c>
      <c r="K221" s="8"/>
    </row>
    <row r="222" ht="15.75" hidden="1" customHeight="1">
      <c r="B222" s="74" t="s">
        <v>295</v>
      </c>
      <c r="D222" s="52" t="s">
        <v>296</v>
      </c>
      <c r="F222" s="54" t="s">
        <v>296</v>
      </c>
      <c r="H222" s="97" t="s">
        <v>297</v>
      </c>
      <c r="J222" s="47" t="s">
        <v>298</v>
      </c>
      <c r="K222" s="8"/>
    </row>
    <row r="223" ht="15.75" hidden="1" customHeight="1">
      <c r="B223" s="52" t="s">
        <v>299</v>
      </c>
      <c r="D223" s="52" t="s">
        <v>300</v>
      </c>
      <c r="F223" s="54" t="s">
        <v>300</v>
      </c>
      <c r="H223" s="50" t="s">
        <v>301</v>
      </c>
      <c r="J223" s="47" t="s">
        <v>302</v>
      </c>
      <c r="K223" s="8"/>
    </row>
    <row r="224" ht="15.75" hidden="1" customHeight="1">
      <c r="B224" s="49" t="s">
        <v>293</v>
      </c>
      <c r="D224" s="46" t="s">
        <v>303</v>
      </c>
      <c r="F224" s="46" t="s">
        <v>303</v>
      </c>
      <c r="H224" s="54"/>
      <c r="J224" s="46" t="s">
        <v>304</v>
      </c>
      <c r="K224" s="8"/>
    </row>
    <row r="225" ht="15.75" hidden="1" customHeight="1">
      <c r="B225" s="92"/>
      <c r="D225" s="52" t="s">
        <v>205</v>
      </c>
      <c r="F225" s="54" t="s">
        <v>305</v>
      </c>
      <c r="H225" s="54"/>
      <c r="J225" s="22"/>
      <c r="K225" s="8"/>
    </row>
    <row r="226" ht="15.75" hidden="1" customHeight="1">
      <c r="B226" s="92" t="s">
        <v>211</v>
      </c>
      <c r="D226" s="52" t="s">
        <v>306</v>
      </c>
      <c r="F226" s="54" t="s">
        <v>307</v>
      </c>
      <c r="H226" s="54"/>
      <c r="J226" s="98"/>
      <c r="K226" s="8"/>
    </row>
    <row r="227" ht="15.75" hidden="1" customHeight="1">
      <c r="B227" s="92" t="s">
        <v>308</v>
      </c>
      <c r="D227" s="17" t="s">
        <v>309</v>
      </c>
      <c r="F227" s="17" t="s">
        <v>310</v>
      </c>
      <c r="H227" s="54"/>
      <c r="J227" s="22"/>
      <c r="K227" s="8"/>
    </row>
    <row r="228" ht="15.75" hidden="1" customHeight="1">
      <c r="B228" s="56"/>
      <c r="D228" s="46" t="s">
        <v>304</v>
      </c>
      <c r="F228" s="57"/>
      <c r="H228" s="57"/>
      <c r="J228" s="58"/>
      <c r="K228" s="8"/>
    </row>
    <row r="229" ht="15.75" hidden="1" customHeight="1">
      <c r="B229" s="59" t="s">
        <v>24</v>
      </c>
      <c r="K229" s="8"/>
    </row>
    <row r="230" ht="15.75" hidden="1" customHeight="1">
      <c r="B230" s="74" t="s">
        <v>311</v>
      </c>
      <c r="D230" s="52" t="s">
        <v>312</v>
      </c>
      <c r="F230" s="54" t="s">
        <v>9</v>
      </c>
      <c r="H230" s="54" t="s">
        <v>313</v>
      </c>
      <c r="J230" s="30" t="s">
        <v>9</v>
      </c>
      <c r="K230" s="8"/>
    </row>
    <row r="231" ht="15.75" hidden="1" customHeight="1">
      <c r="B231" s="74" t="s">
        <v>314</v>
      </c>
      <c r="D231" s="131" t="s">
        <v>315</v>
      </c>
      <c r="E231" s="132"/>
      <c r="F231" s="17" t="s">
        <v>316</v>
      </c>
      <c r="H231" s="54" t="s">
        <v>317</v>
      </c>
      <c r="J231" s="28" t="s">
        <v>318</v>
      </c>
      <c r="K231" s="8"/>
    </row>
    <row r="232" ht="15.75" hidden="1" customHeight="1">
      <c r="B232" s="93" t="s">
        <v>310</v>
      </c>
      <c r="D232" s="73" t="s">
        <v>319</v>
      </c>
      <c r="F232" s="17" t="s">
        <v>320</v>
      </c>
      <c r="H232" s="17" t="s">
        <v>304</v>
      </c>
      <c r="J232" s="30" t="s">
        <v>321</v>
      </c>
      <c r="K232" s="8"/>
    </row>
    <row r="233" ht="15.75" hidden="1" customHeight="1">
      <c r="B233" s="92" t="s">
        <v>313</v>
      </c>
      <c r="D233" s="17" t="s">
        <v>303</v>
      </c>
      <c r="F233" s="54"/>
      <c r="H233" s="54"/>
      <c r="J233" s="109" t="s">
        <v>301</v>
      </c>
      <c r="K233" s="8"/>
    </row>
    <row r="234" ht="15.75" hidden="1" customHeight="1">
      <c r="B234" s="49" t="s">
        <v>322</v>
      </c>
      <c r="D234" s="73" t="s">
        <v>323</v>
      </c>
      <c r="F234" s="133" t="s">
        <v>205</v>
      </c>
      <c r="G234" s="13"/>
      <c r="H234" s="54" t="s">
        <v>8</v>
      </c>
      <c r="J234" s="30" t="s">
        <v>40</v>
      </c>
      <c r="K234" s="8"/>
    </row>
    <row r="235" ht="15.75" hidden="1" customHeight="1">
      <c r="B235" s="93" t="s">
        <v>271</v>
      </c>
      <c r="D235" s="131" t="s">
        <v>324</v>
      </c>
      <c r="E235" s="132"/>
      <c r="F235" s="134" t="s">
        <v>325</v>
      </c>
      <c r="G235" s="37"/>
      <c r="H235" s="54" t="s">
        <v>326</v>
      </c>
      <c r="J235" s="30" t="s">
        <v>327</v>
      </c>
      <c r="K235" s="8"/>
    </row>
    <row r="236" ht="15.75" hidden="1" customHeight="1">
      <c r="B236" s="111" t="s">
        <v>76</v>
      </c>
      <c r="D236" s="126" t="s">
        <v>303</v>
      </c>
      <c r="F236" s="28" t="s">
        <v>301</v>
      </c>
      <c r="H236" s="63" t="s">
        <v>328</v>
      </c>
      <c r="J236" s="47" t="s">
        <v>329</v>
      </c>
      <c r="K236" s="8"/>
    </row>
    <row r="237" ht="15.75" hidden="1" customHeight="1">
      <c r="B237" s="102" t="s">
        <v>330</v>
      </c>
      <c r="D237" s="95" t="s">
        <v>331</v>
      </c>
      <c r="F237" s="54" t="s">
        <v>332</v>
      </c>
      <c r="H237" s="63" t="s">
        <v>333</v>
      </c>
      <c r="J237" s="46" t="s">
        <v>334</v>
      </c>
      <c r="K237" s="86"/>
    </row>
    <row r="238" ht="15.75" hidden="1" customHeight="1">
      <c r="B238" s="129" t="s">
        <v>335</v>
      </c>
      <c r="D238" s="131" t="s">
        <v>336</v>
      </c>
      <c r="E238" s="132"/>
      <c r="F238" s="54" t="s">
        <v>337</v>
      </c>
      <c r="H238" s="54" t="s">
        <v>338</v>
      </c>
      <c r="J238" s="33"/>
      <c r="K238" s="86"/>
    </row>
    <row r="239" ht="15.75" hidden="1" customHeight="1">
      <c r="B239" s="130" t="s">
        <v>271</v>
      </c>
      <c r="C239" s="89"/>
      <c r="D239" s="135" t="s">
        <v>310</v>
      </c>
      <c r="E239" s="89"/>
      <c r="F239" s="136" t="s">
        <v>304</v>
      </c>
      <c r="G239" s="89"/>
      <c r="H239" s="135" t="s">
        <v>304</v>
      </c>
      <c r="I239" s="89"/>
      <c r="J239" s="90"/>
      <c r="K239" s="91"/>
    </row>
    <row r="240" ht="15.75" hidden="1" customHeight="1">
      <c r="B240" s="33"/>
      <c r="C240" s="33"/>
      <c r="D240" s="33"/>
      <c r="E240" s="33"/>
      <c r="F240" s="33"/>
      <c r="G240" s="33"/>
      <c r="H240" s="33"/>
      <c r="I240" s="33"/>
      <c r="J240" s="33"/>
      <c r="K240" s="33"/>
    </row>
    <row r="241" ht="15.75" hidden="1" customHeight="1">
      <c r="B241" s="38" t="s">
        <v>0</v>
      </c>
      <c r="C241" s="12"/>
      <c r="D241" s="39" t="s">
        <v>1</v>
      </c>
      <c r="E241" s="12"/>
      <c r="F241" s="40" t="s">
        <v>2</v>
      </c>
      <c r="G241" s="12"/>
      <c r="H241" s="40" t="s">
        <v>3</v>
      </c>
      <c r="I241" s="12"/>
      <c r="J241" s="40" t="s">
        <v>4</v>
      </c>
      <c r="K241" s="13"/>
    </row>
    <row r="242" ht="15.75" hidden="1" customHeight="1">
      <c r="B242" s="65">
        <v>27.0</v>
      </c>
      <c r="D242" s="66">
        <v>28.0</v>
      </c>
      <c r="F242" s="66">
        <v>29.0</v>
      </c>
      <c r="H242" s="66">
        <v>30.0</v>
      </c>
      <c r="J242" s="66">
        <v>1.0</v>
      </c>
      <c r="K242" s="8"/>
    </row>
    <row r="243" ht="15.75" hidden="1" customHeight="1">
      <c r="B243" s="67" t="s">
        <v>209</v>
      </c>
      <c r="D243" s="68" t="s">
        <v>209</v>
      </c>
      <c r="F243" s="68" t="s">
        <v>209</v>
      </c>
      <c r="H243" s="68" t="s">
        <v>209</v>
      </c>
      <c r="J243" s="68" t="s">
        <v>339</v>
      </c>
      <c r="K243" s="8"/>
    </row>
    <row r="244" ht="15.75" hidden="1" customHeight="1">
      <c r="B244" s="44" t="s">
        <v>6</v>
      </c>
      <c r="K244" s="8"/>
    </row>
    <row r="245" ht="15.75" hidden="1" customHeight="1">
      <c r="B245" s="74" t="s">
        <v>40</v>
      </c>
      <c r="D245" s="52" t="s">
        <v>57</v>
      </c>
      <c r="F245" s="54" t="s">
        <v>9</v>
      </c>
      <c r="H245" s="54" t="s">
        <v>340</v>
      </c>
      <c r="J245" s="105"/>
      <c r="K245" s="8"/>
    </row>
    <row r="246" ht="15.75" hidden="1" customHeight="1">
      <c r="B246" s="74" t="s">
        <v>341</v>
      </c>
      <c r="D246" s="52" t="s">
        <v>342</v>
      </c>
      <c r="F246" s="54" t="s">
        <v>343</v>
      </c>
      <c r="H246" s="54" t="s">
        <v>344</v>
      </c>
      <c r="J246" s="105"/>
      <c r="K246" s="8"/>
    </row>
    <row r="247" ht="15.75" hidden="1" customHeight="1">
      <c r="B247" s="92"/>
      <c r="D247" s="46" t="s">
        <v>345</v>
      </c>
      <c r="F247" s="54" t="s">
        <v>346</v>
      </c>
      <c r="H247" s="120"/>
      <c r="J247" s="105"/>
      <c r="K247" s="8"/>
    </row>
    <row r="248" ht="15.75" hidden="1" customHeight="1">
      <c r="B248" s="93" t="s">
        <v>347</v>
      </c>
      <c r="D248" s="52" t="s">
        <v>99</v>
      </c>
      <c r="F248" s="46" t="s">
        <v>348</v>
      </c>
      <c r="H248" s="54" t="s">
        <v>99</v>
      </c>
      <c r="J248" s="105"/>
      <c r="K248" s="8"/>
    </row>
    <row r="249" ht="15.75" hidden="1" customHeight="1">
      <c r="B249" s="92" t="s">
        <v>211</v>
      </c>
      <c r="D249" s="52" t="s">
        <v>103</v>
      </c>
      <c r="F249" s="54" t="s">
        <v>205</v>
      </c>
      <c r="H249" s="54" t="s">
        <v>349</v>
      </c>
      <c r="J249" s="137"/>
      <c r="K249" s="8"/>
    </row>
    <row r="250" ht="15.75" hidden="1" customHeight="1">
      <c r="B250" s="92" t="s">
        <v>350</v>
      </c>
      <c r="D250" s="52" t="s">
        <v>40</v>
      </c>
      <c r="F250" s="54" t="s">
        <v>351</v>
      </c>
      <c r="H250" s="54" t="s">
        <v>352</v>
      </c>
      <c r="J250" s="138"/>
      <c r="K250" s="8"/>
    </row>
    <row r="251" ht="15.75" hidden="1" customHeight="1">
      <c r="B251" s="93" t="s">
        <v>353</v>
      </c>
      <c r="D251" s="73" t="s">
        <v>354</v>
      </c>
      <c r="F251" s="54" t="s">
        <v>13</v>
      </c>
      <c r="H251" s="46" t="s">
        <v>345</v>
      </c>
      <c r="J251" s="137"/>
      <c r="K251" s="8"/>
    </row>
    <row r="252" ht="15.75" hidden="1" customHeight="1">
      <c r="B252" s="139"/>
      <c r="D252" s="57"/>
      <c r="F252" s="57"/>
      <c r="H252" s="57"/>
      <c r="J252" s="140"/>
      <c r="K252" s="8"/>
    </row>
    <row r="253" ht="15.75" hidden="1" customHeight="1">
      <c r="B253" s="59" t="s">
        <v>24</v>
      </c>
      <c r="K253" s="8"/>
    </row>
    <row r="254" ht="15.75" hidden="1" customHeight="1">
      <c r="B254" s="74" t="s">
        <v>38</v>
      </c>
      <c r="D254" s="73" t="s">
        <v>40</v>
      </c>
      <c r="F254" s="54" t="s">
        <v>355</v>
      </c>
      <c r="H254" s="54"/>
      <c r="J254" s="104"/>
      <c r="K254" s="8"/>
    </row>
    <row r="255" ht="15.75" hidden="1" customHeight="1">
      <c r="B255" s="74" t="s">
        <v>356</v>
      </c>
      <c r="D255" s="73" t="s">
        <v>357</v>
      </c>
      <c r="F255" s="54" t="s">
        <v>358</v>
      </c>
      <c r="H255" s="54"/>
      <c r="J255" s="104"/>
      <c r="K255" s="8"/>
    </row>
    <row r="256" ht="15.75" hidden="1" customHeight="1">
      <c r="B256" s="93" t="s">
        <v>345</v>
      </c>
      <c r="D256" s="126" t="s">
        <v>345</v>
      </c>
      <c r="F256" s="46" t="s">
        <v>334</v>
      </c>
      <c r="H256" s="46" t="s">
        <v>359</v>
      </c>
      <c r="J256" s="104"/>
      <c r="K256" s="8"/>
    </row>
    <row r="257" ht="15.75" hidden="1" customHeight="1">
      <c r="B257" s="92"/>
      <c r="D257" s="73"/>
      <c r="F257" s="54" t="s">
        <v>151</v>
      </c>
      <c r="H257" s="54" t="s">
        <v>360</v>
      </c>
      <c r="J257" s="104"/>
      <c r="K257" s="8"/>
    </row>
    <row r="258" ht="15.75" hidden="1" customHeight="1">
      <c r="B258" s="111"/>
      <c r="D258" s="73"/>
      <c r="F258" s="54" t="s">
        <v>361</v>
      </c>
      <c r="H258" s="54" t="s">
        <v>362</v>
      </c>
      <c r="J258" s="104"/>
      <c r="K258" s="8"/>
    </row>
    <row r="259" ht="15.75" hidden="1" customHeight="1">
      <c r="B259" s="92"/>
      <c r="D259" s="73"/>
      <c r="F259" s="46" t="s">
        <v>345</v>
      </c>
      <c r="H259" s="54" t="s">
        <v>363</v>
      </c>
      <c r="J259" s="140"/>
      <c r="K259" s="8"/>
    </row>
    <row r="260" ht="15.75" hidden="1" customHeight="1">
      <c r="B260" s="92"/>
      <c r="D260" s="95"/>
      <c r="F260" s="54"/>
      <c r="H260" s="46" t="s">
        <v>364</v>
      </c>
      <c r="J260" s="137"/>
      <c r="K260" s="8"/>
    </row>
    <row r="261" ht="15.75" hidden="1" customHeight="1">
      <c r="B261" s="92"/>
      <c r="D261" s="95"/>
      <c r="F261" s="21"/>
      <c r="G261" s="21"/>
      <c r="H261" s="63"/>
      <c r="J261" s="137"/>
      <c r="K261" s="8"/>
    </row>
    <row r="262" ht="15.75" hidden="1" customHeight="1">
      <c r="B262" s="139"/>
      <c r="D262" s="33"/>
      <c r="E262" s="33"/>
      <c r="F262" s="33"/>
      <c r="G262" s="33"/>
      <c r="H262" s="33"/>
      <c r="I262" s="33"/>
      <c r="J262" s="137"/>
      <c r="K262" s="8"/>
    </row>
    <row r="263" ht="15.75" hidden="1" customHeight="1">
      <c r="B263" s="141"/>
      <c r="C263" s="35"/>
      <c r="D263" s="36"/>
      <c r="E263" s="36"/>
      <c r="F263" s="36"/>
      <c r="G263" s="36"/>
      <c r="H263" s="36"/>
      <c r="I263" s="36"/>
      <c r="J263" s="142"/>
      <c r="K263" s="37"/>
    </row>
    <row r="264" ht="15.75" hidden="1" customHeight="1">
      <c r="B264" s="33"/>
      <c r="C264" s="33"/>
      <c r="D264" s="33"/>
      <c r="E264" s="33"/>
      <c r="F264" s="33"/>
      <c r="G264" s="33"/>
      <c r="H264" s="33"/>
      <c r="I264" s="33"/>
      <c r="J264" s="33"/>
      <c r="K264" s="33"/>
    </row>
    <row r="265" ht="15.75" hidden="1" customHeight="1">
      <c r="B265" s="1" t="s">
        <v>0</v>
      </c>
      <c r="C265" s="2"/>
      <c r="D265" s="3" t="s">
        <v>1</v>
      </c>
      <c r="E265" s="2"/>
      <c r="F265" s="4" t="s">
        <v>2</v>
      </c>
      <c r="G265" s="2"/>
      <c r="H265" s="4" t="s">
        <v>3</v>
      </c>
      <c r="I265" s="2"/>
      <c r="J265" s="4" t="s">
        <v>4</v>
      </c>
      <c r="K265" s="5"/>
    </row>
    <row r="266" ht="15.75" hidden="1" customHeight="1">
      <c r="B266" s="65">
        <v>4.0</v>
      </c>
      <c r="D266" s="66">
        <v>5.0</v>
      </c>
      <c r="F266" s="66">
        <v>6.0</v>
      </c>
      <c r="H266" s="66">
        <v>7.0</v>
      </c>
      <c r="J266" s="66">
        <v>8.0</v>
      </c>
      <c r="K266" s="8"/>
    </row>
    <row r="267" ht="15.75" hidden="1" customHeight="1">
      <c r="B267" s="67" t="s">
        <v>339</v>
      </c>
      <c r="D267" s="68" t="s">
        <v>339</v>
      </c>
      <c r="F267" s="68" t="s">
        <v>339</v>
      </c>
      <c r="H267" s="68" t="s">
        <v>339</v>
      </c>
      <c r="J267" s="68" t="s">
        <v>339</v>
      </c>
      <c r="K267" s="8"/>
    </row>
    <row r="268" ht="15.75" hidden="1" customHeight="1">
      <c r="B268" s="44" t="s">
        <v>6</v>
      </c>
      <c r="K268" s="8"/>
    </row>
    <row r="269" ht="15.75" hidden="1" customHeight="1">
      <c r="B269" s="74" t="s">
        <v>9</v>
      </c>
      <c r="D269" s="52" t="s">
        <v>69</v>
      </c>
      <c r="F269" s="54" t="s">
        <v>38</v>
      </c>
      <c r="H269" s="54" t="s">
        <v>365</v>
      </c>
      <c r="J269" s="97"/>
      <c r="K269" s="8"/>
    </row>
    <row r="270" ht="15.75" hidden="1" customHeight="1">
      <c r="B270" s="74" t="s">
        <v>366</v>
      </c>
      <c r="D270" s="52" t="s">
        <v>367</v>
      </c>
      <c r="F270" s="54" t="s">
        <v>298</v>
      </c>
      <c r="H270" s="120" t="s">
        <v>368</v>
      </c>
      <c r="J270" s="97"/>
      <c r="K270" s="8"/>
    </row>
    <row r="271" ht="15.75" hidden="1" customHeight="1">
      <c r="B271" s="74" t="s">
        <v>369</v>
      </c>
      <c r="D271" s="52" t="s">
        <v>370</v>
      </c>
      <c r="F271" s="46" t="s">
        <v>371</v>
      </c>
      <c r="H271" s="143" t="s">
        <v>371</v>
      </c>
      <c r="J271" s="97"/>
      <c r="K271" s="8"/>
    </row>
    <row r="272" ht="15.75" hidden="1" customHeight="1">
      <c r="B272" s="74"/>
      <c r="D272" s="109" t="s">
        <v>372</v>
      </c>
      <c r="F272" s="54" t="s">
        <v>210</v>
      </c>
      <c r="H272" s="54"/>
      <c r="J272" s="97"/>
      <c r="K272" s="8"/>
    </row>
    <row r="273" ht="15.75" hidden="1" customHeight="1">
      <c r="B273" s="74" t="s">
        <v>373</v>
      </c>
      <c r="D273" s="52" t="s">
        <v>211</v>
      </c>
      <c r="F273" s="54" t="s">
        <v>374</v>
      </c>
      <c r="H273" s="54"/>
      <c r="J273" s="97"/>
      <c r="K273" s="8"/>
    </row>
    <row r="274" ht="15.75" hidden="1" customHeight="1">
      <c r="B274" s="74" t="s">
        <v>375</v>
      </c>
      <c r="D274" s="52" t="s">
        <v>376</v>
      </c>
      <c r="F274" s="46" t="s">
        <v>377</v>
      </c>
      <c r="H274" s="54"/>
      <c r="J274" s="97"/>
      <c r="K274" s="8"/>
    </row>
    <row r="275" ht="15.75" hidden="1" customHeight="1">
      <c r="B275" s="74" t="s">
        <v>378</v>
      </c>
      <c r="D275" s="109" t="s">
        <v>372</v>
      </c>
      <c r="F275" s="54"/>
      <c r="H275" s="54"/>
      <c r="J275" s="97"/>
      <c r="K275" s="8"/>
    </row>
    <row r="276" ht="15.75" hidden="1" customHeight="1">
      <c r="B276" s="139"/>
      <c r="D276" s="57"/>
      <c r="F276" s="57"/>
      <c r="H276" s="57"/>
      <c r="J276" s="58"/>
      <c r="K276" s="8"/>
    </row>
    <row r="277" ht="15.75" hidden="1" customHeight="1">
      <c r="B277" s="59" t="s">
        <v>24</v>
      </c>
      <c r="K277" s="8"/>
    </row>
    <row r="278" ht="15.75" hidden="1" customHeight="1">
      <c r="B278" s="74" t="s">
        <v>9</v>
      </c>
      <c r="D278" s="52" t="s">
        <v>379</v>
      </c>
      <c r="F278" s="54" t="s">
        <v>38</v>
      </c>
      <c r="H278" s="54" t="s">
        <v>380</v>
      </c>
      <c r="J278" s="97"/>
      <c r="K278" s="8"/>
    </row>
    <row r="279" ht="15.75" hidden="1" customHeight="1">
      <c r="B279" s="74" t="s">
        <v>343</v>
      </c>
      <c r="D279" s="73" t="s">
        <v>381</v>
      </c>
      <c r="F279" s="54" t="s">
        <v>302</v>
      </c>
      <c r="H279" s="54" t="s">
        <v>382</v>
      </c>
      <c r="J279" s="97"/>
      <c r="K279" s="8"/>
    </row>
    <row r="280" ht="15.75" hidden="1" customHeight="1">
      <c r="B280" s="92" t="s">
        <v>383</v>
      </c>
      <c r="D280" s="73" t="s">
        <v>384</v>
      </c>
      <c r="F280" s="54" t="s">
        <v>385</v>
      </c>
      <c r="H280" s="54" t="s">
        <v>386</v>
      </c>
      <c r="J280" s="97"/>
      <c r="K280" s="8"/>
    </row>
    <row r="281" ht="15.75" hidden="1" customHeight="1">
      <c r="B281" s="92" t="s">
        <v>387</v>
      </c>
      <c r="D281" s="73" t="s">
        <v>388</v>
      </c>
      <c r="F281" s="46" t="s">
        <v>371</v>
      </c>
      <c r="H281" s="17" t="s">
        <v>371</v>
      </c>
      <c r="J281" s="97"/>
      <c r="K281" s="8"/>
    </row>
    <row r="282" ht="15.75" hidden="1" customHeight="1">
      <c r="B282" s="92"/>
      <c r="D282" s="46" t="s">
        <v>372</v>
      </c>
      <c r="F282" s="54" t="s">
        <v>69</v>
      </c>
      <c r="H282" s="54"/>
      <c r="J282" s="97"/>
      <c r="K282" s="8"/>
    </row>
    <row r="283" ht="15.75" hidden="1" customHeight="1">
      <c r="B283" s="92" t="s">
        <v>86</v>
      </c>
      <c r="D283" s="73"/>
      <c r="F283" s="54" t="s">
        <v>389</v>
      </c>
      <c r="H283" s="54"/>
      <c r="J283" s="97"/>
      <c r="K283" s="8"/>
    </row>
    <row r="284" ht="15.75" hidden="1" customHeight="1">
      <c r="B284" s="92" t="s">
        <v>27</v>
      </c>
      <c r="D284" s="73"/>
      <c r="F284" s="46" t="s">
        <v>371</v>
      </c>
      <c r="H284" s="63"/>
      <c r="J284" s="97"/>
      <c r="K284" s="8"/>
    </row>
    <row r="285" ht="15.75" hidden="1" customHeight="1">
      <c r="B285" s="92" t="s">
        <v>390</v>
      </c>
      <c r="D285" s="73"/>
      <c r="F285" s="21"/>
      <c r="G285" s="21"/>
      <c r="H285" s="63"/>
      <c r="J285" s="97"/>
      <c r="K285" s="8"/>
    </row>
    <row r="286" ht="15.75" hidden="1" customHeight="1">
      <c r="B286" s="139"/>
      <c r="D286" s="57"/>
      <c r="F286" s="33"/>
      <c r="G286" s="33"/>
      <c r="H286" s="33"/>
      <c r="I286" s="33"/>
      <c r="J286" s="33"/>
      <c r="K286" s="8"/>
    </row>
    <row r="287" ht="15.75" hidden="1" customHeight="1">
      <c r="B287" s="24"/>
      <c r="C287" s="35"/>
      <c r="D287" s="144"/>
      <c r="E287" s="35"/>
      <c r="F287" s="90"/>
      <c r="G287" s="90"/>
      <c r="H287" s="90"/>
      <c r="I287" s="90"/>
      <c r="J287" s="90"/>
      <c r="K287" s="145"/>
    </row>
    <row r="288" ht="15.75" hidden="1" customHeight="1">
      <c r="B288" s="33"/>
      <c r="C288" s="33"/>
      <c r="D288" s="33"/>
      <c r="E288" s="33"/>
      <c r="F288" s="33"/>
      <c r="G288" s="33"/>
      <c r="H288" s="33"/>
      <c r="I288" s="33"/>
      <c r="J288" s="33"/>
      <c r="K288" s="33"/>
    </row>
    <row r="289" ht="15.75" hidden="1" customHeight="1">
      <c r="A289" s="146"/>
      <c r="B289" s="147" t="s">
        <v>391</v>
      </c>
      <c r="C289" s="148"/>
      <c r="D289" s="149" t="s">
        <v>392</v>
      </c>
      <c r="E289" s="150"/>
      <c r="F289" s="150"/>
      <c r="G289" s="150"/>
      <c r="H289" s="150"/>
      <c r="I289" s="150"/>
      <c r="J289" s="151"/>
      <c r="K289" s="152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</row>
    <row r="290" ht="15.75" hidden="1" customHeight="1">
      <c r="A290" s="154"/>
      <c r="B290" s="154"/>
      <c r="C290" s="155"/>
      <c r="D290" s="156" t="s">
        <v>393</v>
      </c>
      <c r="E290" s="150"/>
      <c r="F290" s="150"/>
      <c r="G290" s="150"/>
      <c r="H290" s="150"/>
      <c r="I290" s="150"/>
      <c r="J290" s="151"/>
      <c r="K290" s="157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</row>
    <row r="291" ht="15.75" hidden="1" customHeight="1">
      <c r="A291" s="158"/>
      <c r="B291" s="159"/>
      <c r="C291" s="159"/>
      <c r="D291" s="159"/>
      <c r="E291" s="159"/>
      <c r="F291" s="159"/>
      <c r="G291" s="159"/>
      <c r="H291" s="159"/>
      <c r="I291" s="159"/>
      <c r="J291" s="159"/>
      <c r="K291" s="157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</row>
    <row r="292" ht="26.25" hidden="1" customHeight="1">
      <c r="A292" s="158"/>
      <c r="B292" s="160">
        <v>46153.0</v>
      </c>
      <c r="C292" s="161"/>
      <c r="D292" s="160">
        <v>46154.0</v>
      </c>
      <c r="E292" s="161"/>
      <c r="F292" s="160">
        <v>46155.0</v>
      </c>
      <c r="G292" s="161"/>
      <c r="H292" s="160">
        <v>46156.0</v>
      </c>
      <c r="I292" s="161"/>
      <c r="J292" s="162">
        <v>46157.0</v>
      </c>
      <c r="K292" s="157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</row>
    <row r="293" ht="15.75" hidden="1" customHeight="1">
      <c r="A293" s="158"/>
      <c r="B293" s="159"/>
      <c r="C293" s="159"/>
      <c r="D293" s="159"/>
      <c r="E293" s="159"/>
      <c r="F293" s="159"/>
      <c r="G293" s="159"/>
      <c r="H293" s="159"/>
      <c r="I293" s="159"/>
      <c r="J293" s="159"/>
      <c r="K293" s="157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</row>
    <row r="294" ht="15.75" hidden="1" customHeight="1">
      <c r="A294" s="163" t="s">
        <v>394</v>
      </c>
      <c r="B294" s="164" t="s">
        <v>39</v>
      </c>
      <c r="C294" s="159"/>
      <c r="D294" s="164" t="s">
        <v>340</v>
      </c>
      <c r="E294" s="159"/>
      <c r="F294" s="165" t="s">
        <v>66</v>
      </c>
      <c r="G294" s="159"/>
      <c r="H294" s="164" t="s">
        <v>105</v>
      </c>
      <c r="I294" s="159"/>
      <c r="J294" s="165" t="s">
        <v>51</v>
      </c>
      <c r="K294" s="157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</row>
    <row r="295" ht="15.75" hidden="1" customHeight="1">
      <c r="A295" s="166"/>
      <c r="B295" s="167" t="s">
        <v>395</v>
      </c>
      <c r="C295" s="159"/>
      <c r="D295" s="167" t="s">
        <v>396</v>
      </c>
      <c r="E295" s="159"/>
      <c r="F295" s="168" t="s">
        <v>397</v>
      </c>
      <c r="G295" s="159"/>
      <c r="H295" s="167" t="s">
        <v>398</v>
      </c>
      <c r="I295" s="159"/>
      <c r="J295" s="168" t="s">
        <v>399</v>
      </c>
      <c r="K295" s="157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</row>
    <row r="296" ht="15.75" hidden="1" customHeight="1">
      <c r="A296" s="166"/>
      <c r="B296" s="169" t="s">
        <v>73</v>
      </c>
      <c r="C296" s="159"/>
      <c r="D296" s="169" t="s">
        <v>400</v>
      </c>
      <c r="E296" s="159"/>
      <c r="F296" s="170" t="s">
        <v>401</v>
      </c>
      <c r="G296" s="159"/>
      <c r="H296" s="169" t="s">
        <v>402</v>
      </c>
      <c r="I296" s="159"/>
      <c r="J296" s="171" t="s">
        <v>403</v>
      </c>
      <c r="K296" s="157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</row>
    <row r="297" ht="15.75" hidden="1" customHeight="1">
      <c r="A297" s="166"/>
      <c r="B297" s="172"/>
      <c r="C297" s="159"/>
      <c r="D297" s="172"/>
      <c r="E297" s="159"/>
      <c r="F297" s="173"/>
      <c r="G297" s="159"/>
      <c r="H297" s="174"/>
      <c r="I297" s="159"/>
      <c r="J297" s="175" t="s">
        <v>404</v>
      </c>
      <c r="K297" s="157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</row>
    <row r="298" ht="22.5" hidden="1" customHeight="1">
      <c r="A298" s="166"/>
      <c r="B298" s="176" t="s">
        <v>405</v>
      </c>
      <c r="C298" s="159"/>
      <c r="D298" s="176" t="s">
        <v>406</v>
      </c>
      <c r="E298" s="159"/>
      <c r="F298" s="177" t="s">
        <v>407</v>
      </c>
      <c r="G298" s="159"/>
      <c r="H298" s="176" t="s">
        <v>408</v>
      </c>
      <c r="I298" s="159"/>
      <c r="J298" s="178" t="s">
        <v>409</v>
      </c>
      <c r="K298" s="157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</row>
    <row r="299" ht="15.75" hidden="1" customHeight="1">
      <c r="A299" s="166"/>
      <c r="B299" s="165" t="s">
        <v>69</v>
      </c>
      <c r="C299" s="179"/>
      <c r="D299" s="165" t="s">
        <v>51</v>
      </c>
      <c r="E299" s="159"/>
      <c r="F299" s="165" t="s">
        <v>40</v>
      </c>
      <c r="G299" s="159"/>
      <c r="H299" s="165" t="s">
        <v>69</v>
      </c>
      <c r="I299" s="159"/>
      <c r="J299" s="180" t="s">
        <v>38</v>
      </c>
      <c r="K299" s="157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</row>
    <row r="300" ht="15.75" hidden="1" customHeight="1">
      <c r="A300" s="166"/>
      <c r="B300" s="168" t="s">
        <v>410</v>
      </c>
      <c r="C300" s="179"/>
      <c r="D300" s="168" t="s">
        <v>399</v>
      </c>
      <c r="E300" s="159"/>
      <c r="F300" s="168" t="s">
        <v>411</v>
      </c>
      <c r="G300" s="159"/>
      <c r="H300" s="168" t="s">
        <v>134</v>
      </c>
      <c r="I300" s="159"/>
      <c r="J300" s="181" t="s">
        <v>412</v>
      </c>
      <c r="K300" s="157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</row>
    <row r="301" ht="15.75" hidden="1" customHeight="1">
      <c r="A301" s="166"/>
      <c r="B301" s="170" t="s">
        <v>413</v>
      </c>
      <c r="C301" s="179"/>
      <c r="D301" s="170" t="s">
        <v>402</v>
      </c>
      <c r="E301" s="159"/>
      <c r="F301" s="170" t="s">
        <v>414</v>
      </c>
      <c r="G301" s="159"/>
      <c r="H301" s="170" t="s">
        <v>299</v>
      </c>
      <c r="I301" s="159"/>
      <c r="J301" s="171" t="s">
        <v>415</v>
      </c>
      <c r="K301" s="152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</row>
    <row r="302" ht="15.75" hidden="1" customHeight="1">
      <c r="A302" s="166"/>
      <c r="B302" s="173"/>
      <c r="C302" s="179"/>
      <c r="D302" s="173"/>
      <c r="E302" s="159"/>
      <c r="F302" s="173"/>
      <c r="G302" s="159"/>
      <c r="H302" s="175" t="s">
        <v>416</v>
      </c>
      <c r="I302" s="159"/>
      <c r="J302" s="175" t="s">
        <v>417</v>
      </c>
      <c r="K302" s="152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</row>
    <row r="303" ht="24.75" hidden="1" customHeight="1">
      <c r="A303" s="154"/>
      <c r="B303" s="177" t="s">
        <v>405</v>
      </c>
      <c r="C303" s="179"/>
      <c r="D303" s="177" t="s">
        <v>406</v>
      </c>
      <c r="E303" s="159"/>
      <c r="F303" s="177" t="s">
        <v>407</v>
      </c>
      <c r="G303" s="159"/>
      <c r="H303" s="177" t="s">
        <v>408</v>
      </c>
      <c r="I303" s="159"/>
      <c r="J303" s="178" t="s">
        <v>405</v>
      </c>
      <c r="K303" s="157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</row>
    <row r="304" ht="15.75" hidden="1" customHeight="1">
      <c r="A304" s="182"/>
      <c r="B304" s="183"/>
      <c r="C304" s="159"/>
      <c r="D304" s="183"/>
      <c r="E304" s="159"/>
      <c r="F304" s="183"/>
      <c r="G304" s="159"/>
      <c r="H304" s="183"/>
      <c r="I304" s="159"/>
      <c r="J304" s="183"/>
      <c r="K304" s="157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</row>
    <row r="305" ht="15.75" hidden="1" customHeight="1">
      <c r="A305" s="184" t="s">
        <v>418</v>
      </c>
      <c r="B305" s="185" t="s">
        <v>40</v>
      </c>
      <c r="C305" s="159"/>
      <c r="D305" s="165" t="s">
        <v>211</v>
      </c>
      <c r="E305" s="159"/>
      <c r="F305" s="164" t="s">
        <v>32</v>
      </c>
      <c r="G305" s="159"/>
      <c r="H305" s="164" t="s">
        <v>99</v>
      </c>
      <c r="I305" s="159"/>
      <c r="J305" s="165" t="s">
        <v>51</v>
      </c>
      <c r="K305" s="157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</row>
    <row r="306" ht="15.75" hidden="1" customHeight="1">
      <c r="A306" s="166"/>
      <c r="B306" s="167" t="s">
        <v>419</v>
      </c>
      <c r="C306" s="159"/>
      <c r="D306" s="168" t="s">
        <v>420</v>
      </c>
      <c r="E306" s="159"/>
      <c r="F306" s="167" t="s">
        <v>19</v>
      </c>
      <c r="G306" s="159"/>
      <c r="H306" s="167" t="s">
        <v>421</v>
      </c>
      <c r="I306" s="159"/>
      <c r="J306" s="186" t="s">
        <v>422</v>
      </c>
      <c r="K306" s="157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</row>
    <row r="307" ht="15.75" hidden="1" customHeight="1">
      <c r="A307" s="166"/>
      <c r="B307" s="169" t="s">
        <v>423</v>
      </c>
      <c r="C307" s="159"/>
      <c r="D307" s="170" t="s">
        <v>424</v>
      </c>
      <c r="E307" s="159"/>
      <c r="F307" s="169" t="s">
        <v>425</v>
      </c>
      <c r="G307" s="159"/>
      <c r="H307" s="187" t="s">
        <v>426</v>
      </c>
      <c r="I307" s="159"/>
      <c r="J307" s="171" t="s">
        <v>427</v>
      </c>
      <c r="K307" s="157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</row>
    <row r="308" ht="15.75" hidden="1" customHeight="1">
      <c r="A308" s="166"/>
      <c r="B308" s="172"/>
      <c r="C308" s="159"/>
      <c r="D308" s="173"/>
      <c r="E308" s="159"/>
      <c r="F308" s="172"/>
      <c r="G308" s="159"/>
      <c r="H308" s="172"/>
      <c r="I308" s="159"/>
      <c r="J308" s="175" t="s">
        <v>404</v>
      </c>
      <c r="K308" s="157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</row>
    <row r="309" ht="21.0" hidden="1" customHeight="1">
      <c r="A309" s="166"/>
      <c r="B309" s="176" t="s">
        <v>405</v>
      </c>
      <c r="C309" s="159"/>
      <c r="D309" s="177" t="s">
        <v>406</v>
      </c>
      <c r="E309" s="159"/>
      <c r="F309" s="176" t="s">
        <v>407</v>
      </c>
      <c r="G309" s="159"/>
      <c r="H309" s="176" t="s">
        <v>408</v>
      </c>
      <c r="I309" s="159"/>
      <c r="J309" s="177" t="s">
        <v>406</v>
      </c>
      <c r="K309" s="157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</row>
    <row r="310" ht="15.75" hidden="1" customHeight="1">
      <c r="A310" s="166"/>
      <c r="B310" s="165" t="s">
        <v>69</v>
      </c>
      <c r="C310" s="159"/>
      <c r="D310" s="165" t="s">
        <v>51</v>
      </c>
      <c r="E310" s="159"/>
      <c r="F310" s="164" t="s">
        <v>428</v>
      </c>
      <c r="G310" s="159"/>
      <c r="H310" s="165" t="s">
        <v>18</v>
      </c>
      <c r="I310" s="159"/>
      <c r="J310" s="188" t="s">
        <v>66</v>
      </c>
      <c r="K310" s="157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</row>
    <row r="311" ht="15.75" hidden="1" customHeight="1">
      <c r="A311" s="166"/>
      <c r="B311" s="168" t="s">
        <v>429</v>
      </c>
      <c r="C311" s="159"/>
      <c r="D311" s="186" t="s">
        <v>422</v>
      </c>
      <c r="E311" s="189"/>
      <c r="F311" s="190" t="s">
        <v>430</v>
      </c>
      <c r="G311" s="191"/>
      <c r="H311" s="186" t="s">
        <v>431</v>
      </c>
      <c r="I311" s="159"/>
      <c r="J311" s="181" t="s">
        <v>432</v>
      </c>
      <c r="K311" s="157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</row>
    <row r="312" ht="15.75" hidden="1" customHeight="1">
      <c r="A312" s="166"/>
      <c r="B312" s="170" t="s">
        <v>433</v>
      </c>
      <c r="C312" s="159"/>
      <c r="D312" s="170" t="s">
        <v>402</v>
      </c>
      <c r="E312" s="159"/>
      <c r="F312" s="192"/>
      <c r="G312" s="193"/>
      <c r="H312" s="194" t="s">
        <v>434</v>
      </c>
      <c r="I312" s="159"/>
      <c r="J312" s="170" t="s">
        <v>435</v>
      </c>
      <c r="K312" s="157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</row>
    <row r="313" ht="15.75" hidden="1" customHeight="1">
      <c r="A313" s="166"/>
      <c r="B313" s="170"/>
      <c r="C313" s="159"/>
      <c r="D313" s="170"/>
      <c r="E313" s="159"/>
      <c r="F313" s="195"/>
      <c r="G313" s="193"/>
      <c r="H313" s="194"/>
      <c r="I313" s="193"/>
      <c r="J313" s="173"/>
      <c r="K313" s="152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</row>
    <row r="314" ht="27.75" hidden="1" customHeight="1">
      <c r="A314" s="166"/>
      <c r="B314" s="177" t="s">
        <v>405</v>
      </c>
      <c r="C314" s="159"/>
      <c r="D314" s="177" t="s">
        <v>406</v>
      </c>
      <c r="E314" s="159"/>
      <c r="F314" s="196" t="s">
        <v>407</v>
      </c>
      <c r="G314" s="193"/>
      <c r="H314" s="178" t="s">
        <v>409</v>
      </c>
      <c r="I314" s="193"/>
      <c r="J314" s="177" t="s">
        <v>408</v>
      </c>
      <c r="K314" s="152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</row>
    <row r="315" ht="15.75" hidden="1" customHeight="1">
      <c r="A315" s="166"/>
      <c r="B315" s="197"/>
      <c r="C315" s="193"/>
      <c r="D315" s="198" t="s">
        <v>8</v>
      </c>
      <c r="E315" s="193"/>
      <c r="F315" s="188" t="s">
        <v>66</v>
      </c>
      <c r="G315" s="193"/>
      <c r="H315" s="199"/>
      <c r="I315" s="199"/>
      <c r="J315" s="180" t="s">
        <v>18</v>
      </c>
      <c r="K315" s="152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</row>
    <row r="316" ht="15.75" hidden="1" customHeight="1">
      <c r="A316" s="166"/>
      <c r="B316" s="200"/>
      <c r="C316" s="193"/>
      <c r="D316" s="192" t="s">
        <v>436</v>
      </c>
      <c r="E316" s="193"/>
      <c r="F316" s="201" t="s">
        <v>437</v>
      </c>
      <c r="G316" s="193"/>
      <c r="H316" s="202" t="s">
        <v>438</v>
      </c>
      <c r="I316" s="202" t="s">
        <v>438</v>
      </c>
      <c r="J316" s="181" t="s">
        <v>439</v>
      </c>
      <c r="K316" s="152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</row>
    <row r="317" ht="15.75" hidden="1" customHeight="1">
      <c r="A317" s="166"/>
      <c r="B317" s="203"/>
      <c r="C317" s="159"/>
      <c r="D317" s="169" t="s">
        <v>423</v>
      </c>
      <c r="E317" s="159"/>
      <c r="F317" s="170" t="s">
        <v>390</v>
      </c>
      <c r="G317" s="159"/>
      <c r="H317" s="183"/>
      <c r="I317" s="183"/>
      <c r="J317" s="171" t="s">
        <v>440</v>
      </c>
      <c r="K317" s="157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</row>
    <row r="318" ht="15.75" hidden="1" customHeight="1">
      <c r="A318" s="166"/>
      <c r="B318" s="204"/>
      <c r="C318" s="159"/>
      <c r="D318" s="172"/>
      <c r="E318" s="159"/>
      <c r="F318" s="175" t="s">
        <v>441</v>
      </c>
      <c r="G318" s="159"/>
      <c r="H318" s="205"/>
      <c r="I318" s="205"/>
      <c r="J318" s="175" t="s">
        <v>442</v>
      </c>
      <c r="K318" s="157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</row>
    <row r="319" ht="15.75" hidden="1" customHeight="1">
      <c r="A319" s="154"/>
      <c r="B319" s="206"/>
      <c r="C319" s="159"/>
      <c r="D319" s="176" t="s">
        <v>406</v>
      </c>
      <c r="E319" s="159"/>
      <c r="F319" s="177" t="s">
        <v>407</v>
      </c>
      <c r="G319" s="159"/>
      <c r="H319" s="207"/>
      <c r="I319" s="207"/>
      <c r="J319" s="178" t="s">
        <v>409</v>
      </c>
      <c r="K319" s="157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</row>
    <row r="320" ht="15.75" hidden="1" customHeight="1">
      <c r="A320" s="153"/>
      <c r="B320" s="157"/>
      <c r="C320" s="159"/>
      <c r="D320" s="157"/>
      <c r="E320" s="159"/>
      <c r="F320" s="157"/>
      <c r="G320" s="159"/>
      <c r="H320" s="157"/>
      <c r="I320" s="159"/>
      <c r="J320" s="157"/>
      <c r="K320" s="157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</row>
    <row r="321" ht="15.75" hidden="1" customHeight="1">
      <c r="A321" s="146"/>
      <c r="B321" s="147" t="s">
        <v>391</v>
      </c>
      <c r="C321" s="148"/>
      <c r="D321" s="149" t="s">
        <v>392</v>
      </c>
      <c r="E321" s="150"/>
      <c r="F321" s="150"/>
      <c r="G321" s="150"/>
      <c r="H321" s="150"/>
      <c r="I321" s="150"/>
      <c r="J321" s="151"/>
      <c r="K321" s="33"/>
    </row>
    <row r="322" ht="15.75" hidden="1" customHeight="1">
      <c r="A322" s="154"/>
      <c r="B322" s="154"/>
      <c r="C322" s="155"/>
      <c r="D322" s="156" t="s">
        <v>393</v>
      </c>
      <c r="E322" s="150"/>
      <c r="F322" s="150"/>
      <c r="G322" s="150"/>
      <c r="H322" s="150"/>
      <c r="I322" s="150"/>
      <c r="J322" s="151"/>
      <c r="K322" s="33"/>
    </row>
    <row r="323" ht="15.75" hidden="1" customHeight="1">
      <c r="A323" s="158"/>
      <c r="B323" s="159"/>
      <c r="C323" s="159"/>
      <c r="D323" s="159"/>
      <c r="E323" s="159"/>
      <c r="F323" s="159"/>
      <c r="G323" s="159"/>
      <c r="H323" s="159"/>
      <c r="I323" s="159"/>
      <c r="J323" s="159"/>
      <c r="K323" s="33"/>
    </row>
    <row r="324" ht="15.75" hidden="1" customHeight="1">
      <c r="A324" s="158"/>
      <c r="B324" s="208">
        <v>46160.0</v>
      </c>
      <c r="C324" s="161"/>
      <c r="D324" s="208">
        <v>46161.0</v>
      </c>
      <c r="E324" s="161"/>
      <c r="F324" s="208">
        <v>46162.0</v>
      </c>
      <c r="G324" s="161"/>
      <c r="H324" s="208">
        <v>46163.0</v>
      </c>
      <c r="I324" s="161"/>
      <c r="J324" s="209">
        <v>46164.0</v>
      </c>
      <c r="K324" s="33"/>
    </row>
    <row r="325" ht="15.75" hidden="1" customHeight="1">
      <c r="A325" s="158"/>
      <c r="B325" s="159"/>
      <c r="C325" s="159"/>
      <c r="D325" s="159"/>
      <c r="E325" s="159"/>
      <c r="F325" s="159"/>
      <c r="G325" s="159"/>
      <c r="H325" s="159"/>
      <c r="I325" s="159"/>
      <c r="J325" s="159"/>
      <c r="K325" s="33"/>
    </row>
    <row r="326" ht="20.25" hidden="1" customHeight="1">
      <c r="A326" s="163" t="s">
        <v>394</v>
      </c>
      <c r="B326" s="180" t="s">
        <v>40</v>
      </c>
      <c r="C326" s="159"/>
      <c r="D326" s="210" t="s">
        <v>105</v>
      </c>
      <c r="E326" s="159"/>
      <c r="F326" s="180" t="s">
        <v>77</v>
      </c>
      <c r="G326" s="159"/>
      <c r="H326" s="210" t="s">
        <v>443</v>
      </c>
      <c r="I326" s="159"/>
      <c r="J326" s="180" t="s">
        <v>66</v>
      </c>
      <c r="K326" s="33"/>
    </row>
    <row r="327" ht="20.25" hidden="1" customHeight="1">
      <c r="A327" s="166"/>
      <c r="B327" s="181" t="s">
        <v>444</v>
      </c>
      <c r="C327" s="159"/>
      <c r="D327" s="211" t="s">
        <v>445</v>
      </c>
      <c r="E327" s="159"/>
      <c r="F327" s="181" t="s">
        <v>27</v>
      </c>
      <c r="G327" s="159"/>
      <c r="H327" s="211" t="s">
        <v>446</v>
      </c>
      <c r="I327" s="159"/>
      <c r="J327" s="181" t="s">
        <v>447</v>
      </c>
      <c r="K327" s="33"/>
    </row>
    <row r="328" ht="20.25" hidden="1" customHeight="1">
      <c r="A328" s="166"/>
      <c r="B328" s="181"/>
      <c r="C328" s="159"/>
      <c r="D328" s="187" t="s">
        <v>448</v>
      </c>
      <c r="E328" s="159"/>
      <c r="F328" s="171" t="s">
        <v>82</v>
      </c>
      <c r="G328" s="159"/>
      <c r="H328" s="187" t="s">
        <v>449</v>
      </c>
      <c r="I328" s="159"/>
      <c r="J328" s="171" t="s">
        <v>13</v>
      </c>
      <c r="K328" s="33"/>
    </row>
    <row r="329" ht="20.25" hidden="1" customHeight="1">
      <c r="A329" s="166"/>
      <c r="B329" s="173"/>
      <c r="C329" s="159"/>
      <c r="D329" s="172"/>
      <c r="E329" s="159"/>
      <c r="F329" s="173"/>
      <c r="G329" s="159"/>
      <c r="H329" s="172"/>
      <c r="I329" s="159"/>
      <c r="J329" s="175"/>
      <c r="K329" s="33"/>
    </row>
    <row r="330" ht="20.25" hidden="1" customHeight="1">
      <c r="A330" s="166"/>
      <c r="B330" s="178" t="s">
        <v>450</v>
      </c>
      <c r="C330" s="159"/>
      <c r="D330" s="176" t="s">
        <v>406</v>
      </c>
      <c r="E330" s="159"/>
      <c r="F330" s="178" t="s">
        <v>451</v>
      </c>
      <c r="G330" s="159"/>
      <c r="H330" s="212" t="s">
        <v>451</v>
      </c>
      <c r="I330" s="159"/>
      <c r="J330" s="178" t="s">
        <v>451</v>
      </c>
      <c r="K330" s="33"/>
    </row>
    <row r="331" ht="23.25" hidden="1" customHeight="1">
      <c r="A331" s="166"/>
      <c r="B331" s="180" t="s">
        <v>124</v>
      </c>
      <c r="C331" s="179"/>
      <c r="D331" s="180" t="s">
        <v>40</v>
      </c>
      <c r="E331" s="159"/>
      <c r="F331" s="180" t="s">
        <v>284</v>
      </c>
      <c r="G331" s="159"/>
      <c r="H331" s="180" t="s">
        <v>77</v>
      </c>
      <c r="I331" s="159"/>
      <c r="J331" s="180" t="s">
        <v>66</v>
      </c>
      <c r="K331" s="33"/>
    </row>
    <row r="332" ht="23.25" hidden="1" customHeight="1">
      <c r="A332" s="166"/>
      <c r="B332" s="181" t="s">
        <v>452</v>
      </c>
      <c r="C332" s="179"/>
      <c r="D332" s="181" t="s">
        <v>453</v>
      </c>
      <c r="E332" s="159"/>
      <c r="F332" s="181" t="s">
        <v>454</v>
      </c>
      <c r="G332" s="159"/>
      <c r="H332" s="181" t="s">
        <v>27</v>
      </c>
      <c r="I332" s="159"/>
      <c r="J332" s="181" t="s">
        <v>455</v>
      </c>
      <c r="K332" s="33"/>
    </row>
    <row r="333" ht="23.25" hidden="1" customHeight="1">
      <c r="A333" s="166"/>
      <c r="B333" s="171" t="s">
        <v>7</v>
      </c>
      <c r="C333" s="179"/>
      <c r="D333" s="171" t="s">
        <v>7</v>
      </c>
      <c r="E333" s="159"/>
      <c r="F333" s="171" t="s">
        <v>456</v>
      </c>
      <c r="G333" s="159"/>
      <c r="H333" s="171" t="s">
        <v>82</v>
      </c>
      <c r="I333" s="159"/>
      <c r="J333" s="171" t="s">
        <v>13</v>
      </c>
      <c r="K333" s="33"/>
    </row>
    <row r="334" ht="23.25" hidden="1" customHeight="1">
      <c r="A334" s="166"/>
      <c r="B334" s="181" t="s">
        <v>457</v>
      </c>
      <c r="C334" s="179"/>
      <c r="D334" s="181" t="s">
        <v>457</v>
      </c>
      <c r="E334" s="159"/>
      <c r="F334" s="173"/>
      <c r="G334" s="159"/>
      <c r="H334" s="173"/>
      <c r="I334" s="159"/>
      <c r="J334" s="175"/>
      <c r="K334" s="33"/>
    </row>
    <row r="335" ht="23.25" hidden="1" customHeight="1">
      <c r="A335" s="154"/>
      <c r="B335" s="178" t="s">
        <v>408</v>
      </c>
      <c r="C335" s="179"/>
      <c r="D335" s="178" t="s">
        <v>450</v>
      </c>
      <c r="E335" s="159"/>
      <c r="F335" s="178" t="s">
        <v>458</v>
      </c>
      <c r="G335" s="159"/>
      <c r="H335" s="178" t="s">
        <v>451</v>
      </c>
      <c r="I335" s="159"/>
      <c r="J335" s="178" t="s">
        <v>451</v>
      </c>
      <c r="K335" s="33"/>
    </row>
    <row r="336" ht="6.75" hidden="1" customHeight="1">
      <c r="A336" s="182"/>
      <c r="B336" s="183"/>
      <c r="C336" s="159"/>
      <c r="D336" s="183"/>
      <c r="E336" s="159"/>
      <c r="F336" s="183"/>
      <c r="G336" s="159"/>
      <c r="H336" s="183"/>
      <c r="I336" s="159"/>
      <c r="J336" s="183"/>
      <c r="K336" s="33"/>
    </row>
    <row r="337" ht="22.5" hidden="1" customHeight="1">
      <c r="A337" s="184" t="s">
        <v>418</v>
      </c>
      <c r="B337" s="213" t="s">
        <v>459</v>
      </c>
      <c r="C337" s="159"/>
      <c r="D337" s="180" t="s">
        <v>77</v>
      </c>
      <c r="E337" s="159"/>
      <c r="F337" s="180" t="s">
        <v>373</v>
      </c>
      <c r="G337" s="159"/>
      <c r="H337" s="210" t="s">
        <v>9</v>
      </c>
      <c r="I337" s="159"/>
      <c r="J337" s="180" t="s">
        <v>66</v>
      </c>
      <c r="K337" s="33"/>
    </row>
    <row r="338" ht="22.5" hidden="1" customHeight="1">
      <c r="A338" s="166"/>
      <c r="B338" s="211" t="s">
        <v>460</v>
      </c>
      <c r="C338" s="159"/>
      <c r="D338" s="181" t="s">
        <v>461</v>
      </c>
      <c r="E338" s="159"/>
      <c r="F338" s="171" t="s">
        <v>462</v>
      </c>
      <c r="G338" s="158"/>
      <c r="H338" s="214" t="s">
        <v>463</v>
      </c>
      <c r="I338" s="159"/>
      <c r="J338" s="181" t="s">
        <v>464</v>
      </c>
      <c r="K338" s="33"/>
    </row>
    <row r="339" ht="22.5" hidden="1" customHeight="1">
      <c r="A339" s="166"/>
      <c r="B339" s="187" t="s">
        <v>425</v>
      </c>
      <c r="C339" s="159"/>
      <c r="D339" s="181" t="s">
        <v>400</v>
      </c>
      <c r="E339" s="159"/>
      <c r="F339" s="171" t="s">
        <v>465</v>
      </c>
      <c r="G339" s="158"/>
      <c r="H339" s="187" t="s">
        <v>466</v>
      </c>
      <c r="I339" s="159"/>
      <c r="J339" s="171" t="s">
        <v>13</v>
      </c>
      <c r="K339" s="33"/>
    </row>
    <row r="340" ht="22.5" hidden="1" customHeight="1">
      <c r="A340" s="166"/>
      <c r="B340" s="174" t="s">
        <v>467</v>
      </c>
      <c r="C340" s="159"/>
      <c r="D340" s="175"/>
      <c r="E340" s="159"/>
      <c r="F340" s="175" t="s">
        <v>468</v>
      </c>
      <c r="G340" s="159"/>
      <c r="H340" s="174" t="s">
        <v>469</v>
      </c>
      <c r="I340" s="159"/>
      <c r="J340" s="175"/>
      <c r="K340" s="33"/>
    </row>
    <row r="341" ht="22.5" hidden="1" customHeight="1">
      <c r="A341" s="166"/>
      <c r="B341" s="212" t="s">
        <v>408</v>
      </c>
      <c r="C341" s="159"/>
      <c r="D341" s="178" t="s">
        <v>408</v>
      </c>
      <c r="E341" s="159"/>
      <c r="F341" s="178" t="s">
        <v>458</v>
      </c>
      <c r="G341" s="159"/>
      <c r="H341" s="176" t="s">
        <v>408</v>
      </c>
      <c r="I341" s="159"/>
      <c r="J341" s="178" t="s">
        <v>451</v>
      </c>
      <c r="K341" s="33"/>
    </row>
    <row r="342" ht="22.5" hidden="1" customHeight="1">
      <c r="A342" s="166"/>
      <c r="B342" s="180" t="s">
        <v>211</v>
      </c>
      <c r="C342" s="159"/>
      <c r="D342" s="180" t="s">
        <v>86</v>
      </c>
      <c r="E342" s="159"/>
      <c r="F342" s="215" t="s">
        <v>470</v>
      </c>
      <c r="G342" s="159"/>
      <c r="H342" s="188" t="s">
        <v>66</v>
      </c>
      <c r="I342" s="159"/>
      <c r="J342" s="216" t="s">
        <v>9</v>
      </c>
      <c r="K342" s="33"/>
    </row>
    <row r="343" ht="22.5" hidden="1" customHeight="1">
      <c r="A343" s="166"/>
      <c r="B343" s="181" t="s">
        <v>471</v>
      </c>
      <c r="C343" s="159"/>
      <c r="D343" s="217" t="s">
        <v>472</v>
      </c>
      <c r="E343" s="189"/>
      <c r="F343" s="218" t="s">
        <v>473</v>
      </c>
      <c r="G343" s="191"/>
      <c r="H343" s="217" t="s">
        <v>432</v>
      </c>
      <c r="I343" s="159"/>
      <c r="J343" s="219" t="s">
        <v>463</v>
      </c>
      <c r="K343" s="33"/>
    </row>
    <row r="344" ht="22.5" hidden="1" customHeight="1">
      <c r="A344" s="166"/>
      <c r="B344" s="181" t="s">
        <v>474</v>
      </c>
      <c r="C344" s="159"/>
      <c r="D344" s="181" t="s">
        <v>475</v>
      </c>
      <c r="E344" s="159"/>
      <c r="F344" s="220" t="s">
        <v>476</v>
      </c>
      <c r="G344" s="193"/>
      <c r="H344" s="168" t="s">
        <v>435</v>
      </c>
      <c r="I344" s="159"/>
      <c r="J344" s="221" t="s">
        <v>466</v>
      </c>
      <c r="K344" s="33"/>
    </row>
    <row r="345" ht="22.5" hidden="1" customHeight="1">
      <c r="A345" s="166"/>
      <c r="B345" s="170"/>
      <c r="C345" s="159"/>
      <c r="D345" s="170"/>
      <c r="E345" s="159"/>
      <c r="F345" s="222"/>
      <c r="G345" s="193"/>
      <c r="H345" s="170"/>
      <c r="I345" s="193"/>
      <c r="J345" s="223" t="s">
        <v>477</v>
      </c>
      <c r="K345" s="33"/>
    </row>
    <row r="346" ht="22.5" hidden="1" customHeight="1">
      <c r="A346" s="166"/>
      <c r="B346" s="178" t="s">
        <v>407</v>
      </c>
      <c r="C346" s="159"/>
      <c r="D346" s="178" t="s">
        <v>458</v>
      </c>
      <c r="E346" s="159"/>
      <c r="F346" s="224" t="s">
        <v>458</v>
      </c>
      <c r="G346" s="193"/>
      <c r="H346" s="178" t="s">
        <v>450</v>
      </c>
      <c r="I346" s="193"/>
      <c r="J346" s="225" t="s">
        <v>408</v>
      </c>
      <c r="K346" s="33"/>
    </row>
    <row r="347" ht="22.5" hidden="1" customHeight="1">
      <c r="A347" s="166"/>
      <c r="B347" s="210" t="s">
        <v>99</v>
      </c>
      <c r="C347" s="193"/>
      <c r="D347" s="198"/>
      <c r="E347" s="193"/>
      <c r="F347" s="180" t="s">
        <v>211</v>
      </c>
      <c r="G347" s="193"/>
      <c r="H347" s="180" t="s">
        <v>9</v>
      </c>
      <c r="I347" s="193"/>
      <c r="J347" s="188" t="s">
        <v>66</v>
      </c>
      <c r="K347" s="33"/>
    </row>
    <row r="348" ht="22.5" hidden="1" customHeight="1">
      <c r="A348" s="166"/>
      <c r="B348" s="211" t="s">
        <v>478</v>
      </c>
      <c r="C348" s="193"/>
      <c r="D348" s="192"/>
      <c r="E348" s="193"/>
      <c r="F348" s="181" t="s">
        <v>479</v>
      </c>
      <c r="G348" s="193"/>
      <c r="H348" s="181" t="s">
        <v>480</v>
      </c>
      <c r="I348" s="193"/>
      <c r="J348" s="217" t="s">
        <v>432</v>
      </c>
      <c r="K348" s="33"/>
    </row>
    <row r="349" ht="22.5" hidden="1" customHeight="1">
      <c r="A349" s="166"/>
      <c r="B349" s="187" t="s">
        <v>481</v>
      </c>
      <c r="C349" s="159"/>
      <c r="D349" s="169"/>
      <c r="E349" s="159"/>
      <c r="F349" s="171" t="s">
        <v>474</v>
      </c>
      <c r="G349" s="159"/>
      <c r="H349" s="171" t="s">
        <v>469</v>
      </c>
      <c r="I349" s="159"/>
      <c r="J349" s="168" t="s">
        <v>435</v>
      </c>
      <c r="K349" s="33"/>
    </row>
    <row r="350" ht="22.5" hidden="1" customHeight="1">
      <c r="A350" s="166"/>
      <c r="B350" s="172"/>
      <c r="C350" s="159"/>
      <c r="D350" s="172"/>
      <c r="E350" s="159"/>
      <c r="F350" s="175"/>
      <c r="G350" s="159"/>
      <c r="H350" s="173"/>
      <c r="I350" s="159"/>
      <c r="J350" s="170"/>
      <c r="K350" s="33"/>
    </row>
    <row r="351" ht="22.5" hidden="1" customHeight="1">
      <c r="A351" s="154"/>
      <c r="B351" s="176" t="s">
        <v>406</v>
      </c>
      <c r="C351" s="159"/>
      <c r="D351" s="176" t="s">
        <v>406</v>
      </c>
      <c r="E351" s="159"/>
      <c r="F351" s="177" t="s">
        <v>407</v>
      </c>
      <c r="G351" s="159"/>
      <c r="H351" s="177" t="s">
        <v>408</v>
      </c>
      <c r="I351" s="159"/>
      <c r="J351" s="178" t="s">
        <v>450</v>
      </c>
      <c r="K351" s="33"/>
    </row>
    <row r="352" ht="15.75" hidden="1" customHeight="1">
      <c r="A352" s="226"/>
      <c r="B352" s="227"/>
      <c r="C352" s="157"/>
      <c r="D352" s="227"/>
      <c r="E352" s="157"/>
      <c r="F352" s="227"/>
      <c r="G352" s="157"/>
      <c r="H352" s="227"/>
      <c r="I352" s="157"/>
      <c r="J352" s="157"/>
      <c r="K352" s="33"/>
    </row>
    <row r="353" ht="15.75" hidden="1" customHeight="1">
      <c r="A353" s="146"/>
      <c r="B353" s="147" t="s">
        <v>391</v>
      </c>
      <c r="C353" s="148"/>
      <c r="D353" s="149" t="s">
        <v>392</v>
      </c>
      <c r="E353" s="150"/>
      <c r="F353" s="150"/>
      <c r="G353" s="150"/>
      <c r="H353" s="150"/>
      <c r="I353" s="150"/>
      <c r="J353" s="151"/>
      <c r="K353" s="33"/>
    </row>
    <row r="354" ht="15.75" hidden="1" customHeight="1">
      <c r="A354" s="154"/>
      <c r="B354" s="154"/>
      <c r="C354" s="155"/>
      <c r="D354" s="156" t="s">
        <v>393</v>
      </c>
      <c r="E354" s="150"/>
      <c r="F354" s="150"/>
      <c r="G354" s="150"/>
      <c r="H354" s="150"/>
      <c r="I354" s="150"/>
      <c r="J354" s="151"/>
      <c r="K354" s="33"/>
    </row>
    <row r="355" ht="15.75" hidden="1" customHeight="1">
      <c r="A355" s="158"/>
      <c r="B355" s="159"/>
      <c r="C355" s="159"/>
      <c r="D355" s="159"/>
      <c r="E355" s="159"/>
      <c r="F355" s="159"/>
      <c r="G355" s="159"/>
      <c r="H355" s="159"/>
      <c r="I355" s="159"/>
      <c r="J355" s="159"/>
      <c r="K355" s="33"/>
    </row>
    <row r="356" ht="15.75" hidden="1" customHeight="1">
      <c r="A356" s="158"/>
      <c r="B356" s="208">
        <v>46167.0</v>
      </c>
      <c r="C356" s="161"/>
      <c r="D356" s="208">
        <v>46168.0</v>
      </c>
      <c r="E356" s="161"/>
      <c r="F356" s="208">
        <v>46169.0</v>
      </c>
      <c r="G356" s="161"/>
      <c r="H356" s="208">
        <v>46170.0</v>
      </c>
      <c r="I356" s="161"/>
      <c r="J356" s="209">
        <v>46171.0</v>
      </c>
      <c r="K356" s="33"/>
    </row>
    <row r="357" ht="15.75" hidden="1" customHeight="1">
      <c r="A357" s="158"/>
      <c r="B357" s="159"/>
      <c r="C357" s="159"/>
      <c r="D357" s="159"/>
      <c r="E357" s="159"/>
      <c r="F357" s="159"/>
      <c r="G357" s="159"/>
      <c r="H357" s="159"/>
      <c r="I357" s="159"/>
      <c r="J357" s="159"/>
      <c r="K357" s="33"/>
    </row>
    <row r="358" ht="15.75" hidden="1" customHeight="1">
      <c r="A358" s="163" t="s">
        <v>394</v>
      </c>
      <c r="B358" s="228"/>
      <c r="C358" s="159"/>
      <c r="D358" s="210" t="s">
        <v>210</v>
      </c>
      <c r="E358" s="159"/>
      <c r="F358" s="180" t="s">
        <v>211</v>
      </c>
      <c r="G358" s="159"/>
      <c r="H358" s="210" t="s">
        <v>39</v>
      </c>
      <c r="I358" s="159"/>
      <c r="J358" s="210" t="s">
        <v>205</v>
      </c>
      <c r="K358" s="33"/>
    </row>
    <row r="359" ht="15.75" hidden="1" customHeight="1">
      <c r="A359" s="166"/>
      <c r="B359" s="229"/>
      <c r="C359" s="159"/>
      <c r="D359" s="211" t="s">
        <v>482</v>
      </c>
      <c r="E359" s="159"/>
      <c r="F359" s="181" t="s">
        <v>483</v>
      </c>
      <c r="G359" s="159"/>
      <c r="H359" s="211" t="s">
        <v>484</v>
      </c>
      <c r="I359" s="159"/>
      <c r="J359" s="211" t="s">
        <v>485</v>
      </c>
      <c r="K359" s="33"/>
    </row>
    <row r="360" ht="15.75" hidden="1" customHeight="1">
      <c r="A360" s="166"/>
      <c r="B360" s="229"/>
      <c r="C360" s="159"/>
      <c r="D360" s="187" t="s">
        <v>414</v>
      </c>
      <c r="E360" s="159"/>
      <c r="F360" s="171" t="s">
        <v>486</v>
      </c>
      <c r="G360" s="159"/>
      <c r="H360" s="187" t="s">
        <v>487</v>
      </c>
      <c r="I360" s="159"/>
      <c r="J360" s="187" t="s">
        <v>488</v>
      </c>
      <c r="K360" s="33"/>
    </row>
    <row r="361" ht="15.75" hidden="1" customHeight="1">
      <c r="A361" s="166"/>
      <c r="B361" s="230"/>
      <c r="C361" s="159"/>
      <c r="D361" s="174" t="s">
        <v>489</v>
      </c>
      <c r="E361" s="159"/>
      <c r="F361" s="175" t="s">
        <v>489</v>
      </c>
      <c r="G361" s="159"/>
      <c r="H361" s="174"/>
      <c r="I361" s="159"/>
      <c r="J361" s="174" t="s">
        <v>487</v>
      </c>
      <c r="K361" s="33"/>
    </row>
    <row r="362" ht="15.75" hidden="1" customHeight="1">
      <c r="A362" s="166"/>
      <c r="B362" s="231"/>
      <c r="C362" s="159"/>
      <c r="D362" s="212" t="s">
        <v>490</v>
      </c>
      <c r="E362" s="159"/>
      <c r="F362" s="178" t="s">
        <v>491</v>
      </c>
      <c r="G362" s="159"/>
      <c r="H362" s="212" t="s">
        <v>491</v>
      </c>
      <c r="I362" s="159"/>
      <c r="J362" s="212" t="s">
        <v>491</v>
      </c>
      <c r="K362" s="33"/>
    </row>
    <row r="363" ht="15.75" hidden="1" customHeight="1">
      <c r="A363" s="166"/>
      <c r="B363" s="228"/>
      <c r="C363" s="179"/>
      <c r="D363" s="180" t="s">
        <v>38</v>
      </c>
      <c r="E363" s="159"/>
      <c r="F363" s="210"/>
      <c r="G363" s="159"/>
      <c r="H363" s="210" t="s">
        <v>492</v>
      </c>
      <c r="I363" s="159"/>
      <c r="J363" s="180" t="s">
        <v>40</v>
      </c>
      <c r="K363" s="33"/>
    </row>
    <row r="364" ht="15.75" hidden="1" customHeight="1">
      <c r="A364" s="166"/>
      <c r="B364" s="229"/>
      <c r="C364" s="179"/>
      <c r="D364" s="181" t="s">
        <v>92</v>
      </c>
      <c r="E364" s="159"/>
      <c r="F364" s="211"/>
      <c r="G364" s="159"/>
      <c r="H364" s="211" t="s">
        <v>493</v>
      </c>
      <c r="I364" s="159"/>
      <c r="J364" s="181" t="s">
        <v>494</v>
      </c>
      <c r="K364" s="33"/>
    </row>
    <row r="365" ht="15.75" hidden="1" customHeight="1">
      <c r="A365" s="166"/>
      <c r="B365" s="232"/>
      <c r="C365" s="179"/>
      <c r="D365" s="171" t="s">
        <v>495</v>
      </c>
      <c r="E365" s="159"/>
      <c r="F365" s="187"/>
      <c r="G365" s="159"/>
      <c r="H365" s="187" t="s">
        <v>496</v>
      </c>
      <c r="I365" s="159"/>
      <c r="J365" s="171" t="s">
        <v>497</v>
      </c>
      <c r="K365" s="33"/>
    </row>
    <row r="366" ht="15.75" hidden="1" customHeight="1">
      <c r="A366" s="166"/>
      <c r="B366" s="229"/>
      <c r="C366" s="179"/>
      <c r="D366" s="181" t="s">
        <v>487</v>
      </c>
      <c r="E366" s="159"/>
      <c r="F366" s="172"/>
      <c r="G366" s="159"/>
      <c r="H366" s="174" t="s">
        <v>487</v>
      </c>
      <c r="I366" s="159"/>
      <c r="J366" s="175" t="s">
        <v>498</v>
      </c>
      <c r="K366" s="33"/>
    </row>
    <row r="367" ht="15.75" hidden="1" customHeight="1">
      <c r="A367" s="154"/>
      <c r="B367" s="231"/>
      <c r="C367" s="179"/>
      <c r="D367" s="178" t="s">
        <v>490</v>
      </c>
      <c r="E367" s="159"/>
      <c r="F367" s="212"/>
      <c r="G367" s="159"/>
      <c r="H367" s="212" t="s">
        <v>491</v>
      </c>
      <c r="I367" s="159"/>
      <c r="J367" s="178" t="s">
        <v>487</v>
      </c>
      <c r="K367" s="33"/>
    </row>
    <row r="368" ht="15.75" hidden="1" customHeight="1">
      <c r="A368" s="182"/>
      <c r="B368" s="233"/>
      <c r="C368" s="159"/>
      <c r="D368" s="183"/>
      <c r="E368" s="159"/>
      <c r="F368" s="183"/>
      <c r="G368" s="159"/>
      <c r="H368" s="183"/>
      <c r="I368" s="159"/>
      <c r="J368" s="183"/>
      <c r="K368" s="33"/>
    </row>
    <row r="369" ht="15.75" hidden="1" customHeight="1">
      <c r="A369" s="184" t="s">
        <v>418</v>
      </c>
      <c r="B369" s="234"/>
      <c r="C369" s="159"/>
      <c r="D369" s="210"/>
      <c r="E369" s="159"/>
      <c r="F369" s="180" t="s">
        <v>211</v>
      </c>
      <c r="G369" s="159"/>
      <c r="H369" s="210" t="s">
        <v>499</v>
      </c>
      <c r="I369" s="159"/>
      <c r="J369" s="180" t="s">
        <v>500</v>
      </c>
      <c r="K369" s="33"/>
    </row>
    <row r="370" ht="15.75" hidden="1" customHeight="1">
      <c r="A370" s="166"/>
      <c r="B370" s="229"/>
      <c r="C370" s="159"/>
      <c r="D370" s="211"/>
      <c r="E370" s="159"/>
      <c r="F370" s="171" t="s">
        <v>501</v>
      </c>
      <c r="G370" s="158"/>
      <c r="H370" s="214" t="s">
        <v>502</v>
      </c>
      <c r="I370" s="159"/>
      <c r="J370" s="181" t="s">
        <v>503</v>
      </c>
      <c r="K370" s="33"/>
    </row>
    <row r="371" ht="15.75" hidden="1" customHeight="1">
      <c r="A371" s="166"/>
      <c r="B371" s="232"/>
      <c r="C371" s="159"/>
      <c r="D371" s="211"/>
      <c r="E371" s="159"/>
      <c r="F371" s="171" t="s">
        <v>504</v>
      </c>
      <c r="G371" s="158"/>
      <c r="H371" s="187" t="s">
        <v>505</v>
      </c>
      <c r="I371" s="159"/>
      <c r="J371" s="171" t="s">
        <v>456</v>
      </c>
      <c r="K371" s="33"/>
    </row>
    <row r="372" ht="15.75" hidden="1" customHeight="1">
      <c r="A372" s="166"/>
      <c r="B372" s="235"/>
      <c r="C372" s="159"/>
      <c r="D372" s="174"/>
      <c r="E372" s="159"/>
      <c r="F372" s="175" t="s">
        <v>506</v>
      </c>
      <c r="G372" s="159"/>
      <c r="H372" s="174" t="s">
        <v>487</v>
      </c>
      <c r="I372" s="159"/>
      <c r="J372" s="173"/>
      <c r="K372" s="33"/>
    </row>
    <row r="373" ht="15.75" hidden="1" customHeight="1">
      <c r="A373" s="166"/>
      <c r="B373" s="231"/>
      <c r="C373" s="159"/>
      <c r="D373" s="212"/>
      <c r="E373" s="159"/>
      <c r="F373" s="178"/>
      <c r="G373" s="159"/>
      <c r="H373" s="212" t="s">
        <v>491</v>
      </c>
      <c r="I373" s="159"/>
      <c r="J373" s="178" t="s">
        <v>491</v>
      </c>
      <c r="K373" s="33"/>
    </row>
    <row r="374" ht="15.75" hidden="1" customHeight="1">
      <c r="A374" s="166"/>
      <c r="B374" s="228"/>
      <c r="C374" s="159"/>
      <c r="D374" s="210" t="s">
        <v>499</v>
      </c>
      <c r="E374" s="159"/>
      <c r="F374" s="180"/>
      <c r="G374" s="159"/>
      <c r="H374" s="210" t="s">
        <v>39</v>
      </c>
      <c r="I374" s="159"/>
      <c r="J374" s="210" t="s">
        <v>207</v>
      </c>
      <c r="K374" s="33"/>
    </row>
    <row r="375" ht="15.75" hidden="1" customHeight="1">
      <c r="A375" s="166"/>
      <c r="B375" s="229"/>
      <c r="C375" s="159"/>
      <c r="D375" s="236" t="s">
        <v>507</v>
      </c>
      <c r="E375" s="189"/>
      <c r="F375" s="171"/>
      <c r="G375" s="191"/>
      <c r="H375" s="236" t="s">
        <v>508</v>
      </c>
      <c r="I375" s="159"/>
      <c r="J375" s="236" t="s">
        <v>509</v>
      </c>
      <c r="K375" s="33"/>
    </row>
    <row r="376" ht="15.75" hidden="1" customHeight="1">
      <c r="A376" s="166"/>
      <c r="B376" s="229"/>
      <c r="C376" s="159"/>
      <c r="D376" s="211" t="s">
        <v>510</v>
      </c>
      <c r="E376" s="159"/>
      <c r="F376" s="237"/>
      <c r="G376" s="193"/>
      <c r="H376" s="211" t="s">
        <v>511</v>
      </c>
      <c r="I376" s="159"/>
      <c r="J376" s="211" t="s">
        <v>512</v>
      </c>
      <c r="K376" s="33"/>
    </row>
    <row r="377" ht="15.75" hidden="1" customHeight="1">
      <c r="A377" s="166"/>
      <c r="B377" s="238"/>
      <c r="C377" s="159"/>
      <c r="D377" s="187" t="s">
        <v>349</v>
      </c>
      <c r="E377" s="159"/>
      <c r="F377" s="222"/>
      <c r="G377" s="193"/>
      <c r="H377" s="187" t="s">
        <v>489</v>
      </c>
      <c r="I377" s="193"/>
      <c r="J377" s="187" t="s">
        <v>487</v>
      </c>
      <c r="K377" s="33"/>
    </row>
    <row r="378" ht="15.75" hidden="1" customHeight="1">
      <c r="A378" s="166"/>
      <c r="B378" s="231"/>
      <c r="C378" s="159"/>
      <c r="D378" s="212" t="s">
        <v>513</v>
      </c>
      <c r="E378" s="159"/>
      <c r="F378" s="178"/>
      <c r="G378" s="193"/>
      <c r="H378" s="212" t="s">
        <v>491</v>
      </c>
      <c r="I378" s="193"/>
      <c r="J378" s="212" t="s">
        <v>491</v>
      </c>
      <c r="K378" s="33"/>
    </row>
    <row r="379" ht="15.75" hidden="1" customHeight="1">
      <c r="A379" s="166"/>
      <c r="B379" s="228"/>
      <c r="C379" s="193"/>
      <c r="D379" s="210"/>
      <c r="E379" s="193"/>
      <c r="F379" s="180"/>
      <c r="G379" s="193"/>
      <c r="H379" s="210" t="s">
        <v>207</v>
      </c>
      <c r="I379" s="193"/>
      <c r="J379" s="180" t="s">
        <v>211</v>
      </c>
      <c r="K379" s="33"/>
    </row>
    <row r="380" ht="15.75" hidden="1" customHeight="1">
      <c r="A380" s="166"/>
      <c r="B380" s="229"/>
      <c r="C380" s="193"/>
      <c r="D380" s="211"/>
      <c r="E380" s="193"/>
      <c r="F380" s="181"/>
      <c r="G380" s="193"/>
      <c r="H380" s="236" t="s">
        <v>509</v>
      </c>
      <c r="I380" s="193"/>
      <c r="J380" s="171" t="s">
        <v>420</v>
      </c>
      <c r="K380" s="33"/>
    </row>
    <row r="381" ht="15.75" hidden="1" customHeight="1">
      <c r="A381" s="166"/>
      <c r="B381" s="232"/>
      <c r="C381" s="159"/>
      <c r="D381" s="187"/>
      <c r="E381" s="159"/>
      <c r="F381" s="171"/>
      <c r="G381" s="159"/>
      <c r="H381" s="211" t="s">
        <v>512</v>
      </c>
      <c r="I381" s="159"/>
      <c r="J381" s="171" t="s">
        <v>504</v>
      </c>
      <c r="K381" s="33"/>
    </row>
    <row r="382" ht="15.75" hidden="1" customHeight="1">
      <c r="A382" s="166"/>
      <c r="B382" s="230"/>
      <c r="C382" s="159"/>
      <c r="D382" s="172"/>
      <c r="E382" s="159"/>
      <c r="F382" s="175"/>
      <c r="G382" s="159"/>
      <c r="H382" s="187" t="s">
        <v>487</v>
      </c>
      <c r="I382" s="159"/>
      <c r="J382" s="175"/>
      <c r="K382" s="33"/>
    </row>
    <row r="383" ht="15.75" hidden="1" customHeight="1">
      <c r="A383" s="154"/>
      <c r="B383" s="239"/>
      <c r="C383" s="159"/>
      <c r="D383" s="212"/>
      <c r="E383" s="159"/>
      <c r="F383" s="177"/>
      <c r="G383" s="159"/>
      <c r="H383" s="212" t="s">
        <v>491</v>
      </c>
      <c r="I383" s="159"/>
      <c r="J383" s="178"/>
      <c r="K383" s="33"/>
    </row>
    <row r="384" ht="15.75" hidden="1" customHeight="1">
      <c r="A384" s="226"/>
      <c r="B384" s="227"/>
      <c r="C384" s="157"/>
      <c r="D384" s="227"/>
      <c r="E384" s="157"/>
      <c r="F384" s="227"/>
      <c r="G384" s="157"/>
      <c r="H384" s="227"/>
      <c r="I384" s="157"/>
      <c r="J384" s="157"/>
      <c r="K384" s="33"/>
    </row>
    <row r="385" ht="15.75" hidden="1" customHeight="1">
      <c r="A385" s="146"/>
      <c r="B385" s="147" t="s">
        <v>391</v>
      </c>
      <c r="C385" s="148"/>
      <c r="D385" s="149" t="s">
        <v>392</v>
      </c>
      <c r="E385" s="150"/>
      <c r="F385" s="150"/>
      <c r="G385" s="150"/>
      <c r="H385" s="150"/>
      <c r="I385" s="150"/>
      <c r="J385" s="151"/>
      <c r="K385" s="33"/>
    </row>
    <row r="386" ht="15.75" hidden="1" customHeight="1">
      <c r="A386" s="154"/>
      <c r="B386" s="154"/>
      <c r="C386" s="155"/>
      <c r="D386" s="156" t="s">
        <v>393</v>
      </c>
      <c r="E386" s="150"/>
      <c r="F386" s="150"/>
      <c r="G386" s="150"/>
      <c r="H386" s="150"/>
      <c r="I386" s="150"/>
      <c r="J386" s="151"/>
      <c r="K386" s="33"/>
    </row>
    <row r="387" ht="15.75" hidden="1" customHeight="1">
      <c r="A387" s="158"/>
      <c r="B387" s="159"/>
      <c r="C387" s="159"/>
      <c r="D387" s="159"/>
      <c r="E387" s="159"/>
      <c r="F387" s="159"/>
      <c r="G387" s="159"/>
      <c r="H387" s="159"/>
      <c r="I387" s="159"/>
      <c r="J387" s="159"/>
      <c r="K387" s="33"/>
    </row>
    <row r="388" ht="15.75" hidden="1" customHeight="1">
      <c r="A388" s="158"/>
      <c r="B388" s="208">
        <v>46174.0</v>
      </c>
      <c r="C388" s="161"/>
      <c r="D388" s="208">
        <v>46175.0</v>
      </c>
      <c r="E388" s="161"/>
      <c r="F388" s="208">
        <v>46176.0</v>
      </c>
      <c r="G388" s="161"/>
      <c r="H388" s="208">
        <v>46177.0</v>
      </c>
      <c r="I388" s="161"/>
      <c r="J388" s="209">
        <v>46178.0</v>
      </c>
      <c r="K388" s="33"/>
    </row>
    <row r="389" ht="15.75" hidden="1" customHeight="1">
      <c r="A389" s="158"/>
      <c r="B389" s="159"/>
      <c r="C389" s="159"/>
      <c r="D389" s="159"/>
      <c r="E389" s="159"/>
      <c r="F389" s="159"/>
      <c r="G389" s="159"/>
      <c r="H389" s="159"/>
      <c r="I389" s="159"/>
      <c r="J389" s="159"/>
      <c r="K389" s="33"/>
    </row>
    <row r="390" ht="15.75" hidden="1" customHeight="1">
      <c r="A390" s="163" t="s">
        <v>394</v>
      </c>
      <c r="B390" s="180" t="s">
        <v>514</v>
      </c>
      <c r="C390" s="159"/>
      <c r="D390" s="210" t="s">
        <v>171</v>
      </c>
      <c r="E390" s="159"/>
      <c r="F390" s="180" t="s">
        <v>515</v>
      </c>
      <c r="G390" s="159"/>
      <c r="H390" s="180" t="s">
        <v>9</v>
      </c>
      <c r="I390" s="159"/>
      <c r="J390" s="180" t="s">
        <v>66</v>
      </c>
      <c r="K390" s="33"/>
    </row>
    <row r="391" ht="15.75" hidden="1" customHeight="1">
      <c r="A391" s="166"/>
      <c r="B391" s="181" t="s">
        <v>516</v>
      </c>
      <c r="C391" s="159"/>
      <c r="D391" s="211" t="s">
        <v>517</v>
      </c>
      <c r="E391" s="159"/>
      <c r="F391" s="181" t="s">
        <v>518</v>
      </c>
      <c r="G391" s="159"/>
      <c r="H391" s="240" t="s">
        <v>519</v>
      </c>
      <c r="I391" s="159"/>
      <c r="J391" s="181" t="s">
        <v>520</v>
      </c>
      <c r="K391" s="33"/>
    </row>
    <row r="392" ht="15.75" hidden="1" customHeight="1">
      <c r="A392" s="166"/>
      <c r="B392" s="181" t="s">
        <v>521</v>
      </c>
      <c r="C392" s="159"/>
      <c r="D392" s="187" t="s">
        <v>414</v>
      </c>
      <c r="E392" s="159"/>
      <c r="F392" s="171" t="s">
        <v>522</v>
      </c>
      <c r="G392" s="159"/>
      <c r="H392" s="171" t="s">
        <v>523</v>
      </c>
      <c r="I392" s="159"/>
      <c r="J392" s="171" t="s">
        <v>456</v>
      </c>
      <c r="K392" s="33"/>
    </row>
    <row r="393" ht="15.75" hidden="1" customHeight="1">
      <c r="A393" s="166"/>
      <c r="B393" s="175" t="s">
        <v>524</v>
      </c>
      <c r="C393" s="159"/>
      <c r="D393" s="172"/>
      <c r="E393" s="159"/>
      <c r="F393" s="173"/>
      <c r="G393" s="159"/>
      <c r="H393" s="173"/>
      <c r="I393" s="159"/>
      <c r="J393" s="175"/>
      <c r="K393" s="33"/>
    </row>
    <row r="394" ht="15.75" hidden="1" customHeight="1">
      <c r="A394" s="166"/>
      <c r="B394" s="178"/>
      <c r="C394" s="159"/>
      <c r="D394" s="212" t="s">
        <v>525</v>
      </c>
      <c r="E394" s="159"/>
      <c r="F394" s="178"/>
      <c r="G394" s="159"/>
      <c r="H394" s="178" t="s">
        <v>526</v>
      </c>
      <c r="I394" s="159"/>
      <c r="J394" s="178" t="s">
        <v>527</v>
      </c>
      <c r="K394" s="33"/>
    </row>
    <row r="395" ht="15.75" hidden="1" customHeight="1">
      <c r="A395" s="166"/>
      <c r="B395" s="180" t="s">
        <v>77</v>
      </c>
      <c r="C395" s="179"/>
      <c r="D395" s="180" t="s">
        <v>210</v>
      </c>
      <c r="E395" s="159"/>
      <c r="F395" s="210" t="s">
        <v>528</v>
      </c>
      <c r="G395" s="159"/>
      <c r="H395" s="180"/>
      <c r="I395" s="159"/>
      <c r="J395" s="180"/>
      <c r="K395" s="33"/>
    </row>
    <row r="396" ht="15.75" hidden="1" customHeight="1">
      <c r="A396" s="166"/>
      <c r="B396" s="181" t="s">
        <v>27</v>
      </c>
      <c r="C396" s="179"/>
      <c r="D396" s="240" t="s">
        <v>482</v>
      </c>
      <c r="E396" s="159"/>
      <c r="F396" s="211" t="s">
        <v>529</v>
      </c>
      <c r="G396" s="159"/>
      <c r="H396" s="217"/>
      <c r="I396" s="159"/>
      <c r="J396" s="181"/>
      <c r="K396" s="33"/>
    </row>
    <row r="397" ht="15.75" hidden="1" customHeight="1">
      <c r="A397" s="166"/>
      <c r="B397" s="171" t="s">
        <v>530</v>
      </c>
      <c r="C397" s="179"/>
      <c r="D397" s="171" t="s">
        <v>531</v>
      </c>
      <c r="E397" s="159"/>
      <c r="F397" s="187"/>
      <c r="G397" s="159"/>
      <c r="H397" s="181"/>
      <c r="I397" s="159"/>
      <c r="J397" s="171"/>
      <c r="K397" s="33"/>
    </row>
    <row r="398" ht="15.75" hidden="1" customHeight="1">
      <c r="A398" s="166"/>
      <c r="B398" s="181"/>
      <c r="C398" s="179"/>
      <c r="D398" s="181"/>
      <c r="E398" s="159"/>
      <c r="F398" s="172"/>
      <c r="G398" s="159"/>
      <c r="H398" s="170"/>
      <c r="I398" s="159"/>
      <c r="J398" s="175"/>
      <c r="K398" s="33"/>
    </row>
    <row r="399" ht="15.75" hidden="1" customHeight="1">
      <c r="A399" s="154"/>
      <c r="B399" s="178" t="s">
        <v>532</v>
      </c>
      <c r="C399" s="179"/>
      <c r="D399" s="178" t="s">
        <v>533</v>
      </c>
      <c r="E399" s="159"/>
      <c r="F399" s="212" t="s">
        <v>527</v>
      </c>
      <c r="G399" s="159"/>
      <c r="H399" s="178"/>
      <c r="I399" s="159"/>
      <c r="J399" s="178"/>
      <c r="K399" s="33"/>
    </row>
    <row r="400" ht="15.75" hidden="1" customHeight="1">
      <c r="A400" s="182"/>
      <c r="B400" s="183"/>
      <c r="C400" s="159"/>
      <c r="D400" s="183"/>
      <c r="E400" s="159"/>
      <c r="F400" s="183"/>
      <c r="G400" s="159"/>
      <c r="H400" s="183"/>
      <c r="I400" s="159"/>
      <c r="J400" s="183"/>
      <c r="K400" s="33"/>
    </row>
    <row r="401" ht="15.75" hidden="1" customHeight="1">
      <c r="A401" s="184" t="s">
        <v>418</v>
      </c>
      <c r="B401" s="213"/>
      <c r="C401" s="159"/>
      <c r="D401" s="180"/>
      <c r="E401" s="159"/>
      <c r="F401" s="180"/>
      <c r="G401" s="159"/>
      <c r="H401" s="210" t="s">
        <v>528</v>
      </c>
      <c r="I401" s="159"/>
      <c r="J401" s="180"/>
      <c r="K401" s="33"/>
    </row>
    <row r="402" ht="15.75" hidden="1" customHeight="1">
      <c r="A402" s="166"/>
      <c r="B402" s="211"/>
      <c r="C402" s="159"/>
      <c r="D402" s="181"/>
      <c r="E402" s="159"/>
      <c r="F402" s="241"/>
      <c r="G402" s="158"/>
      <c r="H402" s="187"/>
      <c r="I402" s="159"/>
      <c r="J402" s="181"/>
      <c r="K402" s="33"/>
    </row>
    <row r="403" ht="15.75" hidden="1" customHeight="1">
      <c r="A403" s="166"/>
      <c r="B403" s="187"/>
      <c r="C403" s="159"/>
      <c r="D403" s="181"/>
      <c r="E403" s="159"/>
      <c r="F403" s="171"/>
      <c r="G403" s="158"/>
      <c r="H403" s="242" t="s">
        <v>534</v>
      </c>
      <c r="I403" s="159"/>
      <c r="J403" s="171"/>
      <c r="K403" s="33"/>
    </row>
    <row r="404" ht="15.75" hidden="1" customHeight="1">
      <c r="A404" s="166"/>
      <c r="B404" s="174"/>
      <c r="C404" s="159"/>
      <c r="D404" s="173"/>
      <c r="E404" s="159"/>
      <c r="F404" s="175"/>
      <c r="G404" s="159"/>
      <c r="H404" s="222"/>
      <c r="I404" s="159"/>
      <c r="J404" s="175"/>
      <c r="K404" s="33"/>
    </row>
    <row r="405" ht="15.75" hidden="1" customHeight="1">
      <c r="A405" s="166"/>
      <c r="B405" s="212"/>
      <c r="C405" s="159"/>
      <c r="D405" s="178"/>
      <c r="E405" s="159"/>
      <c r="F405" s="178"/>
      <c r="G405" s="159"/>
      <c r="H405" s="212" t="s">
        <v>527</v>
      </c>
      <c r="I405" s="159"/>
      <c r="J405" s="178" t="s">
        <v>533</v>
      </c>
      <c r="K405" s="33"/>
    </row>
    <row r="406" ht="15.75" hidden="1" customHeight="1">
      <c r="A406" s="166"/>
      <c r="B406" s="180"/>
      <c r="C406" s="159"/>
      <c r="D406" s="180" t="s">
        <v>77</v>
      </c>
      <c r="E406" s="159"/>
      <c r="F406" s="210" t="s">
        <v>528</v>
      </c>
      <c r="G406" s="159"/>
      <c r="H406" s="180"/>
      <c r="I406" s="159"/>
      <c r="J406" s="216"/>
      <c r="K406" s="33"/>
    </row>
    <row r="407" ht="15.75" hidden="1" customHeight="1">
      <c r="A407" s="166"/>
      <c r="B407" s="181"/>
      <c r="C407" s="159"/>
      <c r="D407" s="217" t="s">
        <v>27</v>
      </c>
      <c r="E407" s="189"/>
      <c r="F407" s="187"/>
      <c r="G407" s="191"/>
      <c r="H407" s="181"/>
      <c r="I407" s="159"/>
      <c r="J407" s="219"/>
      <c r="K407" s="33"/>
    </row>
    <row r="408" ht="15.75" hidden="1" customHeight="1">
      <c r="A408" s="166"/>
      <c r="B408" s="181"/>
      <c r="C408" s="159"/>
      <c r="D408" s="181" t="s">
        <v>530</v>
      </c>
      <c r="E408" s="159"/>
      <c r="F408" s="242" t="s">
        <v>534</v>
      </c>
      <c r="G408" s="193"/>
      <c r="H408" s="171"/>
      <c r="I408" s="159"/>
      <c r="J408" s="221"/>
      <c r="K408" s="33"/>
    </row>
    <row r="409" ht="15.75" hidden="1" customHeight="1">
      <c r="A409" s="166"/>
      <c r="B409" s="170"/>
      <c r="C409" s="159"/>
      <c r="D409" s="171"/>
      <c r="E409" s="159"/>
      <c r="F409" s="222"/>
      <c r="G409" s="193"/>
      <c r="H409" s="173"/>
      <c r="I409" s="193"/>
      <c r="J409" s="223"/>
      <c r="K409" s="33"/>
    </row>
    <row r="410" ht="15.75" hidden="1" customHeight="1">
      <c r="A410" s="166"/>
      <c r="B410" s="178"/>
      <c r="C410" s="159"/>
      <c r="D410" s="178" t="s">
        <v>532</v>
      </c>
      <c r="E410" s="159"/>
      <c r="F410" s="212" t="s">
        <v>527</v>
      </c>
      <c r="G410" s="193"/>
      <c r="H410" s="178"/>
      <c r="I410" s="193"/>
      <c r="J410" s="225"/>
      <c r="K410" s="33"/>
    </row>
    <row r="411" ht="15.75" hidden="1" customHeight="1">
      <c r="A411" s="166"/>
      <c r="B411" s="210"/>
      <c r="C411" s="193"/>
      <c r="D411" s="198"/>
      <c r="E411" s="193"/>
      <c r="F411" s="180" t="s">
        <v>171</v>
      </c>
      <c r="G411" s="193"/>
      <c r="H411" s="180" t="s">
        <v>171</v>
      </c>
      <c r="I411" s="193"/>
      <c r="J411" s="188"/>
      <c r="K411" s="33"/>
    </row>
    <row r="412" ht="15.75" hidden="1" customHeight="1">
      <c r="A412" s="166"/>
      <c r="B412" s="211"/>
      <c r="C412" s="193"/>
      <c r="D412" s="192"/>
      <c r="E412" s="193"/>
      <c r="F412" s="181" t="s">
        <v>173</v>
      </c>
      <c r="G412" s="193"/>
      <c r="H412" s="181" t="s">
        <v>173</v>
      </c>
      <c r="I412" s="193"/>
      <c r="J412" s="217"/>
      <c r="K412" s="33"/>
    </row>
    <row r="413" ht="15.75" hidden="1" customHeight="1">
      <c r="A413" s="166"/>
      <c r="B413" s="187"/>
      <c r="C413" s="159"/>
      <c r="D413" s="169"/>
      <c r="E413" s="159"/>
      <c r="F413" s="171" t="s">
        <v>535</v>
      </c>
      <c r="G413" s="159"/>
      <c r="H413" s="171" t="s">
        <v>536</v>
      </c>
      <c r="I413" s="159"/>
      <c r="J413" s="168"/>
      <c r="K413" s="33"/>
    </row>
    <row r="414" ht="15.75" hidden="1" customHeight="1">
      <c r="A414" s="166"/>
      <c r="B414" s="172"/>
      <c r="C414" s="159"/>
      <c r="D414" s="172"/>
      <c r="E414" s="159"/>
      <c r="F414" s="173"/>
      <c r="G414" s="159"/>
      <c r="H414" s="173"/>
      <c r="I414" s="159"/>
      <c r="J414" s="170"/>
      <c r="K414" s="33"/>
    </row>
    <row r="415" ht="15.75" hidden="1" customHeight="1">
      <c r="A415" s="154"/>
      <c r="B415" s="176"/>
      <c r="C415" s="159"/>
      <c r="D415" s="176"/>
      <c r="E415" s="159"/>
      <c r="F415" s="178" t="s">
        <v>527</v>
      </c>
      <c r="G415" s="159"/>
      <c r="H415" s="178" t="s">
        <v>527</v>
      </c>
      <c r="I415" s="159"/>
      <c r="J415" s="178"/>
      <c r="K415" s="33"/>
    </row>
    <row r="416" ht="15.75" hidden="1" customHeight="1">
      <c r="A416" s="226"/>
      <c r="B416" s="227"/>
      <c r="C416" s="157"/>
      <c r="D416" s="227"/>
      <c r="E416" s="157"/>
      <c r="F416" s="227"/>
      <c r="G416" s="157"/>
      <c r="H416" s="227"/>
      <c r="I416" s="157"/>
      <c r="J416" s="157"/>
      <c r="K416" s="33"/>
    </row>
    <row r="417" ht="15.75" hidden="1" customHeight="1">
      <c r="A417" s="146"/>
      <c r="B417" s="147" t="s">
        <v>391</v>
      </c>
      <c r="C417" s="148"/>
      <c r="D417" s="149" t="s">
        <v>392</v>
      </c>
      <c r="E417" s="150"/>
      <c r="F417" s="150"/>
      <c r="G417" s="150"/>
      <c r="H417" s="150"/>
      <c r="I417" s="150"/>
      <c r="J417" s="151"/>
      <c r="K417" s="33"/>
    </row>
    <row r="418" ht="15.75" hidden="1" customHeight="1">
      <c r="A418" s="154"/>
      <c r="B418" s="154"/>
      <c r="C418" s="155"/>
      <c r="D418" s="156" t="s">
        <v>393</v>
      </c>
      <c r="E418" s="150"/>
      <c r="F418" s="150"/>
      <c r="G418" s="150"/>
      <c r="H418" s="150"/>
      <c r="I418" s="150"/>
      <c r="J418" s="151"/>
      <c r="K418" s="33"/>
    </row>
    <row r="419" ht="15.75" hidden="1" customHeight="1">
      <c r="A419" s="158"/>
      <c r="B419" s="159"/>
      <c r="C419" s="159"/>
      <c r="D419" s="159"/>
      <c r="E419" s="159"/>
      <c r="F419" s="159"/>
      <c r="G419" s="159"/>
      <c r="H419" s="159"/>
      <c r="I419" s="159"/>
      <c r="J419" s="159"/>
      <c r="K419" s="33"/>
    </row>
    <row r="420" ht="15.75" hidden="1" customHeight="1">
      <c r="A420" s="158"/>
      <c r="B420" s="208">
        <v>46181.0</v>
      </c>
      <c r="C420" s="161"/>
      <c r="D420" s="208">
        <v>46182.0</v>
      </c>
      <c r="E420" s="161"/>
      <c r="F420" s="208">
        <v>46183.0</v>
      </c>
      <c r="G420" s="161"/>
      <c r="H420" s="208">
        <v>46184.0</v>
      </c>
      <c r="I420" s="161"/>
      <c r="J420" s="209">
        <v>46185.0</v>
      </c>
      <c r="K420" s="33"/>
    </row>
    <row r="421" ht="15.75" hidden="1" customHeight="1">
      <c r="A421" s="158"/>
      <c r="B421" s="159"/>
      <c r="C421" s="159"/>
      <c r="D421" s="159"/>
      <c r="E421" s="159"/>
      <c r="F421" s="159"/>
      <c r="G421" s="159"/>
      <c r="H421" s="159"/>
      <c r="I421" s="159"/>
      <c r="J421" s="159"/>
      <c r="K421" s="33"/>
    </row>
    <row r="422" ht="15.75" hidden="1" customHeight="1">
      <c r="A422" s="163" t="s">
        <v>394</v>
      </c>
      <c r="B422" s="180" t="s">
        <v>514</v>
      </c>
      <c r="C422" s="159"/>
      <c r="D422" s="180" t="s">
        <v>514</v>
      </c>
      <c r="E422" s="159"/>
      <c r="F422" s="180" t="s">
        <v>66</v>
      </c>
      <c r="G422" s="159"/>
      <c r="H422" s="210" t="s">
        <v>8</v>
      </c>
      <c r="I422" s="159"/>
      <c r="J422" s="210" t="s">
        <v>537</v>
      </c>
      <c r="K422" s="33"/>
    </row>
    <row r="423" ht="15.75" hidden="1" customHeight="1">
      <c r="A423" s="166"/>
      <c r="B423" s="181" t="s">
        <v>538</v>
      </c>
      <c r="C423" s="159"/>
      <c r="D423" s="181" t="s">
        <v>539</v>
      </c>
      <c r="E423" s="159"/>
      <c r="F423" s="240" t="s">
        <v>520</v>
      </c>
      <c r="G423" s="159"/>
      <c r="H423" s="211" t="s">
        <v>540</v>
      </c>
      <c r="I423" s="159"/>
      <c r="J423" s="211" t="s">
        <v>541</v>
      </c>
      <c r="K423" s="33"/>
    </row>
    <row r="424" ht="15.75" hidden="1" customHeight="1">
      <c r="A424" s="166"/>
      <c r="B424" s="181"/>
      <c r="C424" s="159"/>
      <c r="D424" s="243"/>
      <c r="E424" s="159"/>
      <c r="F424" s="171" t="s">
        <v>456</v>
      </c>
      <c r="G424" s="159"/>
      <c r="H424" s="187" t="s">
        <v>542</v>
      </c>
      <c r="I424" s="159"/>
      <c r="J424" s="187" t="s">
        <v>23</v>
      </c>
      <c r="K424" s="33"/>
    </row>
    <row r="425" ht="15.75" hidden="1" customHeight="1">
      <c r="A425" s="166"/>
      <c r="B425" s="173"/>
      <c r="C425" s="159"/>
      <c r="D425" s="244"/>
      <c r="E425" s="159"/>
      <c r="F425" s="175"/>
      <c r="G425" s="159"/>
      <c r="H425" s="172"/>
      <c r="I425" s="159"/>
      <c r="J425" s="174"/>
      <c r="K425" s="33"/>
    </row>
    <row r="426" ht="15.75" hidden="1" customHeight="1">
      <c r="A426" s="166"/>
      <c r="B426" s="178" t="s">
        <v>543</v>
      </c>
      <c r="C426" s="159"/>
      <c r="D426" s="245"/>
      <c r="E426" s="159"/>
      <c r="F426" s="178" t="s">
        <v>527</v>
      </c>
      <c r="G426" s="159"/>
      <c r="H426" s="212" t="s">
        <v>544</v>
      </c>
      <c r="I426" s="159"/>
      <c r="J426" s="212" t="s">
        <v>545</v>
      </c>
      <c r="K426" s="33"/>
    </row>
    <row r="427" ht="15.75" hidden="1" customHeight="1">
      <c r="A427" s="166"/>
      <c r="B427" s="180"/>
      <c r="C427" s="246"/>
      <c r="D427" s="180" t="s">
        <v>9</v>
      </c>
      <c r="E427" s="159"/>
      <c r="F427" s="180" t="s">
        <v>546</v>
      </c>
      <c r="G427" s="159"/>
      <c r="H427" s="180" t="s">
        <v>57</v>
      </c>
      <c r="I427" s="159"/>
      <c r="J427" s="180" t="s">
        <v>514</v>
      </c>
      <c r="K427" s="33"/>
    </row>
    <row r="428" ht="15.75" hidden="1" customHeight="1">
      <c r="A428" s="166"/>
      <c r="B428" s="181"/>
      <c r="C428" s="246"/>
      <c r="D428" s="181" t="s">
        <v>134</v>
      </c>
      <c r="E428" s="159"/>
      <c r="F428" s="181" t="s">
        <v>547</v>
      </c>
      <c r="G428" s="159"/>
      <c r="H428" s="181" t="s">
        <v>548</v>
      </c>
      <c r="I428" s="159"/>
      <c r="J428" s="181" t="s">
        <v>549</v>
      </c>
      <c r="K428" s="33"/>
    </row>
    <row r="429" ht="15.75" hidden="1" customHeight="1">
      <c r="A429" s="166"/>
      <c r="B429" s="171"/>
      <c r="C429" s="246"/>
      <c r="D429" s="171" t="s">
        <v>550</v>
      </c>
      <c r="E429" s="159"/>
      <c r="F429" s="171" t="s">
        <v>542</v>
      </c>
      <c r="G429" s="159"/>
      <c r="H429" s="171" t="s">
        <v>551</v>
      </c>
      <c r="I429" s="159"/>
      <c r="J429" s="171" t="s">
        <v>552</v>
      </c>
      <c r="K429" s="33"/>
    </row>
    <row r="430" ht="15.75" hidden="1" customHeight="1">
      <c r="A430" s="166"/>
      <c r="B430" s="181"/>
      <c r="C430" s="246"/>
      <c r="D430" s="181" t="s">
        <v>553</v>
      </c>
      <c r="E430" s="159"/>
      <c r="F430" s="173"/>
      <c r="G430" s="159"/>
      <c r="H430" s="173"/>
      <c r="I430" s="159"/>
      <c r="J430" s="175" t="s">
        <v>554</v>
      </c>
      <c r="K430" s="33"/>
    </row>
    <row r="431" ht="15.75" hidden="1" customHeight="1">
      <c r="A431" s="154"/>
      <c r="B431" s="178" t="s">
        <v>527</v>
      </c>
      <c r="C431" s="246"/>
      <c r="D431" s="178"/>
      <c r="E431" s="159"/>
      <c r="F431" s="178" t="s">
        <v>555</v>
      </c>
      <c r="G431" s="159"/>
      <c r="H431" s="178" t="s">
        <v>556</v>
      </c>
      <c r="I431" s="159"/>
      <c r="J431" s="178" t="s">
        <v>544</v>
      </c>
      <c r="K431" s="33"/>
    </row>
    <row r="432" ht="15.75" hidden="1" customHeight="1">
      <c r="A432" s="182"/>
      <c r="B432" s="183"/>
      <c r="C432" s="246"/>
      <c r="D432" s="183"/>
      <c r="E432" s="159"/>
      <c r="F432" s="183"/>
      <c r="G432" s="159"/>
      <c r="H432" s="183"/>
      <c r="I432" s="159"/>
      <c r="J432" s="183"/>
      <c r="K432" s="33"/>
    </row>
    <row r="433" ht="15.75" hidden="1" customHeight="1">
      <c r="A433" s="184" t="s">
        <v>418</v>
      </c>
      <c r="B433" s="180" t="s">
        <v>557</v>
      </c>
      <c r="C433" s="159"/>
      <c r="D433" s="180"/>
      <c r="E433" s="159"/>
      <c r="F433" s="180" t="s">
        <v>211</v>
      </c>
      <c r="G433" s="159"/>
      <c r="H433" s="210" t="s">
        <v>205</v>
      </c>
      <c r="I433" s="159"/>
      <c r="J433" s="180" t="s">
        <v>125</v>
      </c>
      <c r="K433" s="33"/>
    </row>
    <row r="434" ht="15.75" hidden="1" customHeight="1">
      <c r="A434" s="166"/>
      <c r="B434" s="181" t="s">
        <v>558</v>
      </c>
      <c r="C434" s="159"/>
      <c r="D434" s="181"/>
      <c r="E434" s="159"/>
      <c r="F434" s="171" t="s">
        <v>558</v>
      </c>
      <c r="G434" s="158"/>
      <c r="H434" s="214" t="s">
        <v>559</v>
      </c>
      <c r="I434" s="159"/>
      <c r="J434" s="181" t="s">
        <v>560</v>
      </c>
      <c r="K434" s="33"/>
    </row>
    <row r="435" ht="15.75" hidden="1" customHeight="1">
      <c r="A435" s="166"/>
      <c r="B435" s="171" t="s">
        <v>561</v>
      </c>
      <c r="C435" s="159"/>
      <c r="D435" s="181"/>
      <c r="E435" s="159"/>
      <c r="F435" s="171" t="s">
        <v>562</v>
      </c>
      <c r="G435" s="158"/>
      <c r="H435" s="187" t="s">
        <v>496</v>
      </c>
      <c r="I435" s="159"/>
      <c r="J435" s="171" t="s">
        <v>563</v>
      </c>
      <c r="K435" s="33"/>
    </row>
    <row r="436" ht="15.75" hidden="1" customHeight="1">
      <c r="A436" s="166"/>
      <c r="B436" s="181"/>
      <c r="C436" s="159"/>
      <c r="D436" s="181"/>
      <c r="E436" s="159"/>
      <c r="F436" s="175"/>
      <c r="G436" s="159"/>
      <c r="H436" s="174"/>
      <c r="I436" s="159"/>
      <c r="J436" s="247" t="s">
        <v>564</v>
      </c>
      <c r="K436" s="33"/>
    </row>
    <row r="437" ht="15.75" hidden="1" customHeight="1">
      <c r="A437" s="166"/>
      <c r="B437" s="178"/>
      <c r="C437" s="159"/>
      <c r="D437" s="178"/>
      <c r="E437" s="159"/>
      <c r="F437" s="178"/>
      <c r="G437" s="159"/>
      <c r="H437" s="212" t="s">
        <v>544</v>
      </c>
      <c r="I437" s="159"/>
      <c r="J437" s="178" t="s">
        <v>449</v>
      </c>
      <c r="K437" s="33"/>
    </row>
    <row r="438" ht="15.75" hidden="1" customHeight="1">
      <c r="A438" s="166"/>
      <c r="B438" s="180" t="s">
        <v>557</v>
      </c>
      <c r="C438" s="159"/>
      <c r="D438" s="180" t="s">
        <v>211</v>
      </c>
      <c r="E438" s="159"/>
      <c r="F438" s="180" t="s">
        <v>66</v>
      </c>
      <c r="G438" s="159"/>
      <c r="H438" s="180" t="s">
        <v>211</v>
      </c>
      <c r="I438" s="159"/>
      <c r="J438" s="216" t="s">
        <v>275</v>
      </c>
      <c r="K438" s="33"/>
    </row>
    <row r="439" ht="15.75" hidden="1" customHeight="1">
      <c r="A439" s="166"/>
      <c r="B439" s="181" t="s">
        <v>565</v>
      </c>
      <c r="C439" s="159"/>
      <c r="D439" s="217" t="s">
        <v>420</v>
      </c>
      <c r="E439" s="189"/>
      <c r="F439" s="181" t="s">
        <v>566</v>
      </c>
      <c r="G439" s="191"/>
      <c r="H439" s="181" t="s">
        <v>501</v>
      </c>
      <c r="I439" s="159"/>
      <c r="J439" s="219" t="s">
        <v>567</v>
      </c>
      <c r="K439" s="33"/>
    </row>
    <row r="440" ht="15.75" hidden="1" customHeight="1">
      <c r="A440" s="166"/>
      <c r="B440" s="171" t="s">
        <v>568</v>
      </c>
      <c r="C440" s="159"/>
      <c r="D440" s="181" t="s">
        <v>569</v>
      </c>
      <c r="E440" s="248"/>
      <c r="F440" s="171" t="s">
        <v>570</v>
      </c>
      <c r="G440" s="249"/>
      <c r="H440" s="181" t="s">
        <v>571</v>
      </c>
      <c r="I440" s="159"/>
      <c r="J440" s="221" t="s">
        <v>572</v>
      </c>
      <c r="K440" s="33"/>
    </row>
    <row r="441" ht="15.75" hidden="1" customHeight="1">
      <c r="A441" s="166"/>
      <c r="B441" s="170"/>
      <c r="C441" s="159"/>
      <c r="D441" s="170"/>
      <c r="E441" s="248"/>
      <c r="F441" s="173"/>
      <c r="G441" s="249"/>
      <c r="H441" s="181" t="s">
        <v>569</v>
      </c>
      <c r="I441" s="193"/>
      <c r="J441" s="223"/>
      <c r="K441" s="33"/>
    </row>
    <row r="442" ht="15.75" hidden="1" customHeight="1">
      <c r="A442" s="166"/>
      <c r="B442" s="178"/>
      <c r="C442" s="159"/>
      <c r="D442" s="178"/>
      <c r="E442" s="159"/>
      <c r="F442" s="178" t="s">
        <v>555</v>
      </c>
      <c r="G442" s="193"/>
      <c r="H442" s="178"/>
      <c r="I442" s="193"/>
      <c r="J442" s="225"/>
      <c r="K442" s="33"/>
    </row>
    <row r="443" ht="15.75" hidden="1" customHeight="1">
      <c r="A443" s="166"/>
      <c r="B443" s="210"/>
      <c r="C443" s="193"/>
      <c r="D443" s="198"/>
      <c r="E443" s="193"/>
      <c r="F443" s="180" t="s">
        <v>380</v>
      </c>
      <c r="G443" s="193"/>
      <c r="H443" s="180" t="s">
        <v>8</v>
      </c>
      <c r="I443" s="193"/>
      <c r="J443" s="180" t="s">
        <v>211</v>
      </c>
      <c r="K443" s="33"/>
    </row>
    <row r="444" ht="15.75" hidden="1" customHeight="1">
      <c r="A444" s="166"/>
      <c r="B444" s="211"/>
      <c r="C444" s="193"/>
      <c r="D444" s="192"/>
      <c r="E444" s="193"/>
      <c r="F444" s="181" t="s">
        <v>573</v>
      </c>
      <c r="G444" s="193"/>
      <c r="H444" s="181" t="s">
        <v>574</v>
      </c>
      <c r="I444" s="193"/>
      <c r="J444" s="171" t="s">
        <v>575</v>
      </c>
      <c r="K444" s="33"/>
    </row>
    <row r="445" ht="15.75" hidden="1" customHeight="1">
      <c r="A445" s="166"/>
      <c r="B445" s="187"/>
      <c r="C445" s="159"/>
      <c r="D445" s="169"/>
      <c r="E445" s="159"/>
      <c r="F445" s="171" t="s">
        <v>576</v>
      </c>
      <c r="G445" s="159"/>
      <c r="H445" s="171" t="s">
        <v>390</v>
      </c>
      <c r="I445" s="159"/>
      <c r="J445" s="171" t="s">
        <v>577</v>
      </c>
      <c r="K445" s="33"/>
    </row>
    <row r="446" ht="15.75" hidden="1" customHeight="1">
      <c r="A446" s="166"/>
      <c r="B446" s="172"/>
      <c r="C446" s="159"/>
      <c r="D446" s="172"/>
      <c r="E446" s="159"/>
      <c r="F446" s="175"/>
      <c r="G446" s="159"/>
      <c r="H446" s="173"/>
      <c r="I446" s="159"/>
      <c r="J446" s="175" t="s">
        <v>578</v>
      </c>
      <c r="K446" s="33"/>
    </row>
    <row r="447" ht="15.75" hidden="1" customHeight="1">
      <c r="A447" s="154"/>
      <c r="B447" s="176"/>
      <c r="C447" s="159"/>
      <c r="D447" s="176"/>
      <c r="E447" s="159"/>
      <c r="F447" s="178" t="s">
        <v>555</v>
      </c>
      <c r="G447" s="159"/>
      <c r="H447" s="178" t="s">
        <v>555</v>
      </c>
      <c r="I447" s="159"/>
      <c r="J447" s="178"/>
      <c r="K447" s="33"/>
    </row>
    <row r="448" ht="15.75" hidden="1" customHeight="1">
      <c r="A448" s="226"/>
      <c r="B448" s="227"/>
      <c r="C448" s="157"/>
      <c r="D448" s="227"/>
      <c r="E448" s="157"/>
      <c r="F448" s="227"/>
      <c r="G448" s="157"/>
      <c r="H448" s="227"/>
      <c r="I448" s="157"/>
      <c r="J448" s="157"/>
      <c r="K448" s="33"/>
    </row>
    <row r="449" ht="15.75" hidden="1" customHeight="1">
      <c r="A449" s="146"/>
      <c r="B449" s="147" t="s">
        <v>391</v>
      </c>
      <c r="C449" s="148"/>
      <c r="D449" s="149" t="s">
        <v>392</v>
      </c>
      <c r="E449" s="150"/>
      <c r="F449" s="150"/>
      <c r="G449" s="150"/>
      <c r="H449" s="150"/>
      <c r="I449" s="150"/>
      <c r="J449" s="151"/>
      <c r="K449" s="33"/>
    </row>
    <row r="450" ht="15.75" hidden="1" customHeight="1">
      <c r="A450" s="154"/>
      <c r="B450" s="154"/>
      <c r="C450" s="155"/>
      <c r="D450" s="156" t="s">
        <v>393</v>
      </c>
      <c r="E450" s="150"/>
      <c r="F450" s="150"/>
      <c r="G450" s="150"/>
      <c r="H450" s="150"/>
      <c r="I450" s="150"/>
      <c r="J450" s="151"/>
      <c r="K450" s="33"/>
    </row>
    <row r="451" ht="15.75" hidden="1" customHeight="1">
      <c r="A451" s="158"/>
      <c r="B451" s="159"/>
      <c r="C451" s="159"/>
      <c r="D451" s="159"/>
      <c r="E451" s="159"/>
      <c r="F451" s="159"/>
      <c r="G451" s="159"/>
      <c r="H451" s="159"/>
      <c r="I451" s="159"/>
      <c r="J451" s="159"/>
      <c r="K451" s="33"/>
    </row>
    <row r="452" ht="15.75" hidden="1" customHeight="1">
      <c r="A452" s="158"/>
      <c r="B452" s="208">
        <v>46188.0</v>
      </c>
      <c r="C452" s="161"/>
      <c r="D452" s="208">
        <v>46189.0</v>
      </c>
      <c r="E452" s="161"/>
      <c r="F452" s="208">
        <v>46190.0</v>
      </c>
      <c r="G452" s="161"/>
      <c r="H452" s="208">
        <v>46191.0</v>
      </c>
      <c r="I452" s="161"/>
      <c r="J452" s="209">
        <v>46192.0</v>
      </c>
      <c r="K452" s="33"/>
    </row>
    <row r="453" ht="15.75" hidden="1" customHeight="1">
      <c r="A453" s="158"/>
      <c r="B453" s="159"/>
      <c r="C453" s="159"/>
      <c r="D453" s="159"/>
      <c r="E453" s="159"/>
      <c r="F453" s="159"/>
      <c r="G453" s="159"/>
      <c r="H453" s="159"/>
      <c r="I453" s="159"/>
      <c r="J453" s="159"/>
      <c r="K453" s="33"/>
    </row>
    <row r="454" ht="15.75" hidden="1" customHeight="1">
      <c r="A454" s="163" t="s">
        <v>394</v>
      </c>
      <c r="B454" s="228"/>
      <c r="C454" s="159"/>
      <c r="D454" s="250" t="s">
        <v>51</v>
      </c>
      <c r="E454" s="159"/>
      <c r="F454" s="180" t="s">
        <v>514</v>
      </c>
      <c r="G454" s="159"/>
      <c r="H454" s="180" t="s">
        <v>38</v>
      </c>
      <c r="I454" s="159"/>
      <c r="J454" s="180"/>
      <c r="K454" s="33"/>
    </row>
    <row r="455" ht="15.75" hidden="1" customHeight="1">
      <c r="A455" s="166"/>
      <c r="B455" s="229"/>
      <c r="C455" s="159"/>
      <c r="D455" s="181" t="s">
        <v>579</v>
      </c>
      <c r="E455" s="159"/>
      <c r="F455" s="181" t="s">
        <v>580</v>
      </c>
      <c r="G455" s="159"/>
      <c r="H455" s="181" t="s">
        <v>42</v>
      </c>
      <c r="I455" s="159"/>
      <c r="J455" s="181"/>
      <c r="K455" s="33"/>
    </row>
    <row r="456" ht="15.75" hidden="1" customHeight="1">
      <c r="A456" s="166"/>
      <c r="B456" s="229"/>
      <c r="C456" s="159"/>
      <c r="D456" s="181" t="s">
        <v>581</v>
      </c>
      <c r="E456" s="159"/>
      <c r="F456" s="171" t="s">
        <v>582</v>
      </c>
      <c r="G456" s="159"/>
      <c r="H456" s="171" t="s">
        <v>583</v>
      </c>
      <c r="I456" s="159"/>
      <c r="J456" s="171"/>
      <c r="K456" s="33"/>
    </row>
    <row r="457" ht="15.75" hidden="1" customHeight="1">
      <c r="A457" s="166"/>
      <c r="B457" s="229"/>
      <c r="C457" s="159"/>
      <c r="D457" s="181" t="s">
        <v>584</v>
      </c>
      <c r="E457" s="159"/>
      <c r="F457" s="175" t="s">
        <v>585</v>
      </c>
      <c r="G457" s="159"/>
      <c r="H457" s="173"/>
      <c r="I457" s="159"/>
      <c r="J457" s="175"/>
      <c r="K457" s="33"/>
    </row>
    <row r="458" ht="15.75" hidden="1" customHeight="1">
      <c r="A458" s="166"/>
      <c r="B458" s="231"/>
      <c r="C458" s="159"/>
      <c r="D458" s="178" t="s">
        <v>545</v>
      </c>
      <c r="E458" s="159"/>
      <c r="F458" s="178" t="s">
        <v>586</v>
      </c>
      <c r="G458" s="159"/>
      <c r="H458" s="178" t="s">
        <v>587</v>
      </c>
      <c r="I458" s="159"/>
      <c r="J458" s="178"/>
      <c r="K458" s="33"/>
    </row>
    <row r="459" ht="15.75" hidden="1" customHeight="1">
      <c r="A459" s="166"/>
      <c r="B459" s="228"/>
      <c r="C459" s="179"/>
      <c r="D459" s="250" t="s">
        <v>9</v>
      </c>
      <c r="E459" s="159"/>
      <c r="F459" s="180" t="s">
        <v>211</v>
      </c>
      <c r="G459" s="159"/>
      <c r="H459" s="180" t="s">
        <v>94</v>
      </c>
      <c r="I459" s="159"/>
      <c r="J459" s="180"/>
      <c r="K459" s="33"/>
    </row>
    <row r="460" ht="15.75" hidden="1" customHeight="1">
      <c r="A460" s="166"/>
      <c r="B460" s="229"/>
      <c r="C460" s="179"/>
      <c r="D460" s="181" t="s">
        <v>588</v>
      </c>
      <c r="E460" s="159"/>
      <c r="F460" s="181" t="s">
        <v>483</v>
      </c>
      <c r="G460" s="159"/>
      <c r="H460" s="181" t="s">
        <v>589</v>
      </c>
      <c r="I460" s="159"/>
      <c r="J460" s="181"/>
      <c r="K460" s="33"/>
    </row>
    <row r="461" ht="15.75" hidden="1" customHeight="1">
      <c r="A461" s="166"/>
      <c r="B461" s="232"/>
      <c r="C461" s="179"/>
      <c r="D461" s="171" t="s">
        <v>590</v>
      </c>
      <c r="E461" s="159"/>
      <c r="F461" s="171" t="s">
        <v>73</v>
      </c>
      <c r="G461" s="159"/>
      <c r="H461" s="171"/>
      <c r="I461" s="159"/>
      <c r="J461" s="171"/>
      <c r="K461" s="33"/>
    </row>
    <row r="462" ht="15.75" hidden="1" customHeight="1">
      <c r="A462" s="166"/>
      <c r="B462" s="229"/>
      <c r="C462" s="179"/>
      <c r="D462" s="181" t="s">
        <v>591</v>
      </c>
      <c r="E462" s="159"/>
      <c r="F462" s="173"/>
      <c r="G462" s="159"/>
      <c r="H462" s="173"/>
      <c r="I462" s="159"/>
      <c r="J462" s="175"/>
      <c r="K462" s="33"/>
    </row>
    <row r="463" ht="15.75" hidden="1" customHeight="1">
      <c r="A463" s="166"/>
      <c r="B463" s="231"/>
      <c r="C463" s="179"/>
      <c r="D463" s="251" t="s">
        <v>592</v>
      </c>
      <c r="E463" s="159"/>
      <c r="F463" s="178" t="s">
        <v>593</v>
      </c>
      <c r="G463" s="159"/>
      <c r="H463" s="178"/>
      <c r="I463" s="159"/>
      <c r="J463" s="178"/>
      <c r="K463" s="33"/>
    </row>
    <row r="464" ht="15.75" hidden="1" customHeight="1">
      <c r="A464" s="166"/>
      <c r="B464" s="228"/>
      <c r="C464" s="179"/>
      <c r="D464" s="180" t="s">
        <v>211</v>
      </c>
      <c r="E464" s="159"/>
      <c r="F464" s="180" t="s">
        <v>211</v>
      </c>
      <c r="G464" s="159"/>
      <c r="H464" s="180"/>
      <c r="I464" s="159"/>
      <c r="J464" s="180"/>
      <c r="K464" s="33"/>
    </row>
    <row r="465" ht="15.75" hidden="1" customHeight="1">
      <c r="A465" s="166"/>
      <c r="B465" s="229"/>
      <c r="C465" s="179"/>
      <c r="D465" s="181" t="s">
        <v>501</v>
      </c>
      <c r="E465" s="159"/>
      <c r="F465" s="181" t="s">
        <v>420</v>
      </c>
      <c r="G465" s="159"/>
      <c r="H465" s="181"/>
      <c r="I465" s="159"/>
      <c r="J465" s="181"/>
      <c r="K465" s="33"/>
    </row>
    <row r="466" ht="15.75" hidden="1" customHeight="1">
      <c r="A466" s="166"/>
      <c r="B466" s="232"/>
      <c r="C466" s="179"/>
      <c r="D466" s="171" t="s">
        <v>562</v>
      </c>
      <c r="E466" s="159"/>
      <c r="F466" s="171" t="s">
        <v>594</v>
      </c>
      <c r="G466" s="159"/>
      <c r="H466" s="171"/>
      <c r="I466" s="159"/>
      <c r="J466" s="171"/>
      <c r="K466" s="33"/>
    </row>
    <row r="467" ht="15.75" hidden="1" customHeight="1">
      <c r="A467" s="166"/>
      <c r="B467" s="229"/>
      <c r="C467" s="179"/>
      <c r="D467" s="181"/>
      <c r="E467" s="159"/>
      <c r="F467" s="173"/>
      <c r="G467" s="159"/>
      <c r="H467" s="173"/>
      <c r="I467" s="159"/>
      <c r="J467" s="175"/>
      <c r="K467" s="33"/>
    </row>
    <row r="468" ht="15.75" hidden="1" customHeight="1">
      <c r="A468" s="154"/>
      <c r="B468" s="231"/>
      <c r="C468" s="179"/>
      <c r="D468" s="178"/>
      <c r="E468" s="159"/>
      <c r="F468" s="178"/>
      <c r="G468" s="159"/>
      <c r="H468" s="178"/>
      <c r="I468" s="159"/>
      <c r="J468" s="178"/>
      <c r="K468" s="33"/>
    </row>
    <row r="469" ht="15.75" hidden="1" customHeight="1">
      <c r="A469" s="182"/>
      <c r="B469" s="183"/>
      <c r="C469" s="159"/>
      <c r="D469" s="183"/>
      <c r="E469" s="159"/>
      <c r="F469" s="183"/>
      <c r="G469" s="159"/>
      <c r="H469" s="183"/>
      <c r="I469" s="159"/>
      <c r="J469" s="183"/>
      <c r="K469" s="33"/>
    </row>
    <row r="470" ht="15.75" hidden="1" customHeight="1">
      <c r="A470" s="184" t="s">
        <v>418</v>
      </c>
      <c r="B470" s="234"/>
      <c r="C470" s="159"/>
      <c r="D470" s="180" t="s">
        <v>9</v>
      </c>
      <c r="E470" s="159"/>
      <c r="F470" s="180" t="s">
        <v>9</v>
      </c>
      <c r="G470" s="159"/>
      <c r="H470" s="180" t="s">
        <v>94</v>
      </c>
      <c r="I470" s="159"/>
      <c r="J470" s="180" t="s">
        <v>595</v>
      </c>
      <c r="K470" s="33"/>
    </row>
    <row r="471" ht="15.75" hidden="1" customHeight="1">
      <c r="A471" s="166"/>
      <c r="B471" s="229"/>
      <c r="C471" s="159"/>
      <c r="D471" s="181" t="s">
        <v>596</v>
      </c>
      <c r="E471" s="159"/>
      <c r="F471" s="181" t="s">
        <v>597</v>
      </c>
      <c r="G471" s="158"/>
      <c r="H471" s="241" t="s">
        <v>598</v>
      </c>
      <c r="I471" s="159"/>
      <c r="J471" s="181" t="s">
        <v>599</v>
      </c>
      <c r="K471" s="33"/>
    </row>
    <row r="472" ht="15.75" hidden="1" customHeight="1">
      <c r="A472" s="166"/>
      <c r="B472" s="232"/>
      <c r="C472" s="159"/>
      <c r="D472" s="171" t="s">
        <v>600</v>
      </c>
      <c r="E472" s="159"/>
      <c r="F472" s="171" t="s">
        <v>82</v>
      </c>
      <c r="G472" s="158"/>
      <c r="H472" s="171" t="s">
        <v>601</v>
      </c>
      <c r="I472" s="159"/>
      <c r="J472" s="171" t="s">
        <v>602</v>
      </c>
      <c r="K472" s="33"/>
    </row>
    <row r="473" ht="15.75" hidden="1" customHeight="1">
      <c r="A473" s="166"/>
      <c r="B473" s="235"/>
      <c r="C473" s="159"/>
      <c r="D473" s="175"/>
      <c r="E473" s="159"/>
      <c r="F473" s="175"/>
      <c r="G473" s="159"/>
      <c r="H473" s="175"/>
      <c r="I473" s="159"/>
      <c r="J473" s="175"/>
      <c r="K473" s="33"/>
    </row>
    <row r="474" ht="15.75" hidden="1" customHeight="1">
      <c r="A474" s="166"/>
      <c r="B474" s="231"/>
      <c r="C474" s="159"/>
      <c r="D474" s="178" t="s">
        <v>593</v>
      </c>
      <c r="E474" s="159"/>
      <c r="F474" s="178" t="s">
        <v>587</v>
      </c>
      <c r="G474" s="159"/>
      <c r="H474" s="178" t="s">
        <v>587</v>
      </c>
      <c r="I474" s="159"/>
      <c r="J474" s="178" t="s">
        <v>587</v>
      </c>
      <c r="K474" s="33"/>
    </row>
    <row r="475" ht="15.75" hidden="1" customHeight="1">
      <c r="A475" s="166"/>
      <c r="B475" s="228"/>
      <c r="C475" s="159"/>
      <c r="D475" s="250" t="s">
        <v>9</v>
      </c>
      <c r="E475" s="159"/>
      <c r="F475" s="180" t="s">
        <v>603</v>
      </c>
      <c r="G475" s="159"/>
      <c r="H475" s="188"/>
      <c r="I475" s="159"/>
      <c r="J475" s="180"/>
      <c r="K475" s="33"/>
    </row>
    <row r="476" ht="15.75" hidden="1" customHeight="1">
      <c r="A476" s="166"/>
      <c r="B476" s="229"/>
      <c r="C476" s="159"/>
      <c r="D476" s="217" t="s">
        <v>604</v>
      </c>
      <c r="E476" s="189"/>
      <c r="F476" s="171" t="s">
        <v>605</v>
      </c>
      <c r="G476" s="191"/>
      <c r="H476" s="217"/>
      <c r="I476" s="159"/>
      <c r="J476" s="241"/>
      <c r="K476" s="33"/>
    </row>
    <row r="477" ht="15.75" hidden="1" customHeight="1">
      <c r="A477" s="166"/>
      <c r="B477" s="229"/>
      <c r="C477" s="159"/>
      <c r="D477" s="181" t="s">
        <v>456</v>
      </c>
      <c r="E477" s="159"/>
      <c r="F477" s="237" t="s">
        <v>606</v>
      </c>
      <c r="G477" s="193"/>
      <c r="H477" s="168"/>
      <c r="I477" s="159"/>
      <c r="J477" s="171"/>
      <c r="K477" s="33"/>
    </row>
    <row r="478" ht="15.75" hidden="1" customHeight="1">
      <c r="A478" s="166"/>
      <c r="B478" s="238"/>
      <c r="C478" s="159"/>
      <c r="D478" s="170"/>
      <c r="E478" s="159"/>
      <c r="F478" s="222"/>
      <c r="G478" s="193"/>
      <c r="H478" s="170"/>
      <c r="I478" s="193"/>
      <c r="J478" s="175"/>
      <c r="K478" s="33"/>
    </row>
    <row r="479" ht="15.75" hidden="1" customHeight="1">
      <c r="A479" s="166"/>
      <c r="B479" s="231"/>
      <c r="C479" s="159"/>
      <c r="D479" s="178" t="s">
        <v>545</v>
      </c>
      <c r="E479" s="159"/>
      <c r="F479" s="178" t="s">
        <v>607</v>
      </c>
      <c r="G479" s="193"/>
      <c r="H479" s="178"/>
      <c r="I479" s="193"/>
      <c r="J479" s="177"/>
      <c r="K479" s="33"/>
    </row>
    <row r="480" ht="15.75" hidden="1" customHeight="1">
      <c r="A480" s="166"/>
      <c r="B480" s="228"/>
      <c r="C480" s="193"/>
      <c r="D480" s="188"/>
      <c r="E480" s="193"/>
      <c r="F480" s="180"/>
      <c r="G480" s="193"/>
      <c r="H480" s="180"/>
      <c r="I480" s="193"/>
      <c r="J480" s="188"/>
      <c r="K480" s="33"/>
    </row>
    <row r="481" ht="15.75" hidden="1" customHeight="1">
      <c r="A481" s="166"/>
      <c r="B481" s="229"/>
      <c r="C481" s="193"/>
      <c r="D481" s="201"/>
      <c r="E481" s="193"/>
      <c r="F481" s="181"/>
      <c r="G481" s="193"/>
      <c r="H481" s="181"/>
      <c r="I481" s="193"/>
      <c r="J481" s="217"/>
      <c r="K481" s="33"/>
    </row>
    <row r="482" ht="15.75" hidden="1" customHeight="1">
      <c r="A482" s="166"/>
      <c r="B482" s="232"/>
      <c r="C482" s="159"/>
      <c r="D482" s="170"/>
      <c r="E482" s="159"/>
      <c r="F482" s="171"/>
      <c r="G482" s="159"/>
      <c r="H482" s="171"/>
      <c r="I482" s="159"/>
      <c r="J482" s="168"/>
      <c r="K482" s="33"/>
    </row>
    <row r="483" ht="15.75" hidden="1" customHeight="1">
      <c r="A483" s="166"/>
      <c r="B483" s="230"/>
      <c r="C483" s="159"/>
      <c r="D483" s="173"/>
      <c r="E483" s="159"/>
      <c r="F483" s="175"/>
      <c r="G483" s="159"/>
      <c r="H483" s="173"/>
      <c r="I483" s="159"/>
      <c r="J483" s="170"/>
      <c r="K483" s="33"/>
    </row>
    <row r="484" ht="15.75" hidden="1" customHeight="1">
      <c r="A484" s="154"/>
      <c r="B484" s="239"/>
      <c r="C484" s="159"/>
      <c r="D484" s="177"/>
      <c r="E484" s="159"/>
      <c r="F484" s="177"/>
      <c r="G484" s="159"/>
      <c r="H484" s="177"/>
      <c r="I484" s="159"/>
      <c r="J484" s="178"/>
      <c r="K484" s="33"/>
    </row>
    <row r="485" ht="15.75" hidden="1" customHeight="1">
      <c r="A485" s="226"/>
      <c r="B485" s="227"/>
      <c r="C485" s="157"/>
      <c r="D485" s="227"/>
      <c r="E485" s="157"/>
      <c r="F485" s="227"/>
      <c r="G485" s="157"/>
      <c r="H485" s="227"/>
      <c r="I485" s="157"/>
      <c r="J485" s="157"/>
      <c r="K485" s="33"/>
    </row>
    <row r="486" ht="15.75" hidden="1" customHeight="1">
      <c r="A486" s="146"/>
      <c r="B486" s="147" t="s">
        <v>391</v>
      </c>
      <c r="C486" s="148"/>
      <c r="D486" s="149" t="s">
        <v>392</v>
      </c>
      <c r="E486" s="150"/>
      <c r="F486" s="150"/>
      <c r="G486" s="150"/>
      <c r="H486" s="150"/>
      <c r="I486" s="150"/>
      <c r="J486" s="151"/>
      <c r="K486" s="33"/>
    </row>
    <row r="487" ht="15.75" hidden="1" customHeight="1">
      <c r="A487" s="154"/>
      <c r="B487" s="154"/>
      <c r="C487" s="155"/>
      <c r="D487" s="156" t="s">
        <v>393</v>
      </c>
      <c r="E487" s="150"/>
      <c r="F487" s="150"/>
      <c r="G487" s="150"/>
      <c r="H487" s="150"/>
      <c r="I487" s="150"/>
      <c r="J487" s="151"/>
      <c r="K487" s="33"/>
    </row>
    <row r="488" ht="15.75" hidden="1" customHeight="1">
      <c r="A488" s="158"/>
      <c r="B488" s="159"/>
      <c r="C488" s="159"/>
      <c r="D488" s="159"/>
      <c r="E488" s="159"/>
      <c r="F488" s="159"/>
      <c r="G488" s="159"/>
      <c r="H488" s="159"/>
      <c r="I488" s="159"/>
      <c r="J488" s="159"/>
      <c r="K488" s="33"/>
    </row>
    <row r="489" ht="15.75" hidden="1" customHeight="1">
      <c r="A489" s="158"/>
      <c r="B489" s="208">
        <v>46195.0</v>
      </c>
      <c r="C489" s="161"/>
      <c r="D489" s="208">
        <v>46196.0</v>
      </c>
      <c r="E489" s="161"/>
      <c r="F489" s="208">
        <v>46197.0</v>
      </c>
      <c r="G489" s="161"/>
      <c r="H489" s="208">
        <v>46198.0</v>
      </c>
      <c r="I489" s="161"/>
      <c r="J489" s="209">
        <v>46199.0</v>
      </c>
      <c r="K489" s="33"/>
    </row>
    <row r="490" ht="15.75" hidden="1" customHeight="1">
      <c r="A490" s="158"/>
      <c r="B490" s="159"/>
      <c r="C490" s="159"/>
      <c r="D490" s="159"/>
      <c r="E490" s="159"/>
      <c r="F490" s="159"/>
      <c r="G490" s="159"/>
      <c r="H490" s="159"/>
      <c r="I490" s="159"/>
      <c r="J490" s="159"/>
      <c r="K490" s="33"/>
    </row>
    <row r="491" ht="15.75" hidden="1" customHeight="1">
      <c r="A491" s="163" t="s">
        <v>394</v>
      </c>
      <c r="B491" s="180" t="s">
        <v>211</v>
      </c>
      <c r="C491" s="159"/>
      <c r="D491" s="180"/>
      <c r="E491" s="159"/>
      <c r="F491" s="180" t="s">
        <v>38</v>
      </c>
      <c r="G491" s="159"/>
      <c r="H491" s="216" t="s">
        <v>38</v>
      </c>
      <c r="I491" s="159"/>
      <c r="J491" s="180" t="s">
        <v>40</v>
      </c>
      <c r="K491" s="33"/>
    </row>
    <row r="492" ht="15.75" hidden="1" customHeight="1">
      <c r="A492" s="166"/>
      <c r="B492" s="181" t="s">
        <v>608</v>
      </c>
      <c r="C492" s="159"/>
      <c r="D492" s="181"/>
      <c r="E492" s="159"/>
      <c r="F492" s="181" t="s">
        <v>42</v>
      </c>
      <c r="G492" s="159"/>
      <c r="H492" s="252" t="s">
        <v>42</v>
      </c>
      <c r="I492" s="159"/>
      <c r="J492" s="181" t="s">
        <v>609</v>
      </c>
      <c r="K492" s="33"/>
    </row>
    <row r="493" ht="15.75" hidden="1" customHeight="1">
      <c r="A493" s="166"/>
      <c r="B493" s="171" t="s">
        <v>479</v>
      </c>
      <c r="C493" s="159"/>
      <c r="D493" s="171"/>
      <c r="E493" s="159"/>
      <c r="F493" s="171" t="s">
        <v>583</v>
      </c>
      <c r="G493" s="159"/>
      <c r="H493" s="221" t="s">
        <v>583</v>
      </c>
      <c r="I493" s="159"/>
      <c r="J493" s="171" t="s">
        <v>610</v>
      </c>
      <c r="K493" s="33"/>
    </row>
    <row r="494" ht="15.75" hidden="1" customHeight="1">
      <c r="A494" s="166"/>
      <c r="B494" s="173"/>
      <c r="C494" s="159"/>
      <c r="D494" s="173"/>
      <c r="E494" s="159"/>
      <c r="F494" s="173"/>
      <c r="G494" s="159"/>
      <c r="H494" s="253"/>
      <c r="I494" s="159"/>
      <c r="J494" s="175" t="s">
        <v>611</v>
      </c>
      <c r="K494" s="33"/>
    </row>
    <row r="495" ht="15.75" hidden="1" customHeight="1">
      <c r="A495" s="166"/>
      <c r="B495" s="178"/>
      <c r="C495" s="159"/>
      <c r="D495" s="178"/>
      <c r="E495" s="159"/>
      <c r="F495" s="178" t="s">
        <v>612</v>
      </c>
      <c r="G495" s="159"/>
      <c r="H495" s="254" t="s">
        <v>613</v>
      </c>
      <c r="I495" s="159"/>
      <c r="J495" s="178"/>
      <c r="K495" s="33"/>
    </row>
    <row r="496" ht="15.75" hidden="1" customHeight="1">
      <c r="A496" s="166"/>
      <c r="B496" s="180"/>
      <c r="C496" s="179"/>
      <c r="D496" s="180"/>
      <c r="E496" s="159"/>
      <c r="F496" s="180"/>
      <c r="G496" s="159"/>
      <c r="H496" s="180"/>
      <c r="I496" s="159"/>
      <c r="J496" s="180"/>
      <c r="K496" s="33"/>
    </row>
    <row r="497" ht="15.75" hidden="1" customHeight="1">
      <c r="A497" s="166"/>
      <c r="B497" s="181"/>
      <c r="C497" s="179"/>
      <c r="D497" s="181"/>
      <c r="E497" s="159"/>
      <c r="F497" s="181"/>
      <c r="G497" s="159"/>
      <c r="H497" s="181"/>
      <c r="I497" s="159"/>
      <c r="J497" s="181"/>
      <c r="K497" s="33"/>
    </row>
    <row r="498" ht="15.75" hidden="1" customHeight="1">
      <c r="A498" s="166"/>
      <c r="B498" s="171"/>
      <c r="C498" s="179"/>
      <c r="D498" s="171"/>
      <c r="E498" s="159"/>
      <c r="F498" s="171"/>
      <c r="G498" s="159"/>
      <c r="H498" s="171"/>
      <c r="I498" s="159"/>
      <c r="J498" s="171"/>
      <c r="K498" s="33"/>
    </row>
    <row r="499" ht="15.75" hidden="1" customHeight="1">
      <c r="A499" s="166"/>
      <c r="B499" s="181"/>
      <c r="C499" s="179"/>
      <c r="D499" s="181"/>
      <c r="E499" s="159"/>
      <c r="F499" s="175"/>
      <c r="G499" s="159"/>
      <c r="H499" s="173"/>
      <c r="I499" s="159"/>
      <c r="J499" s="175"/>
      <c r="K499" s="33"/>
    </row>
    <row r="500" ht="15.75" hidden="1" customHeight="1">
      <c r="A500" s="154"/>
      <c r="B500" s="178"/>
      <c r="C500" s="179"/>
      <c r="D500" s="178"/>
      <c r="E500" s="159"/>
      <c r="F500" s="178"/>
      <c r="G500" s="159"/>
      <c r="H500" s="178"/>
      <c r="I500" s="159"/>
      <c r="J500" s="178"/>
      <c r="K500" s="33"/>
    </row>
    <row r="501" ht="15.75" hidden="1" customHeight="1">
      <c r="A501" s="182"/>
      <c r="B501" s="183"/>
      <c r="C501" s="159"/>
      <c r="D501" s="183"/>
      <c r="E501" s="159"/>
      <c r="F501" s="183"/>
      <c r="G501" s="159"/>
      <c r="H501" s="183"/>
      <c r="I501" s="159"/>
      <c r="J501" s="183"/>
      <c r="K501" s="33"/>
    </row>
    <row r="502" ht="15.75" hidden="1" customHeight="1">
      <c r="A502" s="184" t="s">
        <v>418</v>
      </c>
      <c r="B502" s="210" t="s">
        <v>166</v>
      </c>
      <c r="C502" s="159"/>
      <c r="D502" s="210" t="s">
        <v>205</v>
      </c>
      <c r="E502" s="159"/>
      <c r="F502" s="180"/>
      <c r="G502" s="159"/>
      <c r="H502" s="180" t="s">
        <v>62</v>
      </c>
      <c r="I502" s="159"/>
      <c r="J502" s="180" t="s">
        <v>40</v>
      </c>
      <c r="K502" s="33"/>
    </row>
    <row r="503" ht="15.75" hidden="1" customHeight="1">
      <c r="A503" s="166"/>
      <c r="B503" s="211" t="s">
        <v>614</v>
      </c>
      <c r="C503" s="159"/>
      <c r="D503" s="211" t="s">
        <v>615</v>
      </c>
      <c r="E503" s="159"/>
      <c r="F503" s="171"/>
      <c r="G503" s="158"/>
      <c r="H503" s="171" t="s">
        <v>616</v>
      </c>
      <c r="I503" s="159"/>
      <c r="J503" s="181" t="s">
        <v>617</v>
      </c>
      <c r="K503" s="33"/>
    </row>
    <row r="504" ht="15.75" hidden="1" customHeight="1">
      <c r="A504" s="166"/>
      <c r="B504" s="187" t="s">
        <v>618</v>
      </c>
      <c r="C504" s="159"/>
      <c r="D504" s="255" t="s">
        <v>619</v>
      </c>
      <c r="E504" s="159"/>
      <c r="F504" s="171"/>
      <c r="G504" s="158"/>
      <c r="H504" s="171" t="s">
        <v>620</v>
      </c>
      <c r="I504" s="159"/>
      <c r="J504" s="171" t="s">
        <v>610</v>
      </c>
      <c r="K504" s="33"/>
    </row>
    <row r="505" ht="15.75" hidden="1" customHeight="1">
      <c r="A505" s="166"/>
      <c r="B505" s="172"/>
      <c r="C505" s="159"/>
      <c r="D505" s="174"/>
      <c r="E505" s="159"/>
      <c r="F505" s="175"/>
      <c r="G505" s="159"/>
      <c r="H505" s="256" t="s">
        <v>621</v>
      </c>
      <c r="I505" s="159"/>
      <c r="J505" s="175"/>
      <c r="K505" s="33"/>
    </row>
    <row r="506" ht="15.75" hidden="1" customHeight="1">
      <c r="A506" s="166"/>
      <c r="B506" s="212" t="s">
        <v>612</v>
      </c>
      <c r="C506" s="159"/>
      <c r="D506" s="212" t="s">
        <v>613</v>
      </c>
      <c r="E506" s="159"/>
      <c r="F506" s="178"/>
      <c r="G506" s="159"/>
      <c r="H506" s="178" t="s">
        <v>622</v>
      </c>
      <c r="I506" s="159"/>
      <c r="J506" s="178" t="s">
        <v>622</v>
      </c>
      <c r="K506" s="33"/>
    </row>
    <row r="507" ht="15.75" hidden="1" customHeight="1">
      <c r="A507" s="166"/>
      <c r="B507" s="180" t="s">
        <v>9</v>
      </c>
      <c r="C507" s="159"/>
      <c r="D507" s="180" t="s">
        <v>623</v>
      </c>
      <c r="E507" s="159"/>
      <c r="F507" s="180" t="s">
        <v>514</v>
      </c>
      <c r="G507" s="159"/>
      <c r="H507" s="180" t="s">
        <v>514</v>
      </c>
      <c r="I507" s="159"/>
      <c r="J507" s="180" t="s">
        <v>40</v>
      </c>
      <c r="K507" s="33"/>
    </row>
    <row r="508" ht="15.75" hidden="1" customHeight="1">
      <c r="A508" s="166"/>
      <c r="B508" s="181" t="s">
        <v>597</v>
      </c>
      <c r="C508" s="159"/>
      <c r="D508" s="217" t="s">
        <v>624</v>
      </c>
      <c r="E508" s="189"/>
      <c r="F508" s="181" t="s">
        <v>625</v>
      </c>
      <c r="G508" s="191"/>
      <c r="H508" s="217" t="s">
        <v>626</v>
      </c>
      <c r="I508" s="159"/>
      <c r="J508" s="171" t="s">
        <v>627</v>
      </c>
      <c r="K508" s="33"/>
    </row>
    <row r="509" ht="15.75" hidden="1" customHeight="1">
      <c r="A509" s="166"/>
      <c r="B509" s="181" t="s">
        <v>82</v>
      </c>
      <c r="C509" s="159"/>
      <c r="D509" s="181" t="s">
        <v>628</v>
      </c>
      <c r="E509" s="248"/>
      <c r="F509" s="181" t="s">
        <v>629</v>
      </c>
      <c r="G509" s="249"/>
      <c r="H509" s="181" t="s">
        <v>630</v>
      </c>
      <c r="I509" s="159"/>
      <c r="J509" s="171"/>
      <c r="K509" s="33"/>
    </row>
    <row r="510" ht="15.75" hidden="1" customHeight="1">
      <c r="A510" s="166"/>
      <c r="B510" s="171"/>
      <c r="C510" s="159"/>
      <c r="D510" s="170"/>
      <c r="E510" s="248"/>
      <c r="F510" s="181" t="s">
        <v>631</v>
      </c>
      <c r="G510" s="249"/>
      <c r="H510" s="181" t="s">
        <v>632</v>
      </c>
      <c r="I510" s="193"/>
      <c r="J510" s="175"/>
      <c r="K510" s="33"/>
    </row>
    <row r="511" ht="15.75" hidden="1" customHeight="1">
      <c r="A511" s="166"/>
      <c r="B511" s="178" t="s">
        <v>613</v>
      </c>
      <c r="C511" s="159"/>
      <c r="D511" s="178"/>
      <c r="E511" s="159"/>
      <c r="F511" s="178" t="s">
        <v>612</v>
      </c>
      <c r="G511" s="193"/>
      <c r="H511" s="178" t="s">
        <v>622</v>
      </c>
      <c r="I511" s="193"/>
      <c r="J511" s="178" t="s">
        <v>622</v>
      </c>
      <c r="K511" s="33"/>
    </row>
    <row r="512" ht="15.75" hidden="1" customHeight="1">
      <c r="A512" s="166"/>
      <c r="B512" s="216"/>
      <c r="C512" s="193"/>
      <c r="D512" s="257"/>
      <c r="E512" s="193"/>
      <c r="F512" s="180" t="s">
        <v>514</v>
      </c>
      <c r="G512" s="193"/>
      <c r="H512" s="180"/>
      <c r="I512" s="193"/>
      <c r="J512" s="188"/>
      <c r="K512" s="33"/>
    </row>
    <row r="513" ht="15.75" hidden="1" customHeight="1">
      <c r="A513" s="166"/>
      <c r="B513" s="252"/>
      <c r="C513" s="193"/>
      <c r="D513" s="258"/>
      <c r="E513" s="193"/>
      <c r="F513" s="181" t="s">
        <v>633</v>
      </c>
      <c r="G513" s="193"/>
      <c r="H513" s="181"/>
      <c r="I513" s="193"/>
      <c r="J513" s="217"/>
      <c r="K513" s="33"/>
    </row>
    <row r="514" ht="15.75" hidden="1" customHeight="1">
      <c r="A514" s="166"/>
      <c r="B514" s="221"/>
      <c r="C514" s="159"/>
      <c r="D514" s="259"/>
      <c r="E514" s="159"/>
      <c r="F514" s="171"/>
      <c r="G514" s="159"/>
      <c r="H514" s="171"/>
      <c r="I514" s="159"/>
      <c r="J514" s="168"/>
      <c r="K514" s="33"/>
    </row>
    <row r="515" ht="15.75" hidden="1" customHeight="1">
      <c r="A515" s="166"/>
      <c r="B515" s="253"/>
      <c r="C515" s="159"/>
      <c r="D515" s="253"/>
      <c r="E515" s="159"/>
      <c r="F515" s="175"/>
      <c r="G515" s="159"/>
      <c r="H515" s="173"/>
      <c r="I515" s="159"/>
      <c r="J515" s="170"/>
      <c r="K515" s="33"/>
    </row>
    <row r="516" ht="15.75" hidden="1" customHeight="1">
      <c r="A516" s="154"/>
      <c r="B516" s="225"/>
      <c r="C516" s="159"/>
      <c r="D516" s="225"/>
      <c r="E516" s="159"/>
      <c r="F516" s="178" t="s">
        <v>613</v>
      </c>
      <c r="G516" s="159"/>
      <c r="H516" s="177"/>
      <c r="I516" s="159"/>
      <c r="J516" s="178"/>
      <c r="K516" s="33"/>
    </row>
    <row r="517" ht="15.75" customHeight="1">
      <c r="A517" s="226"/>
      <c r="B517" s="227"/>
      <c r="C517" s="157"/>
      <c r="D517" s="227"/>
      <c r="E517" s="157"/>
      <c r="F517" s="227"/>
      <c r="G517" s="157"/>
      <c r="H517" s="227"/>
      <c r="I517" s="157"/>
      <c r="J517" s="157"/>
      <c r="K517" s="33"/>
    </row>
    <row r="518" ht="15.75" customHeight="1">
      <c r="A518" s="146"/>
      <c r="B518" s="147" t="s">
        <v>391</v>
      </c>
      <c r="C518" s="148"/>
      <c r="D518" s="149" t="s">
        <v>392</v>
      </c>
      <c r="E518" s="150"/>
      <c r="F518" s="150"/>
      <c r="G518" s="150"/>
      <c r="H518" s="150"/>
      <c r="I518" s="150"/>
      <c r="J518" s="151"/>
      <c r="K518" s="33"/>
    </row>
    <row r="519" ht="15.75" customHeight="1">
      <c r="A519" s="154"/>
      <c r="B519" s="154"/>
      <c r="C519" s="155"/>
      <c r="D519" s="156" t="s">
        <v>393</v>
      </c>
      <c r="E519" s="150"/>
      <c r="F519" s="150"/>
      <c r="G519" s="150"/>
      <c r="H519" s="150"/>
      <c r="I519" s="150"/>
      <c r="J519" s="151"/>
      <c r="K519" s="33"/>
    </row>
    <row r="520" ht="15.75" customHeight="1">
      <c r="A520" s="158"/>
      <c r="B520" s="159"/>
      <c r="C520" s="159"/>
      <c r="D520" s="159"/>
      <c r="E520" s="159"/>
      <c r="F520" s="159"/>
      <c r="G520" s="159"/>
      <c r="H520" s="159"/>
      <c r="I520" s="159"/>
      <c r="J520" s="159"/>
      <c r="K520" s="33"/>
    </row>
    <row r="521" ht="15.75" customHeight="1">
      <c r="A521" s="158"/>
      <c r="B521" s="208">
        <v>46202.0</v>
      </c>
      <c r="C521" s="161"/>
      <c r="D521" s="208">
        <v>46203.0</v>
      </c>
      <c r="E521" s="161"/>
      <c r="F521" s="208">
        <v>46204.0</v>
      </c>
      <c r="G521" s="161"/>
      <c r="H521" s="208">
        <v>46205.0</v>
      </c>
      <c r="I521" s="161"/>
      <c r="J521" s="209">
        <v>46206.0</v>
      </c>
      <c r="K521" s="33"/>
    </row>
    <row r="522" ht="15.75" customHeight="1">
      <c r="A522" s="158"/>
      <c r="B522" s="159"/>
      <c r="C522" s="159"/>
      <c r="D522" s="159"/>
      <c r="E522" s="159"/>
      <c r="F522" s="159"/>
      <c r="G522" s="159"/>
      <c r="H522" s="159"/>
      <c r="I522" s="159"/>
      <c r="J522" s="159"/>
      <c r="K522" s="33"/>
    </row>
    <row r="523" ht="15.75" customHeight="1">
      <c r="A523" s="163" t="s">
        <v>394</v>
      </c>
      <c r="B523" s="180" t="s">
        <v>514</v>
      </c>
      <c r="C523" s="159"/>
      <c r="D523" s="180" t="s">
        <v>514</v>
      </c>
      <c r="E523" s="159"/>
      <c r="F523" s="180" t="s">
        <v>86</v>
      </c>
      <c r="G523" s="159"/>
      <c r="H523" s="210" t="s">
        <v>25</v>
      </c>
      <c r="I523" s="159"/>
      <c r="J523" s="180" t="s">
        <v>40</v>
      </c>
      <c r="K523" s="33"/>
    </row>
    <row r="524" ht="15.75" customHeight="1">
      <c r="A524" s="166"/>
      <c r="B524" s="181" t="s">
        <v>634</v>
      </c>
      <c r="C524" s="159"/>
      <c r="D524" s="181" t="s">
        <v>635</v>
      </c>
      <c r="E524" s="159"/>
      <c r="F524" s="181" t="s">
        <v>636</v>
      </c>
      <c r="G524" s="159"/>
      <c r="H524" s="211" t="s">
        <v>119</v>
      </c>
      <c r="I524" s="159"/>
      <c r="J524" s="181" t="s">
        <v>637</v>
      </c>
      <c r="K524" s="33"/>
    </row>
    <row r="525" ht="15.75" customHeight="1">
      <c r="A525" s="166"/>
      <c r="B525" s="260" t="s">
        <v>638</v>
      </c>
      <c r="C525" s="159"/>
      <c r="D525" s="171" t="s">
        <v>639</v>
      </c>
      <c r="E525" s="159"/>
      <c r="F525" s="171" t="s">
        <v>390</v>
      </c>
      <c r="G525" s="159"/>
      <c r="H525" s="187" t="s">
        <v>640</v>
      </c>
      <c r="I525" s="159"/>
      <c r="J525" s="171"/>
      <c r="K525" s="33"/>
    </row>
    <row r="526" ht="15.75" customHeight="1">
      <c r="A526" s="166"/>
      <c r="B526" s="247" t="s">
        <v>641</v>
      </c>
      <c r="C526" s="159"/>
      <c r="D526" s="175"/>
      <c r="E526" s="159"/>
      <c r="F526" s="173"/>
      <c r="G526" s="159"/>
      <c r="H526" s="172"/>
      <c r="I526" s="159"/>
      <c r="J526" s="175"/>
      <c r="K526" s="33"/>
    </row>
    <row r="527" ht="15.75" customHeight="1">
      <c r="A527" s="166"/>
      <c r="B527" s="178" t="s">
        <v>642</v>
      </c>
      <c r="C527" s="159"/>
      <c r="D527" s="178" t="s">
        <v>643</v>
      </c>
      <c r="E527" s="159"/>
      <c r="F527" s="178" t="s">
        <v>644</v>
      </c>
      <c r="G527" s="159"/>
      <c r="H527" s="212" t="s">
        <v>645</v>
      </c>
      <c r="I527" s="159"/>
      <c r="J527" s="178"/>
      <c r="K527" s="33"/>
    </row>
    <row r="528" ht="15.75" customHeight="1">
      <c r="A528" s="166"/>
      <c r="B528" s="180" t="s">
        <v>51</v>
      </c>
      <c r="C528" s="179"/>
      <c r="D528" s="180"/>
      <c r="E528" s="159"/>
      <c r="F528" s="210" t="s">
        <v>646</v>
      </c>
      <c r="G528" s="159"/>
      <c r="H528" s="180" t="s">
        <v>40</v>
      </c>
      <c r="I528" s="159"/>
      <c r="J528" s="180" t="s">
        <v>595</v>
      </c>
      <c r="K528" s="33"/>
    </row>
    <row r="529" ht="15.75" customHeight="1">
      <c r="A529" s="166"/>
      <c r="B529" s="181" t="s">
        <v>647</v>
      </c>
      <c r="C529" s="179"/>
      <c r="D529" s="181"/>
      <c r="E529" s="159"/>
      <c r="F529" s="211" t="s">
        <v>648</v>
      </c>
      <c r="G529" s="159"/>
      <c r="H529" s="181" t="s">
        <v>637</v>
      </c>
      <c r="I529" s="159"/>
      <c r="J529" s="240" t="s">
        <v>649</v>
      </c>
      <c r="K529" s="33"/>
    </row>
    <row r="530" ht="15.75" customHeight="1">
      <c r="A530" s="166"/>
      <c r="B530" s="171"/>
      <c r="C530" s="179"/>
      <c r="D530" s="181"/>
      <c r="E530" s="159"/>
      <c r="F530" s="187" t="s">
        <v>23</v>
      </c>
      <c r="G530" s="159"/>
      <c r="H530" s="181"/>
      <c r="I530" s="159"/>
      <c r="J530" s="171" t="s">
        <v>650</v>
      </c>
      <c r="K530" s="33"/>
    </row>
    <row r="531" ht="15.75" customHeight="1">
      <c r="A531" s="166"/>
      <c r="B531" s="181"/>
      <c r="C531" s="179"/>
      <c r="D531" s="181"/>
      <c r="E531" s="159"/>
      <c r="F531" s="172"/>
      <c r="G531" s="159"/>
      <c r="H531" s="181"/>
      <c r="I531" s="159"/>
      <c r="J531" s="175"/>
      <c r="K531" s="33"/>
    </row>
    <row r="532" ht="15.75" customHeight="1">
      <c r="A532" s="154"/>
      <c r="B532" s="178"/>
      <c r="C532" s="179"/>
      <c r="D532" s="178"/>
      <c r="E532" s="159"/>
      <c r="F532" s="212"/>
      <c r="G532" s="159"/>
      <c r="H532" s="178" t="s">
        <v>644</v>
      </c>
      <c r="I532" s="159"/>
      <c r="J532" s="178"/>
      <c r="K532" s="33"/>
    </row>
    <row r="533" ht="15.75" customHeight="1">
      <c r="A533" s="182"/>
      <c r="B533" s="183"/>
      <c r="C533" s="159"/>
      <c r="D533" s="183"/>
      <c r="E533" s="159"/>
      <c r="F533" s="183"/>
      <c r="G533" s="159"/>
      <c r="H533" s="183"/>
      <c r="I533" s="159"/>
      <c r="J533" s="183"/>
      <c r="K533" s="33"/>
    </row>
    <row r="534" ht="15.75" customHeight="1">
      <c r="A534" s="184" t="s">
        <v>418</v>
      </c>
      <c r="B534" s="210" t="s">
        <v>8</v>
      </c>
      <c r="C534" s="159"/>
      <c r="D534" s="210" t="s">
        <v>52</v>
      </c>
      <c r="E534" s="159"/>
      <c r="F534" s="180" t="s">
        <v>171</v>
      </c>
      <c r="G534" s="159"/>
      <c r="H534" s="180" t="s">
        <v>171</v>
      </c>
      <c r="I534" s="159"/>
      <c r="J534" s="180" t="s">
        <v>651</v>
      </c>
      <c r="K534" s="33"/>
    </row>
    <row r="535" ht="15.75" customHeight="1">
      <c r="A535" s="166"/>
      <c r="B535" s="211" t="s">
        <v>652</v>
      </c>
      <c r="C535" s="159"/>
      <c r="D535" s="211" t="s">
        <v>653</v>
      </c>
      <c r="E535" s="159"/>
      <c r="F535" s="171" t="s">
        <v>654</v>
      </c>
      <c r="G535" s="158"/>
      <c r="H535" s="171" t="s">
        <v>654</v>
      </c>
      <c r="I535" s="159"/>
      <c r="J535" s="181" t="s">
        <v>655</v>
      </c>
      <c r="K535" s="57"/>
    </row>
    <row r="536" ht="15.75" customHeight="1">
      <c r="A536" s="166"/>
      <c r="B536" s="187" t="s">
        <v>390</v>
      </c>
      <c r="C536" s="159"/>
      <c r="D536" s="187" t="s">
        <v>656</v>
      </c>
      <c r="E536" s="159"/>
      <c r="F536" s="171" t="s">
        <v>657</v>
      </c>
      <c r="G536" s="158"/>
      <c r="H536" s="171" t="s">
        <v>657</v>
      </c>
      <c r="I536" s="159"/>
      <c r="J536" s="181"/>
      <c r="K536" s="57"/>
    </row>
    <row r="537" ht="15.75" customHeight="1">
      <c r="A537" s="166"/>
      <c r="B537" s="172"/>
      <c r="C537" s="159"/>
      <c r="D537" s="174"/>
      <c r="E537" s="159"/>
      <c r="F537" s="175"/>
      <c r="G537" s="159"/>
      <c r="H537" s="175"/>
      <c r="I537" s="159"/>
      <c r="J537" s="181"/>
      <c r="K537" s="57"/>
    </row>
    <row r="538" ht="15.75" customHeight="1">
      <c r="A538" s="166"/>
      <c r="B538" s="212" t="s">
        <v>658</v>
      </c>
      <c r="C538" s="159"/>
      <c r="D538" s="212" t="s">
        <v>658</v>
      </c>
      <c r="E538" s="159"/>
      <c r="F538" s="178" t="s">
        <v>645</v>
      </c>
      <c r="G538" s="159"/>
      <c r="H538" s="178" t="s">
        <v>645</v>
      </c>
      <c r="I538" s="159"/>
      <c r="J538" s="178"/>
      <c r="K538" s="57"/>
    </row>
    <row r="539" ht="15.75" customHeight="1">
      <c r="A539" s="166"/>
      <c r="B539" s="210" t="s">
        <v>8</v>
      </c>
      <c r="C539" s="159"/>
      <c r="D539" s="210" t="s">
        <v>499</v>
      </c>
      <c r="E539" s="159"/>
      <c r="F539" s="216"/>
      <c r="G539" s="159"/>
      <c r="H539" s="210" t="s">
        <v>39</v>
      </c>
      <c r="I539" s="159"/>
      <c r="J539" s="216" t="s">
        <v>595</v>
      </c>
      <c r="K539" s="33"/>
    </row>
    <row r="540" ht="15.75" customHeight="1">
      <c r="A540" s="166"/>
      <c r="B540" s="211" t="s">
        <v>659</v>
      </c>
      <c r="C540" s="159"/>
      <c r="D540" s="211" t="s">
        <v>660</v>
      </c>
      <c r="E540" s="189"/>
      <c r="F540" s="221"/>
      <c r="G540" s="191"/>
      <c r="H540" s="236" t="s">
        <v>661</v>
      </c>
      <c r="I540" s="159"/>
      <c r="J540" s="219" t="s">
        <v>662</v>
      </c>
      <c r="K540" s="33"/>
    </row>
    <row r="541" ht="15.75" customHeight="1">
      <c r="A541" s="166"/>
      <c r="B541" s="211" t="s">
        <v>663</v>
      </c>
      <c r="C541" s="159"/>
      <c r="D541" s="211" t="s">
        <v>664</v>
      </c>
      <c r="E541" s="159"/>
      <c r="F541" s="261"/>
      <c r="G541" s="193"/>
      <c r="H541" s="211" t="s">
        <v>488</v>
      </c>
      <c r="I541" s="159"/>
      <c r="J541" s="221" t="s">
        <v>665</v>
      </c>
      <c r="K541" s="33"/>
    </row>
    <row r="542" ht="15.75" customHeight="1">
      <c r="A542" s="166"/>
      <c r="B542" s="187"/>
      <c r="C542" s="159"/>
      <c r="D542" s="172"/>
      <c r="E542" s="159"/>
      <c r="F542" s="222"/>
      <c r="G542" s="193"/>
      <c r="H542" s="169"/>
      <c r="I542" s="193"/>
      <c r="J542" s="223" t="s">
        <v>666</v>
      </c>
      <c r="K542" s="33"/>
    </row>
    <row r="543" ht="15.75" customHeight="1">
      <c r="A543" s="166"/>
      <c r="B543" s="212" t="s">
        <v>658</v>
      </c>
      <c r="C543" s="159"/>
      <c r="D543" s="212" t="s">
        <v>644</v>
      </c>
      <c r="E543" s="159"/>
      <c r="F543" s="254"/>
      <c r="G543" s="193"/>
      <c r="H543" s="212"/>
      <c r="I543" s="193"/>
      <c r="J543" s="225"/>
      <c r="K543" s="33"/>
    </row>
    <row r="544" ht="15.75" customHeight="1">
      <c r="A544" s="166"/>
      <c r="B544" s="216"/>
      <c r="C544" s="193"/>
      <c r="D544" s="216"/>
      <c r="E544" s="193"/>
      <c r="F544" s="180"/>
      <c r="G544" s="193"/>
      <c r="H544" s="180"/>
      <c r="I544" s="193"/>
      <c r="J544" s="188"/>
      <c r="K544" s="33"/>
    </row>
    <row r="545" ht="15.75" customHeight="1">
      <c r="A545" s="166"/>
      <c r="B545" s="252"/>
      <c r="C545" s="193"/>
      <c r="D545" s="252"/>
      <c r="E545" s="193"/>
      <c r="F545" s="181"/>
      <c r="G545" s="193"/>
      <c r="H545" s="181"/>
      <c r="I545" s="193"/>
      <c r="J545" s="217"/>
      <c r="K545" s="33"/>
    </row>
    <row r="546" ht="15.75" customHeight="1">
      <c r="A546" s="166"/>
      <c r="B546" s="221"/>
      <c r="C546" s="159"/>
      <c r="D546" s="221"/>
      <c r="E546" s="159"/>
      <c r="F546" s="171"/>
      <c r="G546" s="159"/>
      <c r="H546" s="171"/>
      <c r="I546" s="159"/>
      <c r="J546" s="168"/>
      <c r="K546" s="33"/>
    </row>
    <row r="547" ht="15.75" customHeight="1">
      <c r="A547" s="166"/>
      <c r="B547" s="253"/>
      <c r="C547" s="159"/>
      <c r="D547" s="253"/>
      <c r="E547" s="159"/>
      <c r="F547" s="175"/>
      <c r="G547" s="159"/>
      <c r="H547" s="173"/>
      <c r="I547" s="159"/>
      <c r="J547" s="170"/>
      <c r="K547" s="33"/>
    </row>
    <row r="548" ht="15.75" customHeight="1">
      <c r="A548" s="154"/>
      <c r="B548" s="225"/>
      <c r="C548" s="159"/>
      <c r="D548" s="225"/>
      <c r="E548" s="159"/>
      <c r="F548" s="177"/>
      <c r="G548" s="159"/>
      <c r="H548" s="177"/>
      <c r="I548" s="159"/>
      <c r="J548" s="178"/>
      <c r="K548" s="33"/>
    </row>
    <row r="549" ht="15.75" customHeight="1">
      <c r="A549" s="226"/>
      <c r="B549" s="227"/>
      <c r="C549" s="157"/>
      <c r="D549" s="227"/>
      <c r="E549" s="157"/>
      <c r="F549" s="227"/>
      <c r="G549" s="157"/>
      <c r="H549" s="227"/>
      <c r="I549" s="157"/>
      <c r="J549" s="157"/>
      <c r="K549" s="33"/>
    </row>
    <row r="550" ht="15.75" customHeight="1">
      <c r="A550" s="146"/>
      <c r="B550" s="147" t="s">
        <v>391</v>
      </c>
      <c r="C550" s="148"/>
      <c r="D550" s="149" t="s">
        <v>392</v>
      </c>
      <c r="E550" s="150"/>
      <c r="F550" s="150"/>
      <c r="G550" s="150"/>
      <c r="H550" s="150"/>
      <c r="I550" s="150"/>
      <c r="J550" s="151"/>
      <c r="K550" s="33"/>
    </row>
    <row r="551" ht="15.75" customHeight="1">
      <c r="A551" s="154"/>
      <c r="B551" s="154"/>
      <c r="C551" s="155"/>
      <c r="D551" s="156" t="s">
        <v>393</v>
      </c>
      <c r="E551" s="150"/>
      <c r="F551" s="150"/>
      <c r="G551" s="150"/>
      <c r="H551" s="150"/>
      <c r="I551" s="150"/>
      <c r="J551" s="151"/>
      <c r="K551" s="33"/>
    </row>
    <row r="552" ht="15.75" customHeight="1">
      <c r="A552" s="158"/>
      <c r="B552" s="159"/>
      <c r="C552" s="159"/>
      <c r="D552" s="159"/>
      <c r="E552" s="159"/>
      <c r="F552" s="159"/>
      <c r="G552" s="159"/>
      <c r="H552" s="159"/>
      <c r="I552" s="159"/>
      <c r="J552" s="159"/>
      <c r="K552" s="33"/>
    </row>
    <row r="553" ht="15.75" customHeight="1">
      <c r="A553" s="158"/>
      <c r="B553" s="208">
        <v>46209.0</v>
      </c>
      <c r="C553" s="161"/>
      <c r="D553" s="208">
        <v>46210.0</v>
      </c>
      <c r="E553" s="161"/>
      <c r="F553" s="208">
        <v>46211.0</v>
      </c>
      <c r="G553" s="161"/>
      <c r="H553" s="208">
        <v>46212.0</v>
      </c>
      <c r="I553" s="161"/>
      <c r="J553" s="209">
        <v>46213.0</v>
      </c>
      <c r="K553" s="33"/>
    </row>
    <row r="554" ht="15.75" customHeight="1">
      <c r="A554" s="158"/>
      <c r="B554" s="159"/>
      <c r="C554" s="159"/>
      <c r="D554" s="159"/>
      <c r="E554" s="159"/>
      <c r="F554" s="159"/>
      <c r="G554" s="159"/>
      <c r="H554" s="159"/>
      <c r="I554" s="159"/>
      <c r="J554" s="159"/>
      <c r="K554" s="33"/>
    </row>
    <row r="555" ht="15.75" customHeight="1">
      <c r="A555" s="163" t="s">
        <v>394</v>
      </c>
      <c r="B555" s="180"/>
      <c r="C555" s="159"/>
      <c r="D555" s="180"/>
      <c r="E555" s="159"/>
      <c r="F555" s="210" t="s">
        <v>39</v>
      </c>
      <c r="G555" s="159"/>
      <c r="H555" s="180"/>
      <c r="I555" s="159"/>
      <c r="J555" s="180"/>
      <c r="K555" s="33"/>
    </row>
    <row r="556" ht="15.75" customHeight="1">
      <c r="A556" s="166"/>
      <c r="B556" s="181"/>
      <c r="C556" s="159"/>
      <c r="D556" s="181"/>
      <c r="E556" s="159"/>
      <c r="F556" s="211" t="s">
        <v>667</v>
      </c>
      <c r="G556" s="159"/>
      <c r="H556" s="181"/>
      <c r="I556" s="159"/>
      <c r="J556" s="181"/>
      <c r="K556" s="33"/>
    </row>
    <row r="557" ht="15.75" customHeight="1">
      <c r="A557" s="166"/>
      <c r="B557" s="260"/>
      <c r="C557" s="159"/>
      <c r="D557" s="171"/>
      <c r="E557" s="159"/>
      <c r="F557" s="187" t="s">
        <v>668</v>
      </c>
      <c r="G557" s="159"/>
      <c r="H557" s="171"/>
      <c r="I557" s="159"/>
      <c r="J557" s="171"/>
      <c r="K557" s="33"/>
    </row>
    <row r="558" ht="15.75" customHeight="1">
      <c r="A558" s="166"/>
      <c r="B558" s="247"/>
      <c r="C558" s="159"/>
      <c r="D558" s="173"/>
      <c r="E558" s="159"/>
      <c r="F558" s="172"/>
      <c r="G558" s="159"/>
      <c r="H558" s="173"/>
      <c r="I558" s="159"/>
      <c r="J558" s="175"/>
      <c r="K558" s="33"/>
    </row>
    <row r="559" ht="15.75" customHeight="1">
      <c r="A559" s="166"/>
      <c r="B559" s="178"/>
      <c r="C559" s="159"/>
      <c r="D559" s="178"/>
      <c r="E559" s="159"/>
      <c r="F559" s="212"/>
      <c r="G559" s="159"/>
      <c r="H559" s="178"/>
      <c r="I559" s="159"/>
      <c r="J559" s="178"/>
      <c r="K559" s="33"/>
    </row>
    <row r="560" ht="15.75" customHeight="1">
      <c r="A560" s="166"/>
      <c r="B560" s="180"/>
      <c r="C560" s="179"/>
      <c r="D560" s="180"/>
      <c r="E560" s="159"/>
      <c r="F560" s="180"/>
      <c r="G560" s="159"/>
      <c r="H560" s="180"/>
      <c r="I560" s="159"/>
      <c r="J560" s="180"/>
      <c r="K560" s="33"/>
    </row>
    <row r="561" ht="15.75" customHeight="1">
      <c r="A561" s="166"/>
      <c r="B561" s="181"/>
      <c r="C561" s="179"/>
      <c r="D561" s="181"/>
      <c r="E561" s="159"/>
      <c r="F561" s="181"/>
      <c r="G561" s="159"/>
      <c r="H561" s="181"/>
      <c r="I561" s="159"/>
      <c r="J561" s="181"/>
      <c r="K561" s="33"/>
    </row>
    <row r="562" ht="15.75" customHeight="1">
      <c r="A562" s="166"/>
      <c r="B562" s="171"/>
      <c r="C562" s="179"/>
      <c r="D562" s="171"/>
      <c r="E562" s="159"/>
      <c r="F562" s="171"/>
      <c r="G562" s="159"/>
      <c r="H562" s="171"/>
      <c r="I562" s="159"/>
      <c r="J562" s="171"/>
      <c r="K562" s="33"/>
    </row>
    <row r="563" ht="15.75" customHeight="1">
      <c r="A563" s="166"/>
      <c r="B563" s="181"/>
      <c r="C563" s="179"/>
      <c r="D563" s="181"/>
      <c r="E563" s="159"/>
      <c r="F563" s="173"/>
      <c r="G563" s="159"/>
      <c r="H563" s="173"/>
      <c r="I563" s="159"/>
      <c r="J563" s="175"/>
      <c r="K563" s="33"/>
    </row>
    <row r="564" ht="15.75" customHeight="1">
      <c r="A564" s="154"/>
      <c r="B564" s="178"/>
      <c r="C564" s="179"/>
      <c r="D564" s="178"/>
      <c r="E564" s="159"/>
      <c r="F564" s="178"/>
      <c r="G564" s="159"/>
      <c r="H564" s="178"/>
      <c r="I564" s="159"/>
      <c r="J564" s="178"/>
      <c r="K564" s="33"/>
    </row>
    <row r="565" ht="15.75" customHeight="1">
      <c r="A565" s="182"/>
      <c r="B565" s="183"/>
      <c r="C565" s="159"/>
      <c r="D565" s="183"/>
      <c r="E565" s="159"/>
      <c r="F565" s="183"/>
      <c r="G565" s="159"/>
      <c r="H565" s="183"/>
      <c r="I565" s="159"/>
      <c r="J565" s="183"/>
      <c r="K565" s="33"/>
    </row>
    <row r="566" ht="15.75" customHeight="1">
      <c r="A566" s="184" t="s">
        <v>418</v>
      </c>
      <c r="B566" s="210" t="s">
        <v>8</v>
      </c>
      <c r="C566" s="159"/>
      <c r="D566" s="180"/>
      <c r="E566" s="159"/>
      <c r="F566" s="180"/>
      <c r="G566" s="159"/>
      <c r="H566" s="180"/>
      <c r="I566" s="159"/>
      <c r="J566" s="180"/>
      <c r="K566" s="33"/>
    </row>
    <row r="567" ht="15.75" customHeight="1">
      <c r="A567" s="166"/>
      <c r="B567" s="211" t="s">
        <v>669</v>
      </c>
      <c r="C567" s="159"/>
      <c r="D567" s="181"/>
      <c r="E567" s="159"/>
      <c r="F567" s="171"/>
      <c r="G567" s="158"/>
      <c r="H567" s="171"/>
      <c r="I567" s="159"/>
      <c r="J567" s="181"/>
      <c r="K567" s="33"/>
    </row>
    <row r="568" ht="15.75" customHeight="1">
      <c r="A568" s="166"/>
      <c r="B568" s="187" t="s">
        <v>670</v>
      </c>
      <c r="C568" s="159"/>
      <c r="D568" s="171"/>
      <c r="E568" s="159"/>
      <c r="F568" s="171"/>
      <c r="G568" s="158"/>
      <c r="H568" s="171"/>
      <c r="I568" s="159"/>
      <c r="J568" s="181"/>
      <c r="K568" s="33"/>
    </row>
    <row r="569" ht="15.75" customHeight="1">
      <c r="A569" s="166"/>
      <c r="B569" s="172"/>
      <c r="C569" s="159"/>
      <c r="D569" s="175"/>
      <c r="E569" s="159"/>
      <c r="F569" s="175"/>
      <c r="G569" s="159"/>
      <c r="H569" s="175"/>
      <c r="I569" s="159"/>
      <c r="J569" s="181"/>
      <c r="K569" s="33"/>
    </row>
    <row r="570" ht="15.75" customHeight="1">
      <c r="A570" s="166"/>
      <c r="B570" s="212"/>
      <c r="C570" s="159"/>
      <c r="D570" s="178"/>
      <c r="E570" s="159"/>
      <c r="F570" s="178"/>
      <c r="G570" s="159"/>
      <c r="H570" s="178"/>
      <c r="I570" s="159"/>
      <c r="J570" s="178"/>
      <c r="K570" s="33"/>
    </row>
    <row r="571" ht="15.75" customHeight="1">
      <c r="A571" s="166"/>
      <c r="B571" s="180"/>
      <c r="C571" s="159"/>
      <c r="D571" s="180"/>
      <c r="E571" s="159"/>
      <c r="F571" s="216"/>
      <c r="G571" s="159"/>
      <c r="H571" s="188"/>
      <c r="I571" s="159"/>
      <c r="J571" s="216"/>
      <c r="K571" s="33"/>
    </row>
    <row r="572" ht="15.75" customHeight="1">
      <c r="A572" s="166"/>
      <c r="B572" s="181"/>
      <c r="C572" s="159"/>
      <c r="D572" s="217"/>
      <c r="E572" s="189"/>
      <c r="F572" s="221"/>
      <c r="G572" s="191"/>
      <c r="H572" s="217"/>
      <c r="I572" s="159"/>
      <c r="J572" s="219"/>
      <c r="K572" s="33"/>
    </row>
    <row r="573" ht="15.75" customHeight="1">
      <c r="A573" s="166"/>
      <c r="B573" s="181"/>
      <c r="C573" s="159"/>
      <c r="D573" s="181"/>
      <c r="E573" s="159"/>
      <c r="F573" s="261"/>
      <c r="G573" s="193"/>
      <c r="H573" s="168"/>
      <c r="I573" s="159"/>
      <c r="J573" s="221"/>
      <c r="K573" s="33"/>
    </row>
    <row r="574" ht="15.75" customHeight="1">
      <c r="A574" s="166"/>
      <c r="B574" s="171"/>
      <c r="C574" s="159"/>
      <c r="D574" s="170"/>
      <c r="E574" s="159"/>
      <c r="F574" s="222"/>
      <c r="G574" s="193"/>
      <c r="H574" s="170"/>
      <c r="I574" s="193"/>
      <c r="J574" s="223"/>
      <c r="K574" s="33"/>
    </row>
    <row r="575" ht="15.75" customHeight="1">
      <c r="A575" s="166"/>
      <c r="B575" s="178"/>
      <c r="C575" s="159"/>
      <c r="D575" s="178"/>
      <c r="E575" s="159"/>
      <c r="F575" s="254"/>
      <c r="G575" s="193"/>
      <c r="H575" s="178"/>
      <c r="I575" s="193"/>
      <c r="J575" s="225"/>
      <c r="K575" s="33"/>
    </row>
    <row r="576" ht="15.75" customHeight="1">
      <c r="A576" s="166"/>
      <c r="B576" s="216"/>
      <c r="C576" s="193"/>
      <c r="D576" s="180"/>
      <c r="E576" s="193"/>
      <c r="F576" s="180"/>
      <c r="G576" s="193"/>
      <c r="H576" s="180"/>
      <c r="I576" s="193"/>
      <c r="J576" s="188"/>
      <c r="K576" s="33"/>
    </row>
    <row r="577" ht="15.75" customHeight="1">
      <c r="A577" s="166"/>
      <c r="B577" s="252"/>
      <c r="C577" s="193"/>
      <c r="D577" s="181"/>
      <c r="E577" s="193"/>
      <c r="F577" s="181"/>
      <c r="G577" s="193"/>
      <c r="H577" s="181"/>
      <c r="I577" s="193"/>
      <c r="J577" s="217"/>
      <c r="K577" s="33"/>
    </row>
    <row r="578" ht="15.75" customHeight="1">
      <c r="A578" s="166"/>
      <c r="B578" s="221"/>
      <c r="C578" s="159"/>
      <c r="D578" s="171"/>
      <c r="E578" s="159"/>
      <c r="F578" s="171"/>
      <c r="G578" s="159"/>
      <c r="H578" s="171"/>
      <c r="I578" s="159"/>
      <c r="J578" s="168"/>
      <c r="K578" s="33"/>
    </row>
    <row r="579" ht="15.75" customHeight="1">
      <c r="A579" s="166"/>
      <c r="B579" s="253"/>
      <c r="C579" s="159"/>
      <c r="D579" s="173"/>
      <c r="E579" s="159"/>
      <c r="F579" s="175"/>
      <c r="G579" s="159"/>
      <c r="H579" s="173"/>
      <c r="I579" s="159"/>
      <c r="J579" s="170"/>
      <c r="K579" s="33"/>
    </row>
    <row r="580" ht="15.75" customHeight="1">
      <c r="A580" s="154"/>
      <c r="B580" s="225"/>
      <c r="C580" s="159"/>
      <c r="D580" s="178"/>
      <c r="E580" s="159"/>
      <c r="F580" s="177"/>
      <c r="G580" s="159"/>
      <c r="H580" s="177"/>
      <c r="I580" s="159"/>
      <c r="J580" s="178"/>
      <c r="K580" s="33"/>
    </row>
    <row r="581" ht="15.75" customHeight="1">
      <c r="A581" s="226"/>
      <c r="B581" s="227"/>
      <c r="C581" s="157"/>
      <c r="D581" s="227"/>
      <c r="E581" s="157"/>
      <c r="F581" s="227"/>
      <c r="G581" s="157"/>
      <c r="H581" s="227"/>
      <c r="I581" s="157"/>
      <c r="J581" s="157"/>
      <c r="K581" s="33"/>
    </row>
    <row r="582" ht="15.75" customHeight="1">
      <c r="A582" s="226"/>
      <c r="B582" s="227"/>
      <c r="C582" s="157"/>
      <c r="D582" s="227"/>
      <c r="E582" s="157"/>
      <c r="F582" s="227"/>
      <c r="G582" s="157"/>
      <c r="H582" s="227"/>
      <c r="I582" s="157"/>
      <c r="J582" s="157"/>
      <c r="K582" s="33"/>
    </row>
    <row r="583" ht="15.75" customHeight="1">
      <c r="A583" s="226"/>
      <c r="B583" s="227"/>
      <c r="C583" s="157"/>
      <c r="D583" s="227"/>
      <c r="E583" s="157"/>
      <c r="F583" s="227"/>
      <c r="G583" s="157"/>
      <c r="H583" s="227"/>
      <c r="I583" s="157"/>
      <c r="J583" s="157"/>
      <c r="K583" s="33"/>
    </row>
    <row r="584" ht="15.75" customHeight="1">
      <c r="A584" s="226"/>
      <c r="B584" s="227"/>
      <c r="C584" s="157"/>
      <c r="D584" s="227"/>
      <c r="E584" s="157"/>
      <c r="F584" s="227"/>
      <c r="G584" s="157"/>
      <c r="H584" s="227"/>
      <c r="I584" s="157"/>
      <c r="J584" s="157"/>
      <c r="K584" s="33"/>
    </row>
    <row r="585" ht="15.75" customHeight="1">
      <c r="A585" s="226"/>
      <c r="B585" s="227"/>
      <c r="C585" s="157"/>
      <c r="D585" s="227"/>
      <c r="E585" s="157"/>
      <c r="F585" s="227"/>
      <c r="G585" s="157"/>
      <c r="H585" s="227"/>
      <c r="I585" s="157"/>
      <c r="J585" s="157"/>
      <c r="K585" s="33"/>
    </row>
    <row r="586" ht="15.75" customHeight="1">
      <c r="A586" s="226"/>
      <c r="B586" s="227"/>
      <c r="C586" s="157"/>
      <c r="D586" s="227"/>
      <c r="E586" s="157"/>
      <c r="F586" s="227"/>
      <c r="G586" s="157"/>
      <c r="H586" s="227"/>
      <c r="I586" s="157"/>
      <c r="J586" s="157"/>
      <c r="K586" s="33"/>
    </row>
    <row r="587" ht="15.75" customHeight="1">
      <c r="A587" s="226"/>
      <c r="B587" s="227"/>
      <c r="C587" s="157"/>
      <c r="D587" s="227"/>
      <c r="E587" s="157"/>
      <c r="F587" s="227"/>
      <c r="G587" s="157"/>
      <c r="H587" s="227"/>
      <c r="I587" s="157"/>
      <c r="J587" s="157"/>
      <c r="K587" s="33"/>
    </row>
    <row r="588" ht="15.75" customHeight="1">
      <c r="A588" s="226"/>
      <c r="B588" s="227"/>
      <c r="C588" s="157"/>
      <c r="D588" s="227"/>
      <c r="E588" s="157"/>
      <c r="F588" s="227"/>
      <c r="G588" s="157"/>
      <c r="H588" s="227"/>
      <c r="I588" s="157"/>
      <c r="J588" s="157"/>
      <c r="K588" s="33"/>
    </row>
    <row r="589" ht="15.75" customHeight="1">
      <c r="A589" s="226"/>
      <c r="B589" s="227"/>
      <c r="C589" s="157"/>
      <c r="D589" s="227"/>
      <c r="E589" s="157"/>
      <c r="F589" s="227"/>
      <c r="G589" s="157"/>
      <c r="H589" s="227"/>
      <c r="I589" s="157"/>
      <c r="J589" s="157"/>
      <c r="K589" s="33"/>
    </row>
    <row r="590" ht="15.75" customHeight="1">
      <c r="A590" s="226"/>
      <c r="B590" s="227"/>
      <c r="C590" s="157"/>
      <c r="D590" s="227"/>
      <c r="E590" s="157"/>
      <c r="F590" s="227"/>
      <c r="G590" s="157"/>
      <c r="H590" s="227"/>
      <c r="I590" s="157"/>
      <c r="J590" s="157"/>
      <c r="K590" s="33"/>
    </row>
    <row r="591" ht="15.75" customHeight="1">
      <c r="A591" s="226"/>
      <c r="B591" s="227"/>
      <c r="C591" s="157"/>
      <c r="D591" s="227"/>
      <c r="E591" s="157"/>
      <c r="F591" s="227"/>
      <c r="G591" s="157"/>
      <c r="H591" s="227"/>
      <c r="I591" s="157"/>
      <c r="J591" s="157"/>
      <c r="K591" s="33"/>
    </row>
    <row r="592" ht="15.75" customHeight="1">
      <c r="A592" s="226"/>
      <c r="B592" s="227"/>
      <c r="C592" s="157"/>
      <c r="D592" s="227"/>
      <c r="E592" s="157"/>
      <c r="F592" s="227"/>
      <c r="G592" s="157"/>
      <c r="H592" s="227"/>
      <c r="I592" s="157"/>
      <c r="J592" s="157"/>
      <c r="K592" s="33"/>
    </row>
    <row r="593" ht="15.75" customHeight="1">
      <c r="A593" s="226"/>
      <c r="B593" s="227"/>
      <c r="C593" s="157"/>
      <c r="D593" s="227"/>
      <c r="E593" s="157"/>
      <c r="F593" s="227"/>
      <c r="G593" s="157"/>
      <c r="H593" s="227"/>
      <c r="I593" s="157"/>
      <c r="J593" s="157"/>
      <c r="K593" s="33"/>
    </row>
    <row r="594" ht="15.75" customHeight="1">
      <c r="A594" s="226"/>
      <c r="B594" s="227"/>
      <c r="C594" s="157"/>
      <c r="D594" s="227"/>
      <c r="E594" s="157"/>
      <c r="F594" s="227"/>
      <c r="G594" s="157"/>
      <c r="H594" s="227"/>
      <c r="I594" s="157"/>
      <c r="J594" s="157"/>
      <c r="K594" s="33"/>
    </row>
    <row r="595" ht="15.75" customHeight="1">
      <c r="A595" s="226"/>
      <c r="B595" s="227"/>
      <c r="C595" s="157"/>
      <c r="D595" s="227"/>
      <c r="E595" s="157"/>
      <c r="F595" s="227"/>
      <c r="G595" s="157"/>
      <c r="H595" s="227"/>
      <c r="I595" s="157"/>
      <c r="J595" s="157"/>
      <c r="K595" s="33"/>
    </row>
    <row r="596" ht="15.75" customHeight="1">
      <c r="A596" s="226"/>
      <c r="B596" s="227"/>
      <c r="C596" s="157"/>
      <c r="D596" s="227"/>
      <c r="E596" s="157"/>
      <c r="F596" s="227"/>
      <c r="G596" s="157"/>
      <c r="H596" s="227"/>
      <c r="I596" s="157"/>
      <c r="J596" s="157"/>
      <c r="K596" s="33"/>
    </row>
    <row r="597" ht="15.75" customHeight="1">
      <c r="A597" s="226"/>
      <c r="B597" s="227"/>
      <c r="C597" s="157"/>
      <c r="D597" s="227"/>
      <c r="E597" s="157"/>
      <c r="F597" s="227"/>
      <c r="G597" s="157"/>
      <c r="H597" s="227"/>
      <c r="I597" s="157"/>
      <c r="J597" s="157"/>
      <c r="K597" s="33"/>
    </row>
    <row r="598" ht="15.75" customHeight="1">
      <c r="A598" s="226"/>
      <c r="B598" s="227"/>
      <c r="C598" s="157"/>
      <c r="D598" s="227"/>
      <c r="E598" s="157"/>
      <c r="F598" s="227"/>
      <c r="G598" s="157"/>
      <c r="H598" s="227"/>
      <c r="I598" s="157"/>
      <c r="J598" s="157"/>
      <c r="K598" s="33"/>
    </row>
    <row r="599" ht="15.75" customHeight="1">
      <c r="A599" s="226"/>
      <c r="B599" s="227"/>
      <c r="C599" s="157"/>
      <c r="D599" s="227"/>
      <c r="E599" s="157"/>
      <c r="F599" s="227"/>
      <c r="G599" s="157"/>
      <c r="H599" s="227"/>
      <c r="I599" s="157"/>
      <c r="J599" s="157"/>
      <c r="K599" s="33"/>
    </row>
    <row r="600" ht="15.75" customHeight="1">
      <c r="A600" s="226"/>
      <c r="B600" s="227"/>
      <c r="C600" s="157"/>
      <c r="D600" s="227"/>
      <c r="E600" s="157"/>
      <c r="F600" s="227"/>
      <c r="G600" s="157"/>
      <c r="H600" s="227"/>
      <c r="I600" s="157"/>
      <c r="J600" s="157"/>
      <c r="K600" s="33"/>
    </row>
    <row r="601" ht="15.75" customHeight="1">
      <c r="A601" s="226"/>
      <c r="B601" s="227"/>
      <c r="C601" s="157"/>
      <c r="D601" s="227"/>
      <c r="E601" s="157"/>
      <c r="F601" s="227"/>
      <c r="G601" s="157"/>
      <c r="H601" s="227"/>
      <c r="I601" s="157"/>
      <c r="J601" s="157"/>
      <c r="K601" s="33"/>
    </row>
    <row r="602" ht="15.75" customHeight="1">
      <c r="A602" s="226"/>
      <c r="B602" s="227"/>
      <c r="C602" s="157"/>
      <c r="D602" s="227"/>
      <c r="E602" s="157"/>
      <c r="F602" s="227"/>
      <c r="G602" s="157"/>
      <c r="H602" s="227"/>
      <c r="I602" s="157"/>
      <c r="J602" s="157"/>
      <c r="K602" s="33"/>
    </row>
    <row r="603" ht="15.75" customHeight="1">
      <c r="A603" s="226"/>
      <c r="B603" s="227"/>
      <c r="C603" s="157"/>
      <c r="D603" s="227"/>
      <c r="E603" s="157"/>
      <c r="F603" s="227"/>
      <c r="G603" s="157"/>
      <c r="H603" s="227"/>
      <c r="I603" s="157"/>
      <c r="J603" s="157"/>
      <c r="K603" s="33"/>
    </row>
    <row r="604" ht="15.75" customHeight="1">
      <c r="A604" s="226"/>
      <c r="B604" s="227"/>
      <c r="C604" s="157"/>
      <c r="D604" s="227"/>
      <c r="E604" s="157"/>
      <c r="F604" s="227"/>
      <c r="G604" s="157"/>
      <c r="H604" s="227"/>
      <c r="I604" s="157"/>
      <c r="J604" s="157"/>
      <c r="K604" s="33"/>
    </row>
    <row r="605" ht="15.75" customHeight="1">
      <c r="A605" s="226"/>
      <c r="B605" s="227"/>
      <c r="C605" s="157"/>
      <c r="D605" s="227"/>
      <c r="E605" s="157"/>
      <c r="F605" s="227"/>
      <c r="G605" s="157"/>
      <c r="H605" s="227"/>
      <c r="I605" s="157"/>
      <c r="J605" s="157"/>
      <c r="K605" s="33"/>
    </row>
    <row r="606" ht="15.75" customHeight="1">
      <c r="A606" s="226"/>
      <c r="B606" s="227"/>
      <c r="C606" s="157"/>
      <c r="D606" s="227"/>
      <c r="E606" s="157"/>
      <c r="F606" s="227"/>
      <c r="G606" s="157"/>
      <c r="H606" s="227"/>
      <c r="I606" s="157"/>
      <c r="J606" s="157"/>
      <c r="K606" s="33"/>
    </row>
    <row r="607" ht="15.75" customHeight="1">
      <c r="A607" s="226"/>
      <c r="B607" s="227"/>
      <c r="C607" s="157"/>
      <c r="D607" s="227"/>
      <c r="E607" s="157"/>
      <c r="F607" s="227"/>
      <c r="G607" s="157"/>
      <c r="H607" s="227"/>
      <c r="I607" s="157"/>
      <c r="J607" s="157"/>
      <c r="K607" s="33"/>
    </row>
    <row r="608" ht="15.75" customHeight="1">
      <c r="A608" s="226"/>
      <c r="B608" s="227"/>
      <c r="C608" s="157"/>
      <c r="D608" s="227"/>
      <c r="E608" s="157"/>
      <c r="F608" s="227"/>
      <c r="G608" s="157"/>
      <c r="H608" s="227"/>
      <c r="I608" s="157"/>
      <c r="J608" s="157"/>
      <c r="K608" s="33"/>
    </row>
    <row r="609" ht="15.75" customHeight="1">
      <c r="A609" s="226"/>
      <c r="B609" s="227"/>
      <c r="C609" s="157"/>
      <c r="D609" s="227"/>
      <c r="E609" s="157"/>
      <c r="F609" s="227"/>
      <c r="G609" s="157"/>
      <c r="H609" s="227"/>
      <c r="I609" s="157"/>
      <c r="J609" s="157"/>
      <c r="K609" s="33"/>
    </row>
    <row r="610" ht="15.75" customHeight="1">
      <c r="A610" s="226"/>
      <c r="B610" s="227"/>
      <c r="C610" s="157"/>
      <c r="D610" s="227"/>
      <c r="E610" s="157"/>
      <c r="F610" s="227"/>
      <c r="G610" s="157"/>
      <c r="H610" s="227"/>
      <c r="I610" s="157"/>
      <c r="J610" s="157"/>
      <c r="K610" s="33"/>
    </row>
    <row r="611" ht="15.75" customHeight="1">
      <c r="A611" s="226"/>
      <c r="B611" s="227"/>
      <c r="C611" s="157"/>
      <c r="D611" s="227"/>
      <c r="E611" s="157"/>
      <c r="F611" s="227"/>
      <c r="G611" s="157"/>
      <c r="H611" s="227"/>
      <c r="I611" s="157"/>
      <c r="J611" s="157"/>
      <c r="K611" s="33"/>
    </row>
    <row r="612" ht="15.75" customHeight="1">
      <c r="A612" s="226"/>
      <c r="B612" s="227"/>
      <c r="C612" s="157"/>
      <c r="D612" s="227"/>
      <c r="E612" s="157"/>
      <c r="F612" s="227"/>
      <c r="G612" s="157"/>
      <c r="H612" s="227"/>
      <c r="I612" s="157"/>
      <c r="J612" s="157"/>
      <c r="K612" s="33"/>
    </row>
    <row r="613" ht="15.75" customHeight="1">
      <c r="A613" s="226"/>
      <c r="B613" s="227"/>
      <c r="C613" s="157"/>
      <c r="D613" s="227"/>
      <c r="E613" s="157"/>
      <c r="F613" s="227"/>
      <c r="G613" s="157"/>
      <c r="H613" s="227"/>
      <c r="I613" s="157"/>
      <c r="J613" s="157"/>
      <c r="K613" s="33"/>
    </row>
    <row r="614" ht="15.75" customHeight="1">
      <c r="A614" s="226"/>
      <c r="B614" s="227"/>
      <c r="C614" s="157"/>
      <c r="D614" s="227"/>
      <c r="E614" s="157"/>
      <c r="F614" s="227"/>
      <c r="G614" s="157"/>
      <c r="H614" s="227"/>
      <c r="I614" s="157"/>
      <c r="J614" s="157"/>
      <c r="K614" s="33"/>
    </row>
    <row r="615" ht="15.75" customHeight="1">
      <c r="A615" s="226"/>
      <c r="B615" s="227"/>
      <c r="C615" s="157"/>
      <c r="D615" s="227"/>
      <c r="E615" s="157"/>
      <c r="F615" s="227"/>
      <c r="G615" s="157"/>
      <c r="H615" s="227"/>
      <c r="I615" s="157"/>
      <c r="J615" s="157"/>
      <c r="K615" s="33"/>
    </row>
    <row r="616" ht="15.75" customHeight="1">
      <c r="A616" s="226"/>
      <c r="B616" s="227"/>
      <c r="C616" s="157"/>
      <c r="D616" s="227"/>
      <c r="E616" s="157"/>
      <c r="F616" s="227"/>
      <c r="G616" s="157"/>
      <c r="H616" s="227"/>
      <c r="I616" s="157"/>
      <c r="J616" s="157"/>
      <c r="K616" s="33"/>
    </row>
    <row r="617" ht="15.75" customHeight="1">
      <c r="A617" s="226"/>
      <c r="B617" s="227"/>
      <c r="C617" s="157"/>
      <c r="D617" s="227"/>
      <c r="E617" s="157"/>
      <c r="F617" s="227"/>
      <c r="G617" s="157"/>
      <c r="H617" s="227"/>
      <c r="I617" s="157"/>
      <c r="J617" s="157"/>
      <c r="K617" s="33"/>
    </row>
    <row r="618" ht="15.75" customHeight="1">
      <c r="A618" s="226"/>
      <c r="B618" s="227"/>
      <c r="C618" s="157"/>
      <c r="D618" s="227"/>
      <c r="E618" s="157"/>
      <c r="F618" s="227"/>
      <c r="G618" s="157"/>
      <c r="H618" s="227"/>
      <c r="I618" s="157"/>
      <c r="J618" s="157"/>
      <c r="K618" s="33"/>
    </row>
    <row r="619" ht="15.75" customHeight="1">
      <c r="A619" s="226"/>
      <c r="B619" s="227"/>
      <c r="C619" s="157"/>
      <c r="D619" s="227"/>
      <c r="E619" s="157"/>
      <c r="F619" s="227"/>
      <c r="G619" s="157"/>
      <c r="H619" s="227"/>
      <c r="I619" s="157"/>
      <c r="J619" s="157"/>
      <c r="K619" s="33"/>
    </row>
    <row r="620" ht="15.75" customHeight="1">
      <c r="A620" s="226"/>
      <c r="B620" s="227"/>
      <c r="C620" s="157"/>
      <c r="D620" s="227"/>
      <c r="E620" s="157"/>
      <c r="F620" s="227"/>
      <c r="G620" s="157"/>
      <c r="H620" s="227"/>
      <c r="I620" s="157"/>
      <c r="J620" s="157"/>
      <c r="K620" s="33"/>
    </row>
    <row r="621" ht="15.75" customHeight="1">
      <c r="A621" s="226"/>
      <c r="B621" s="227"/>
      <c r="C621" s="157"/>
      <c r="D621" s="227"/>
      <c r="E621" s="157"/>
      <c r="F621" s="227"/>
      <c r="G621" s="157"/>
      <c r="H621" s="227"/>
      <c r="I621" s="157"/>
      <c r="J621" s="157"/>
      <c r="K621" s="33"/>
    </row>
    <row r="622" ht="15.75" customHeight="1">
      <c r="A622" s="226"/>
      <c r="B622" s="227"/>
      <c r="C622" s="157"/>
      <c r="D622" s="227"/>
      <c r="E622" s="157"/>
      <c r="F622" s="227"/>
      <c r="G622" s="157"/>
      <c r="H622" s="227"/>
      <c r="I622" s="157"/>
      <c r="J622" s="157"/>
      <c r="K622" s="33"/>
    </row>
    <row r="623" ht="15.75" customHeight="1">
      <c r="A623" s="226"/>
      <c r="B623" s="227"/>
      <c r="C623" s="157"/>
      <c r="D623" s="227"/>
      <c r="E623" s="157"/>
      <c r="F623" s="227"/>
      <c r="G623" s="157"/>
      <c r="H623" s="227"/>
      <c r="I623" s="157"/>
      <c r="J623" s="157"/>
      <c r="K623" s="33"/>
    </row>
    <row r="624" ht="15.75" customHeight="1">
      <c r="A624" s="226"/>
      <c r="B624" s="227"/>
      <c r="C624" s="157"/>
      <c r="D624" s="227"/>
      <c r="E624" s="157"/>
      <c r="F624" s="227"/>
      <c r="G624" s="157"/>
      <c r="H624" s="227"/>
      <c r="I624" s="157"/>
      <c r="J624" s="157"/>
      <c r="K624" s="33"/>
    </row>
    <row r="625" ht="15.75" customHeight="1">
      <c r="A625" s="226"/>
      <c r="B625" s="227"/>
      <c r="C625" s="157"/>
      <c r="D625" s="227"/>
      <c r="E625" s="157"/>
      <c r="F625" s="227"/>
      <c r="G625" s="157"/>
      <c r="H625" s="227"/>
      <c r="I625" s="157"/>
      <c r="J625" s="157"/>
      <c r="K625" s="33"/>
    </row>
    <row r="626" ht="15.75" customHeight="1">
      <c r="A626" s="226"/>
      <c r="B626" s="227"/>
      <c r="C626" s="157"/>
      <c r="D626" s="227"/>
      <c r="E626" s="157"/>
      <c r="F626" s="227"/>
      <c r="G626" s="157"/>
      <c r="H626" s="227"/>
      <c r="I626" s="157"/>
      <c r="J626" s="157"/>
      <c r="K626" s="33"/>
    </row>
    <row r="627" ht="15.75" customHeight="1">
      <c r="A627" s="226"/>
      <c r="B627" s="227"/>
      <c r="C627" s="157"/>
      <c r="D627" s="227"/>
      <c r="E627" s="157"/>
      <c r="F627" s="227"/>
      <c r="G627" s="157"/>
      <c r="H627" s="227"/>
      <c r="I627" s="157"/>
      <c r="J627" s="157"/>
      <c r="K627" s="33"/>
    </row>
    <row r="628" ht="15.75" customHeight="1">
      <c r="A628" s="226"/>
      <c r="B628" s="227"/>
      <c r="C628" s="157"/>
      <c r="D628" s="227"/>
      <c r="E628" s="157"/>
      <c r="F628" s="227"/>
      <c r="G628" s="157"/>
      <c r="H628" s="227"/>
      <c r="I628" s="157"/>
      <c r="J628" s="157"/>
      <c r="K628" s="33"/>
    </row>
    <row r="629" ht="15.75" customHeight="1">
      <c r="A629" s="226"/>
      <c r="B629" s="227"/>
      <c r="C629" s="157"/>
      <c r="D629" s="227"/>
      <c r="E629" s="157"/>
      <c r="F629" s="227"/>
      <c r="G629" s="157"/>
      <c r="H629" s="227"/>
      <c r="I629" s="157"/>
      <c r="J629" s="157"/>
      <c r="K629" s="33"/>
    </row>
    <row r="630" ht="15.75" customHeight="1">
      <c r="A630" s="226"/>
      <c r="B630" s="227"/>
      <c r="C630" s="157"/>
      <c r="D630" s="227"/>
      <c r="E630" s="157"/>
      <c r="F630" s="227"/>
      <c r="G630" s="157"/>
      <c r="H630" s="227"/>
      <c r="I630" s="157"/>
      <c r="J630" s="157"/>
      <c r="K630" s="33"/>
    </row>
    <row r="631" ht="15.75" customHeight="1">
      <c r="A631" s="226"/>
      <c r="B631" s="227"/>
      <c r="C631" s="157"/>
      <c r="D631" s="227"/>
      <c r="E631" s="157"/>
      <c r="F631" s="227"/>
      <c r="G631" s="157"/>
      <c r="H631" s="227"/>
      <c r="I631" s="157"/>
      <c r="J631" s="157"/>
      <c r="K631" s="33"/>
    </row>
    <row r="632" ht="15.75" customHeight="1">
      <c r="A632" s="226"/>
      <c r="B632" s="227"/>
      <c r="C632" s="157"/>
      <c r="D632" s="227"/>
      <c r="E632" s="157"/>
      <c r="F632" s="227"/>
      <c r="G632" s="157"/>
      <c r="H632" s="227"/>
      <c r="I632" s="157"/>
      <c r="J632" s="157"/>
      <c r="K632" s="33"/>
    </row>
    <row r="633" ht="15.75" customHeight="1">
      <c r="A633" s="226"/>
      <c r="B633" s="227"/>
      <c r="C633" s="157"/>
      <c r="D633" s="227"/>
      <c r="E633" s="157"/>
      <c r="F633" s="227"/>
      <c r="G633" s="157"/>
      <c r="H633" s="227"/>
      <c r="I633" s="157"/>
      <c r="J633" s="157"/>
      <c r="K633" s="33"/>
    </row>
    <row r="634" ht="15.75" customHeight="1">
      <c r="A634" s="226"/>
      <c r="B634" s="227"/>
      <c r="C634" s="157"/>
      <c r="D634" s="227"/>
      <c r="E634" s="157"/>
      <c r="F634" s="227"/>
      <c r="G634" s="157"/>
      <c r="H634" s="227"/>
      <c r="I634" s="157"/>
      <c r="J634" s="157"/>
      <c r="K634" s="33"/>
    </row>
    <row r="635" ht="15.75" customHeight="1">
      <c r="A635" s="226"/>
      <c r="B635" s="227"/>
      <c r="C635" s="157"/>
      <c r="D635" s="227"/>
      <c r="E635" s="157"/>
      <c r="F635" s="227"/>
      <c r="G635" s="157"/>
      <c r="H635" s="227"/>
      <c r="I635" s="157"/>
      <c r="J635" s="157"/>
      <c r="K635" s="33"/>
    </row>
    <row r="636" ht="15.75" customHeight="1">
      <c r="A636" s="226"/>
      <c r="B636" s="227"/>
      <c r="C636" s="157"/>
      <c r="D636" s="227"/>
      <c r="E636" s="157"/>
      <c r="F636" s="227"/>
      <c r="G636" s="157"/>
      <c r="H636" s="227"/>
      <c r="I636" s="157"/>
      <c r="J636" s="157"/>
      <c r="K636" s="33"/>
    </row>
    <row r="637" ht="15.75" customHeight="1">
      <c r="A637" s="226"/>
      <c r="B637" s="227"/>
      <c r="C637" s="157"/>
      <c r="D637" s="227"/>
      <c r="E637" s="157"/>
      <c r="F637" s="227"/>
      <c r="G637" s="157"/>
      <c r="H637" s="227"/>
      <c r="I637" s="157"/>
      <c r="J637" s="157"/>
      <c r="K637" s="33"/>
    </row>
    <row r="638" ht="15.75" customHeight="1">
      <c r="A638" s="226"/>
      <c r="B638" s="227"/>
      <c r="C638" s="157"/>
      <c r="D638" s="227"/>
      <c r="E638" s="157"/>
      <c r="F638" s="227"/>
      <c r="G638" s="157"/>
      <c r="H638" s="227"/>
      <c r="I638" s="157"/>
      <c r="J638" s="157"/>
      <c r="K638" s="33"/>
    </row>
    <row r="639" ht="15.75" customHeight="1">
      <c r="A639" s="226"/>
      <c r="B639" s="227"/>
      <c r="C639" s="157"/>
      <c r="D639" s="227"/>
      <c r="E639" s="157"/>
      <c r="F639" s="227"/>
      <c r="G639" s="157"/>
      <c r="H639" s="227"/>
      <c r="I639" s="157"/>
      <c r="J639" s="157"/>
      <c r="K639" s="33"/>
    </row>
    <row r="640" ht="15.75" customHeight="1">
      <c r="A640" s="226"/>
      <c r="B640" s="227"/>
      <c r="C640" s="157"/>
      <c r="D640" s="227"/>
      <c r="E640" s="157"/>
      <c r="F640" s="227"/>
      <c r="G640" s="157"/>
      <c r="H640" s="227"/>
      <c r="I640" s="157"/>
      <c r="J640" s="157"/>
      <c r="K640" s="33"/>
    </row>
    <row r="641" ht="15.75" customHeight="1">
      <c r="A641" s="226"/>
      <c r="B641" s="227"/>
      <c r="C641" s="157"/>
      <c r="D641" s="227"/>
      <c r="E641" s="157"/>
      <c r="F641" s="227"/>
      <c r="G641" s="157"/>
      <c r="H641" s="227"/>
      <c r="I641" s="157"/>
      <c r="J641" s="157"/>
      <c r="K641" s="33"/>
    </row>
    <row r="642" ht="15.75" customHeight="1">
      <c r="A642" s="226"/>
      <c r="B642" s="227"/>
      <c r="C642" s="157"/>
      <c r="D642" s="227"/>
      <c r="E642" s="157"/>
      <c r="F642" s="227"/>
      <c r="G642" s="157"/>
      <c r="H642" s="227"/>
      <c r="I642" s="157"/>
      <c r="J642" s="157"/>
      <c r="K642" s="33"/>
    </row>
    <row r="643" ht="15.75" customHeight="1">
      <c r="A643" s="226"/>
      <c r="B643" s="227"/>
      <c r="C643" s="157"/>
      <c r="D643" s="227"/>
      <c r="E643" s="157"/>
      <c r="F643" s="227"/>
      <c r="G643" s="157"/>
      <c r="H643" s="227"/>
      <c r="I643" s="157"/>
      <c r="J643" s="157"/>
      <c r="K643" s="33"/>
    </row>
    <row r="644" ht="15.75" customHeight="1">
      <c r="A644" s="226"/>
      <c r="B644" s="227"/>
      <c r="C644" s="157"/>
      <c r="D644" s="227"/>
      <c r="E644" s="157"/>
      <c r="F644" s="227"/>
      <c r="G644" s="157"/>
      <c r="H644" s="227"/>
      <c r="I644" s="157"/>
      <c r="J644" s="157"/>
      <c r="K644" s="33"/>
    </row>
    <row r="645" ht="15.75" customHeight="1">
      <c r="A645" s="226"/>
      <c r="B645" s="227"/>
      <c r="C645" s="157"/>
      <c r="D645" s="227"/>
      <c r="E645" s="157"/>
      <c r="F645" s="227"/>
      <c r="G645" s="157"/>
      <c r="H645" s="227"/>
      <c r="I645" s="157"/>
      <c r="J645" s="157"/>
      <c r="K645" s="33"/>
    </row>
    <row r="646" ht="15.75" customHeight="1">
      <c r="A646" s="226"/>
      <c r="B646" s="227"/>
      <c r="C646" s="157"/>
      <c r="D646" s="227"/>
      <c r="E646" s="157"/>
      <c r="F646" s="227"/>
      <c r="G646" s="157"/>
      <c r="H646" s="227"/>
      <c r="I646" s="157"/>
      <c r="J646" s="157"/>
      <c r="K646" s="33"/>
    </row>
    <row r="647" ht="15.75" customHeight="1">
      <c r="A647" s="226"/>
      <c r="B647" s="227"/>
      <c r="C647" s="157"/>
      <c r="D647" s="227"/>
      <c r="E647" s="157"/>
      <c r="F647" s="227"/>
      <c r="G647" s="157"/>
      <c r="H647" s="227"/>
      <c r="I647" s="157"/>
      <c r="J647" s="157"/>
      <c r="K647" s="33"/>
    </row>
    <row r="648" ht="15.75" customHeight="1">
      <c r="A648" s="226"/>
      <c r="B648" s="227"/>
      <c r="C648" s="157"/>
      <c r="D648" s="227"/>
      <c r="E648" s="157"/>
      <c r="F648" s="227"/>
      <c r="G648" s="157"/>
      <c r="H648" s="227"/>
      <c r="I648" s="157"/>
      <c r="J648" s="157"/>
      <c r="K648" s="33"/>
    </row>
    <row r="649" ht="15.75" customHeight="1">
      <c r="A649" s="226"/>
      <c r="B649" s="227"/>
      <c r="C649" s="157"/>
      <c r="D649" s="227"/>
      <c r="E649" s="157"/>
      <c r="F649" s="227"/>
      <c r="G649" s="157"/>
      <c r="H649" s="227"/>
      <c r="I649" s="157"/>
      <c r="J649" s="157"/>
      <c r="K649" s="33"/>
    </row>
    <row r="650" ht="15.75" customHeight="1">
      <c r="A650" s="226"/>
      <c r="B650" s="227"/>
      <c r="C650" s="157"/>
      <c r="D650" s="227"/>
      <c r="E650" s="157"/>
      <c r="F650" s="227"/>
      <c r="G650" s="157"/>
      <c r="H650" s="227"/>
      <c r="I650" s="157"/>
      <c r="J650" s="157"/>
      <c r="K650" s="33"/>
    </row>
    <row r="651" ht="15.75" customHeight="1">
      <c r="A651" s="226"/>
      <c r="B651" s="227"/>
      <c r="C651" s="157"/>
      <c r="D651" s="227"/>
      <c r="E651" s="157"/>
      <c r="F651" s="227"/>
      <c r="G651" s="157"/>
      <c r="H651" s="227"/>
      <c r="I651" s="157"/>
      <c r="J651" s="157"/>
      <c r="K651" s="33"/>
    </row>
    <row r="652" ht="15.75" customHeight="1">
      <c r="A652" s="226"/>
      <c r="B652" s="227"/>
      <c r="C652" s="157"/>
      <c r="D652" s="227"/>
      <c r="E652" s="157"/>
      <c r="F652" s="227"/>
      <c r="G652" s="157"/>
      <c r="H652" s="227"/>
      <c r="I652" s="157"/>
      <c r="J652" s="157"/>
      <c r="K652" s="33"/>
    </row>
    <row r="653" ht="15.75" customHeight="1">
      <c r="A653" s="226"/>
      <c r="B653" s="227"/>
      <c r="C653" s="157"/>
      <c r="D653" s="227"/>
      <c r="E653" s="157"/>
      <c r="F653" s="227"/>
      <c r="G653" s="157"/>
      <c r="H653" s="227"/>
      <c r="I653" s="157"/>
      <c r="J653" s="157"/>
      <c r="K653" s="33"/>
    </row>
    <row r="654" ht="15.75" customHeight="1">
      <c r="A654" s="226"/>
      <c r="B654" s="227"/>
      <c r="C654" s="157"/>
      <c r="D654" s="227"/>
      <c r="E654" s="157"/>
      <c r="F654" s="227"/>
      <c r="G654" s="157"/>
      <c r="H654" s="227"/>
      <c r="I654" s="157"/>
      <c r="J654" s="157"/>
      <c r="K654" s="33"/>
    </row>
    <row r="655" ht="15.75" customHeight="1">
      <c r="A655" s="226"/>
      <c r="B655" s="227"/>
      <c r="C655" s="157"/>
      <c r="D655" s="227"/>
      <c r="E655" s="157"/>
      <c r="F655" s="227"/>
      <c r="G655" s="157"/>
      <c r="H655" s="227"/>
      <c r="I655" s="157"/>
      <c r="J655" s="157"/>
      <c r="K655" s="33"/>
    </row>
    <row r="656" ht="15.75" customHeight="1">
      <c r="A656" s="226"/>
      <c r="B656" s="227"/>
      <c r="C656" s="157"/>
      <c r="D656" s="227"/>
      <c r="E656" s="157"/>
      <c r="F656" s="227"/>
      <c r="G656" s="157"/>
      <c r="H656" s="227"/>
      <c r="I656" s="157"/>
      <c r="J656" s="157"/>
      <c r="K656" s="33"/>
    </row>
    <row r="657" ht="15.75" customHeight="1">
      <c r="A657" s="226"/>
      <c r="B657" s="227"/>
      <c r="C657" s="157"/>
      <c r="D657" s="227"/>
      <c r="E657" s="157"/>
      <c r="F657" s="227"/>
      <c r="G657" s="157"/>
      <c r="H657" s="227"/>
      <c r="I657" s="157"/>
      <c r="J657" s="157"/>
      <c r="K657" s="33"/>
    </row>
    <row r="658" ht="15.75" customHeight="1">
      <c r="A658" s="226"/>
      <c r="B658" s="227"/>
      <c r="C658" s="157"/>
      <c r="D658" s="227"/>
      <c r="E658" s="157"/>
      <c r="F658" s="227"/>
      <c r="G658" s="157"/>
      <c r="H658" s="227"/>
      <c r="I658" s="157"/>
      <c r="J658" s="157"/>
      <c r="K658" s="33"/>
    </row>
    <row r="659" ht="15.75" customHeight="1">
      <c r="A659" s="226"/>
      <c r="B659" s="227"/>
      <c r="C659" s="157"/>
      <c r="D659" s="227"/>
      <c r="E659" s="157"/>
      <c r="F659" s="227"/>
      <c r="G659" s="157"/>
      <c r="H659" s="227"/>
      <c r="I659" s="157"/>
      <c r="J659" s="157"/>
      <c r="K659" s="33"/>
    </row>
    <row r="660" ht="15.75" customHeight="1">
      <c r="A660" s="226"/>
      <c r="B660" s="227"/>
      <c r="C660" s="157"/>
      <c r="D660" s="227"/>
      <c r="E660" s="157"/>
      <c r="F660" s="227"/>
      <c r="G660" s="157"/>
      <c r="H660" s="227"/>
      <c r="I660" s="157"/>
      <c r="J660" s="157"/>
      <c r="K660" s="33"/>
    </row>
    <row r="661" ht="15.75" customHeight="1">
      <c r="A661" s="226"/>
      <c r="B661" s="227"/>
      <c r="C661" s="157"/>
      <c r="D661" s="227"/>
      <c r="E661" s="157"/>
      <c r="F661" s="227"/>
      <c r="G661" s="157"/>
      <c r="H661" s="227"/>
      <c r="I661" s="157"/>
      <c r="J661" s="157"/>
      <c r="K661" s="33"/>
    </row>
    <row r="662" ht="15.75" customHeight="1">
      <c r="A662" s="226"/>
      <c r="B662" s="227"/>
      <c r="C662" s="157"/>
      <c r="D662" s="227"/>
      <c r="E662" s="157"/>
      <c r="F662" s="227"/>
      <c r="G662" s="157"/>
      <c r="H662" s="227"/>
      <c r="I662" s="157"/>
      <c r="J662" s="157"/>
      <c r="K662" s="33"/>
    </row>
    <row r="663" ht="15.75" customHeight="1">
      <c r="A663" s="226"/>
      <c r="B663" s="227"/>
      <c r="C663" s="157"/>
      <c r="D663" s="227"/>
      <c r="E663" s="157"/>
      <c r="F663" s="227"/>
      <c r="G663" s="157"/>
      <c r="H663" s="227"/>
      <c r="I663" s="157"/>
      <c r="J663" s="157"/>
      <c r="K663" s="33"/>
    </row>
    <row r="664" ht="15.75" customHeight="1">
      <c r="A664" s="226"/>
      <c r="B664" s="227"/>
      <c r="C664" s="157"/>
      <c r="D664" s="227"/>
      <c r="E664" s="157"/>
      <c r="F664" s="227"/>
      <c r="G664" s="157"/>
      <c r="H664" s="227"/>
      <c r="I664" s="157"/>
      <c r="J664" s="157"/>
      <c r="K664" s="33"/>
    </row>
    <row r="665" ht="15.75" customHeight="1">
      <c r="A665" s="226"/>
      <c r="B665" s="227"/>
      <c r="C665" s="157"/>
      <c r="D665" s="227"/>
      <c r="E665" s="157"/>
      <c r="F665" s="227"/>
      <c r="G665" s="157"/>
      <c r="H665" s="227"/>
      <c r="I665" s="157"/>
      <c r="J665" s="157"/>
      <c r="K665" s="33"/>
    </row>
    <row r="666" ht="15.75" customHeight="1">
      <c r="A666" s="226"/>
      <c r="B666" s="227"/>
      <c r="C666" s="157"/>
      <c r="D666" s="227"/>
      <c r="E666" s="157"/>
      <c r="F666" s="227"/>
      <c r="G666" s="157"/>
      <c r="H666" s="227"/>
      <c r="I666" s="157"/>
      <c r="J666" s="157"/>
      <c r="K666" s="33"/>
    </row>
    <row r="667" ht="15.75" customHeight="1">
      <c r="A667" s="226"/>
      <c r="B667" s="227"/>
      <c r="C667" s="157"/>
      <c r="D667" s="227"/>
      <c r="E667" s="157"/>
      <c r="F667" s="227"/>
      <c r="G667" s="157"/>
      <c r="H667" s="227"/>
      <c r="I667" s="157"/>
      <c r="J667" s="157"/>
      <c r="K667" s="33"/>
    </row>
    <row r="668" ht="15.75" customHeight="1">
      <c r="A668" s="226"/>
      <c r="B668" s="227"/>
      <c r="C668" s="157"/>
      <c r="D668" s="227"/>
      <c r="E668" s="157"/>
      <c r="F668" s="227"/>
      <c r="G668" s="157"/>
      <c r="H668" s="227"/>
      <c r="I668" s="157"/>
      <c r="J668" s="157"/>
      <c r="K668" s="33"/>
    </row>
    <row r="669" ht="15.75" customHeight="1">
      <c r="A669" s="226"/>
      <c r="B669" s="227"/>
      <c r="C669" s="157"/>
      <c r="D669" s="227"/>
      <c r="E669" s="157"/>
      <c r="F669" s="227"/>
      <c r="G669" s="157"/>
      <c r="H669" s="227"/>
      <c r="I669" s="157"/>
      <c r="J669" s="157"/>
      <c r="K669" s="33"/>
    </row>
    <row r="670" ht="15.75" customHeight="1">
      <c r="A670" s="226"/>
      <c r="B670" s="227"/>
      <c r="C670" s="157"/>
      <c r="D670" s="227"/>
      <c r="E670" s="157"/>
      <c r="F670" s="227"/>
      <c r="G670" s="157"/>
      <c r="H670" s="227"/>
      <c r="I670" s="157"/>
      <c r="J670" s="157"/>
      <c r="K670" s="33"/>
    </row>
    <row r="671" ht="15.75" customHeight="1">
      <c r="A671" s="226"/>
      <c r="B671" s="227"/>
      <c r="C671" s="157"/>
      <c r="D671" s="227"/>
      <c r="E671" s="157"/>
      <c r="F671" s="227"/>
      <c r="G671" s="157"/>
      <c r="H671" s="227"/>
      <c r="I671" s="157"/>
      <c r="J671" s="157"/>
      <c r="K671" s="33"/>
    </row>
    <row r="672" ht="15.75" customHeight="1">
      <c r="A672" s="226"/>
      <c r="B672" s="227"/>
      <c r="C672" s="157"/>
      <c r="D672" s="227"/>
      <c r="E672" s="157"/>
      <c r="F672" s="227"/>
      <c r="G672" s="157"/>
      <c r="H672" s="227"/>
      <c r="I672" s="157"/>
      <c r="J672" s="157"/>
      <c r="K672" s="33"/>
    </row>
    <row r="673" ht="15.75" customHeight="1">
      <c r="A673" s="226"/>
      <c r="B673" s="227"/>
      <c r="C673" s="157"/>
      <c r="D673" s="227"/>
      <c r="E673" s="157"/>
      <c r="F673" s="227"/>
      <c r="G673" s="157"/>
      <c r="H673" s="227"/>
      <c r="I673" s="157"/>
      <c r="J673" s="157"/>
      <c r="K673" s="33"/>
    </row>
    <row r="674" ht="15.75" customHeight="1">
      <c r="A674" s="226"/>
      <c r="B674" s="227"/>
      <c r="C674" s="157"/>
      <c r="D674" s="227"/>
      <c r="E674" s="157"/>
      <c r="F674" s="227"/>
      <c r="G674" s="157"/>
      <c r="H674" s="227"/>
      <c r="I674" s="157"/>
      <c r="J674" s="157"/>
      <c r="K674" s="33"/>
    </row>
    <row r="675" ht="15.75" customHeight="1">
      <c r="A675" s="226"/>
      <c r="B675" s="227"/>
      <c r="C675" s="157"/>
      <c r="D675" s="227"/>
      <c r="E675" s="157"/>
      <c r="F675" s="227"/>
      <c r="G675" s="157"/>
      <c r="H675" s="227"/>
      <c r="I675" s="157"/>
      <c r="J675" s="157"/>
      <c r="K675" s="33"/>
    </row>
    <row r="676" ht="15.75" customHeight="1">
      <c r="A676" s="226"/>
      <c r="B676" s="227"/>
      <c r="C676" s="157"/>
      <c r="D676" s="227"/>
      <c r="E676" s="157"/>
      <c r="F676" s="227"/>
      <c r="G676" s="157"/>
      <c r="H676" s="227"/>
      <c r="I676" s="157"/>
      <c r="J676" s="157"/>
      <c r="K676" s="33"/>
    </row>
    <row r="677" ht="15.75" customHeight="1">
      <c r="A677" s="226"/>
      <c r="B677" s="227"/>
      <c r="C677" s="157"/>
      <c r="D677" s="227"/>
      <c r="E677" s="157"/>
      <c r="F677" s="227"/>
      <c r="G677" s="157"/>
      <c r="H677" s="227"/>
      <c r="I677" s="157"/>
      <c r="J677" s="157"/>
      <c r="K677" s="33"/>
    </row>
    <row r="678" ht="15.75" customHeight="1">
      <c r="A678" s="226"/>
      <c r="B678" s="227"/>
      <c r="C678" s="157"/>
      <c r="D678" s="227"/>
      <c r="E678" s="157"/>
      <c r="F678" s="227"/>
      <c r="G678" s="157"/>
      <c r="H678" s="227"/>
      <c r="I678" s="157"/>
      <c r="J678" s="157"/>
      <c r="K678" s="33"/>
    </row>
    <row r="679" ht="15.75" customHeight="1">
      <c r="A679" s="226"/>
      <c r="B679" s="227"/>
      <c r="C679" s="157"/>
      <c r="D679" s="227"/>
      <c r="E679" s="157"/>
      <c r="F679" s="227"/>
      <c r="G679" s="157"/>
      <c r="H679" s="227"/>
      <c r="I679" s="157"/>
      <c r="J679" s="157"/>
      <c r="K679" s="33"/>
    </row>
    <row r="680" ht="15.75" customHeight="1">
      <c r="A680" s="226"/>
      <c r="B680" s="227"/>
      <c r="C680" s="157"/>
      <c r="D680" s="227"/>
      <c r="E680" s="157"/>
      <c r="F680" s="227"/>
      <c r="G680" s="157"/>
      <c r="H680" s="227"/>
      <c r="I680" s="157"/>
      <c r="J680" s="157"/>
      <c r="K680" s="33"/>
    </row>
    <row r="681" ht="15.75" customHeight="1">
      <c r="A681" s="226"/>
      <c r="B681" s="227"/>
      <c r="C681" s="157"/>
      <c r="D681" s="227"/>
      <c r="E681" s="157"/>
      <c r="F681" s="227"/>
      <c r="G681" s="157"/>
      <c r="H681" s="227"/>
      <c r="I681" s="157"/>
      <c r="J681" s="157"/>
      <c r="K681" s="33"/>
    </row>
    <row r="682" ht="15.75" customHeight="1">
      <c r="A682" s="226"/>
      <c r="B682" s="227"/>
      <c r="C682" s="157"/>
      <c r="D682" s="227"/>
      <c r="E682" s="157"/>
      <c r="F682" s="227"/>
      <c r="G682" s="157"/>
      <c r="H682" s="227"/>
      <c r="I682" s="157"/>
      <c r="J682" s="157"/>
      <c r="K682" s="33"/>
    </row>
    <row r="683" ht="15.75" customHeight="1">
      <c r="A683" s="226"/>
      <c r="B683" s="227"/>
      <c r="C683" s="157"/>
      <c r="D683" s="227"/>
      <c r="E683" s="157"/>
      <c r="F683" s="227"/>
      <c r="G683" s="157"/>
      <c r="H683" s="227"/>
      <c r="I683" s="157"/>
      <c r="J683" s="157"/>
      <c r="K683" s="33"/>
    </row>
    <row r="684" ht="15.75" customHeight="1">
      <c r="A684" s="226"/>
      <c r="B684" s="227"/>
      <c r="C684" s="157"/>
      <c r="D684" s="227"/>
      <c r="E684" s="157"/>
      <c r="F684" s="227"/>
      <c r="G684" s="157"/>
      <c r="H684" s="227"/>
      <c r="I684" s="157"/>
      <c r="J684" s="157"/>
      <c r="K684" s="33"/>
    </row>
    <row r="685" ht="15.75" customHeight="1">
      <c r="A685" s="226"/>
      <c r="B685" s="227"/>
      <c r="C685" s="157"/>
      <c r="D685" s="227"/>
      <c r="E685" s="157"/>
      <c r="F685" s="227"/>
      <c r="G685" s="157"/>
      <c r="H685" s="227"/>
      <c r="I685" s="157"/>
      <c r="J685" s="157"/>
      <c r="K685" s="33"/>
    </row>
    <row r="686" ht="15.75" customHeight="1">
      <c r="A686" s="226"/>
      <c r="B686" s="227"/>
      <c r="C686" s="157"/>
      <c r="D686" s="227"/>
      <c r="E686" s="157"/>
      <c r="F686" s="227"/>
      <c r="G686" s="157"/>
      <c r="H686" s="227"/>
      <c r="I686" s="157"/>
      <c r="J686" s="157"/>
      <c r="K686" s="33"/>
    </row>
    <row r="687" ht="15.75" customHeight="1">
      <c r="A687" s="226"/>
      <c r="B687" s="227"/>
      <c r="C687" s="157"/>
      <c r="D687" s="227"/>
      <c r="E687" s="157"/>
      <c r="F687" s="227"/>
      <c r="G687" s="157"/>
      <c r="H687" s="227"/>
      <c r="I687" s="157"/>
      <c r="J687" s="157"/>
      <c r="K687" s="33"/>
    </row>
    <row r="688" ht="15.75" customHeight="1">
      <c r="A688" s="226"/>
      <c r="B688" s="227"/>
      <c r="C688" s="157"/>
      <c r="D688" s="227"/>
      <c r="E688" s="157"/>
      <c r="F688" s="227"/>
      <c r="G688" s="157"/>
      <c r="H688" s="227"/>
      <c r="I688" s="157"/>
      <c r="J688" s="157"/>
      <c r="K688" s="33"/>
    </row>
    <row r="689" ht="15.75" customHeight="1">
      <c r="A689" s="226"/>
      <c r="B689" s="227"/>
      <c r="C689" s="157"/>
      <c r="D689" s="227"/>
      <c r="E689" s="157"/>
      <c r="F689" s="227"/>
      <c r="G689" s="157"/>
      <c r="H689" s="227"/>
      <c r="I689" s="157"/>
      <c r="J689" s="157"/>
      <c r="K689" s="33"/>
    </row>
    <row r="690" ht="15.75" customHeight="1">
      <c r="A690" s="226"/>
      <c r="B690" s="227"/>
      <c r="C690" s="157"/>
      <c r="D690" s="227"/>
      <c r="E690" s="157"/>
      <c r="F690" s="227"/>
      <c r="G690" s="157"/>
      <c r="H690" s="227"/>
      <c r="I690" s="157"/>
      <c r="J690" s="157"/>
      <c r="K690" s="33"/>
    </row>
    <row r="691" ht="15.75" customHeight="1">
      <c r="A691" s="226"/>
      <c r="B691" s="227"/>
      <c r="C691" s="157"/>
      <c r="D691" s="227"/>
      <c r="E691" s="157"/>
      <c r="F691" s="227"/>
      <c r="G691" s="157"/>
      <c r="H691" s="227"/>
      <c r="I691" s="157"/>
      <c r="J691" s="157"/>
      <c r="K691" s="33"/>
    </row>
    <row r="692" ht="15.75" customHeight="1">
      <c r="A692" s="226"/>
      <c r="B692" s="227"/>
      <c r="C692" s="157"/>
      <c r="D692" s="227"/>
      <c r="E692" s="157"/>
      <c r="F692" s="227"/>
      <c r="G692" s="157"/>
      <c r="H692" s="227"/>
      <c r="I692" s="157"/>
      <c r="J692" s="157"/>
      <c r="K692" s="33"/>
    </row>
    <row r="693" ht="15.75" customHeight="1">
      <c r="A693" s="226"/>
      <c r="B693" s="227"/>
      <c r="C693" s="157"/>
      <c r="D693" s="227"/>
      <c r="E693" s="157"/>
      <c r="F693" s="227"/>
      <c r="G693" s="157"/>
      <c r="H693" s="227"/>
      <c r="I693" s="157"/>
      <c r="J693" s="157"/>
      <c r="K693" s="33"/>
    </row>
    <row r="694" ht="15.75" customHeight="1">
      <c r="A694" s="226"/>
      <c r="B694" s="227"/>
      <c r="C694" s="157"/>
      <c r="D694" s="227"/>
      <c r="E694" s="157"/>
      <c r="F694" s="227"/>
      <c r="G694" s="157"/>
      <c r="H694" s="227"/>
      <c r="I694" s="157"/>
      <c r="J694" s="157"/>
      <c r="K694" s="33"/>
    </row>
    <row r="695" ht="15.75" customHeight="1">
      <c r="A695" s="226"/>
      <c r="B695" s="227"/>
      <c r="C695" s="157"/>
      <c r="D695" s="227"/>
      <c r="E695" s="157"/>
      <c r="F695" s="227"/>
      <c r="G695" s="157"/>
      <c r="H695" s="227"/>
      <c r="I695" s="157"/>
      <c r="J695" s="157"/>
      <c r="K695" s="33"/>
    </row>
    <row r="696" ht="15.75" customHeight="1">
      <c r="A696" s="226"/>
      <c r="B696" s="227"/>
      <c r="C696" s="157"/>
      <c r="D696" s="227"/>
      <c r="E696" s="157"/>
      <c r="F696" s="227"/>
      <c r="G696" s="157"/>
      <c r="H696" s="227"/>
      <c r="I696" s="157"/>
      <c r="J696" s="157"/>
      <c r="K696" s="33"/>
    </row>
    <row r="697" ht="15.75" customHeight="1">
      <c r="A697" s="226"/>
      <c r="B697" s="227"/>
      <c r="C697" s="157"/>
      <c r="D697" s="227"/>
      <c r="E697" s="157"/>
      <c r="F697" s="227"/>
      <c r="G697" s="157"/>
      <c r="H697" s="227"/>
      <c r="I697" s="157"/>
      <c r="J697" s="157"/>
      <c r="K697" s="33"/>
    </row>
    <row r="698" ht="15.75" customHeight="1">
      <c r="A698" s="226"/>
      <c r="B698" s="227"/>
      <c r="C698" s="157"/>
      <c r="D698" s="227"/>
      <c r="E698" s="157"/>
      <c r="F698" s="227"/>
      <c r="G698" s="157"/>
      <c r="H698" s="227"/>
      <c r="I698" s="157"/>
      <c r="J698" s="157"/>
      <c r="K698" s="33"/>
    </row>
    <row r="699" ht="15.75" customHeight="1">
      <c r="A699" s="226"/>
      <c r="B699" s="227"/>
      <c r="C699" s="157"/>
      <c r="D699" s="227"/>
      <c r="E699" s="157"/>
      <c r="F699" s="227"/>
      <c r="G699" s="157"/>
      <c r="H699" s="227"/>
      <c r="I699" s="157"/>
      <c r="J699" s="157"/>
      <c r="K699" s="33"/>
    </row>
    <row r="700" ht="15.75" customHeight="1">
      <c r="A700" s="226"/>
      <c r="B700" s="227"/>
      <c r="C700" s="157"/>
      <c r="D700" s="227"/>
      <c r="E700" s="157"/>
      <c r="F700" s="227"/>
      <c r="G700" s="157"/>
      <c r="H700" s="227"/>
      <c r="I700" s="157"/>
      <c r="J700" s="157"/>
      <c r="K700" s="33"/>
    </row>
    <row r="701" ht="15.75" customHeight="1">
      <c r="A701" s="226"/>
      <c r="B701" s="227"/>
      <c r="C701" s="157"/>
      <c r="D701" s="227"/>
      <c r="E701" s="157"/>
      <c r="F701" s="227"/>
      <c r="G701" s="157"/>
      <c r="H701" s="227"/>
      <c r="I701" s="157"/>
      <c r="J701" s="157"/>
      <c r="K701" s="33"/>
    </row>
    <row r="702" ht="15.75" customHeight="1">
      <c r="A702" s="226"/>
      <c r="B702" s="227"/>
      <c r="C702" s="157"/>
      <c r="D702" s="227"/>
      <c r="E702" s="157"/>
      <c r="F702" s="227"/>
      <c r="G702" s="157"/>
      <c r="H702" s="227"/>
      <c r="I702" s="157"/>
      <c r="J702" s="157"/>
      <c r="K702" s="33"/>
    </row>
    <row r="703" ht="15.75" customHeight="1">
      <c r="A703" s="226"/>
      <c r="B703" s="227"/>
      <c r="C703" s="157"/>
      <c r="D703" s="227"/>
      <c r="E703" s="157"/>
      <c r="F703" s="227"/>
      <c r="G703" s="157"/>
      <c r="H703" s="227"/>
      <c r="I703" s="157"/>
      <c r="J703" s="157"/>
      <c r="K703" s="33"/>
    </row>
    <row r="704" ht="15.75" customHeight="1">
      <c r="A704" s="226"/>
      <c r="B704" s="227"/>
      <c r="C704" s="157"/>
      <c r="D704" s="227"/>
      <c r="E704" s="157"/>
      <c r="F704" s="227"/>
      <c r="G704" s="157"/>
      <c r="H704" s="227"/>
      <c r="I704" s="157"/>
      <c r="J704" s="157"/>
      <c r="K704" s="33"/>
    </row>
    <row r="705" ht="15.75" customHeight="1">
      <c r="A705" s="226"/>
      <c r="B705" s="227"/>
      <c r="C705" s="157"/>
      <c r="D705" s="227"/>
      <c r="E705" s="157"/>
      <c r="F705" s="227"/>
      <c r="G705" s="157"/>
      <c r="H705" s="227"/>
      <c r="I705" s="157"/>
      <c r="J705" s="157"/>
      <c r="K705" s="33"/>
    </row>
    <row r="706" ht="15.75" customHeight="1">
      <c r="A706" s="226"/>
      <c r="B706" s="227"/>
      <c r="C706" s="157"/>
      <c r="D706" s="227"/>
      <c r="E706" s="157"/>
      <c r="F706" s="227"/>
      <c r="G706" s="157"/>
      <c r="H706" s="227"/>
      <c r="I706" s="157"/>
      <c r="J706" s="157"/>
      <c r="K706" s="33"/>
    </row>
    <row r="707" ht="15.75" customHeight="1">
      <c r="A707" s="226"/>
      <c r="B707" s="227"/>
      <c r="C707" s="157"/>
      <c r="D707" s="227"/>
      <c r="E707" s="157"/>
      <c r="F707" s="227"/>
      <c r="G707" s="157"/>
      <c r="H707" s="227"/>
      <c r="I707" s="157"/>
      <c r="J707" s="157"/>
      <c r="K707" s="33"/>
    </row>
    <row r="708" ht="15.75" customHeight="1">
      <c r="A708" s="226"/>
      <c r="B708" s="227"/>
      <c r="C708" s="157"/>
      <c r="D708" s="227"/>
      <c r="E708" s="157"/>
      <c r="F708" s="227"/>
      <c r="G708" s="157"/>
      <c r="H708" s="227"/>
      <c r="I708" s="157"/>
      <c r="J708" s="157"/>
      <c r="K708" s="33"/>
    </row>
    <row r="709" ht="15.75" customHeight="1">
      <c r="A709" s="226"/>
      <c r="B709" s="227"/>
      <c r="C709" s="157"/>
      <c r="D709" s="227"/>
      <c r="E709" s="157"/>
      <c r="F709" s="227"/>
      <c r="G709" s="157"/>
      <c r="H709" s="227"/>
      <c r="I709" s="157"/>
      <c r="J709" s="157"/>
      <c r="K709" s="33"/>
    </row>
    <row r="710" ht="15.75" customHeight="1">
      <c r="A710" s="226"/>
      <c r="B710" s="227"/>
      <c r="C710" s="157"/>
      <c r="D710" s="227"/>
      <c r="E710" s="157"/>
      <c r="F710" s="227"/>
      <c r="G710" s="157"/>
      <c r="H710" s="227"/>
      <c r="I710" s="157"/>
      <c r="J710" s="157"/>
      <c r="K710" s="33"/>
    </row>
    <row r="711" ht="15.75" customHeight="1">
      <c r="A711" s="226"/>
      <c r="B711" s="227"/>
      <c r="C711" s="157"/>
      <c r="D711" s="227"/>
      <c r="E711" s="157"/>
      <c r="F711" s="227"/>
      <c r="G711" s="157"/>
      <c r="H711" s="227"/>
      <c r="I711" s="157"/>
      <c r="J711" s="157"/>
      <c r="K711" s="33"/>
    </row>
    <row r="712" ht="15.75" customHeight="1">
      <c r="A712" s="226"/>
      <c r="B712" s="227"/>
      <c r="C712" s="157"/>
      <c r="D712" s="227"/>
      <c r="E712" s="157"/>
      <c r="F712" s="227"/>
      <c r="G712" s="157"/>
      <c r="H712" s="227"/>
      <c r="I712" s="157"/>
      <c r="J712" s="157"/>
      <c r="K712" s="33"/>
    </row>
    <row r="713" ht="15.75" customHeight="1">
      <c r="A713" s="226"/>
      <c r="B713" s="227"/>
      <c r="C713" s="157"/>
      <c r="D713" s="227"/>
      <c r="E713" s="157"/>
      <c r="F713" s="227"/>
      <c r="G713" s="157"/>
      <c r="H713" s="227"/>
      <c r="I713" s="157"/>
      <c r="J713" s="157"/>
      <c r="K713" s="33"/>
    </row>
    <row r="714" ht="15.75" customHeight="1">
      <c r="A714" s="226"/>
      <c r="B714" s="227"/>
      <c r="C714" s="157"/>
      <c r="D714" s="227"/>
      <c r="E714" s="157"/>
      <c r="F714" s="227"/>
      <c r="G714" s="157"/>
      <c r="H714" s="227"/>
      <c r="I714" s="157"/>
      <c r="J714" s="157"/>
      <c r="K714" s="33"/>
    </row>
    <row r="715" ht="15.75" customHeight="1">
      <c r="A715" s="226"/>
      <c r="B715" s="227"/>
      <c r="C715" s="157"/>
      <c r="D715" s="227"/>
      <c r="E715" s="157"/>
      <c r="F715" s="227"/>
      <c r="G715" s="157"/>
      <c r="H715" s="227"/>
      <c r="I715" s="157"/>
      <c r="J715" s="157"/>
      <c r="K715" s="33"/>
    </row>
    <row r="716" ht="15.75" customHeight="1">
      <c r="A716" s="226"/>
      <c r="B716" s="227"/>
      <c r="C716" s="157"/>
      <c r="D716" s="227"/>
      <c r="E716" s="157"/>
      <c r="F716" s="227"/>
      <c r="G716" s="157"/>
      <c r="H716" s="227"/>
      <c r="I716" s="157"/>
      <c r="J716" s="157"/>
      <c r="K716" s="33"/>
    </row>
    <row r="717" ht="15.75" customHeight="1">
      <c r="A717" s="226"/>
      <c r="B717" s="227"/>
      <c r="C717" s="157"/>
      <c r="D717" s="227"/>
      <c r="E717" s="157"/>
      <c r="F717" s="227"/>
      <c r="G717" s="157"/>
      <c r="H717" s="227"/>
      <c r="I717" s="157"/>
      <c r="J717" s="157"/>
      <c r="K717" s="33"/>
    </row>
    <row r="718" ht="15.75" customHeight="1">
      <c r="A718" s="226"/>
      <c r="B718" s="227"/>
      <c r="C718" s="157"/>
      <c r="D718" s="227"/>
      <c r="E718" s="157"/>
      <c r="F718" s="227"/>
      <c r="G718" s="157"/>
      <c r="H718" s="227"/>
      <c r="I718" s="157"/>
      <c r="J718" s="157"/>
      <c r="K718" s="33"/>
    </row>
    <row r="719" ht="15.75" customHeight="1">
      <c r="A719" s="226"/>
      <c r="B719" s="227"/>
      <c r="C719" s="157"/>
      <c r="D719" s="227"/>
      <c r="E719" s="157"/>
      <c r="F719" s="227"/>
      <c r="G719" s="157"/>
      <c r="H719" s="227"/>
      <c r="I719" s="157"/>
      <c r="J719" s="157"/>
      <c r="K719" s="33"/>
    </row>
    <row r="720" ht="15.75" customHeight="1">
      <c r="A720" s="226"/>
      <c r="B720" s="227"/>
      <c r="C720" s="157"/>
      <c r="D720" s="227"/>
      <c r="E720" s="157"/>
      <c r="F720" s="227"/>
      <c r="G720" s="157"/>
      <c r="H720" s="227"/>
      <c r="I720" s="157"/>
      <c r="J720" s="157"/>
      <c r="K720" s="33"/>
    </row>
    <row r="721" ht="15.75" customHeight="1">
      <c r="A721" s="226"/>
      <c r="B721" s="227"/>
      <c r="C721" s="157"/>
      <c r="D721" s="227"/>
      <c r="E721" s="157"/>
      <c r="F721" s="227"/>
      <c r="G721" s="157"/>
      <c r="H721" s="227"/>
      <c r="I721" s="157"/>
      <c r="J721" s="157"/>
      <c r="K721" s="33"/>
    </row>
    <row r="722" ht="15.75" customHeight="1">
      <c r="A722" s="226"/>
      <c r="B722" s="227"/>
      <c r="C722" s="157"/>
      <c r="D722" s="227"/>
      <c r="E722" s="157"/>
      <c r="F722" s="227"/>
      <c r="G722" s="157"/>
      <c r="H722" s="227"/>
      <c r="I722" s="157"/>
      <c r="J722" s="157"/>
      <c r="K722" s="33"/>
    </row>
    <row r="723" ht="15.75" customHeight="1">
      <c r="A723" s="226"/>
      <c r="B723" s="227"/>
      <c r="C723" s="157"/>
      <c r="D723" s="227"/>
      <c r="E723" s="157"/>
      <c r="F723" s="227"/>
      <c r="G723" s="157"/>
      <c r="H723" s="227"/>
      <c r="I723" s="157"/>
      <c r="J723" s="157"/>
      <c r="K723" s="33"/>
    </row>
    <row r="724" ht="15.75" customHeight="1">
      <c r="A724" s="226"/>
      <c r="B724" s="227"/>
      <c r="C724" s="157"/>
      <c r="D724" s="227"/>
      <c r="E724" s="157"/>
      <c r="F724" s="227"/>
      <c r="G724" s="157"/>
      <c r="H724" s="227"/>
      <c r="I724" s="157"/>
      <c r="J724" s="157"/>
      <c r="K724" s="33"/>
    </row>
    <row r="725" ht="15.75" customHeight="1">
      <c r="A725" s="226"/>
      <c r="B725" s="227"/>
      <c r="C725" s="157"/>
      <c r="D725" s="227"/>
      <c r="E725" s="157"/>
      <c r="F725" s="227"/>
      <c r="G725" s="157"/>
      <c r="H725" s="227"/>
      <c r="I725" s="157"/>
      <c r="J725" s="157"/>
      <c r="K725" s="33"/>
    </row>
    <row r="726" ht="15.75" customHeight="1">
      <c r="A726" s="226"/>
      <c r="B726" s="227"/>
      <c r="C726" s="157"/>
      <c r="D726" s="227"/>
      <c r="E726" s="157"/>
      <c r="F726" s="227"/>
      <c r="G726" s="157"/>
      <c r="H726" s="227"/>
      <c r="I726" s="157"/>
      <c r="J726" s="157"/>
      <c r="K726" s="33"/>
    </row>
    <row r="727" ht="15.75" customHeight="1">
      <c r="A727" s="226"/>
      <c r="B727" s="227"/>
      <c r="C727" s="157"/>
      <c r="D727" s="227"/>
      <c r="E727" s="157"/>
      <c r="F727" s="227"/>
      <c r="G727" s="157"/>
      <c r="H727" s="227"/>
      <c r="I727" s="157"/>
      <c r="J727" s="157"/>
      <c r="K727" s="33"/>
    </row>
    <row r="728" ht="15.75" customHeight="1">
      <c r="A728" s="226"/>
      <c r="B728" s="227"/>
      <c r="C728" s="157"/>
      <c r="D728" s="227"/>
      <c r="E728" s="157"/>
      <c r="F728" s="227"/>
      <c r="G728" s="157"/>
      <c r="H728" s="227"/>
      <c r="I728" s="157"/>
      <c r="J728" s="157"/>
      <c r="K728" s="33"/>
    </row>
    <row r="729" ht="15.75" customHeight="1">
      <c r="A729" s="226"/>
      <c r="B729" s="227"/>
      <c r="C729" s="157"/>
      <c r="D729" s="227"/>
      <c r="E729" s="157"/>
      <c r="F729" s="227"/>
      <c r="G729" s="157"/>
      <c r="H729" s="227"/>
      <c r="I729" s="157"/>
      <c r="J729" s="157"/>
      <c r="K729" s="33"/>
    </row>
    <row r="730" ht="15.75" customHeight="1">
      <c r="A730" s="226"/>
      <c r="B730" s="227"/>
      <c r="C730" s="157"/>
      <c r="D730" s="227"/>
      <c r="E730" s="157"/>
      <c r="F730" s="227"/>
      <c r="G730" s="157"/>
      <c r="H730" s="227"/>
      <c r="I730" s="157"/>
      <c r="J730" s="157"/>
      <c r="K730" s="33"/>
    </row>
    <row r="731" ht="15.75" customHeight="1">
      <c r="A731" s="226"/>
      <c r="B731" s="227"/>
      <c r="C731" s="157"/>
      <c r="D731" s="227"/>
      <c r="E731" s="157"/>
      <c r="F731" s="227"/>
      <c r="G731" s="157"/>
      <c r="H731" s="227"/>
      <c r="I731" s="157"/>
      <c r="J731" s="157"/>
      <c r="K731" s="33"/>
    </row>
    <row r="732" ht="15.75" customHeight="1">
      <c r="A732" s="226"/>
      <c r="B732" s="227"/>
      <c r="C732" s="157"/>
      <c r="D732" s="227"/>
      <c r="E732" s="157"/>
      <c r="F732" s="227"/>
      <c r="G732" s="157"/>
      <c r="H732" s="227"/>
      <c r="I732" s="157"/>
      <c r="J732" s="157"/>
      <c r="K732" s="33"/>
    </row>
    <row r="733" ht="15.75" customHeight="1">
      <c r="A733" s="226"/>
      <c r="B733" s="227"/>
      <c r="C733" s="157"/>
      <c r="D733" s="227"/>
      <c r="E733" s="157"/>
      <c r="F733" s="227"/>
      <c r="G733" s="157"/>
      <c r="H733" s="227"/>
      <c r="I733" s="157"/>
      <c r="J733" s="157"/>
      <c r="K733" s="33"/>
    </row>
    <row r="734" ht="15.75" customHeight="1">
      <c r="A734" s="226"/>
      <c r="B734" s="227"/>
      <c r="C734" s="157"/>
      <c r="D734" s="227"/>
      <c r="E734" s="157"/>
      <c r="F734" s="227"/>
      <c r="G734" s="157"/>
      <c r="H734" s="227"/>
      <c r="I734" s="157"/>
      <c r="J734" s="157"/>
      <c r="K734" s="33"/>
    </row>
    <row r="735" ht="15.75" customHeight="1">
      <c r="A735" s="226"/>
      <c r="B735" s="227"/>
      <c r="C735" s="157"/>
      <c r="D735" s="227"/>
      <c r="E735" s="157"/>
      <c r="F735" s="227"/>
      <c r="G735" s="157"/>
      <c r="H735" s="227"/>
      <c r="I735" s="157"/>
      <c r="J735" s="157"/>
      <c r="K735" s="33"/>
    </row>
    <row r="736" ht="15.75" customHeight="1">
      <c r="A736" s="226"/>
      <c r="B736" s="227"/>
      <c r="C736" s="157"/>
      <c r="D736" s="227"/>
      <c r="E736" s="157"/>
      <c r="F736" s="227"/>
      <c r="G736" s="157"/>
      <c r="H736" s="227"/>
      <c r="I736" s="157"/>
      <c r="J736" s="157"/>
      <c r="K736" s="33"/>
    </row>
    <row r="737" ht="15.75" customHeight="1">
      <c r="A737" s="226"/>
      <c r="B737" s="227"/>
      <c r="C737" s="157"/>
      <c r="D737" s="227"/>
      <c r="E737" s="157"/>
      <c r="F737" s="227"/>
      <c r="G737" s="157"/>
      <c r="H737" s="227"/>
      <c r="I737" s="157"/>
      <c r="J737" s="157"/>
      <c r="K737" s="33"/>
    </row>
    <row r="738" ht="15.75" customHeight="1">
      <c r="A738" s="226"/>
      <c r="B738" s="227"/>
      <c r="C738" s="157"/>
      <c r="D738" s="227"/>
      <c r="E738" s="157"/>
      <c r="F738" s="227"/>
      <c r="G738" s="157"/>
      <c r="H738" s="227"/>
      <c r="I738" s="157"/>
      <c r="J738" s="157"/>
      <c r="K738" s="33"/>
    </row>
    <row r="739" ht="15.75" customHeight="1">
      <c r="A739" s="226"/>
      <c r="B739" s="227"/>
      <c r="C739" s="157"/>
      <c r="D739" s="227"/>
      <c r="E739" s="157"/>
      <c r="F739" s="227"/>
      <c r="G739" s="157"/>
      <c r="H739" s="227"/>
      <c r="I739" s="157"/>
      <c r="J739" s="157"/>
      <c r="K739" s="33"/>
    </row>
    <row r="740" ht="15.75" customHeight="1">
      <c r="A740" s="226"/>
      <c r="B740" s="227"/>
      <c r="C740" s="157"/>
      <c r="D740" s="227"/>
      <c r="E740" s="157"/>
      <c r="F740" s="227"/>
      <c r="G740" s="157"/>
      <c r="H740" s="227"/>
      <c r="I740" s="157"/>
      <c r="J740" s="157"/>
      <c r="K740" s="33"/>
    </row>
    <row r="741" ht="15.75" customHeight="1">
      <c r="A741" s="226"/>
      <c r="B741" s="227"/>
      <c r="C741" s="157"/>
      <c r="D741" s="227"/>
      <c r="E741" s="157"/>
      <c r="F741" s="227"/>
      <c r="G741" s="157"/>
      <c r="H741" s="227"/>
      <c r="I741" s="157"/>
      <c r="J741" s="157"/>
      <c r="K741" s="33"/>
    </row>
    <row r="742" ht="15.75" customHeight="1">
      <c r="A742" s="226"/>
      <c r="B742" s="227"/>
      <c r="C742" s="157"/>
      <c r="D742" s="227"/>
      <c r="E742" s="157"/>
      <c r="F742" s="227"/>
      <c r="G742" s="157"/>
      <c r="H742" s="227"/>
      <c r="I742" s="157"/>
      <c r="J742" s="157"/>
      <c r="K742" s="33"/>
    </row>
    <row r="743" ht="15.75" customHeight="1">
      <c r="A743" s="226"/>
      <c r="B743" s="227"/>
      <c r="C743" s="157"/>
      <c r="D743" s="227"/>
      <c r="E743" s="157"/>
      <c r="F743" s="227"/>
      <c r="G743" s="157"/>
      <c r="H743" s="227"/>
      <c r="I743" s="157"/>
      <c r="J743" s="157"/>
      <c r="K743" s="33"/>
    </row>
    <row r="744" ht="15.75" customHeight="1">
      <c r="A744" s="226"/>
      <c r="B744" s="227"/>
      <c r="C744" s="157"/>
      <c r="D744" s="227"/>
      <c r="E744" s="157"/>
      <c r="F744" s="227"/>
      <c r="G744" s="157"/>
      <c r="H744" s="227"/>
      <c r="I744" s="157"/>
      <c r="J744" s="157"/>
      <c r="K744" s="33"/>
    </row>
    <row r="745" ht="15.75" customHeight="1">
      <c r="A745" s="226"/>
      <c r="B745" s="227"/>
      <c r="C745" s="157"/>
      <c r="D745" s="227"/>
      <c r="E745" s="157"/>
      <c r="F745" s="227"/>
      <c r="G745" s="157"/>
      <c r="H745" s="227"/>
      <c r="I745" s="157"/>
      <c r="J745" s="157"/>
      <c r="K745" s="33"/>
    </row>
    <row r="746" ht="15.75" customHeight="1">
      <c r="A746" s="226"/>
      <c r="B746" s="227"/>
      <c r="C746" s="157"/>
      <c r="D746" s="227"/>
      <c r="E746" s="157"/>
      <c r="F746" s="227"/>
      <c r="G746" s="157"/>
      <c r="H746" s="227"/>
      <c r="I746" s="157"/>
      <c r="J746" s="157"/>
      <c r="K746" s="33"/>
    </row>
    <row r="747" ht="15.75" customHeight="1">
      <c r="A747" s="226"/>
      <c r="B747" s="227"/>
      <c r="C747" s="157"/>
      <c r="D747" s="227"/>
      <c r="E747" s="157"/>
      <c r="F747" s="227"/>
      <c r="G747" s="157"/>
      <c r="H747" s="227"/>
      <c r="I747" s="157"/>
      <c r="J747" s="157"/>
      <c r="K747" s="33"/>
    </row>
    <row r="748" ht="15.75" customHeight="1">
      <c r="A748" s="226"/>
      <c r="B748" s="227"/>
      <c r="C748" s="157"/>
      <c r="D748" s="227"/>
      <c r="E748" s="157"/>
      <c r="F748" s="227"/>
      <c r="G748" s="157"/>
      <c r="H748" s="227"/>
      <c r="I748" s="157"/>
      <c r="J748" s="157"/>
      <c r="K748" s="33"/>
    </row>
    <row r="749" ht="15.75" customHeight="1">
      <c r="A749" s="226"/>
      <c r="B749" s="227"/>
      <c r="C749" s="157"/>
      <c r="D749" s="227"/>
      <c r="E749" s="157"/>
      <c r="F749" s="227"/>
      <c r="G749" s="157"/>
      <c r="H749" s="227"/>
      <c r="I749" s="157"/>
      <c r="J749" s="157"/>
      <c r="K749" s="33"/>
    </row>
    <row r="750" ht="15.75" customHeight="1">
      <c r="A750" s="226"/>
      <c r="B750" s="227"/>
      <c r="C750" s="157"/>
      <c r="D750" s="227"/>
      <c r="E750" s="157"/>
      <c r="F750" s="227"/>
      <c r="G750" s="157"/>
      <c r="H750" s="227"/>
      <c r="I750" s="157"/>
      <c r="J750" s="157"/>
      <c r="K750" s="33"/>
    </row>
    <row r="751" ht="15.75" customHeight="1">
      <c r="A751" s="226"/>
      <c r="B751" s="227"/>
      <c r="C751" s="157"/>
      <c r="D751" s="227"/>
      <c r="E751" s="157"/>
      <c r="F751" s="227"/>
      <c r="G751" s="157"/>
      <c r="H751" s="227"/>
      <c r="I751" s="157"/>
      <c r="J751" s="157"/>
      <c r="K751" s="33"/>
    </row>
    <row r="752" ht="15.75" customHeight="1">
      <c r="A752" s="226"/>
      <c r="B752" s="227"/>
      <c r="C752" s="157"/>
      <c r="D752" s="227"/>
      <c r="E752" s="157"/>
      <c r="F752" s="227"/>
      <c r="G752" s="157"/>
      <c r="H752" s="227"/>
      <c r="I752" s="157"/>
      <c r="J752" s="157"/>
      <c r="K752" s="33"/>
    </row>
    <row r="753" ht="15.75" customHeight="1">
      <c r="A753" s="226"/>
      <c r="B753" s="227"/>
      <c r="C753" s="157"/>
      <c r="D753" s="227"/>
      <c r="E753" s="157"/>
      <c r="F753" s="227"/>
      <c r="G753" s="157"/>
      <c r="H753" s="227"/>
      <c r="I753" s="157"/>
      <c r="J753" s="157"/>
      <c r="K753" s="33"/>
    </row>
    <row r="754" ht="15.75" customHeight="1">
      <c r="A754" s="226"/>
      <c r="B754" s="227"/>
      <c r="C754" s="157"/>
      <c r="D754" s="227"/>
      <c r="E754" s="157"/>
      <c r="F754" s="227"/>
      <c r="G754" s="157"/>
      <c r="H754" s="227"/>
      <c r="I754" s="157"/>
      <c r="J754" s="157"/>
      <c r="K754" s="33"/>
    </row>
    <row r="755" ht="15.75" customHeight="1">
      <c r="A755" s="226"/>
      <c r="B755" s="227"/>
      <c r="C755" s="157"/>
      <c r="D755" s="227"/>
      <c r="E755" s="157"/>
      <c r="F755" s="227"/>
      <c r="G755" s="157"/>
      <c r="H755" s="227"/>
      <c r="I755" s="157"/>
      <c r="J755" s="157"/>
      <c r="K755" s="33"/>
    </row>
    <row r="756" ht="15.75" customHeight="1">
      <c r="A756" s="226"/>
      <c r="B756" s="227"/>
      <c r="C756" s="157"/>
      <c r="D756" s="227"/>
      <c r="E756" s="157"/>
      <c r="F756" s="227"/>
      <c r="G756" s="157"/>
      <c r="H756" s="227"/>
      <c r="I756" s="157"/>
      <c r="J756" s="157"/>
      <c r="K756" s="33"/>
    </row>
    <row r="757" ht="15.75" customHeight="1">
      <c r="A757" s="226"/>
      <c r="B757" s="227"/>
      <c r="C757" s="157"/>
      <c r="D757" s="227"/>
      <c r="E757" s="157"/>
      <c r="F757" s="227"/>
      <c r="G757" s="157"/>
      <c r="H757" s="227"/>
      <c r="I757" s="157"/>
      <c r="J757" s="157"/>
      <c r="K757" s="33"/>
    </row>
    <row r="758" ht="15.75" customHeight="1">
      <c r="A758" s="226"/>
      <c r="B758" s="227"/>
      <c r="C758" s="157"/>
      <c r="D758" s="227"/>
      <c r="E758" s="157"/>
      <c r="F758" s="227"/>
      <c r="G758" s="157"/>
      <c r="H758" s="227"/>
      <c r="I758" s="157"/>
      <c r="J758" s="157"/>
      <c r="K758" s="33"/>
    </row>
    <row r="759" ht="15.75" customHeight="1">
      <c r="A759" s="226"/>
      <c r="B759" s="227"/>
      <c r="C759" s="157"/>
      <c r="D759" s="227"/>
      <c r="E759" s="157"/>
      <c r="F759" s="227"/>
      <c r="G759" s="157"/>
      <c r="H759" s="227"/>
      <c r="I759" s="157"/>
      <c r="J759" s="157"/>
      <c r="K759" s="33"/>
    </row>
    <row r="760" ht="15.75" customHeight="1">
      <c r="A760" s="226"/>
      <c r="B760" s="227"/>
      <c r="C760" s="157"/>
      <c r="D760" s="227"/>
      <c r="E760" s="157"/>
      <c r="F760" s="227"/>
      <c r="G760" s="157"/>
      <c r="H760" s="227"/>
      <c r="I760" s="157"/>
      <c r="J760" s="157"/>
      <c r="K760" s="33"/>
    </row>
    <row r="761" ht="15.75" customHeight="1">
      <c r="A761" s="226"/>
      <c r="B761" s="227"/>
      <c r="C761" s="157"/>
      <c r="D761" s="227"/>
      <c r="E761" s="157"/>
      <c r="F761" s="227"/>
      <c r="G761" s="157"/>
      <c r="H761" s="227"/>
      <c r="I761" s="157"/>
      <c r="J761" s="157"/>
      <c r="K761" s="33"/>
    </row>
    <row r="762" ht="15.75" customHeight="1">
      <c r="A762" s="226"/>
      <c r="B762" s="227"/>
      <c r="C762" s="157"/>
      <c r="D762" s="227"/>
      <c r="E762" s="157"/>
      <c r="F762" s="227"/>
      <c r="G762" s="157"/>
      <c r="H762" s="227"/>
      <c r="I762" s="157"/>
      <c r="J762" s="157"/>
      <c r="K762" s="33"/>
    </row>
    <row r="763" ht="15.75" customHeight="1">
      <c r="A763" s="226"/>
      <c r="B763" s="227"/>
      <c r="C763" s="157"/>
      <c r="D763" s="227"/>
      <c r="E763" s="157"/>
      <c r="F763" s="227"/>
      <c r="G763" s="157"/>
      <c r="H763" s="227"/>
      <c r="I763" s="157"/>
      <c r="J763" s="157"/>
      <c r="K763" s="33"/>
    </row>
    <row r="764" ht="15.75" customHeight="1">
      <c r="A764" s="226"/>
      <c r="B764" s="227"/>
      <c r="C764" s="157"/>
      <c r="D764" s="227"/>
      <c r="E764" s="157"/>
      <c r="F764" s="227"/>
      <c r="G764" s="157"/>
      <c r="H764" s="227"/>
      <c r="I764" s="157"/>
      <c r="J764" s="157"/>
      <c r="K764" s="33"/>
    </row>
    <row r="765" ht="15.75" customHeight="1">
      <c r="A765" s="226"/>
      <c r="B765" s="227"/>
      <c r="C765" s="157"/>
      <c r="D765" s="227"/>
      <c r="E765" s="157"/>
      <c r="F765" s="227"/>
      <c r="G765" s="157"/>
      <c r="H765" s="227"/>
      <c r="I765" s="157"/>
      <c r="J765" s="157"/>
      <c r="K765" s="33"/>
    </row>
    <row r="766" ht="15.75" customHeight="1">
      <c r="A766" s="226"/>
      <c r="B766" s="227"/>
      <c r="C766" s="157"/>
      <c r="D766" s="227"/>
      <c r="E766" s="157"/>
      <c r="F766" s="227"/>
      <c r="G766" s="157"/>
      <c r="H766" s="227"/>
      <c r="I766" s="157"/>
      <c r="J766" s="157"/>
      <c r="K766" s="33"/>
    </row>
    <row r="767" ht="15.75" customHeight="1">
      <c r="A767" s="226"/>
      <c r="B767" s="227"/>
      <c r="C767" s="157"/>
      <c r="D767" s="227"/>
      <c r="E767" s="157"/>
      <c r="F767" s="227"/>
      <c r="G767" s="157"/>
      <c r="H767" s="227"/>
      <c r="I767" s="157"/>
      <c r="J767" s="157"/>
      <c r="K767" s="33"/>
    </row>
    <row r="768" ht="15.75" customHeight="1">
      <c r="A768" s="226"/>
      <c r="B768" s="227"/>
      <c r="C768" s="157"/>
      <c r="D768" s="227"/>
      <c r="E768" s="157"/>
      <c r="F768" s="227"/>
      <c r="G768" s="157"/>
      <c r="H768" s="227"/>
      <c r="I768" s="157"/>
      <c r="J768" s="157"/>
      <c r="K768" s="33"/>
    </row>
    <row r="769" ht="15.75" customHeight="1">
      <c r="A769" s="226"/>
      <c r="B769" s="227"/>
      <c r="C769" s="157"/>
      <c r="D769" s="227"/>
      <c r="E769" s="157"/>
      <c r="F769" s="227"/>
      <c r="G769" s="157"/>
      <c r="H769" s="227"/>
      <c r="I769" s="157"/>
      <c r="J769" s="157"/>
      <c r="K769" s="33"/>
    </row>
    <row r="770" ht="15.75" customHeight="1">
      <c r="A770" s="226"/>
      <c r="B770" s="227"/>
      <c r="C770" s="157"/>
      <c r="D770" s="227"/>
      <c r="E770" s="157"/>
      <c r="F770" s="227"/>
      <c r="G770" s="157"/>
      <c r="H770" s="227"/>
      <c r="I770" s="157"/>
      <c r="J770" s="157"/>
      <c r="K770" s="33"/>
    </row>
    <row r="771" ht="15.75" customHeight="1">
      <c r="A771" s="226"/>
      <c r="B771" s="227"/>
      <c r="C771" s="157"/>
      <c r="D771" s="227"/>
      <c r="E771" s="157"/>
      <c r="F771" s="227"/>
      <c r="G771" s="157"/>
      <c r="H771" s="227"/>
      <c r="I771" s="157"/>
      <c r="J771" s="157"/>
      <c r="K771" s="33"/>
    </row>
    <row r="772" ht="15.75" customHeight="1">
      <c r="A772" s="226"/>
      <c r="B772" s="227"/>
      <c r="C772" s="157"/>
      <c r="D772" s="227"/>
      <c r="E772" s="157"/>
      <c r="F772" s="227"/>
      <c r="G772" s="157"/>
      <c r="H772" s="227"/>
      <c r="I772" s="157"/>
      <c r="J772" s="157"/>
      <c r="K772" s="33"/>
    </row>
    <row r="773" ht="15.75" customHeight="1">
      <c r="A773" s="226"/>
      <c r="B773" s="227"/>
      <c r="C773" s="157"/>
      <c r="D773" s="227"/>
      <c r="E773" s="157"/>
      <c r="F773" s="227"/>
      <c r="G773" s="157"/>
      <c r="H773" s="227"/>
      <c r="I773" s="157"/>
      <c r="J773" s="157"/>
      <c r="K773" s="33"/>
    </row>
    <row r="774" ht="15.75" customHeight="1">
      <c r="A774" s="226"/>
      <c r="B774" s="227"/>
      <c r="C774" s="157"/>
      <c r="D774" s="227"/>
      <c r="E774" s="157"/>
      <c r="F774" s="227"/>
      <c r="G774" s="157"/>
      <c r="H774" s="227"/>
      <c r="I774" s="157"/>
      <c r="J774" s="157"/>
      <c r="K774" s="33"/>
    </row>
    <row r="775" ht="15.75" customHeight="1">
      <c r="A775" s="226"/>
      <c r="B775" s="227"/>
      <c r="C775" s="157"/>
      <c r="D775" s="227"/>
      <c r="E775" s="157"/>
      <c r="F775" s="227"/>
      <c r="G775" s="157"/>
      <c r="H775" s="227"/>
      <c r="I775" s="157"/>
      <c r="J775" s="157"/>
      <c r="K775" s="33"/>
    </row>
    <row r="776" ht="15.75" customHeight="1">
      <c r="A776" s="226"/>
      <c r="B776" s="227"/>
      <c r="C776" s="157"/>
      <c r="D776" s="227"/>
      <c r="E776" s="157"/>
      <c r="F776" s="227"/>
      <c r="G776" s="157"/>
      <c r="H776" s="227"/>
      <c r="I776" s="157"/>
      <c r="J776" s="157"/>
      <c r="K776" s="33"/>
    </row>
    <row r="777" ht="15.75" customHeight="1">
      <c r="A777" s="226"/>
      <c r="B777" s="227"/>
      <c r="C777" s="157"/>
      <c r="D777" s="227"/>
      <c r="E777" s="157"/>
      <c r="F777" s="227"/>
      <c r="G777" s="157"/>
      <c r="H777" s="227"/>
      <c r="I777" s="157"/>
      <c r="J777" s="157"/>
      <c r="K777" s="33"/>
    </row>
    <row r="778" ht="15.75" customHeight="1">
      <c r="A778" s="226"/>
      <c r="B778" s="227"/>
      <c r="C778" s="157"/>
      <c r="D778" s="227"/>
      <c r="E778" s="157"/>
      <c r="F778" s="227"/>
      <c r="G778" s="157"/>
      <c r="H778" s="227"/>
      <c r="I778" s="157"/>
      <c r="J778" s="157"/>
      <c r="K778" s="33"/>
    </row>
    <row r="779" ht="15.75" customHeight="1">
      <c r="A779" s="226"/>
      <c r="B779" s="227"/>
      <c r="C779" s="157"/>
      <c r="D779" s="227"/>
      <c r="E779" s="157"/>
      <c r="F779" s="227"/>
      <c r="G779" s="157"/>
      <c r="H779" s="227"/>
      <c r="I779" s="157"/>
      <c r="J779" s="157"/>
      <c r="K779" s="33"/>
    </row>
    <row r="780" ht="15.75" customHeight="1">
      <c r="A780" s="226"/>
      <c r="B780" s="227"/>
      <c r="C780" s="157"/>
      <c r="D780" s="227"/>
      <c r="E780" s="157"/>
      <c r="F780" s="227"/>
      <c r="G780" s="157"/>
      <c r="H780" s="227"/>
      <c r="I780" s="157"/>
      <c r="J780" s="157"/>
      <c r="K780" s="33"/>
    </row>
    <row r="781" ht="15.75" customHeight="1">
      <c r="A781" s="226"/>
      <c r="B781" s="227"/>
      <c r="C781" s="157"/>
      <c r="D781" s="227"/>
      <c r="E781" s="157"/>
      <c r="F781" s="227"/>
      <c r="G781" s="157"/>
      <c r="H781" s="227"/>
      <c r="I781" s="157"/>
      <c r="J781" s="157"/>
      <c r="K781" s="33"/>
    </row>
    <row r="782" ht="15.75" customHeight="1">
      <c r="A782" s="226"/>
      <c r="B782" s="227"/>
      <c r="C782" s="157"/>
      <c r="D782" s="227"/>
      <c r="E782" s="157"/>
      <c r="F782" s="227"/>
      <c r="G782" s="157"/>
      <c r="H782" s="227"/>
      <c r="I782" s="157"/>
      <c r="J782" s="157"/>
      <c r="K782" s="33"/>
    </row>
    <row r="783" ht="15.75" customHeight="1">
      <c r="A783" s="226"/>
      <c r="B783" s="227"/>
      <c r="C783" s="157"/>
      <c r="D783" s="227"/>
      <c r="E783" s="157"/>
      <c r="F783" s="227"/>
      <c r="G783" s="157"/>
      <c r="H783" s="227"/>
      <c r="I783" s="157"/>
      <c r="J783" s="157"/>
      <c r="K783" s="33"/>
    </row>
    <row r="784" ht="15.75" customHeight="1">
      <c r="A784" s="226"/>
      <c r="B784" s="227"/>
      <c r="C784" s="157"/>
      <c r="D784" s="227"/>
      <c r="E784" s="157"/>
      <c r="F784" s="227"/>
      <c r="G784" s="157"/>
      <c r="H784" s="227"/>
      <c r="I784" s="157"/>
      <c r="J784" s="157"/>
      <c r="K784" s="33"/>
    </row>
    <row r="785" ht="15.75" customHeight="1">
      <c r="A785" s="226"/>
      <c r="B785" s="227"/>
      <c r="C785" s="157"/>
      <c r="D785" s="227"/>
      <c r="E785" s="157"/>
      <c r="F785" s="227"/>
      <c r="G785" s="157"/>
      <c r="H785" s="227"/>
      <c r="I785" s="157"/>
      <c r="J785" s="157"/>
      <c r="K785" s="33"/>
    </row>
    <row r="786" ht="15.75" customHeight="1">
      <c r="A786" s="226"/>
      <c r="B786" s="227"/>
      <c r="C786" s="157"/>
      <c r="D786" s="227"/>
      <c r="E786" s="157"/>
      <c r="F786" s="227"/>
      <c r="G786" s="157"/>
      <c r="H786" s="227"/>
      <c r="I786" s="157"/>
      <c r="J786" s="157"/>
      <c r="K786" s="33"/>
    </row>
    <row r="787" ht="15.75" customHeight="1">
      <c r="A787" s="226"/>
      <c r="B787" s="227"/>
      <c r="C787" s="157"/>
      <c r="D787" s="227"/>
      <c r="E787" s="157"/>
      <c r="F787" s="227"/>
      <c r="G787" s="157"/>
      <c r="H787" s="227"/>
      <c r="I787" s="157"/>
      <c r="J787" s="157"/>
      <c r="K787" s="33"/>
    </row>
    <row r="788" ht="15.75" customHeight="1">
      <c r="A788" s="226"/>
      <c r="B788" s="227"/>
      <c r="C788" s="157"/>
      <c r="D788" s="227"/>
      <c r="E788" s="157"/>
      <c r="F788" s="227"/>
      <c r="G788" s="157"/>
      <c r="H788" s="227"/>
      <c r="I788" s="157"/>
      <c r="J788" s="157"/>
      <c r="K788" s="33"/>
    </row>
    <row r="789" ht="15.75" customHeight="1">
      <c r="A789" s="226"/>
      <c r="B789" s="227"/>
      <c r="C789" s="157"/>
      <c r="D789" s="227"/>
      <c r="E789" s="157"/>
      <c r="F789" s="227"/>
      <c r="G789" s="157"/>
      <c r="H789" s="227"/>
      <c r="I789" s="157"/>
      <c r="J789" s="157"/>
      <c r="K789" s="33"/>
    </row>
    <row r="790" ht="15.75" customHeight="1">
      <c r="A790" s="226"/>
      <c r="B790" s="227"/>
      <c r="C790" s="157"/>
      <c r="D790" s="227"/>
      <c r="E790" s="157"/>
      <c r="F790" s="227"/>
      <c r="G790" s="157"/>
      <c r="H790" s="227"/>
      <c r="I790" s="157"/>
      <c r="J790" s="157"/>
      <c r="K790" s="33"/>
    </row>
    <row r="791" ht="15.75" customHeight="1">
      <c r="A791" s="226"/>
      <c r="B791" s="227"/>
      <c r="C791" s="157"/>
      <c r="D791" s="227"/>
      <c r="E791" s="157"/>
      <c r="F791" s="227"/>
      <c r="G791" s="157"/>
      <c r="H791" s="227"/>
      <c r="I791" s="157"/>
      <c r="J791" s="157"/>
      <c r="K791" s="33"/>
    </row>
    <row r="792" ht="15.75" customHeight="1">
      <c r="A792" s="226"/>
      <c r="B792" s="227"/>
      <c r="C792" s="157"/>
      <c r="D792" s="227"/>
      <c r="E792" s="157"/>
      <c r="F792" s="227"/>
      <c r="G792" s="157"/>
      <c r="H792" s="227"/>
      <c r="I792" s="157"/>
      <c r="J792" s="157"/>
      <c r="K792" s="33"/>
    </row>
    <row r="793" ht="15.75" customHeight="1">
      <c r="A793" s="226"/>
      <c r="B793" s="227"/>
      <c r="C793" s="157"/>
      <c r="D793" s="227"/>
      <c r="E793" s="157"/>
      <c r="F793" s="227"/>
      <c r="G793" s="157"/>
      <c r="H793" s="227"/>
      <c r="I793" s="157"/>
      <c r="J793" s="157"/>
      <c r="K793" s="33"/>
    </row>
    <row r="794" ht="15.75" customHeight="1">
      <c r="A794" s="226"/>
      <c r="B794" s="227"/>
      <c r="C794" s="157"/>
      <c r="D794" s="227"/>
      <c r="E794" s="157"/>
      <c r="F794" s="227"/>
      <c r="G794" s="157"/>
      <c r="H794" s="227"/>
      <c r="I794" s="157"/>
      <c r="J794" s="157"/>
      <c r="K794" s="33"/>
    </row>
    <row r="795" ht="15.75" customHeight="1">
      <c r="A795" s="226"/>
      <c r="B795" s="227"/>
      <c r="C795" s="157"/>
      <c r="D795" s="227"/>
      <c r="E795" s="157"/>
      <c r="F795" s="227"/>
      <c r="G795" s="157"/>
      <c r="H795" s="227"/>
      <c r="I795" s="157"/>
      <c r="J795" s="157"/>
      <c r="K795" s="33"/>
    </row>
    <row r="796" ht="15.75" customHeight="1">
      <c r="A796" s="226"/>
      <c r="B796" s="227"/>
      <c r="C796" s="157"/>
      <c r="D796" s="227"/>
      <c r="E796" s="157"/>
      <c r="F796" s="227"/>
      <c r="G796" s="157"/>
      <c r="H796" s="227"/>
      <c r="I796" s="157"/>
      <c r="J796" s="157"/>
      <c r="K796" s="33"/>
    </row>
    <row r="797" ht="15.75" customHeight="1">
      <c r="A797" s="226"/>
      <c r="B797" s="227"/>
      <c r="C797" s="157"/>
      <c r="D797" s="227"/>
      <c r="E797" s="157"/>
      <c r="F797" s="227"/>
      <c r="G797" s="157"/>
      <c r="H797" s="227"/>
      <c r="I797" s="157"/>
      <c r="J797" s="157"/>
      <c r="K797" s="33"/>
    </row>
    <row r="798" ht="15.75" customHeight="1">
      <c r="A798" s="226"/>
      <c r="B798" s="227"/>
      <c r="C798" s="157"/>
      <c r="D798" s="227"/>
      <c r="E798" s="157"/>
      <c r="F798" s="227"/>
      <c r="G798" s="157"/>
      <c r="H798" s="227"/>
      <c r="I798" s="157"/>
      <c r="J798" s="157"/>
      <c r="K798" s="33"/>
    </row>
    <row r="799" ht="15.75" customHeight="1">
      <c r="A799" s="226"/>
      <c r="B799" s="227"/>
      <c r="C799" s="157"/>
      <c r="D799" s="227"/>
      <c r="E799" s="157"/>
      <c r="F799" s="227"/>
      <c r="G799" s="157"/>
      <c r="H799" s="227"/>
      <c r="I799" s="157"/>
      <c r="J799" s="157"/>
      <c r="K799" s="33"/>
    </row>
    <row r="800" ht="15.75" customHeight="1">
      <c r="A800" s="226"/>
      <c r="B800" s="227"/>
      <c r="C800" s="157"/>
      <c r="D800" s="227"/>
      <c r="E800" s="157"/>
      <c r="F800" s="227"/>
      <c r="G800" s="157"/>
      <c r="H800" s="227"/>
      <c r="I800" s="157"/>
      <c r="J800" s="157"/>
      <c r="K800" s="33"/>
    </row>
    <row r="801" ht="15.75" customHeight="1">
      <c r="A801" s="226"/>
      <c r="B801" s="227"/>
      <c r="C801" s="157"/>
      <c r="D801" s="227"/>
      <c r="E801" s="157"/>
      <c r="F801" s="227"/>
      <c r="G801" s="157"/>
      <c r="H801" s="227"/>
      <c r="I801" s="157"/>
      <c r="J801" s="157"/>
      <c r="K801" s="33"/>
    </row>
    <row r="802" ht="15.75" customHeight="1">
      <c r="A802" s="226"/>
      <c r="B802" s="227"/>
      <c r="C802" s="157"/>
      <c r="D802" s="227"/>
      <c r="E802" s="157"/>
      <c r="F802" s="227"/>
      <c r="G802" s="157"/>
      <c r="H802" s="227"/>
      <c r="I802" s="157"/>
      <c r="J802" s="157"/>
      <c r="K802" s="33"/>
    </row>
    <row r="803" ht="15.75" customHeight="1">
      <c r="A803" s="226"/>
      <c r="B803" s="227"/>
      <c r="C803" s="157"/>
      <c r="D803" s="227"/>
      <c r="E803" s="157"/>
      <c r="F803" s="227"/>
      <c r="G803" s="157"/>
      <c r="H803" s="227"/>
      <c r="I803" s="157"/>
      <c r="J803" s="157"/>
      <c r="K803" s="33"/>
    </row>
    <row r="804" ht="15.75" customHeight="1">
      <c r="A804" s="226"/>
      <c r="B804" s="227"/>
      <c r="C804" s="157"/>
      <c r="D804" s="227"/>
      <c r="E804" s="157"/>
      <c r="F804" s="227"/>
      <c r="G804" s="157"/>
      <c r="H804" s="227"/>
      <c r="I804" s="157"/>
      <c r="J804" s="157"/>
      <c r="K804" s="33"/>
    </row>
    <row r="805" ht="15.75" customHeight="1">
      <c r="A805" s="226"/>
      <c r="B805" s="227"/>
      <c r="C805" s="157"/>
      <c r="D805" s="227"/>
      <c r="E805" s="157"/>
      <c r="F805" s="227"/>
      <c r="G805" s="157"/>
      <c r="H805" s="227"/>
      <c r="I805" s="157"/>
      <c r="J805" s="157"/>
      <c r="K805" s="33"/>
    </row>
    <row r="806" ht="15.75" customHeight="1">
      <c r="A806" s="226"/>
      <c r="B806" s="227"/>
      <c r="C806" s="157"/>
      <c r="D806" s="227"/>
      <c r="E806" s="157"/>
      <c r="F806" s="227"/>
      <c r="G806" s="157"/>
      <c r="H806" s="227"/>
      <c r="I806" s="157"/>
      <c r="J806" s="157"/>
      <c r="K806" s="33"/>
    </row>
    <row r="807" ht="15.75" customHeight="1">
      <c r="A807" s="226"/>
      <c r="B807" s="227"/>
      <c r="C807" s="157"/>
      <c r="D807" s="227"/>
      <c r="E807" s="157"/>
      <c r="F807" s="227"/>
      <c r="G807" s="157"/>
      <c r="H807" s="227"/>
      <c r="I807" s="157"/>
      <c r="J807" s="157"/>
      <c r="K807" s="33"/>
    </row>
    <row r="808" ht="15.75" customHeight="1">
      <c r="A808" s="226"/>
      <c r="B808" s="227"/>
      <c r="C808" s="157"/>
      <c r="D808" s="227"/>
      <c r="E808" s="157"/>
      <c r="F808" s="227"/>
      <c r="G808" s="157"/>
      <c r="H808" s="227"/>
      <c r="I808" s="157"/>
      <c r="J808" s="157"/>
      <c r="K808" s="33"/>
    </row>
    <row r="809" ht="15.75" customHeight="1">
      <c r="A809" s="226"/>
      <c r="B809" s="227"/>
      <c r="C809" s="157"/>
      <c r="D809" s="227"/>
      <c r="E809" s="157"/>
      <c r="F809" s="227"/>
      <c r="G809" s="157"/>
      <c r="H809" s="227"/>
      <c r="I809" s="157"/>
      <c r="J809" s="157"/>
      <c r="K809" s="33"/>
    </row>
    <row r="810" ht="15.75" customHeight="1">
      <c r="A810" s="226"/>
      <c r="B810" s="227"/>
      <c r="C810" s="157"/>
      <c r="D810" s="227"/>
      <c r="E810" s="157"/>
      <c r="F810" s="227"/>
      <c r="G810" s="157"/>
      <c r="H810" s="227"/>
      <c r="I810" s="157"/>
      <c r="J810" s="157"/>
      <c r="K810" s="33"/>
    </row>
    <row r="811" ht="15.75" customHeight="1">
      <c r="A811" s="226"/>
      <c r="B811" s="227"/>
      <c r="C811" s="157"/>
      <c r="D811" s="227"/>
      <c r="E811" s="157"/>
      <c r="F811" s="227"/>
      <c r="G811" s="157"/>
      <c r="H811" s="227"/>
      <c r="I811" s="157"/>
      <c r="J811" s="157"/>
      <c r="K811" s="33"/>
    </row>
    <row r="812" ht="15.75" customHeight="1">
      <c r="A812" s="226"/>
      <c r="B812" s="227"/>
      <c r="C812" s="157"/>
      <c r="D812" s="227"/>
      <c r="E812" s="157"/>
      <c r="F812" s="227"/>
      <c r="G812" s="157"/>
      <c r="H812" s="227"/>
      <c r="I812" s="157"/>
      <c r="J812" s="157"/>
      <c r="K812" s="33"/>
    </row>
    <row r="813" ht="15.75" customHeight="1">
      <c r="A813" s="226"/>
      <c r="B813" s="227"/>
      <c r="C813" s="157"/>
      <c r="D813" s="227"/>
      <c r="E813" s="157"/>
      <c r="F813" s="227"/>
      <c r="G813" s="157"/>
      <c r="H813" s="227"/>
      <c r="I813" s="157"/>
      <c r="J813" s="157"/>
      <c r="K813" s="33"/>
    </row>
    <row r="814" ht="15.75" customHeight="1">
      <c r="A814" s="226"/>
      <c r="B814" s="227"/>
      <c r="C814" s="157"/>
      <c r="D814" s="227"/>
      <c r="E814" s="157"/>
      <c r="F814" s="227"/>
      <c r="G814" s="157"/>
      <c r="H814" s="227"/>
      <c r="I814" s="157"/>
      <c r="J814" s="157"/>
      <c r="K814" s="33"/>
    </row>
    <row r="815" ht="15.75" customHeight="1">
      <c r="A815" s="226"/>
      <c r="B815" s="227"/>
      <c r="C815" s="157"/>
      <c r="D815" s="227"/>
      <c r="E815" s="157"/>
      <c r="F815" s="227"/>
      <c r="G815" s="157"/>
      <c r="H815" s="227"/>
      <c r="I815" s="157"/>
      <c r="J815" s="157"/>
      <c r="K815" s="33"/>
    </row>
    <row r="816" ht="15.75" customHeight="1">
      <c r="A816" s="226"/>
      <c r="B816" s="227"/>
      <c r="C816" s="157"/>
      <c r="D816" s="227"/>
      <c r="E816" s="157"/>
      <c r="F816" s="227"/>
      <c r="G816" s="157"/>
      <c r="H816" s="227"/>
      <c r="I816" s="157"/>
      <c r="J816" s="157"/>
      <c r="K816" s="33"/>
    </row>
    <row r="817" ht="15.75" customHeight="1">
      <c r="A817" s="226"/>
      <c r="B817" s="227"/>
      <c r="C817" s="157"/>
      <c r="D817" s="227"/>
      <c r="E817" s="157"/>
      <c r="F817" s="227"/>
      <c r="G817" s="157"/>
      <c r="H817" s="227"/>
      <c r="I817" s="157"/>
      <c r="J817" s="157"/>
      <c r="K817" s="33"/>
    </row>
    <row r="818" ht="15.75" customHeight="1">
      <c r="A818" s="226"/>
      <c r="B818" s="227"/>
      <c r="C818" s="157"/>
      <c r="D818" s="227"/>
      <c r="E818" s="157"/>
      <c r="F818" s="227"/>
      <c r="G818" s="157"/>
      <c r="H818" s="227"/>
      <c r="I818" s="157"/>
      <c r="J818" s="157"/>
      <c r="K818" s="33"/>
    </row>
    <row r="819" ht="15.75" customHeight="1">
      <c r="A819" s="226"/>
      <c r="B819" s="227"/>
      <c r="C819" s="157"/>
      <c r="D819" s="227"/>
      <c r="E819" s="157"/>
      <c r="F819" s="227"/>
      <c r="G819" s="157"/>
      <c r="H819" s="227"/>
      <c r="I819" s="157"/>
      <c r="J819" s="157"/>
      <c r="K819" s="33"/>
    </row>
    <row r="820" ht="15.75" customHeight="1">
      <c r="A820" s="226"/>
      <c r="B820" s="227"/>
      <c r="C820" s="157"/>
      <c r="D820" s="227"/>
      <c r="E820" s="157"/>
      <c r="F820" s="227"/>
      <c r="G820" s="157"/>
      <c r="H820" s="227"/>
      <c r="I820" s="157"/>
      <c r="J820" s="157"/>
      <c r="K820" s="33"/>
    </row>
    <row r="821" ht="15.75" customHeight="1">
      <c r="A821" s="226"/>
      <c r="B821" s="227"/>
      <c r="C821" s="157"/>
      <c r="D821" s="227"/>
      <c r="E821" s="157"/>
      <c r="F821" s="227"/>
      <c r="G821" s="157"/>
      <c r="H821" s="227"/>
      <c r="I821" s="157"/>
      <c r="J821" s="157"/>
      <c r="K821" s="33"/>
    </row>
    <row r="822" ht="15.75" customHeight="1">
      <c r="A822" s="226"/>
      <c r="B822" s="227"/>
      <c r="C822" s="157"/>
      <c r="D822" s="227"/>
      <c r="E822" s="157"/>
      <c r="F822" s="227"/>
      <c r="G822" s="157"/>
      <c r="H822" s="227"/>
      <c r="I822" s="157"/>
      <c r="J822" s="157"/>
      <c r="K822" s="33"/>
    </row>
    <row r="823" ht="15.75" customHeight="1">
      <c r="A823" s="226"/>
      <c r="B823" s="227"/>
      <c r="C823" s="157"/>
      <c r="D823" s="227"/>
      <c r="E823" s="157"/>
      <c r="F823" s="227"/>
      <c r="G823" s="157"/>
      <c r="H823" s="227"/>
      <c r="I823" s="157"/>
      <c r="J823" s="157"/>
      <c r="K823" s="33"/>
    </row>
    <row r="824" ht="15.75" customHeight="1">
      <c r="A824" s="226"/>
      <c r="B824" s="227"/>
      <c r="C824" s="157"/>
      <c r="D824" s="227"/>
      <c r="E824" s="157"/>
      <c r="F824" s="227"/>
      <c r="G824" s="157"/>
      <c r="H824" s="227"/>
      <c r="I824" s="157"/>
      <c r="J824" s="157"/>
      <c r="K824" s="33"/>
    </row>
    <row r="825" ht="15.75" customHeight="1">
      <c r="A825" s="226"/>
      <c r="B825" s="227"/>
      <c r="C825" s="157"/>
      <c r="D825" s="227"/>
      <c r="E825" s="157"/>
      <c r="F825" s="227"/>
      <c r="G825" s="157"/>
      <c r="H825" s="227"/>
      <c r="I825" s="157"/>
      <c r="J825" s="157"/>
      <c r="K825" s="33"/>
    </row>
    <row r="826" ht="15.75" customHeight="1">
      <c r="A826" s="226"/>
      <c r="B826" s="227"/>
      <c r="C826" s="157"/>
      <c r="D826" s="227"/>
      <c r="E826" s="157"/>
      <c r="F826" s="227"/>
      <c r="G826" s="157"/>
      <c r="H826" s="227"/>
      <c r="I826" s="157"/>
      <c r="J826" s="157"/>
      <c r="K826" s="33"/>
    </row>
    <row r="827" ht="15.75" customHeight="1">
      <c r="A827" s="226"/>
      <c r="B827" s="227"/>
      <c r="C827" s="157"/>
      <c r="D827" s="227"/>
      <c r="E827" s="157"/>
      <c r="F827" s="227"/>
      <c r="G827" s="157"/>
      <c r="H827" s="227"/>
      <c r="I827" s="157"/>
      <c r="J827" s="157"/>
      <c r="K827" s="33"/>
    </row>
    <row r="828" ht="15.75" customHeight="1">
      <c r="A828" s="226"/>
      <c r="B828" s="227"/>
      <c r="C828" s="157"/>
      <c r="D828" s="227"/>
      <c r="E828" s="157"/>
      <c r="F828" s="227"/>
      <c r="G828" s="157"/>
      <c r="H828" s="227"/>
      <c r="I828" s="157"/>
      <c r="J828" s="157"/>
      <c r="K828" s="33"/>
    </row>
    <row r="829" ht="15.75" customHeight="1">
      <c r="A829" s="226"/>
      <c r="B829" s="227"/>
      <c r="C829" s="157"/>
      <c r="D829" s="227"/>
      <c r="E829" s="157"/>
      <c r="F829" s="227"/>
      <c r="G829" s="157"/>
      <c r="H829" s="227"/>
      <c r="I829" s="157"/>
      <c r="J829" s="157"/>
      <c r="K829" s="33"/>
    </row>
    <row r="830" ht="15.75" customHeight="1">
      <c r="A830" s="226"/>
      <c r="B830" s="227"/>
      <c r="C830" s="157"/>
      <c r="D830" s="227"/>
      <c r="E830" s="157"/>
      <c r="F830" s="227"/>
      <c r="G830" s="157"/>
      <c r="H830" s="227"/>
      <c r="I830" s="157"/>
      <c r="J830" s="157"/>
      <c r="K830" s="33"/>
    </row>
    <row r="831" ht="15.75" customHeight="1">
      <c r="A831" s="226"/>
      <c r="B831" s="227"/>
      <c r="C831" s="157"/>
      <c r="D831" s="227"/>
      <c r="E831" s="157"/>
      <c r="F831" s="227"/>
      <c r="G831" s="157"/>
      <c r="H831" s="227"/>
      <c r="I831" s="157"/>
      <c r="J831" s="157"/>
      <c r="K831" s="33"/>
    </row>
    <row r="832" ht="15.75" customHeight="1">
      <c r="A832" s="226"/>
      <c r="B832" s="227"/>
      <c r="C832" s="157"/>
      <c r="D832" s="227"/>
      <c r="E832" s="157"/>
      <c r="F832" s="227"/>
      <c r="G832" s="157"/>
      <c r="H832" s="227"/>
      <c r="I832" s="157"/>
      <c r="J832" s="157"/>
      <c r="K832" s="33"/>
    </row>
    <row r="833" ht="15.75" customHeight="1">
      <c r="A833" s="226"/>
      <c r="B833" s="227"/>
      <c r="C833" s="157"/>
      <c r="D833" s="227"/>
      <c r="E833" s="157"/>
      <c r="F833" s="227"/>
      <c r="G833" s="157"/>
      <c r="H833" s="227"/>
      <c r="I833" s="157"/>
      <c r="J833" s="157"/>
      <c r="K833" s="33"/>
    </row>
    <row r="834" ht="15.75" customHeight="1">
      <c r="A834" s="226"/>
      <c r="B834" s="227"/>
      <c r="C834" s="157"/>
      <c r="D834" s="227"/>
      <c r="E834" s="157"/>
      <c r="F834" s="227"/>
      <c r="G834" s="157"/>
      <c r="H834" s="227"/>
      <c r="I834" s="157"/>
      <c r="J834" s="157"/>
      <c r="K834" s="33"/>
    </row>
    <row r="835" ht="15.75" customHeight="1">
      <c r="A835" s="226"/>
      <c r="B835" s="227"/>
      <c r="C835" s="157"/>
      <c r="D835" s="227"/>
      <c r="E835" s="157"/>
      <c r="F835" s="227"/>
      <c r="G835" s="157"/>
      <c r="H835" s="227"/>
      <c r="I835" s="157"/>
      <c r="J835" s="157"/>
      <c r="K835" s="33"/>
    </row>
    <row r="836" ht="15.75" customHeight="1">
      <c r="A836" s="226"/>
      <c r="B836" s="227"/>
      <c r="C836" s="157"/>
      <c r="D836" s="227"/>
      <c r="E836" s="157"/>
      <c r="F836" s="227"/>
      <c r="G836" s="157"/>
      <c r="H836" s="227"/>
      <c r="I836" s="157"/>
      <c r="J836" s="157"/>
      <c r="K836" s="33"/>
    </row>
    <row r="837" ht="15.75" customHeight="1">
      <c r="A837" s="226"/>
      <c r="B837" s="227"/>
      <c r="C837" s="157"/>
      <c r="D837" s="227"/>
      <c r="E837" s="157"/>
      <c r="F837" s="227"/>
      <c r="G837" s="157"/>
      <c r="H837" s="227"/>
      <c r="I837" s="157"/>
      <c r="J837" s="157"/>
      <c r="K837" s="33"/>
    </row>
    <row r="838" ht="15.75" customHeight="1">
      <c r="A838" s="226"/>
      <c r="B838" s="227"/>
      <c r="C838" s="157"/>
      <c r="D838" s="227"/>
      <c r="E838" s="157"/>
      <c r="F838" s="227"/>
      <c r="G838" s="157"/>
      <c r="H838" s="227"/>
      <c r="I838" s="157"/>
      <c r="J838" s="157"/>
      <c r="K838" s="33"/>
    </row>
    <row r="839" ht="15.75" customHeight="1">
      <c r="A839" s="226"/>
      <c r="B839" s="227"/>
      <c r="C839" s="157"/>
      <c r="D839" s="227"/>
      <c r="E839" s="157"/>
      <c r="F839" s="227"/>
      <c r="G839" s="157"/>
      <c r="H839" s="227"/>
      <c r="I839" s="157"/>
      <c r="J839" s="157"/>
      <c r="K839" s="33"/>
    </row>
    <row r="840" ht="15.75" customHeight="1">
      <c r="A840" s="226"/>
      <c r="B840" s="227"/>
      <c r="C840" s="157"/>
      <c r="D840" s="227"/>
      <c r="E840" s="157"/>
      <c r="F840" s="227"/>
      <c r="G840" s="157"/>
      <c r="H840" s="227"/>
      <c r="I840" s="157"/>
      <c r="J840" s="157"/>
      <c r="K840" s="33"/>
    </row>
    <row r="841" ht="15.75" customHeight="1">
      <c r="A841" s="226"/>
      <c r="B841" s="227"/>
      <c r="C841" s="157"/>
      <c r="D841" s="227"/>
      <c r="E841" s="157"/>
      <c r="F841" s="227"/>
      <c r="G841" s="157"/>
      <c r="H841" s="227"/>
      <c r="I841" s="157"/>
      <c r="J841" s="157"/>
      <c r="K841" s="33"/>
    </row>
    <row r="842" ht="15.75" customHeight="1">
      <c r="A842" s="226"/>
      <c r="B842" s="227"/>
      <c r="C842" s="157"/>
      <c r="D842" s="227"/>
      <c r="E842" s="157"/>
      <c r="F842" s="227"/>
      <c r="G842" s="157"/>
      <c r="H842" s="227"/>
      <c r="I842" s="157"/>
      <c r="J842" s="157"/>
      <c r="K842" s="33"/>
    </row>
    <row r="843" ht="15.75" customHeight="1">
      <c r="A843" s="226"/>
      <c r="B843" s="227"/>
      <c r="C843" s="157"/>
      <c r="D843" s="227"/>
      <c r="E843" s="157"/>
      <c r="F843" s="227"/>
      <c r="G843" s="157"/>
      <c r="H843" s="227"/>
      <c r="I843" s="157"/>
      <c r="J843" s="157"/>
      <c r="K843" s="33"/>
    </row>
    <row r="844" ht="15.75" customHeight="1">
      <c r="A844" s="226"/>
      <c r="B844" s="227"/>
      <c r="C844" s="157"/>
      <c r="D844" s="227"/>
      <c r="E844" s="157"/>
      <c r="F844" s="227"/>
      <c r="G844" s="157"/>
      <c r="H844" s="227"/>
      <c r="I844" s="157"/>
      <c r="J844" s="157"/>
      <c r="K844" s="33"/>
    </row>
    <row r="845" ht="15.75" customHeight="1">
      <c r="A845" s="226"/>
      <c r="B845" s="227"/>
      <c r="C845" s="157"/>
      <c r="D845" s="227"/>
      <c r="E845" s="157"/>
      <c r="F845" s="227"/>
      <c r="G845" s="157"/>
      <c r="H845" s="227"/>
      <c r="I845" s="157"/>
      <c r="J845" s="157"/>
      <c r="K845" s="33"/>
    </row>
    <row r="846" ht="15.75" customHeight="1">
      <c r="A846" s="226"/>
      <c r="B846" s="227"/>
      <c r="C846" s="157"/>
      <c r="D846" s="227"/>
      <c r="E846" s="157"/>
      <c r="F846" s="227"/>
      <c r="G846" s="157"/>
      <c r="H846" s="227"/>
      <c r="I846" s="157"/>
      <c r="J846" s="157"/>
      <c r="K846" s="33"/>
    </row>
    <row r="847" ht="15.75" customHeight="1">
      <c r="A847" s="226"/>
      <c r="B847" s="227"/>
      <c r="C847" s="157"/>
      <c r="D847" s="227"/>
      <c r="E847" s="157"/>
      <c r="F847" s="227"/>
      <c r="G847" s="157"/>
      <c r="H847" s="227"/>
      <c r="I847" s="157"/>
      <c r="J847" s="157"/>
      <c r="K847" s="33"/>
    </row>
    <row r="848" ht="15.75" customHeight="1">
      <c r="A848" s="226"/>
      <c r="B848" s="227"/>
      <c r="C848" s="157"/>
      <c r="D848" s="227"/>
      <c r="E848" s="157"/>
      <c r="F848" s="227"/>
      <c r="G848" s="157"/>
      <c r="H848" s="227"/>
      <c r="I848" s="157"/>
      <c r="J848" s="157"/>
      <c r="K848" s="33"/>
    </row>
    <row r="849" ht="15.75" customHeight="1">
      <c r="A849" s="226"/>
      <c r="B849" s="227"/>
      <c r="C849" s="157"/>
      <c r="D849" s="227"/>
      <c r="E849" s="157"/>
      <c r="F849" s="227"/>
      <c r="G849" s="157"/>
      <c r="H849" s="227"/>
      <c r="I849" s="157"/>
      <c r="J849" s="157"/>
      <c r="K849" s="33"/>
    </row>
    <row r="850" ht="15.75" customHeight="1">
      <c r="A850" s="226"/>
      <c r="B850" s="227"/>
      <c r="C850" s="157"/>
      <c r="D850" s="227"/>
      <c r="E850" s="157"/>
      <c r="F850" s="227"/>
      <c r="G850" s="157"/>
      <c r="H850" s="227"/>
      <c r="I850" s="157"/>
      <c r="J850" s="157"/>
      <c r="K850" s="33"/>
    </row>
    <row r="851" ht="15.75" customHeight="1">
      <c r="A851" s="226"/>
      <c r="B851" s="227"/>
      <c r="C851" s="157"/>
      <c r="D851" s="227"/>
      <c r="E851" s="157"/>
      <c r="F851" s="227"/>
      <c r="G851" s="157"/>
      <c r="H851" s="227"/>
      <c r="I851" s="157"/>
      <c r="J851" s="157"/>
      <c r="K851" s="33"/>
    </row>
    <row r="852" ht="15.75" customHeight="1">
      <c r="A852" s="226"/>
      <c r="B852" s="227"/>
      <c r="C852" s="157"/>
      <c r="D852" s="227"/>
      <c r="E852" s="157"/>
      <c r="F852" s="227"/>
      <c r="G852" s="157"/>
      <c r="H852" s="227"/>
      <c r="I852" s="157"/>
      <c r="J852" s="157"/>
      <c r="K852" s="33"/>
    </row>
    <row r="853" ht="15.75" customHeight="1">
      <c r="A853" s="226"/>
      <c r="B853" s="227"/>
      <c r="C853" s="157"/>
      <c r="D853" s="227"/>
      <c r="E853" s="157"/>
      <c r="F853" s="227"/>
      <c r="G853" s="157"/>
      <c r="H853" s="227"/>
      <c r="I853" s="157"/>
      <c r="J853" s="157"/>
      <c r="K853" s="33"/>
    </row>
    <row r="854" ht="15.75" customHeight="1">
      <c r="A854" s="226"/>
      <c r="B854" s="227"/>
      <c r="C854" s="157"/>
      <c r="D854" s="227"/>
      <c r="E854" s="157"/>
      <c r="F854" s="227"/>
      <c r="G854" s="157"/>
      <c r="H854" s="227"/>
      <c r="I854" s="157"/>
      <c r="J854" s="157"/>
      <c r="K854" s="33"/>
    </row>
    <row r="855" ht="15.75" customHeight="1">
      <c r="A855" s="226"/>
      <c r="B855" s="227"/>
      <c r="C855" s="157"/>
      <c r="D855" s="227"/>
      <c r="E855" s="157"/>
      <c r="F855" s="227"/>
      <c r="G855" s="157"/>
      <c r="H855" s="227"/>
      <c r="I855" s="157"/>
      <c r="J855" s="157"/>
      <c r="K855" s="33"/>
    </row>
    <row r="856" ht="15.75" customHeight="1">
      <c r="A856" s="226"/>
      <c r="B856" s="227"/>
      <c r="C856" s="157"/>
      <c r="D856" s="227"/>
      <c r="E856" s="157"/>
      <c r="F856" s="227"/>
      <c r="G856" s="157"/>
      <c r="H856" s="227"/>
      <c r="I856" s="157"/>
      <c r="J856" s="157"/>
      <c r="K856" s="33"/>
    </row>
    <row r="857" ht="15.75" customHeight="1">
      <c r="A857" s="226"/>
      <c r="B857" s="227"/>
      <c r="C857" s="157"/>
      <c r="D857" s="227"/>
      <c r="E857" s="157"/>
      <c r="F857" s="227"/>
      <c r="G857" s="157"/>
      <c r="H857" s="227"/>
      <c r="I857" s="157"/>
      <c r="J857" s="157"/>
      <c r="K857" s="33"/>
    </row>
    <row r="858" ht="15.75" customHeight="1">
      <c r="A858" s="226"/>
      <c r="B858" s="227"/>
      <c r="C858" s="157"/>
      <c r="D858" s="227"/>
      <c r="E858" s="157"/>
      <c r="F858" s="227"/>
      <c r="G858" s="157"/>
      <c r="H858" s="227"/>
      <c r="I858" s="157"/>
      <c r="J858" s="157"/>
      <c r="K858" s="33"/>
    </row>
    <row r="859" ht="15.75" customHeight="1">
      <c r="A859" s="226"/>
      <c r="B859" s="227"/>
      <c r="C859" s="157"/>
      <c r="D859" s="227"/>
      <c r="E859" s="157"/>
      <c r="F859" s="227"/>
      <c r="G859" s="157"/>
      <c r="H859" s="227"/>
      <c r="I859" s="157"/>
      <c r="J859" s="157"/>
      <c r="K859" s="33"/>
    </row>
    <row r="860" ht="15.75" customHeight="1">
      <c r="A860" s="226"/>
      <c r="B860" s="227"/>
      <c r="C860" s="157"/>
      <c r="D860" s="227"/>
      <c r="E860" s="157"/>
      <c r="F860" s="227"/>
      <c r="G860" s="157"/>
      <c r="H860" s="227"/>
      <c r="I860" s="157"/>
      <c r="J860" s="157"/>
      <c r="K860" s="33"/>
    </row>
    <row r="861" ht="15.75" customHeight="1">
      <c r="A861" s="226"/>
      <c r="B861" s="227"/>
      <c r="C861" s="157"/>
      <c r="D861" s="227"/>
      <c r="E861" s="157"/>
      <c r="F861" s="227"/>
      <c r="G861" s="157"/>
      <c r="H861" s="227"/>
      <c r="I861" s="157"/>
      <c r="J861" s="157"/>
      <c r="K861" s="33"/>
    </row>
    <row r="862" ht="15.75" customHeight="1">
      <c r="A862" s="226"/>
      <c r="B862" s="227"/>
      <c r="C862" s="157"/>
      <c r="D862" s="227"/>
      <c r="E862" s="157"/>
      <c r="F862" s="227"/>
      <c r="G862" s="157"/>
      <c r="H862" s="227"/>
      <c r="I862" s="157"/>
      <c r="J862" s="157"/>
      <c r="K862" s="33"/>
    </row>
    <row r="863" ht="15.75" customHeight="1">
      <c r="A863" s="226"/>
      <c r="B863" s="227"/>
      <c r="C863" s="157"/>
      <c r="D863" s="227"/>
      <c r="E863" s="157"/>
      <c r="F863" s="227"/>
      <c r="G863" s="157"/>
      <c r="H863" s="227"/>
      <c r="I863" s="157"/>
      <c r="J863" s="157"/>
      <c r="K863" s="33"/>
    </row>
    <row r="864" ht="15.75" customHeight="1">
      <c r="A864" s="226"/>
      <c r="B864" s="227"/>
      <c r="C864" s="157"/>
      <c r="D864" s="227"/>
      <c r="E864" s="157"/>
      <c r="F864" s="227"/>
      <c r="G864" s="157"/>
      <c r="H864" s="227"/>
      <c r="I864" s="157"/>
      <c r="J864" s="157"/>
      <c r="K864" s="33"/>
    </row>
    <row r="865" ht="15.75" customHeight="1">
      <c r="A865" s="226"/>
      <c r="B865" s="227"/>
      <c r="C865" s="157"/>
      <c r="D865" s="227"/>
      <c r="E865" s="157"/>
      <c r="F865" s="227"/>
      <c r="G865" s="157"/>
      <c r="H865" s="227"/>
      <c r="I865" s="157"/>
      <c r="J865" s="157"/>
      <c r="K865" s="33"/>
    </row>
    <row r="866" ht="15.75" customHeight="1">
      <c r="A866" s="226"/>
      <c r="B866" s="227"/>
      <c r="C866" s="157"/>
      <c r="D866" s="227"/>
      <c r="E866" s="157"/>
      <c r="F866" s="227"/>
      <c r="G866" s="157"/>
      <c r="H866" s="227"/>
      <c r="I866" s="157"/>
      <c r="J866" s="157"/>
      <c r="K866" s="33"/>
    </row>
    <row r="867" ht="15.75" customHeight="1">
      <c r="A867" s="226"/>
      <c r="B867" s="227"/>
      <c r="C867" s="157"/>
      <c r="D867" s="227"/>
      <c r="E867" s="157"/>
      <c r="F867" s="227"/>
      <c r="G867" s="157"/>
      <c r="H867" s="227"/>
      <c r="I867" s="157"/>
      <c r="J867" s="157"/>
      <c r="K867" s="33"/>
    </row>
    <row r="868" ht="15.75" customHeight="1">
      <c r="A868" s="226"/>
      <c r="B868" s="227"/>
      <c r="C868" s="157"/>
      <c r="D868" s="227"/>
      <c r="E868" s="157"/>
      <c r="F868" s="227"/>
      <c r="G868" s="157"/>
      <c r="H868" s="227"/>
      <c r="I868" s="157"/>
      <c r="J868" s="157"/>
      <c r="K868" s="33"/>
    </row>
    <row r="869" ht="15.75" customHeight="1">
      <c r="A869" s="226"/>
      <c r="B869" s="227"/>
      <c r="C869" s="157"/>
      <c r="D869" s="227"/>
      <c r="E869" s="157"/>
      <c r="F869" s="227"/>
      <c r="G869" s="157"/>
      <c r="H869" s="227"/>
      <c r="I869" s="157"/>
      <c r="J869" s="157"/>
      <c r="K869" s="33"/>
    </row>
    <row r="870" ht="15.75" customHeight="1">
      <c r="A870" s="226"/>
      <c r="B870" s="227"/>
      <c r="C870" s="157"/>
      <c r="D870" s="227"/>
      <c r="E870" s="157"/>
      <c r="F870" s="227"/>
      <c r="G870" s="157"/>
      <c r="H870" s="227"/>
      <c r="I870" s="157"/>
      <c r="J870" s="157"/>
      <c r="K870" s="33"/>
    </row>
    <row r="871" ht="15.75" customHeight="1">
      <c r="A871" s="226"/>
      <c r="B871" s="227"/>
      <c r="C871" s="157"/>
      <c r="D871" s="227"/>
      <c r="E871" s="157"/>
      <c r="F871" s="227"/>
      <c r="G871" s="157"/>
      <c r="H871" s="227"/>
      <c r="I871" s="157"/>
      <c r="J871" s="157"/>
      <c r="K871" s="33"/>
    </row>
    <row r="872" ht="15.75" customHeight="1">
      <c r="A872" s="226"/>
      <c r="B872" s="227"/>
      <c r="C872" s="157"/>
      <c r="D872" s="227"/>
      <c r="E872" s="157"/>
      <c r="F872" s="227"/>
      <c r="G872" s="157"/>
      <c r="H872" s="227"/>
      <c r="I872" s="157"/>
      <c r="J872" s="157"/>
      <c r="K872" s="33"/>
    </row>
    <row r="873" ht="15.75" customHeight="1">
      <c r="A873" s="226"/>
      <c r="B873" s="227"/>
      <c r="C873" s="157"/>
      <c r="D873" s="227"/>
      <c r="E873" s="157"/>
      <c r="F873" s="227"/>
      <c r="G873" s="157"/>
      <c r="H873" s="227"/>
      <c r="I873" s="157"/>
      <c r="J873" s="157"/>
      <c r="K873" s="33"/>
    </row>
    <row r="874" ht="15.75" customHeight="1">
      <c r="A874" s="226"/>
      <c r="B874" s="227"/>
      <c r="C874" s="157"/>
      <c r="D874" s="227"/>
      <c r="E874" s="157"/>
      <c r="F874" s="227"/>
      <c r="G874" s="157"/>
      <c r="H874" s="227"/>
      <c r="I874" s="157"/>
      <c r="J874" s="157"/>
      <c r="K874" s="33"/>
    </row>
    <row r="875" ht="15.75" customHeight="1">
      <c r="A875" s="226"/>
      <c r="B875" s="227"/>
      <c r="C875" s="157"/>
      <c r="D875" s="227"/>
      <c r="E875" s="157"/>
      <c r="F875" s="227"/>
      <c r="G875" s="157"/>
      <c r="H875" s="227"/>
      <c r="I875" s="157"/>
      <c r="J875" s="157"/>
      <c r="K875" s="33"/>
    </row>
    <row r="876" ht="15.75" customHeight="1">
      <c r="A876" s="226"/>
      <c r="B876" s="227"/>
      <c r="C876" s="157"/>
      <c r="D876" s="227"/>
      <c r="E876" s="157"/>
      <c r="F876" s="227"/>
      <c r="G876" s="157"/>
      <c r="H876" s="227"/>
      <c r="I876" s="157"/>
      <c r="J876" s="157"/>
      <c r="K876" s="33"/>
    </row>
    <row r="877" ht="15.75" customHeight="1">
      <c r="A877" s="226"/>
      <c r="B877" s="227"/>
      <c r="C877" s="157"/>
      <c r="D877" s="227"/>
      <c r="E877" s="157"/>
      <c r="F877" s="227"/>
      <c r="G877" s="157"/>
      <c r="H877" s="227"/>
      <c r="I877" s="157"/>
      <c r="J877" s="157"/>
      <c r="K877" s="33"/>
    </row>
    <row r="878" ht="15.75" customHeight="1">
      <c r="A878" s="226"/>
      <c r="B878" s="227"/>
      <c r="C878" s="157"/>
      <c r="D878" s="227"/>
      <c r="E878" s="157"/>
      <c r="F878" s="227"/>
      <c r="G878" s="157"/>
      <c r="H878" s="227"/>
      <c r="I878" s="157"/>
      <c r="J878" s="157"/>
      <c r="K878" s="33"/>
    </row>
    <row r="879" ht="15.75" customHeight="1">
      <c r="A879" s="226"/>
      <c r="B879" s="227"/>
      <c r="C879" s="157"/>
      <c r="D879" s="227"/>
      <c r="E879" s="157"/>
      <c r="F879" s="227"/>
      <c r="G879" s="157"/>
      <c r="H879" s="227"/>
      <c r="I879" s="157"/>
      <c r="J879" s="157"/>
      <c r="K879" s="33"/>
    </row>
    <row r="880" ht="15.75" customHeight="1">
      <c r="A880" s="226"/>
      <c r="B880" s="227"/>
      <c r="C880" s="157"/>
      <c r="D880" s="227"/>
      <c r="E880" s="157"/>
      <c r="F880" s="227"/>
      <c r="G880" s="157"/>
      <c r="H880" s="227"/>
      <c r="I880" s="157"/>
      <c r="J880" s="157"/>
      <c r="K880" s="33"/>
    </row>
    <row r="881" ht="15.75" customHeight="1">
      <c r="A881" s="226"/>
      <c r="B881" s="227"/>
      <c r="C881" s="157"/>
      <c r="D881" s="227"/>
      <c r="E881" s="157"/>
      <c r="F881" s="227"/>
      <c r="G881" s="157"/>
      <c r="H881" s="227"/>
      <c r="I881" s="157"/>
      <c r="J881" s="157"/>
      <c r="K881" s="33"/>
    </row>
    <row r="882" ht="15.75" customHeight="1">
      <c r="A882" s="226"/>
      <c r="B882" s="227"/>
      <c r="C882" s="157"/>
      <c r="D882" s="227"/>
      <c r="E882" s="157"/>
      <c r="F882" s="227"/>
      <c r="G882" s="157"/>
      <c r="H882" s="227"/>
      <c r="I882" s="157"/>
      <c r="J882" s="157"/>
      <c r="K882" s="33"/>
    </row>
    <row r="883" ht="15.75" customHeight="1">
      <c r="A883" s="226"/>
      <c r="B883" s="227"/>
      <c r="C883" s="157"/>
      <c r="D883" s="227"/>
      <c r="E883" s="157"/>
      <c r="F883" s="227"/>
      <c r="G883" s="157"/>
      <c r="H883" s="227"/>
      <c r="I883" s="157"/>
      <c r="J883" s="157"/>
      <c r="K883" s="33"/>
    </row>
    <row r="884" ht="15.75" customHeight="1">
      <c r="A884" s="226"/>
      <c r="B884" s="227"/>
      <c r="C884" s="157"/>
      <c r="D884" s="227"/>
      <c r="E884" s="157"/>
      <c r="F884" s="227"/>
      <c r="G884" s="157"/>
      <c r="H884" s="227"/>
      <c r="I884" s="157"/>
      <c r="J884" s="157"/>
      <c r="K884" s="33"/>
    </row>
    <row r="885" ht="15.75" customHeight="1">
      <c r="A885" s="226"/>
      <c r="B885" s="227"/>
      <c r="C885" s="157"/>
      <c r="D885" s="227"/>
      <c r="E885" s="157"/>
      <c r="F885" s="227"/>
      <c r="G885" s="157"/>
      <c r="H885" s="227"/>
      <c r="I885" s="157"/>
      <c r="J885" s="157"/>
      <c r="K885" s="33"/>
    </row>
    <row r="886" ht="15.75" customHeight="1">
      <c r="A886" s="226"/>
      <c r="B886" s="227"/>
      <c r="C886" s="157"/>
      <c r="D886" s="227"/>
      <c r="E886" s="157"/>
      <c r="F886" s="227"/>
      <c r="G886" s="157"/>
      <c r="H886" s="227"/>
      <c r="I886" s="157"/>
      <c r="J886" s="157"/>
      <c r="K886" s="33"/>
    </row>
    <row r="887" ht="15.75" customHeight="1">
      <c r="A887" s="226"/>
      <c r="B887" s="227"/>
      <c r="C887" s="157"/>
      <c r="D887" s="227"/>
      <c r="E887" s="157"/>
      <c r="F887" s="227"/>
      <c r="G887" s="157"/>
      <c r="H887" s="227"/>
      <c r="I887" s="157"/>
      <c r="J887" s="157"/>
      <c r="K887" s="33"/>
    </row>
    <row r="888" ht="15.75" customHeight="1">
      <c r="A888" s="226"/>
      <c r="B888" s="227"/>
      <c r="C888" s="157"/>
      <c r="D888" s="227"/>
      <c r="E888" s="157"/>
      <c r="F888" s="227"/>
      <c r="G888" s="157"/>
      <c r="H888" s="227"/>
      <c r="I888" s="157"/>
      <c r="J888" s="157"/>
      <c r="K888" s="33"/>
    </row>
    <row r="889" ht="15.75" customHeight="1">
      <c r="A889" s="226"/>
      <c r="B889" s="227"/>
      <c r="C889" s="157"/>
      <c r="D889" s="227"/>
      <c r="E889" s="157"/>
      <c r="F889" s="227"/>
      <c r="G889" s="157"/>
      <c r="H889" s="227"/>
      <c r="I889" s="157"/>
      <c r="J889" s="157"/>
      <c r="K889" s="33"/>
    </row>
    <row r="890" ht="15.75" customHeight="1">
      <c r="A890" s="226"/>
      <c r="B890" s="227"/>
      <c r="C890" s="157"/>
      <c r="D890" s="227"/>
      <c r="E890" s="157"/>
      <c r="F890" s="227"/>
      <c r="G890" s="157"/>
      <c r="H890" s="227"/>
      <c r="I890" s="157"/>
      <c r="J890" s="157"/>
      <c r="K890" s="33"/>
    </row>
    <row r="891" ht="15.75" customHeight="1">
      <c r="A891" s="226"/>
      <c r="B891" s="227"/>
      <c r="C891" s="157"/>
      <c r="D891" s="227"/>
      <c r="E891" s="157"/>
      <c r="F891" s="227"/>
      <c r="G891" s="157"/>
      <c r="H891" s="227"/>
      <c r="I891" s="157"/>
      <c r="J891" s="157"/>
      <c r="K891" s="33"/>
    </row>
    <row r="892" ht="15.75" customHeight="1">
      <c r="A892" s="226"/>
      <c r="B892" s="227"/>
      <c r="C892" s="157"/>
      <c r="D892" s="227"/>
      <c r="E892" s="157"/>
      <c r="F892" s="227"/>
      <c r="G892" s="157"/>
      <c r="H892" s="227"/>
      <c r="I892" s="157"/>
      <c r="J892" s="157"/>
      <c r="K892" s="33"/>
    </row>
    <row r="893" ht="15.75" customHeight="1">
      <c r="A893" s="226"/>
      <c r="B893" s="227"/>
      <c r="C893" s="157"/>
      <c r="D893" s="227"/>
      <c r="E893" s="157"/>
      <c r="F893" s="227"/>
      <c r="G893" s="157"/>
      <c r="H893" s="227"/>
      <c r="I893" s="157"/>
      <c r="J893" s="157"/>
      <c r="K893" s="33"/>
    </row>
    <row r="894" ht="15.75" customHeight="1">
      <c r="A894" s="226"/>
      <c r="B894" s="227"/>
      <c r="C894" s="157"/>
      <c r="D894" s="227"/>
      <c r="E894" s="157"/>
      <c r="F894" s="227"/>
      <c r="G894" s="157"/>
      <c r="H894" s="227"/>
      <c r="I894" s="157"/>
      <c r="J894" s="157"/>
      <c r="K894" s="33"/>
    </row>
    <row r="895" ht="15.75" customHeight="1">
      <c r="A895" s="226"/>
      <c r="B895" s="227"/>
      <c r="C895" s="157"/>
      <c r="D895" s="227"/>
      <c r="E895" s="157"/>
      <c r="F895" s="227"/>
      <c r="G895" s="157"/>
      <c r="H895" s="227"/>
      <c r="I895" s="157"/>
      <c r="J895" s="157"/>
      <c r="K895" s="33"/>
    </row>
    <row r="896" ht="15.75" customHeight="1">
      <c r="A896" s="226"/>
      <c r="B896" s="227"/>
      <c r="C896" s="157"/>
      <c r="D896" s="227"/>
      <c r="E896" s="157"/>
      <c r="F896" s="227"/>
      <c r="G896" s="157"/>
      <c r="H896" s="227"/>
      <c r="I896" s="157"/>
      <c r="J896" s="157"/>
      <c r="K896" s="33"/>
    </row>
    <row r="897" ht="15.75" customHeight="1">
      <c r="A897" s="226"/>
      <c r="B897" s="227"/>
      <c r="C897" s="157"/>
      <c r="D897" s="227"/>
      <c r="E897" s="157"/>
      <c r="F897" s="227"/>
      <c r="G897" s="157"/>
      <c r="H897" s="227"/>
      <c r="I897" s="157"/>
      <c r="J897" s="157"/>
      <c r="K897" s="33"/>
    </row>
    <row r="898" ht="15.75" customHeight="1">
      <c r="A898" s="226"/>
      <c r="B898" s="227"/>
      <c r="C898" s="157"/>
      <c r="D898" s="227"/>
      <c r="E898" s="157"/>
      <c r="F898" s="227"/>
      <c r="G898" s="157"/>
      <c r="H898" s="227"/>
      <c r="I898" s="157"/>
      <c r="J898" s="157"/>
      <c r="K898" s="33"/>
    </row>
    <row r="899" ht="15.75" customHeight="1">
      <c r="A899" s="226"/>
      <c r="B899" s="227"/>
      <c r="C899" s="157"/>
      <c r="D899" s="227"/>
      <c r="E899" s="157"/>
      <c r="F899" s="227"/>
      <c r="G899" s="157"/>
      <c r="H899" s="227"/>
      <c r="I899" s="157"/>
      <c r="J899" s="157"/>
      <c r="K899" s="33"/>
    </row>
    <row r="900" ht="15.75" customHeight="1">
      <c r="A900" s="226"/>
      <c r="B900" s="227"/>
      <c r="C900" s="157"/>
      <c r="D900" s="227"/>
      <c r="E900" s="157"/>
      <c r="F900" s="227"/>
      <c r="G900" s="157"/>
      <c r="H900" s="227"/>
      <c r="I900" s="157"/>
      <c r="J900" s="157"/>
      <c r="K900" s="33"/>
    </row>
    <row r="901" ht="15.75" customHeight="1">
      <c r="A901" s="226"/>
      <c r="B901" s="227"/>
      <c r="C901" s="157"/>
      <c r="D901" s="227"/>
      <c r="E901" s="157"/>
      <c r="F901" s="227"/>
      <c r="G901" s="157"/>
      <c r="H901" s="227"/>
      <c r="I901" s="157"/>
      <c r="J901" s="157"/>
      <c r="K901" s="33"/>
    </row>
    <row r="902" ht="15.75" customHeight="1">
      <c r="A902" s="226"/>
      <c r="B902" s="227"/>
      <c r="C902" s="157"/>
      <c r="D902" s="227"/>
      <c r="E902" s="157"/>
      <c r="F902" s="227"/>
      <c r="G902" s="157"/>
      <c r="H902" s="227"/>
      <c r="I902" s="157"/>
      <c r="J902" s="157"/>
      <c r="K902" s="33"/>
    </row>
    <row r="903" ht="15.75" customHeight="1">
      <c r="A903" s="226"/>
      <c r="B903" s="227"/>
      <c r="C903" s="157"/>
      <c r="D903" s="227"/>
      <c r="E903" s="157"/>
      <c r="F903" s="227"/>
      <c r="G903" s="157"/>
      <c r="H903" s="227"/>
      <c r="I903" s="157"/>
      <c r="J903" s="157"/>
      <c r="K903" s="33"/>
    </row>
    <row r="904" ht="15.75" customHeight="1">
      <c r="A904" s="226"/>
      <c r="B904" s="227"/>
      <c r="C904" s="157"/>
      <c r="D904" s="227"/>
      <c r="E904" s="157"/>
      <c r="F904" s="227"/>
      <c r="G904" s="157"/>
      <c r="H904" s="227"/>
      <c r="I904" s="157"/>
      <c r="J904" s="157"/>
      <c r="K904" s="33"/>
    </row>
    <row r="905" ht="15.75" customHeight="1">
      <c r="A905" s="226"/>
      <c r="B905" s="227"/>
      <c r="C905" s="157"/>
      <c r="D905" s="227"/>
      <c r="E905" s="157"/>
      <c r="F905" s="227"/>
      <c r="G905" s="157"/>
      <c r="H905" s="227"/>
      <c r="I905" s="157"/>
      <c r="J905" s="157"/>
      <c r="K905" s="33"/>
    </row>
    <row r="906" ht="15.75" customHeight="1">
      <c r="A906" s="226"/>
      <c r="B906" s="227"/>
      <c r="C906" s="157"/>
      <c r="D906" s="227"/>
      <c r="E906" s="157"/>
      <c r="F906" s="227"/>
      <c r="G906" s="157"/>
      <c r="H906" s="227"/>
      <c r="I906" s="157"/>
      <c r="J906" s="157"/>
      <c r="K906" s="33"/>
    </row>
    <row r="907" ht="15.75" customHeight="1">
      <c r="A907" s="226"/>
      <c r="B907" s="227"/>
      <c r="C907" s="157"/>
      <c r="D907" s="227"/>
      <c r="E907" s="157"/>
      <c r="F907" s="227"/>
      <c r="G907" s="157"/>
      <c r="H907" s="227"/>
      <c r="I907" s="157"/>
      <c r="J907" s="157"/>
      <c r="K907" s="33"/>
    </row>
    <row r="908" ht="15.75" customHeight="1">
      <c r="A908" s="226"/>
      <c r="B908" s="227"/>
      <c r="C908" s="157"/>
      <c r="D908" s="227"/>
      <c r="E908" s="157"/>
      <c r="F908" s="227"/>
      <c r="G908" s="157"/>
      <c r="H908" s="227"/>
      <c r="I908" s="157"/>
      <c r="J908" s="157"/>
      <c r="K908" s="33"/>
    </row>
    <row r="909" ht="15.75" customHeight="1">
      <c r="A909" s="226"/>
      <c r="B909" s="227"/>
      <c r="C909" s="157"/>
      <c r="D909" s="227"/>
      <c r="E909" s="157"/>
      <c r="F909" s="227"/>
      <c r="G909" s="157"/>
      <c r="H909" s="227"/>
      <c r="I909" s="157"/>
      <c r="J909" s="157"/>
      <c r="K909" s="33"/>
    </row>
    <row r="910" ht="15.75" customHeight="1">
      <c r="A910" s="226"/>
      <c r="B910" s="227"/>
      <c r="C910" s="157"/>
      <c r="D910" s="227"/>
      <c r="E910" s="157"/>
      <c r="F910" s="227"/>
      <c r="G910" s="157"/>
      <c r="H910" s="227"/>
      <c r="I910" s="157"/>
      <c r="J910" s="157"/>
      <c r="K910" s="33"/>
    </row>
    <row r="911" ht="15.75" customHeight="1">
      <c r="A911" s="226"/>
      <c r="B911" s="227"/>
      <c r="C911" s="157"/>
      <c r="D911" s="227"/>
      <c r="E911" s="157"/>
      <c r="F911" s="227"/>
      <c r="G911" s="157"/>
      <c r="H911" s="227"/>
      <c r="I911" s="157"/>
      <c r="J911" s="157"/>
      <c r="K911" s="33"/>
    </row>
    <row r="912" ht="15.75" customHeight="1">
      <c r="A912" s="226"/>
      <c r="B912" s="227"/>
      <c r="C912" s="157"/>
      <c r="D912" s="227"/>
      <c r="E912" s="157"/>
      <c r="F912" s="227"/>
      <c r="G912" s="157"/>
      <c r="H912" s="227"/>
      <c r="I912" s="157"/>
      <c r="J912" s="157"/>
      <c r="K912" s="33"/>
    </row>
    <row r="913" ht="15.75" customHeight="1">
      <c r="A913" s="226"/>
      <c r="B913" s="227"/>
      <c r="C913" s="157"/>
      <c r="D913" s="227"/>
      <c r="E913" s="157"/>
      <c r="F913" s="227"/>
      <c r="G913" s="157"/>
      <c r="H913" s="227"/>
      <c r="I913" s="157"/>
      <c r="J913" s="157"/>
      <c r="K913" s="33"/>
    </row>
    <row r="914" ht="15.75" customHeight="1">
      <c r="A914" s="226"/>
      <c r="B914" s="227"/>
      <c r="C914" s="157"/>
      <c r="D914" s="227"/>
      <c r="E914" s="157"/>
      <c r="F914" s="227"/>
      <c r="G914" s="157"/>
      <c r="H914" s="227"/>
      <c r="I914" s="157"/>
      <c r="J914" s="157"/>
      <c r="K914" s="33"/>
    </row>
    <row r="915" ht="15.75" customHeight="1">
      <c r="A915" s="226"/>
      <c r="B915" s="227"/>
      <c r="C915" s="157"/>
      <c r="D915" s="227"/>
      <c r="E915" s="157"/>
      <c r="F915" s="227"/>
      <c r="G915" s="157"/>
      <c r="H915" s="227"/>
      <c r="I915" s="157"/>
      <c r="J915" s="157"/>
      <c r="K915" s="33"/>
    </row>
    <row r="916" ht="15.75" customHeight="1">
      <c r="A916" s="226"/>
      <c r="B916" s="227"/>
      <c r="C916" s="157"/>
      <c r="D916" s="227"/>
      <c r="E916" s="157"/>
      <c r="F916" s="227"/>
      <c r="G916" s="157"/>
      <c r="H916" s="227"/>
      <c r="I916" s="157"/>
      <c r="J916" s="157"/>
      <c r="K916" s="33"/>
    </row>
    <row r="917" ht="15.75" customHeight="1">
      <c r="A917" s="226"/>
      <c r="B917" s="227"/>
      <c r="C917" s="157"/>
      <c r="D917" s="227"/>
      <c r="E917" s="157"/>
      <c r="F917" s="227"/>
      <c r="G917" s="157"/>
      <c r="H917" s="227"/>
      <c r="I917" s="157"/>
      <c r="J917" s="157"/>
      <c r="K917" s="33"/>
    </row>
    <row r="918" ht="15.75" customHeight="1">
      <c r="A918" s="226"/>
      <c r="B918" s="227"/>
      <c r="C918" s="157"/>
      <c r="D918" s="227"/>
      <c r="E918" s="157"/>
      <c r="F918" s="227"/>
      <c r="G918" s="157"/>
      <c r="H918" s="227"/>
      <c r="I918" s="157"/>
      <c r="J918" s="157"/>
      <c r="K918" s="33"/>
    </row>
    <row r="919" ht="15.75" customHeight="1">
      <c r="A919" s="226"/>
      <c r="B919" s="227"/>
      <c r="C919" s="157"/>
      <c r="D919" s="227"/>
      <c r="E919" s="157"/>
      <c r="F919" s="227"/>
      <c r="G919" s="157"/>
      <c r="H919" s="227"/>
      <c r="I919" s="157"/>
      <c r="J919" s="157"/>
      <c r="K919" s="33"/>
    </row>
    <row r="920" ht="15.75" customHeight="1">
      <c r="A920" s="226"/>
      <c r="B920" s="227"/>
      <c r="C920" s="157"/>
      <c r="D920" s="227"/>
      <c r="E920" s="157"/>
      <c r="F920" s="227"/>
      <c r="G920" s="157"/>
      <c r="H920" s="227"/>
      <c r="I920" s="157"/>
      <c r="J920" s="157"/>
      <c r="K920" s="33"/>
    </row>
    <row r="921" ht="15.75" customHeight="1">
      <c r="A921" s="226"/>
      <c r="B921" s="227"/>
      <c r="C921" s="157"/>
      <c r="D921" s="227"/>
      <c r="E921" s="157"/>
      <c r="F921" s="227"/>
      <c r="G921" s="157"/>
      <c r="H921" s="227"/>
      <c r="I921" s="157"/>
      <c r="J921" s="157"/>
      <c r="K921" s="33"/>
    </row>
    <row r="922" ht="15.75" customHeight="1">
      <c r="A922" s="226"/>
      <c r="B922" s="227"/>
      <c r="C922" s="157"/>
      <c r="D922" s="227"/>
      <c r="E922" s="157"/>
      <c r="F922" s="227"/>
      <c r="G922" s="157"/>
      <c r="H922" s="227"/>
      <c r="I922" s="157"/>
      <c r="J922" s="157"/>
      <c r="K922" s="33"/>
    </row>
    <row r="923" ht="15.75" customHeight="1">
      <c r="A923" s="226"/>
      <c r="B923" s="227"/>
      <c r="C923" s="157"/>
      <c r="D923" s="227"/>
      <c r="E923" s="157"/>
      <c r="F923" s="227"/>
      <c r="G923" s="157"/>
      <c r="H923" s="227"/>
      <c r="I923" s="157"/>
      <c r="J923" s="157"/>
      <c r="K923" s="33"/>
    </row>
    <row r="924" ht="15.75" customHeight="1">
      <c r="A924" s="226"/>
      <c r="B924" s="227"/>
      <c r="C924" s="157"/>
      <c r="D924" s="227"/>
      <c r="E924" s="157"/>
      <c r="F924" s="227"/>
      <c r="G924" s="157"/>
      <c r="H924" s="227"/>
      <c r="I924" s="157"/>
      <c r="J924" s="157"/>
      <c r="K924" s="33"/>
    </row>
    <row r="925" ht="15.75" customHeight="1">
      <c r="A925" s="226"/>
      <c r="B925" s="227"/>
      <c r="C925" s="157"/>
      <c r="D925" s="227"/>
      <c r="E925" s="157"/>
      <c r="F925" s="227"/>
      <c r="G925" s="157"/>
      <c r="H925" s="227"/>
      <c r="I925" s="157"/>
      <c r="J925" s="157"/>
      <c r="K925" s="33"/>
    </row>
    <row r="926" ht="15.75" customHeight="1">
      <c r="A926" s="226"/>
      <c r="B926" s="227"/>
      <c r="C926" s="157"/>
      <c r="D926" s="227"/>
      <c r="E926" s="157"/>
      <c r="F926" s="227"/>
      <c r="G926" s="157"/>
      <c r="H926" s="227"/>
      <c r="I926" s="157"/>
      <c r="J926" s="157"/>
      <c r="K926" s="33"/>
    </row>
    <row r="927" ht="15.75" customHeight="1">
      <c r="A927" s="226"/>
      <c r="B927" s="227"/>
      <c r="C927" s="157"/>
      <c r="D927" s="227"/>
      <c r="E927" s="157"/>
      <c r="F927" s="227"/>
      <c r="G927" s="157"/>
      <c r="H927" s="227"/>
      <c r="I927" s="157"/>
      <c r="J927" s="157"/>
      <c r="K927" s="33"/>
    </row>
    <row r="928" ht="15.75" customHeight="1">
      <c r="A928" s="226"/>
      <c r="B928" s="227"/>
      <c r="C928" s="157"/>
      <c r="D928" s="227"/>
      <c r="E928" s="157"/>
      <c r="F928" s="227"/>
      <c r="G928" s="157"/>
      <c r="H928" s="227"/>
      <c r="I928" s="157"/>
      <c r="J928" s="157"/>
      <c r="K928" s="33"/>
    </row>
    <row r="929" ht="15.75" customHeight="1">
      <c r="A929" s="226"/>
      <c r="B929" s="227"/>
      <c r="C929" s="157"/>
      <c r="D929" s="227"/>
      <c r="E929" s="157"/>
      <c r="F929" s="227"/>
      <c r="G929" s="157"/>
      <c r="H929" s="227"/>
      <c r="I929" s="157"/>
      <c r="J929" s="157"/>
      <c r="K929" s="33"/>
    </row>
    <row r="930" ht="15.75" customHeight="1">
      <c r="A930" s="226"/>
      <c r="B930" s="227"/>
      <c r="C930" s="157"/>
      <c r="D930" s="227"/>
      <c r="E930" s="157"/>
      <c r="F930" s="227"/>
      <c r="G930" s="157"/>
      <c r="H930" s="227"/>
      <c r="I930" s="157"/>
      <c r="J930" s="157"/>
      <c r="K930" s="33"/>
    </row>
    <row r="931" ht="15.75" customHeight="1">
      <c r="A931" s="226"/>
      <c r="B931" s="227"/>
      <c r="C931" s="157"/>
      <c r="D931" s="227"/>
      <c r="E931" s="157"/>
      <c r="F931" s="227"/>
      <c r="G931" s="157"/>
      <c r="H931" s="227"/>
      <c r="I931" s="157"/>
      <c r="J931" s="157"/>
      <c r="K931" s="33"/>
    </row>
    <row r="932" ht="15.75" customHeight="1">
      <c r="A932" s="226"/>
      <c r="B932" s="227"/>
      <c r="C932" s="157"/>
      <c r="D932" s="227"/>
      <c r="E932" s="157"/>
      <c r="F932" s="227"/>
      <c r="G932" s="157"/>
      <c r="H932" s="227"/>
      <c r="I932" s="157"/>
      <c r="J932" s="157"/>
      <c r="K932" s="33"/>
    </row>
    <row r="933" ht="15.75" customHeight="1">
      <c r="A933" s="226"/>
      <c r="B933" s="227"/>
      <c r="C933" s="157"/>
      <c r="D933" s="227"/>
      <c r="E933" s="157"/>
      <c r="F933" s="227"/>
      <c r="G933" s="157"/>
      <c r="H933" s="227"/>
      <c r="I933" s="157"/>
      <c r="J933" s="157"/>
      <c r="K933" s="33"/>
    </row>
    <row r="934" ht="15.75" customHeight="1">
      <c r="A934" s="226"/>
      <c r="B934" s="227"/>
      <c r="C934" s="157"/>
      <c r="D934" s="227"/>
      <c r="E934" s="157"/>
      <c r="F934" s="227"/>
      <c r="G934" s="157"/>
      <c r="H934" s="227"/>
      <c r="I934" s="157"/>
      <c r="J934" s="157"/>
      <c r="K934" s="33"/>
    </row>
    <row r="935" ht="15.75" customHeight="1">
      <c r="A935" s="226"/>
      <c r="B935" s="227"/>
      <c r="C935" s="157"/>
      <c r="D935" s="227"/>
      <c r="E935" s="157"/>
      <c r="F935" s="227"/>
      <c r="G935" s="157"/>
      <c r="H935" s="227"/>
      <c r="I935" s="157"/>
      <c r="J935" s="157"/>
      <c r="K935" s="33"/>
    </row>
    <row r="936" ht="15.75" customHeight="1">
      <c r="A936" s="226"/>
      <c r="B936" s="227"/>
      <c r="C936" s="157"/>
      <c r="D936" s="227"/>
      <c r="E936" s="157"/>
      <c r="F936" s="227"/>
      <c r="G936" s="157"/>
      <c r="H936" s="227"/>
      <c r="I936" s="157"/>
      <c r="J936" s="157"/>
      <c r="K936" s="33"/>
    </row>
    <row r="937" ht="15.75" customHeight="1">
      <c r="A937" s="226"/>
      <c r="B937" s="227"/>
      <c r="C937" s="157"/>
      <c r="D937" s="227"/>
      <c r="E937" s="157"/>
      <c r="F937" s="227"/>
      <c r="G937" s="157"/>
      <c r="H937" s="227"/>
      <c r="I937" s="157"/>
      <c r="J937" s="157"/>
      <c r="K937" s="33"/>
    </row>
    <row r="938" ht="15.75" customHeight="1">
      <c r="A938" s="226"/>
      <c r="B938" s="227"/>
      <c r="C938" s="157"/>
      <c r="D938" s="227"/>
      <c r="E938" s="157"/>
      <c r="F938" s="227"/>
      <c r="G938" s="157"/>
      <c r="H938" s="227"/>
      <c r="I938" s="157"/>
      <c r="J938" s="157"/>
      <c r="K938" s="33"/>
    </row>
    <row r="939" ht="15.75" customHeight="1">
      <c r="A939" s="226"/>
      <c r="B939" s="227"/>
      <c r="C939" s="157"/>
      <c r="D939" s="227"/>
      <c r="E939" s="157"/>
      <c r="F939" s="227"/>
      <c r="G939" s="157"/>
      <c r="H939" s="227"/>
      <c r="I939" s="157"/>
      <c r="J939" s="157"/>
      <c r="K939" s="33"/>
    </row>
    <row r="940" ht="15.75" customHeight="1">
      <c r="A940" s="226"/>
      <c r="B940" s="227"/>
      <c r="C940" s="157"/>
      <c r="D940" s="227"/>
      <c r="E940" s="157"/>
      <c r="F940" s="227"/>
      <c r="G940" s="157"/>
      <c r="H940" s="227"/>
      <c r="I940" s="157"/>
      <c r="J940" s="157"/>
      <c r="K940" s="33"/>
    </row>
    <row r="941" ht="15.75" customHeight="1">
      <c r="A941" s="226"/>
      <c r="B941" s="227"/>
      <c r="C941" s="157"/>
      <c r="D941" s="227"/>
      <c r="E941" s="157"/>
      <c r="F941" s="227"/>
      <c r="G941" s="157"/>
      <c r="H941" s="227"/>
      <c r="I941" s="157"/>
      <c r="J941" s="157"/>
      <c r="K941" s="33"/>
    </row>
    <row r="942" ht="15.75" customHeight="1">
      <c r="A942" s="226"/>
      <c r="B942" s="227"/>
      <c r="C942" s="157"/>
      <c r="D942" s="227"/>
      <c r="E942" s="157"/>
      <c r="F942" s="227"/>
      <c r="G942" s="157"/>
      <c r="H942" s="227"/>
      <c r="I942" s="157"/>
      <c r="J942" s="157"/>
      <c r="K942" s="33"/>
    </row>
    <row r="943" ht="15.75" customHeight="1">
      <c r="A943" s="226"/>
      <c r="B943" s="227"/>
      <c r="C943" s="157"/>
      <c r="D943" s="227"/>
      <c r="E943" s="157"/>
      <c r="F943" s="227"/>
      <c r="G943" s="157"/>
      <c r="H943" s="227"/>
      <c r="I943" s="157"/>
      <c r="J943" s="157"/>
      <c r="K943" s="33"/>
    </row>
    <row r="944" ht="15.75" customHeight="1">
      <c r="A944" s="226"/>
      <c r="B944" s="227"/>
      <c r="C944" s="157"/>
      <c r="D944" s="227"/>
      <c r="E944" s="157"/>
      <c r="F944" s="227"/>
      <c r="G944" s="157"/>
      <c r="H944" s="227"/>
      <c r="I944" s="157"/>
      <c r="J944" s="157"/>
      <c r="K944" s="33"/>
    </row>
    <row r="945" ht="15.75" customHeight="1">
      <c r="A945" s="226"/>
      <c r="B945" s="227"/>
      <c r="C945" s="157"/>
      <c r="D945" s="227"/>
      <c r="E945" s="157"/>
      <c r="F945" s="227"/>
      <c r="G945" s="157"/>
      <c r="H945" s="227"/>
      <c r="I945" s="157"/>
      <c r="J945" s="157"/>
      <c r="K945" s="33"/>
    </row>
    <row r="946" ht="15.75" customHeight="1">
      <c r="A946" s="226"/>
      <c r="B946" s="227"/>
      <c r="C946" s="157"/>
      <c r="D946" s="227"/>
      <c r="E946" s="157"/>
      <c r="F946" s="227"/>
      <c r="G946" s="157"/>
      <c r="H946" s="227"/>
      <c r="I946" s="157"/>
      <c r="J946" s="157"/>
      <c r="K946" s="33"/>
    </row>
    <row r="947" ht="15.75" customHeight="1">
      <c r="A947" s="226"/>
      <c r="B947" s="227"/>
      <c r="C947" s="157"/>
      <c r="D947" s="227"/>
      <c r="E947" s="157"/>
      <c r="F947" s="227"/>
      <c r="G947" s="157"/>
      <c r="H947" s="227"/>
      <c r="I947" s="157"/>
      <c r="J947" s="157"/>
      <c r="K947" s="33"/>
    </row>
    <row r="948" ht="15.75" customHeight="1">
      <c r="A948" s="226"/>
      <c r="B948" s="227"/>
      <c r="C948" s="157"/>
      <c r="D948" s="227"/>
      <c r="E948" s="157"/>
      <c r="F948" s="227"/>
      <c r="G948" s="157"/>
      <c r="H948" s="227"/>
      <c r="I948" s="157"/>
      <c r="J948" s="157"/>
      <c r="K948" s="33"/>
    </row>
    <row r="949" ht="15.75" customHeight="1">
      <c r="A949" s="226"/>
      <c r="B949" s="227"/>
      <c r="C949" s="157"/>
      <c r="D949" s="227"/>
      <c r="E949" s="157"/>
      <c r="F949" s="227"/>
      <c r="G949" s="157"/>
      <c r="H949" s="227"/>
      <c r="I949" s="157"/>
      <c r="J949" s="157"/>
      <c r="K949" s="33"/>
    </row>
    <row r="950" ht="15.75" customHeight="1">
      <c r="A950" s="226"/>
      <c r="B950" s="227"/>
      <c r="C950" s="157"/>
      <c r="D950" s="227"/>
      <c r="E950" s="157"/>
      <c r="F950" s="227"/>
      <c r="G950" s="157"/>
      <c r="H950" s="227"/>
      <c r="I950" s="157"/>
      <c r="J950" s="157"/>
      <c r="K950" s="33"/>
    </row>
    <row r="951" ht="15.75" customHeight="1">
      <c r="A951" s="226"/>
      <c r="B951" s="227"/>
      <c r="C951" s="157"/>
      <c r="D951" s="227"/>
      <c r="E951" s="157"/>
      <c r="F951" s="227"/>
      <c r="G951" s="157"/>
      <c r="H951" s="227"/>
      <c r="I951" s="157"/>
      <c r="J951" s="157"/>
      <c r="K951" s="33"/>
    </row>
    <row r="952" ht="15.75" customHeight="1">
      <c r="A952" s="226"/>
      <c r="B952" s="227"/>
      <c r="C952" s="157"/>
      <c r="D952" s="227"/>
      <c r="E952" s="157"/>
      <c r="F952" s="227"/>
      <c r="G952" s="157"/>
      <c r="H952" s="227"/>
      <c r="I952" s="157"/>
      <c r="J952" s="157"/>
      <c r="K952" s="33"/>
    </row>
    <row r="953" ht="15.75" customHeight="1">
      <c r="A953" s="226"/>
      <c r="B953" s="227"/>
      <c r="C953" s="157"/>
      <c r="D953" s="227"/>
      <c r="E953" s="157"/>
      <c r="F953" s="227"/>
      <c r="G953" s="157"/>
      <c r="H953" s="227"/>
      <c r="I953" s="157"/>
      <c r="J953" s="157"/>
      <c r="K953" s="33"/>
    </row>
    <row r="954" ht="15.75" customHeight="1">
      <c r="A954" s="226"/>
      <c r="B954" s="227"/>
      <c r="C954" s="157"/>
      <c r="D954" s="227"/>
      <c r="E954" s="157"/>
      <c r="F954" s="227"/>
      <c r="G954" s="157"/>
      <c r="H954" s="227"/>
      <c r="I954" s="157"/>
      <c r="J954" s="157"/>
      <c r="K954" s="33"/>
    </row>
    <row r="955" ht="15.75" customHeight="1">
      <c r="A955" s="226"/>
      <c r="B955" s="227"/>
      <c r="C955" s="157"/>
      <c r="D955" s="227"/>
      <c r="E955" s="157"/>
      <c r="F955" s="227"/>
      <c r="G955" s="157"/>
      <c r="H955" s="227"/>
      <c r="I955" s="157"/>
      <c r="J955" s="157"/>
      <c r="K955" s="33"/>
    </row>
    <row r="956" ht="15.75" customHeight="1">
      <c r="A956" s="226"/>
      <c r="B956" s="227"/>
      <c r="C956" s="157"/>
      <c r="D956" s="227"/>
      <c r="E956" s="157"/>
      <c r="F956" s="227"/>
      <c r="G956" s="157"/>
      <c r="H956" s="227"/>
      <c r="I956" s="157"/>
      <c r="J956" s="157"/>
      <c r="K956" s="33"/>
    </row>
    <row r="957" ht="15.75" customHeight="1">
      <c r="A957" s="226"/>
      <c r="B957" s="227"/>
      <c r="C957" s="157"/>
      <c r="D957" s="227"/>
      <c r="E957" s="157"/>
      <c r="F957" s="227"/>
      <c r="G957" s="157"/>
      <c r="H957" s="227"/>
      <c r="I957" s="157"/>
      <c r="J957" s="157"/>
      <c r="K957" s="33"/>
    </row>
    <row r="958" ht="15.75" customHeight="1">
      <c r="A958" s="226"/>
      <c r="B958" s="227"/>
      <c r="C958" s="157"/>
      <c r="D958" s="227"/>
      <c r="E958" s="157"/>
      <c r="F958" s="227"/>
      <c r="G958" s="157"/>
      <c r="H958" s="227"/>
      <c r="I958" s="157"/>
      <c r="J958" s="157"/>
      <c r="K958" s="33"/>
    </row>
    <row r="959" ht="15.75" customHeight="1">
      <c r="A959" s="226"/>
      <c r="B959" s="227"/>
      <c r="C959" s="157"/>
      <c r="D959" s="227"/>
      <c r="E959" s="157"/>
      <c r="F959" s="227"/>
      <c r="G959" s="157"/>
      <c r="H959" s="227"/>
      <c r="I959" s="157"/>
      <c r="J959" s="157"/>
      <c r="K959" s="33"/>
    </row>
    <row r="960" ht="15.75" customHeight="1">
      <c r="A960" s="226"/>
      <c r="B960" s="227"/>
      <c r="C960" s="157"/>
      <c r="D960" s="227"/>
      <c r="E960" s="157"/>
      <c r="F960" s="227"/>
      <c r="G960" s="157"/>
      <c r="H960" s="227"/>
      <c r="I960" s="157"/>
      <c r="J960" s="157"/>
      <c r="K960" s="33"/>
    </row>
    <row r="961" ht="15.75" customHeight="1">
      <c r="A961" s="226"/>
      <c r="B961" s="227"/>
      <c r="C961" s="157"/>
      <c r="D961" s="227"/>
      <c r="E961" s="157"/>
      <c r="F961" s="227"/>
      <c r="G961" s="157"/>
      <c r="H961" s="227"/>
      <c r="I961" s="157"/>
      <c r="J961" s="157"/>
      <c r="K961" s="33"/>
    </row>
    <row r="962" ht="15.75" customHeight="1">
      <c r="A962" s="226"/>
      <c r="B962" s="227"/>
      <c r="C962" s="157"/>
      <c r="D962" s="227"/>
      <c r="E962" s="157"/>
      <c r="F962" s="227"/>
      <c r="G962" s="157"/>
      <c r="H962" s="227"/>
      <c r="I962" s="157"/>
      <c r="J962" s="157"/>
      <c r="K962" s="33"/>
    </row>
    <row r="963" ht="15.75" customHeight="1">
      <c r="A963" s="226"/>
      <c r="B963" s="227"/>
      <c r="C963" s="157"/>
      <c r="D963" s="227"/>
      <c r="E963" s="157"/>
      <c r="F963" s="227"/>
      <c r="G963" s="157"/>
      <c r="H963" s="227"/>
      <c r="I963" s="157"/>
      <c r="J963" s="157"/>
      <c r="K963" s="33"/>
    </row>
    <row r="964" ht="15.75" customHeight="1">
      <c r="A964" s="226"/>
      <c r="B964" s="227"/>
      <c r="C964" s="157"/>
      <c r="D964" s="227"/>
      <c r="E964" s="157"/>
      <c r="F964" s="227"/>
      <c r="G964" s="157"/>
      <c r="H964" s="227"/>
      <c r="I964" s="157"/>
      <c r="J964" s="157"/>
      <c r="K964" s="33"/>
    </row>
    <row r="965" ht="15.75" customHeight="1">
      <c r="A965" s="226"/>
      <c r="B965" s="227"/>
      <c r="C965" s="157"/>
      <c r="D965" s="227"/>
      <c r="E965" s="157"/>
      <c r="F965" s="227"/>
      <c r="G965" s="157"/>
      <c r="H965" s="227"/>
      <c r="I965" s="157"/>
      <c r="J965" s="157"/>
      <c r="K965" s="33"/>
    </row>
    <row r="966" ht="15.75" customHeight="1">
      <c r="A966" s="226"/>
      <c r="B966" s="227"/>
      <c r="C966" s="157"/>
      <c r="D966" s="227"/>
      <c r="E966" s="157"/>
      <c r="F966" s="227"/>
      <c r="G966" s="157"/>
      <c r="H966" s="227"/>
      <c r="I966" s="157"/>
      <c r="J966" s="157"/>
      <c r="K966" s="33"/>
    </row>
    <row r="967" ht="15.75" customHeight="1">
      <c r="A967" s="226"/>
      <c r="B967" s="227"/>
      <c r="C967" s="157"/>
      <c r="D967" s="227"/>
      <c r="E967" s="157"/>
      <c r="F967" s="227"/>
      <c r="G967" s="157"/>
      <c r="H967" s="227"/>
      <c r="I967" s="157"/>
      <c r="J967" s="157"/>
      <c r="K967" s="33"/>
    </row>
    <row r="968" ht="15.75" customHeight="1">
      <c r="A968" s="226"/>
      <c r="B968" s="227"/>
      <c r="C968" s="157"/>
      <c r="D968" s="227"/>
      <c r="E968" s="157"/>
      <c r="F968" s="227"/>
      <c r="G968" s="157"/>
      <c r="H968" s="227"/>
      <c r="I968" s="157"/>
      <c r="J968" s="157"/>
      <c r="K968" s="33"/>
    </row>
    <row r="969" ht="15.75" customHeight="1">
      <c r="A969" s="226"/>
      <c r="B969" s="227"/>
      <c r="C969" s="157"/>
      <c r="D969" s="227"/>
      <c r="E969" s="157"/>
      <c r="F969" s="227"/>
      <c r="G969" s="157"/>
      <c r="H969" s="227"/>
      <c r="I969" s="157"/>
      <c r="J969" s="157"/>
      <c r="K969" s="33"/>
    </row>
    <row r="970" ht="15.75" customHeight="1">
      <c r="A970" s="226"/>
      <c r="B970" s="227"/>
      <c r="C970" s="157"/>
      <c r="D970" s="227"/>
      <c r="E970" s="157"/>
      <c r="F970" s="227"/>
      <c r="G970" s="157"/>
      <c r="H970" s="227"/>
      <c r="I970" s="157"/>
      <c r="J970" s="157"/>
      <c r="K970" s="33"/>
    </row>
    <row r="971" ht="15.75" customHeight="1">
      <c r="A971" s="226"/>
      <c r="B971" s="227"/>
      <c r="C971" s="157"/>
      <c r="D971" s="227"/>
      <c r="E971" s="157"/>
      <c r="F971" s="227"/>
      <c r="G971" s="157"/>
      <c r="H971" s="227"/>
      <c r="I971" s="157"/>
      <c r="J971" s="157"/>
      <c r="K971" s="33"/>
    </row>
    <row r="972" ht="15.75" customHeight="1">
      <c r="A972" s="226"/>
      <c r="B972" s="227"/>
      <c r="C972" s="157"/>
      <c r="D972" s="227"/>
      <c r="E972" s="157"/>
      <c r="F972" s="227"/>
      <c r="G972" s="157"/>
      <c r="H972" s="227"/>
      <c r="I972" s="157"/>
      <c r="J972" s="157"/>
      <c r="K972" s="33"/>
    </row>
    <row r="973" ht="15.75" customHeight="1">
      <c r="A973" s="226"/>
      <c r="B973" s="227"/>
      <c r="C973" s="157"/>
      <c r="D973" s="227"/>
      <c r="E973" s="157"/>
      <c r="F973" s="227"/>
      <c r="G973" s="157"/>
      <c r="H973" s="227"/>
      <c r="I973" s="157"/>
      <c r="J973" s="157"/>
      <c r="K973" s="33"/>
    </row>
    <row r="974" ht="15.75" customHeight="1">
      <c r="A974" s="226"/>
      <c r="B974" s="227"/>
      <c r="C974" s="157"/>
      <c r="D974" s="227"/>
      <c r="E974" s="157"/>
      <c r="F974" s="227"/>
      <c r="G974" s="157"/>
      <c r="H974" s="227"/>
      <c r="I974" s="157"/>
      <c r="J974" s="157"/>
      <c r="K974" s="33"/>
    </row>
    <row r="975" ht="15.75" customHeight="1">
      <c r="A975" s="226"/>
      <c r="B975" s="227"/>
      <c r="C975" s="157"/>
      <c r="D975" s="227"/>
      <c r="E975" s="157"/>
      <c r="F975" s="227"/>
      <c r="G975" s="157"/>
      <c r="H975" s="227"/>
      <c r="I975" s="157"/>
      <c r="J975" s="157"/>
      <c r="K975" s="33"/>
    </row>
    <row r="976" ht="15.75" customHeight="1">
      <c r="A976" s="226"/>
      <c r="B976" s="227"/>
      <c r="C976" s="157"/>
      <c r="D976" s="227"/>
      <c r="E976" s="157"/>
      <c r="F976" s="227"/>
      <c r="G976" s="157"/>
      <c r="H976" s="227"/>
      <c r="I976" s="157"/>
      <c r="J976" s="157"/>
      <c r="K976" s="33"/>
    </row>
    <row r="977" ht="15.75" customHeight="1">
      <c r="A977" s="226"/>
      <c r="B977" s="227"/>
      <c r="C977" s="157"/>
      <c r="D977" s="227"/>
      <c r="E977" s="157"/>
      <c r="F977" s="227"/>
      <c r="G977" s="157"/>
      <c r="H977" s="227"/>
      <c r="I977" s="157"/>
      <c r="J977" s="157"/>
      <c r="K977" s="33"/>
    </row>
    <row r="978" ht="15.75" customHeight="1">
      <c r="A978" s="226"/>
      <c r="B978" s="227"/>
      <c r="C978" s="157"/>
      <c r="D978" s="227"/>
      <c r="E978" s="157"/>
      <c r="F978" s="227"/>
      <c r="G978" s="157"/>
      <c r="H978" s="227"/>
      <c r="I978" s="157"/>
      <c r="J978" s="157"/>
      <c r="K978" s="33"/>
    </row>
    <row r="979" ht="15.75" customHeight="1">
      <c r="A979" s="226"/>
      <c r="B979" s="227"/>
      <c r="C979" s="157"/>
      <c r="D979" s="227"/>
      <c r="E979" s="157"/>
      <c r="F979" s="227"/>
      <c r="G979" s="157"/>
      <c r="H979" s="227"/>
      <c r="I979" s="157"/>
      <c r="J979" s="157"/>
      <c r="K979" s="33"/>
    </row>
    <row r="980" ht="15.75" customHeight="1">
      <c r="A980" s="226"/>
      <c r="B980" s="227"/>
      <c r="C980" s="157"/>
      <c r="D980" s="227"/>
      <c r="E980" s="157"/>
      <c r="F980" s="227"/>
      <c r="G980" s="157"/>
      <c r="H980" s="227"/>
      <c r="I980" s="157"/>
      <c r="J980" s="157"/>
      <c r="K980" s="33"/>
    </row>
    <row r="981" ht="15.75" customHeight="1">
      <c r="A981" s="226"/>
      <c r="B981" s="227"/>
      <c r="C981" s="157"/>
      <c r="D981" s="227"/>
      <c r="E981" s="157"/>
      <c r="F981" s="227"/>
      <c r="G981" s="157"/>
      <c r="H981" s="227"/>
      <c r="I981" s="157"/>
      <c r="J981" s="157"/>
      <c r="K981" s="33"/>
    </row>
    <row r="982" ht="15.75" customHeight="1">
      <c r="A982" s="226"/>
      <c r="B982" s="227"/>
      <c r="C982" s="157"/>
      <c r="D982" s="227"/>
      <c r="E982" s="157"/>
      <c r="F982" s="227"/>
      <c r="G982" s="157"/>
      <c r="H982" s="227"/>
      <c r="I982" s="157"/>
      <c r="J982" s="157"/>
      <c r="K982" s="33"/>
    </row>
    <row r="983" ht="15.75" customHeight="1">
      <c r="A983" s="226"/>
      <c r="B983" s="227"/>
      <c r="C983" s="157"/>
      <c r="D983" s="227"/>
      <c r="E983" s="157"/>
      <c r="F983" s="227"/>
      <c r="G983" s="157"/>
      <c r="H983" s="227"/>
      <c r="I983" s="157"/>
      <c r="J983" s="157"/>
      <c r="K983" s="33"/>
    </row>
    <row r="984" ht="15.75" customHeight="1">
      <c r="A984" s="226"/>
      <c r="B984" s="227"/>
      <c r="C984" s="157"/>
      <c r="D984" s="227"/>
      <c r="E984" s="157"/>
      <c r="F984" s="227"/>
      <c r="G984" s="157"/>
      <c r="H984" s="227"/>
      <c r="I984" s="157"/>
      <c r="J984" s="157"/>
      <c r="K984" s="33"/>
    </row>
    <row r="985" ht="15.75" customHeight="1">
      <c r="A985" s="226"/>
      <c r="B985" s="227"/>
      <c r="C985" s="157"/>
      <c r="D985" s="227"/>
      <c r="E985" s="157"/>
      <c r="F985" s="227"/>
      <c r="G985" s="157"/>
      <c r="H985" s="227"/>
      <c r="I985" s="157"/>
      <c r="J985" s="157"/>
      <c r="K985" s="33"/>
    </row>
    <row r="986" ht="15.75" customHeight="1">
      <c r="A986" s="226"/>
      <c r="B986" s="227"/>
      <c r="C986" s="157"/>
      <c r="D986" s="227"/>
      <c r="E986" s="157"/>
      <c r="F986" s="227"/>
      <c r="G986" s="157"/>
      <c r="H986" s="227"/>
      <c r="I986" s="157"/>
      <c r="J986" s="157"/>
      <c r="K986" s="33"/>
    </row>
    <row r="987" ht="15.75" customHeight="1">
      <c r="A987" s="226"/>
      <c r="B987" s="227"/>
      <c r="C987" s="157"/>
      <c r="D987" s="227"/>
      <c r="E987" s="157"/>
      <c r="F987" s="227"/>
      <c r="G987" s="157"/>
      <c r="H987" s="227"/>
      <c r="I987" s="157"/>
      <c r="J987" s="157"/>
      <c r="K987" s="33"/>
    </row>
    <row r="988" ht="15.75" customHeight="1">
      <c r="A988" s="226"/>
      <c r="B988" s="227"/>
      <c r="C988" s="157"/>
      <c r="D988" s="227"/>
      <c r="E988" s="157"/>
      <c r="F988" s="227"/>
      <c r="G988" s="157"/>
      <c r="H988" s="227"/>
      <c r="I988" s="157"/>
      <c r="J988" s="157"/>
      <c r="K988" s="33"/>
    </row>
    <row r="989" ht="15.75" customHeight="1">
      <c r="A989" s="226"/>
      <c r="B989" s="227"/>
      <c r="C989" s="157"/>
      <c r="D989" s="227"/>
      <c r="E989" s="157"/>
      <c r="F989" s="227"/>
      <c r="G989" s="157"/>
      <c r="H989" s="227"/>
      <c r="I989" s="157"/>
      <c r="J989" s="157"/>
      <c r="K989" s="33"/>
    </row>
    <row r="990" ht="15.75" customHeight="1">
      <c r="A990" s="226"/>
      <c r="B990" s="227"/>
      <c r="C990" s="157"/>
      <c r="D990" s="227"/>
      <c r="E990" s="157"/>
      <c r="F990" s="227"/>
      <c r="G990" s="157"/>
      <c r="H990" s="227"/>
      <c r="I990" s="157"/>
      <c r="J990" s="157"/>
      <c r="K990" s="33"/>
    </row>
    <row r="991" ht="15.75" customHeight="1">
      <c r="A991" s="226"/>
      <c r="B991" s="227"/>
      <c r="C991" s="157"/>
      <c r="D991" s="227"/>
      <c r="E991" s="157"/>
      <c r="F991" s="227"/>
      <c r="G991" s="157"/>
      <c r="H991" s="227"/>
      <c r="I991" s="157"/>
      <c r="J991" s="157"/>
      <c r="K991" s="33"/>
    </row>
    <row r="992" ht="15.75" customHeight="1">
      <c r="A992" s="226"/>
      <c r="B992" s="227"/>
      <c r="C992" s="157"/>
      <c r="D992" s="227"/>
      <c r="E992" s="157"/>
      <c r="F992" s="227"/>
      <c r="G992" s="157"/>
      <c r="H992" s="227"/>
      <c r="I992" s="157"/>
      <c r="J992" s="157"/>
      <c r="K992" s="33"/>
    </row>
    <row r="993" ht="15.75" customHeight="1">
      <c r="A993" s="226"/>
      <c r="B993" s="227"/>
      <c r="C993" s="157"/>
      <c r="D993" s="227"/>
      <c r="E993" s="157"/>
      <c r="F993" s="227"/>
      <c r="G993" s="157"/>
      <c r="H993" s="227"/>
      <c r="I993" s="157"/>
      <c r="J993" s="157"/>
      <c r="K993" s="33"/>
    </row>
    <row r="994" ht="15.75" customHeight="1">
      <c r="A994" s="226"/>
      <c r="B994" s="227"/>
      <c r="C994" s="157"/>
      <c r="D994" s="227"/>
      <c r="E994" s="157"/>
      <c r="F994" s="227"/>
      <c r="G994" s="157"/>
      <c r="H994" s="227"/>
      <c r="I994" s="157"/>
      <c r="J994" s="157"/>
      <c r="K994" s="33"/>
    </row>
    <row r="995" ht="15.75" customHeight="1">
      <c r="A995" s="226"/>
      <c r="B995" s="227"/>
      <c r="C995" s="157"/>
      <c r="D995" s="227"/>
      <c r="E995" s="157"/>
      <c r="F995" s="227"/>
      <c r="G995" s="157"/>
      <c r="H995" s="227"/>
      <c r="I995" s="157"/>
      <c r="J995" s="157"/>
      <c r="K995" s="33"/>
    </row>
    <row r="996" ht="15.75" customHeight="1">
      <c r="A996" s="226"/>
      <c r="B996" s="227"/>
      <c r="C996" s="157"/>
      <c r="D996" s="227"/>
      <c r="E996" s="157"/>
      <c r="F996" s="227"/>
      <c r="G996" s="157"/>
      <c r="H996" s="227"/>
      <c r="I996" s="157"/>
      <c r="J996" s="157"/>
      <c r="K996" s="33"/>
    </row>
    <row r="997" ht="15.75" customHeight="1">
      <c r="A997" s="226"/>
      <c r="B997" s="227"/>
      <c r="C997" s="157"/>
      <c r="D997" s="227"/>
      <c r="E997" s="157"/>
      <c r="F997" s="227"/>
      <c r="G997" s="157"/>
      <c r="H997" s="227"/>
      <c r="I997" s="157"/>
      <c r="J997" s="157"/>
      <c r="K997" s="33"/>
    </row>
    <row r="998" ht="15.75" customHeight="1">
      <c r="A998" s="226"/>
      <c r="B998" s="227"/>
      <c r="C998" s="157"/>
      <c r="D998" s="227"/>
      <c r="E998" s="157"/>
      <c r="F998" s="227"/>
      <c r="G998" s="157"/>
      <c r="H998" s="227"/>
      <c r="I998" s="157"/>
      <c r="J998" s="157"/>
      <c r="K998" s="33"/>
    </row>
    <row r="999" ht="15.75" customHeight="1">
      <c r="A999" s="226"/>
      <c r="B999" s="227"/>
      <c r="C999" s="157"/>
      <c r="D999" s="227"/>
      <c r="E999" s="157"/>
      <c r="F999" s="227"/>
      <c r="G999" s="157"/>
      <c r="H999" s="227"/>
      <c r="I999" s="157"/>
      <c r="J999" s="157"/>
      <c r="K999" s="33"/>
    </row>
    <row r="1000" ht="15.75" customHeight="1">
      <c r="A1000" s="226"/>
      <c r="B1000" s="227"/>
      <c r="C1000" s="157"/>
      <c r="D1000" s="227"/>
      <c r="E1000" s="157"/>
      <c r="F1000" s="227"/>
      <c r="G1000" s="157"/>
      <c r="H1000" s="227"/>
      <c r="I1000" s="157"/>
      <c r="J1000" s="157"/>
      <c r="K1000" s="33"/>
    </row>
    <row r="1001" ht="15.75" customHeight="1">
      <c r="A1001" s="226"/>
      <c r="B1001" s="227"/>
      <c r="C1001" s="157"/>
      <c r="D1001" s="227"/>
      <c r="E1001" s="157"/>
      <c r="F1001" s="227"/>
      <c r="G1001" s="157"/>
      <c r="H1001" s="227"/>
      <c r="I1001" s="157"/>
      <c r="J1001" s="157"/>
      <c r="K1001" s="33"/>
    </row>
    <row r="1002" ht="15.75" customHeight="1">
      <c r="A1002" s="226"/>
      <c r="B1002" s="227"/>
      <c r="C1002" s="157"/>
      <c r="D1002" s="227"/>
      <c r="E1002" s="157"/>
      <c r="F1002" s="227"/>
      <c r="G1002" s="157"/>
      <c r="H1002" s="227"/>
      <c r="I1002" s="157"/>
      <c r="J1002" s="157"/>
      <c r="K1002" s="33"/>
    </row>
    <row r="1003" ht="15.75" customHeight="1">
      <c r="A1003" s="226"/>
      <c r="B1003" s="227"/>
      <c r="C1003" s="157"/>
      <c r="D1003" s="227"/>
      <c r="E1003" s="157"/>
      <c r="F1003" s="227"/>
      <c r="G1003" s="157"/>
      <c r="H1003" s="227"/>
      <c r="I1003" s="157"/>
      <c r="J1003" s="157"/>
      <c r="K1003" s="33"/>
    </row>
    <row r="1004" ht="15.75" customHeight="1">
      <c r="A1004" s="226"/>
      <c r="B1004" s="227"/>
      <c r="C1004" s="157"/>
      <c r="D1004" s="227"/>
      <c r="E1004" s="157"/>
      <c r="F1004" s="227"/>
      <c r="G1004" s="157"/>
      <c r="H1004" s="227"/>
      <c r="I1004" s="157"/>
      <c r="J1004" s="157"/>
      <c r="K1004" s="33"/>
    </row>
    <row r="1005" ht="15.75" customHeight="1">
      <c r="A1005" s="226"/>
      <c r="B1005" s="227"/>
      <c r="C1005" s="157"/>
      <c r="D1005" s="227"/>
      <c r="E1005" s="157"/>
      <c r="F1005" s="227"/>
      <c r="G1005" s="157"/>
      <c r="H1005" s="227"/>
      <c r="I1005" s="157"/>
      <c r="J1005" s="157"/>
      <c r="K1005" s="33"/>
    </row>
    <row r="1006" ht="15.75" customHeight="1">
      <c r="A1006" s="226"/>
      <c r="B1006" s="227"/>
      <c r="C1006" s="157"/>
      <c r="D1006" s="227"/>
      <c r="E1006" s="157"/>
      <c r="F1006" s="227"/>
      <c r="G1006" s="157"/>
      <c r="H1006" s="227"/>
      <c r="I1006" s="157"/>
      <c r="J1006" s="157"/>
      <c r="K1006" s="33"/>
    </row>
    <row r="1007" ht="15.75" customHeight="1">
      <c r="A1007" s="226"/>
      <c r="B1007" s="227"/>
      <c r="C1007" s="157"/>
      <c r="D1007" s="227"/>
      <c r="E1007" s="157"/>
      <c r="F1007" s="227"/>
      <c r="G1007" s="157"/>
      <c r="H1007" s="227"/>
      <c r="I1007" s="157"/>
      <c r="J1007" s="157"/>
      <c r="K1007" s="33"/>
    </row>
    <row r="1008" ht="15.75" customHeight="1">
      <c r="A1008" s="226"/>
      <c r="B1008" s="227"/>
      <c r="C1008" s="157"/>
      <c r="D1008" s="227"/>
      <c r="E1008" s="157"/>
      <c r="F1008" s="227"/>
      <c r="G1008" s="157"/>
      <c r="H1008" s="227"/>
      <c r="I1008" s="157"/>
      <c r="J1008" s="157"/>
      <c r="K1008" s="33"/>
    </row>
    <row r="1009" ht="15.75" customHeight="1">
      <c r="A1009" s="226"/>
      <c r="B1009" s="227"/>
      <c r="C1009" s="157"/>
      <c r="D1009" s="227"/>
      <c r="E1009" s="157"/>
      <c r="F1009" s="227"/>
      <c r="G1009" s="157"/>
      <c r="H1009" s="227"/>
      <c r="I1009" s="157"/>
      <c r="J1009" s="157"/>
      <c r="K1009" s="33"/>
    </row>
    <row r="1010" ht="15.75" customHeight="1">
      <c r="A1010" s="226"/>
      <c r="B1010" s="227"/>
      <c r="C1010" s="157"/>
      <c r="D1010" s="227"/>
      <c r="E1010" s="157"/>
      <c r="F1010" s="227"/>
      <c r="G1010" s="157"/>
      <c r="H1010" s="227"/>
      <c r="I1010" s="157"/>
      <c r="J1010" s="157"/>
      <c r="K1010" s="33"/>
    </row>
    <row r="1011" ht="15.75" customHeight="1">
      <c r="A1011" s="226"/>
      <c r="B1011" s="227"/>
      <c r="C1011" s="157"/>
      <c r="D1011" s="227"/>
      <c r="E1011" s="157"/>
      <c r="F1011" s="227"/>
      <c r="G1011" s="157"/>
      <c r="H1011" s="227"/>
      <c r="I1011" s="157"/>
      <c r="J1011" s="157"/>
      <c r="K1011" s="33"/>
    </row>
    <row r="1012" ht="15.75" customHeight="1">
      <c r="A1012" s="226"/>
      <c r="B1012" s="227"/>
      <c r="C1012" s="157"/>
      <c r="D1012" s="227"/>
      <c r="E1012" s="157"/>
      <c r="F1012" s="227"/>
      <c r="G1012" s="157"/>
      <c r="H1012" s="227"/>
      <c r="I1012" s="157"/>
      <c r="J1012" s="157"/>
      <c r="K1012" s="33"/>
    </row>
    <row r="1013" ht="15.75" customHeight="1">
      <c r="A1013" s="226"/>
      <c r="B1013" s="227"/>
      <c r="C1013" s="157"/>
      <c r="D1013" s="227"/>
      <c r="E1013" s="157"/>
      <c r="F1013" s="227"/>
      <c r="G1013" s="157"/>
      <c r="H1013" s="227"/>
      <c r="I1013" s="157"/>
      <c r="J1013" s="157"/>
      <c r="K1013" s="33"/>
    </row>
    <row r="1014" ht="15.75" customHeight="1">
      <c r="A1014" s="226"/>
      <c r="B1014" s="227"/>
      <c r="C1014" s="157"/>
      <c r="D1014" s="227"/>
      <c r="E1014" s="157"/>
      <c r="F1014" s="227"/>
      <c r="G1014" s="157"/>
      <c r="H1014" s="227"/>
      <c r="I1014" s="157"/>
      <c r="J1014" s="157"/>
      <c r="K1014" s="33"/>
    </row>
    <row r="1015" ht="15.75" customHeight="1">
      <c r="A1015" s="226"/>
      <c r="B1015" s="227"/>
      <c r="C1015" s="157"/>
      <c r="D1015" s="227"/>
      <c r="E1015" s="157"/>
      <c r="F1015" s="227"/>
      <c r="G1015" s="157"/>
      <c r="H1015" s="227"/>
      <c r="I1015" s="157"/>
      <c r="J1015" s="157"/>
      <c r="K1015" s="33"/>
    </row>
    <row r="1016" ht="15.75" customHeight="1">
      <c r="A1016" s="226"/>
      <c r="B1016" s="227"/>
      <c r="C1016" s="157"/>
      <c r="D1016" s="227"/>
      <c r="E1016" s="157"/>
      <c r="F1016" s="227"/>
      <c r="G1016" s="157"/>
      <c r="H1016" s="227"/>
      <c r="I1016" s="157"/>
      <c r="J1016" s="157"/>
      <c r="K1016" s="33"/>
    </row>
    <row r="1017" ht="15.75" customHeight="1">
      <c r="A1017" s="226"/>
      <c r="B1017" s="227"/>
      <c r="C1017" s="157"/>
      <c r="D1017" s="227"/>
      <c r="E1017" s="157"/>
      <c r="F1017" s="227"/>
      <c r="G1017" s="157"/>
      <c r="H1017" s="227"/>
      <c r="I1017" s="157"/>
      <c r="J1017" s="157"/>
      <c r="K1017" s="33"/>
    </row>
    <row r="1018" ht="15.75" customHeight="1">
      <c r="A1018" s="226"/>
      <c r="B1018" s="227"/>
      <c r="C1018" s="157"/>
      <c r="D1018" s="227"/>
      <c r="E1018" s="157"/>
      <c r="F1018" s="227"/>
      <c r="G1018" s="157"/>
      <c r="H1018" s="227"/>
      <c r="I1018" s="157"/>
      <c r="J1018" s="157"/>
      <c r="K1018" s="33"/>
    </row>
    <row r="1019" ht="15.75" customHeight="1">
      <c r="A1019" s="226"/>
      <c r="B1019" s="227"/>
      <c r="C1019" s="157"/>
      <c r="D1019" s="227"/>
      <c r="E1019" s="157"/>
      <c r="F1019" s="227"/>
      <c r="G1019" s="157"/>
      <c r="H1019" s="227"/>
      <c r="I1019" s="157"/>
      <c r="J1019" s="157"/>
      <c r="K1019" s="33"/>
    </row>
    <row r="1020" ht="15.75" customHeight="1">
      <c r="A1020" s="226"/>
      <c r="B1020" s="227"/>
      <c r="C1020" s="157"/>
      <c r="D1020" s="227"/>
      <c r="E1020" s="157"/>
      <c r="F1020" s="227"/>
      <c r="G1020" s="157"/>
      <c r="H1020" s="227"/>
      <c r="I1020" s="157"/>
      <c r="J1020" s="157"/>
      <c r="K1020" s="33"/>
    </row>
    <row r="1021" ht="15.75" customHeight="1">
      <c r="A1021" s="226"/>
      <c r="B1021" s="227"/>
      <c r="C1021" s="157"/>
      <c r="D1021" s="227"/>
      <c r="E1021" s="157"/>
      <c r="F1021" s="227"/>
      <c r="G1021" s="157"/>
      <c r="H1021" s="227"/>
      <c r="I1021" s="157"/>
      <c r="J1021" s="157"/>
      <c r="K1021" s="33"/>
    </row>
    <row r="1022" ht="15.75" customHeight="1">
      <c r="A1022" s="226"/>
      <c r="B1022" s="227"/>
      <c r="C1022" s="157"/>
      <c r="D1022" s="227"/>
      <c r="E1022" s="157"/>
      <c r="F1022" s="227"/>
      <c r="G1022" s="157"/>
      <c r="H1022" s="227"/>
      <c r="I1022" s="157"/>
      <c r="J1022" s="157"/>
      <c r="K1022" s="33"/>
    </row>
    <row r="1023" ht="15.75" customHeight="1">
      <c r="A1023" s="226"/>
      <c r="B1023" s="227"/>
      <c r="C1023" s="157"/>
      <c r="D1023" s="227"/>
      <c r="E1023" s="157"/>
      <c r="F1023" s="227"/>
      <c r="G1023" s="157"/>
      <c r="H1023" s="227"/>
      <c r="I1023" s="157"/>
      <c r="J1023" s="157"/>
      <c r="K1023" s="33"/>
    </row>
    <row r="1024" ht="15.75" customHeight="1">
      <c r="A1024" s="226"/>
      <c r="B1024" s="227"/>
      <c r="C1024" s="157"/>
      <c r="D1024" s="227"/>
      <c r="E1024" s="157"/>
      <c r="F1024" s="227"/>
      <c r="G1024" s="157"/>
      <c r="H1024" s="227"/>
      <c r="I1024" s="157"/>
      <c r="J1024" s="157"/>
      <c r="K1024" s="33"/>
    </row>
    <row r="1025" ht="15.75" customHeight="1">
      <c r="A1025" s="226"/>
      <c r="B1025" s="227"/>
      <c r="C1025" s="157"/>
      <c r="D1025" s="227"/>
      <c r="E1025" s="157"/>
      <c r="F1025" s="227"/>
      <c r="G1025" s="157"/>
      <c r="H1025" s="227"/>
      <c r="I1025" s="157"/>
      <c r="J1025" s="157"/>
      <c r="K1025" s="33"/>
    </row>
    <row r="1026" ht="15.75" customHeight="1">
      <c r="A1026" s="226"/>
      <c r="B1026" s="227"/>
      <c r="C1026" s="157"/>
      <c r="D1026" s="227"/>
      <c r="E1026" s="157"/>
      <c r="F1026" s="227"/>
      <c r="G1026" s="157"/>
      <c r="H1026" s="227"/>
      <c r="I1026" s="157"/>
      <c r="J1026" s="157"/>
      <c r="K1026" s="33"/>
    </row>
    <row r="1027" ht="15.75" customHeight="1">
      <c r="A1027" s="226"/>
      <c r="B1027" s="227"/>
      <c r="C1027" s="157"/>
      <c r="D1027" s="227"/>
      <c r="E1027" s="157"/>
      <c r="F1027" s="227"/>
      <c r="G1027" s="157"/>
      <c r="H1027" s="227"/>
      <c r="I1027" s="157"/>
      <c r="J1027" s="157"/>
      <c r="K1027" s="33"/>
    </row>
    <row r="1028" ht="15.75" customHeight="1">
      <c r="A1028" s="226"/>
      <c r="B1028" s="227"/>
      <c r="C1028" s="157"/>
      <c r="D1028" s="227"/>
      <c r="E1028" s="157"/>
      <c r="F1028" s="227"/>
      <c r="G1028" s="157"/>
      <c r="H1028" s="227"/>
      <c r="I1028" s="157"/>
      <c r="J1028" s="157"/>
      <c r="K1028" s="33"/>
    </row>
    <row r="1029" ht="15.75" customHeight="1">
      <c r="A1029" s="226"/>
      <c r="B1029" s="227"/>
      <c r="C1029" s="157"/>
      <c r="D1029" s="227"/>
      <c r="E1029" s="157"/>
      <c r="F1029" s="227"/>
      <c r="G1029" s="157"/>
      <c r="H1029" s="227"/>
      <c r="I1029" s="157"/>
      <c r="J1029" s="157"/>
      <c r="K1029" s="33"/>
    </row>
    <row r="1030" ht="15.75" customHeight="1">
      <c r="A1030" s="226"/>
      <c r="B1030" s="227"/>
      <c r="C1030" s="157"/>
      <c r="D1030" s="227"/>
      <c r="E1030" s="157"/>
      <c r="F1030" s="227"/>
      <c r="G1030" s="157"/>
      <c r="H1030" s="227"/>
      <c r="I1030" s="157"/>
      <c r="J1030" s="157"/>
      <c r="K1030" s="33"/>
    </row>
    <row r="1031" ht="15.75" customHeight="1">
      <c r="A1031" s="226"/>
      <c r="B1031" s="227"/>
      <c r="C1031" s="157"/>
      <c r="D1031" s="227"/>
      <c r="E1031" s="157"/>
      <c r="F1031" s="227"/>
      <c r="G1031" s="157"/>
      <c r="H1031" s="227"/>
      <c r="I1031" s="157"/>
      <c r="J1031" s="157"/>
      <c r="K1031" s="33"/>
    </row>
    <row r="1032" ht="15.75" customHeight="1">
      <c r="A1032" s="226"/>
      <c r="B1032" s="227"/>
      <c r="C1032" s="157"/>
      <c r="D1032" s="227"/>
      <c r="E1032" s="157"/>
      <c r="F1032" s="227"/>
      <c r="G1032" s="157"/>
      <c r="H1032" s="227"/>
      <c r="I1032" s="157"/>
      <c r="J1032" s="157"/>
      <c r="K1032" s="33"/>
    </row>
    <row r="1033" ht="15.75" customHeight="1">
      <c r="A1033" s="226"/>
      <c r="B1033" s="227"/>
      <c r="C1033" s="157"/>
      <c r="D1033" s="227"/>
      <c r="E1033" s="157"/>
      <c r="F1033" s="227"/>
      <c r="G1033" s="157"/>
      <c r="H1033" s="227"/>
      <c r="I1033" s="157"/>
      <c r="J1033" s="157"/>
      <c r="K1033" s="33"/>
    </row>
    <row r="1034" ht="15.75" customHeight="1">
      <c r="A1034" s="226"/>
      <c r="B1034" s="227"/>
      <c r="C1034" s="157"/>
      <c r="D1034" s="227"/>
      <c r="E1034" s="157"/>
      <c r="F1034" s="227"/>
      <c r="G1034" s="157"/>
      <c r="H1034" s="227"/>
      <c r="I1034" s="157"/>
      <c r="J1034" s="157"/>
      <c r="K1034" s="33"/>
    </row>
    <row r="1035" ht="15.75" customHeight="1">
      <c r="A1035" s="226"/>
      <c r="B1035" s="227"/>
      <c r="C1035" s="157"/>
      <c r="D1035" s="227"/>
      <c r="E1035" s="157"/>
      <c r="F1035" s="227"/>
      <c r="G1035" s="157"/>
      <c r="H1035" s="227"/>
      <c r="I1035" s="157"/>
      <c r="J1035" s="157"/>
      <c r="K1035" s="33"/>
    </row>
    <row r="1036" ht="15.75" customHeight="1">
      <c r="A1036" s="226"/>
      <c r="B1036" s="227"/>
      <c r="C1036" s="157"/>
      <c r="D1036" s="227"/>
      <c r="E1036" s="157"/>
      <c r="F1036" s="227"/>
      <c r="G1036" s="157"/>
      <c r="H1036" s="227"/>
      <c r="I1036" s="157"/>
      <c r="J1036" s="157"/>
      <c r="K1036" s="33"/>
    </row>
    <row r="1037" ht="15.75" customHeight="1">
      <c r="A1037" s="226"/>
      <c r="B1037" s="227"/>
      <c r="C1037" s="157"/>
      <c r="D1037" s="227"/>
      <c r="E1037" s="157"/>
      <c r="F1037" s="227"/>
      <c r="G1037" s="157"/>
      <c r="H1037" s="227"/>
      <c r="I1037" s="157"/>
      <c r="J1037" s="157"/>
      <c r="K1037" s="33"/>
    </row>
    <row r="1038" ht="15.75" customHeight="1">
      <c r="A1038" s="226"/>
      <c r="B1038" s="227"/>
      <c r="C1038" s="157"/>
      <c r="D1038" s="227"/>
      <c r="E1038" s="157"/>
      <c r="F1038" s="227"/>
      <c r="G1038" s="157"/>
      <c r="H1038" s="227"/>
      <c r="I1038" s="157"/>
      <c r="J1038" s="157"/>
      <c r="K1038" s="33"/>
    </row>
    <row r="1039" ht="15.75" customHeight="1">
      <c r="A1039" s="226"/>
      <c r="B1039" s="227"/>
      <c r="C1039" s="157"/>
      <c r="D1039" s="227"/>
      <c r="E1039" s="157"/>
      <c r="F1039" s="227"/>
      <c r="G1039" s="157"/>
      <c r="H1039" s="227"/>
      <c r="I1039" s="157"/>
      <c r="J1039" s="157"/>
      <c r="K1039" s="33"/>
    </row>
    <row r="1040" ht="15.75" customHeight="1">
      <c r="A1040" s="226"/>
      <c r="B1040" s="227"/>
      <c r="C1040" s="157"/>
      <c r="D1040" s="227"/>
      <c r="E1040" s="157"/>
      <c r="F1040" s="227"/>
      <c r="G1040" s="157"/>
      <c r="H1040" s="227"/>
      <c r="I1040" s="157"/>
      <c r="J1040" s="157"/>
      <c r="K1040" s="33"/>
    </row>
    <row r="1041" ht="15.75" customHeight="1">
      <c r="A1041" s="226"/>
      <c r="B1041" s="227"/>
      <c r="C1041" s="157"/>
      <c r="D1041" s="227"/>
      <c r="E1041" s="157"/>
      <c r="F1041" s="227"/>
      <c r="G1041" s="157"/>
      <c r="H1041" s="227"/>
      <c r="I1041" s="157"/>
      <c r="J1041" s="157"/>
      <c r="K1041" s="33"/>
    </row>
    <row r="1042" ht="15.75" customHeight="1">
      <c r="A1042" s="226"/>
      <c r="B1042" s="227"/>
      <c r="C1042" s="157"/>
      <c r="D1042" s="227"/>
      <c r="E1042" s="157"/>
      <c r="F1042" s="227"/>
      <c r="G1042" s="157"/>
      <c r="H1042" s="227"/>
      <c r="I1042" s="157"/>
      <c r="J1042" s="157"/>
      <c r="K1042" s="33"/>
    </row>
    <row r="1043" ht="15.75" customHeight="1">
      <c r="A1043" s="226"/>
      <c r="B1043" s="227"/>
      <c r="C1043" s="157"/>
      <c r="D1043" s="227"/>
      <c r="E1043" s="157"/>
      <c r="F1043" s="227"/>
      <c r="G1043" s="157"/>
      <c r="H1043" s="227"/>
      <c r="I1043" s="157"/>
      <c r="J1043" s="157"/>
      <c r="K1043" s="33"/>
    </row>
    <row r="1044" ht="15.75" customHeight="1">
      <c r="A1044" s="226"/>
      <c r="B1044" s="227"/>
      <c r="C1044" s="157"/>
      <c r="D1044" s="227"/>
      <c r="E1044" s="157"/>
      <c r="F1044" s="227"/>
      <c r="G1044" s="157"/>
      <c r="H1044" s="227"/>
      <c r="I1044" s="157"/>
      <c r="J1044" s="157"/>
      <c r="K1044" s="33"/>
    </row>
    <row r="1045" ht="15.75" customHeight="1">
      <c r="A1045" s="226"/>
      <c r="B1045" s="227"/>
      <c r="C1045" s="157"/>
      <c r="D1045" s="227"/>
      <c r="E1045" s="157"/>
      <c r="F1045" s="227"/>
      <c r="G1045" s="157"/>
      <c r="H1045" s="227"/>
      <c r="I1045" s="157"/>
      <c r="J1045" s="157"/>
      <c r="K1045" s="33"/>
    </row>
    <row r="1046" ht="15.75" customHeight="1">
      <c r="A1046" s="226"/>
      <c r="B1046" s="227"/>
      <c r="C1046" s="157"/>
      <c r="D1046" s="227"/>
      <c r="E1046" s="157"/>
      <c r="F1046" s="227"/>
      <c r="G1046" s="157"/>
      <c r="H1046" s="227"/>
      <c r="I1046" s="157"/>
      <c r="J1046" s="157"/>
      <c r="K1046" s="33"/>
    </row>
    <row r="1047" ht="15.75" customHeight="1">
      <c r="A1047" s="226"/>
      <c r="B1047" s="227"/>
      <c r="C1047" s="157"/>
      <c r="D1047" s="227"/>
      <c r="E1047" s="157"/>
      <c r="F1047" s="227"/>
      <c r="G1047" s="157"/>
      <c r="H1047" s="227"/>
      <c r="I1047" s="157"/>
      <c r="J1047" s="157"/>
      <c r="K1047" s="33"/>
    </row>
    <row r="1048" ht="15.75" customHeight="1">
      <c r="A1048" s="226"/>
      <c r="B1048" s="227"/>
      <c r="C1048" s="157"/>
      <c r="D1048" s="227"/>
      <c r="E1048" s="157"/>
      <c r="F1048" s="227"/>
      <c r="G1048" s="157"/>
      <c r="H1048" s="227"/>
      <c r="I1048" s="157"/>
      <c r="J1048" s="157"/>
      <c r="K1048" s="33"/>
    </row>
    <row r="1049" ht="15.75" customHeight="1">
      <c r="A1049" s="226"/>
      <c r="B1049" s="227"/>
      <c r="C1049" s="157"/>
      <c r="D1049" s="227"/>
      <c r="E1049" s="157"/>
      <c r="F1049" s="227"/>
      <c r="G1049" s="157"/>
      <c r="H1049" s="227"/>
      <c r="I1049" s="157"/>
      <c r="J1049" s="157"/>
      <c r="K1049" s="33"/>
    </row>
    <row r="1050" ht="15.75" customHeight="1">
      <c r="A1050" s="226"/>
      <c r="B1050" s="227"/>
      <c r="C1050" s="157"/>
      <c r="D1050" s="227"/>
      <c r="E1050" s="157"/>
      <c r="F1050" s="227"/>
      <c r="G1050" s="157"/>
      <c r="H1050" s="227"/>
      <c r="I1050" s="157"/>
      <c r="J1050" s="157"/>
      <c r="K1050" s="33"/>
    </row>
    <row r="1051" ht="15.75" customHeight="1">
      <c r="A1051" s="226"/>
      <c r="B1051" s="227"/>
      <c r="C1051" s="157"/>
      <c r="D1051" s="227"/>
      <c r="E1051" s="157"/>
      <c r="F1051" s="227"/>
      <c r="G1051" s="157"/>
      <c r="H1051" s="227"/>
      <c r="I1051" s="157"/>
      <c r="J1051" s="157"/>
      <c r="K1051" s="33"/>
    </row>
    <row r="1052" ht="15.75" customHeight="1">
      <c r="A1052" s="226"/>
      <c r="B1052" s="227"/>
      <c r="C1052" s="157"/>
      <c r="D1052" s="227"/>
      <c r="E1052" s="157"/>
      <c r="F1052" s="227"/>
      <c r="G1052" s="157"/>
      <c r="H1052" s="227"/>
      <c r="I1052" s="157"/>
      <c r="J1052" s="157"/>
      <c r="K1052" s="33"/>
    </row>
    <row r="1053" ht="15.75" customHeight="1">
      <c r="A1053" s="226"/>
      <c r="B1053" s="227"/>
      <c r="C1053" s="157"/>
      <c r="D1053" s="227"/>
      <c r="E1053" s="157"/>
      <c r="F1053" s="227"/>
      <c r="G1053" s="157"/>
      <c r="H1053" s="227"/>
      <c r="I1053" s="157"/>
      <c r="J1053" s="157"/>
      <c r="K1053" s="33"/>
    </row>
    <row r="1054" ht="15.75" customHeight="1">
      <c r="A1054" s="226"/>
      <c r="B1054" s="227"/>
      <c r="C1054" s="157"/>
      <c r="D1054" s="227"/>
      <c r="E1054" s="157"/>
      <c r="F1054" s="227"/>
      <c r="G1054" s="157"/>
      <c r="H1054" s="227"/>
      <c r="I1054" s="157"/>
      <c r="J1054" s="157"/>
      <c r="K1054" s="33"/>
    </row>
    <row r="1055" ht="15.75" customHeight="1">
      <c r="A1055" s="226"/>
      <c r="B1055" s="227"/>
      <c r="C1055" s="157"/>
      <c r="D1055" s="227"/>
      <c r="E1055" s="157"/>
      <c r="F1055" s="227"/>
      <c r="G1055" s="157"/>
      <c r="H1055" s="227"/>
      <c r="I1055" s="157"/>
      <c r="J1055" s="157"/>
      <c r="K1055" s="33"/>
    </row>
    <row r="1056" ht="15.75" customHeight="1">
      <c r="A1056" s="226"/>
      <c r="B1056" s="227"/>
      <c r="C1056" s="157"/>
      <c r="D1056" s="227"/>
      <c r="E1056" s="157"/>
      <c r="F1056" s="227"/>
      <c r="G1056" s="157"/>
      <c r="H1056" s="227"/>
      <c r="I1056" s="157"/>
      <c r="J1056" s="157"/>
      <c r="K1056" s="33"/>
    </row>
    <row r="1057" ht="15.75" customHeight="1">
      <c r="A1057" s="226"/>
      <c r="B1057" s="227"/>
      <c r="C1057" s="157"/>
      <c r="D1057" s="227"/>
      <c r="E1057" s="157"/>
      <c r="F1057" s="227"/>
      <c r="G1057" s="157"/>
      <c r="H1057" s="227"/>
      <c r="I1057" s="157"/>
      <c r="J1057" s="157"/>
      <c r="K1057" s="33"/>
    </row>
    <row r="1058" ht="15.75" customHeight="1">
      <c r="A1058" s="226"/>
      <c r="B1058" s="227"/>
      <c r="C1058" s="157"/>
      <c r="D1058" s="227"/>
      <c r="E1058" s="157"/>
      <c r="F1058" s="227"/>
      <c r="G1058" s="157"/>
      <c r="H1058" s="227"/>
      <c r="I1058" s="157"/>
      <c r="J1058" s="157"/>
      <c r="K1058" s="33"/>
    </row>
    <row r="1059" ht="15.75" customHeight="1">
      <c r="A1059" s="226"/>
      <c r="B1059" s="227"/>
      <c r="C1059" s="157"/>
      <c r="D1059" s="227"/>
      <c r="E1059" s="157"/>
      <c r="F1059" s="227"/>
      <c r="G1059" s="157"/>
      <c r="H1059" s="227"/>
      <c r="I1059" s="157"/>
      <c r="J1059" s="157"/>
      <c r="K1059" s="33"/>
    </row>
    <row r="1060" ht="15.75" customHeight="1">
      <c r="A1060" s="226"/>
      <c r="B1060" s="227"/>
      <c r="C1060" s="157"/>
      <c r="D1060" s="227"/>
      <c r="E1060" s="157"/>
      <c r="F1060" s="227"/>
      <c r="G1060" s="157"/>
      <c r="H1060" s="227"/>
      <c r="I1060" s="157"/>
      <c r="J1060" s="157"/>
      <c r="K1060" s="33"/>
    </row>
    <row r="1061" ht="15.75" customHeight="1">
      <c r="A1061" s="226"/>
      <c r="B1061" s="227"/>
      <c r="C1061" s="157"/>
      <c r="D1061" s="227"/>
      <c r="E1061" s="157"/>
      <c r="F1061" s="227"/>
      <c r="G1061" s="157"/>
      <c r="H1061" s="227"/>
      <c r="I1061" s="157"/>
      <c r="J1061" s="157"/>
      <c r="K1061" s="33"/>
    </row>
    <row r="1062" ht="15.75" customHeight="1">
      <c r="A1062" s="226"/>
      <c r="B1062" s="227"/>
      <c r="C1062" s="157"/>
      <c r="D1062" s="227"/>
      <c r="E1062" s="157"/>
      <c r="F1062" s="227"/>
      <c r="G1062" s="157"/>
      <c r="H1062" s="227"/>
      <c r="I1062" s="157"/>
      <c r="J1062" s="157"/>
      <c r="K1062" s="33"/>
    </row>
    <row r="1063" ht="15.75" customHeight="1">
      <c r="A1063" s="226"/>
      <c r="B1063" s="227"/>
      <c r="C1063" s="157"/>
      <c r="D1063" s="227"/>
      <c r="E1063" s="157"/>
      <c r="F1063" s="227"/>
      <c r="G1063" s="157"/>
      <c r="H1063" s="227"/>
      <c r="I1063" s="157"/>
      <c r="J1063" s="157"/>
      <c r="K1063" s="33"/>
    </row>
    <row r="1064" ht="15.75" customHeight="1">
      <c r="A1064" s="226"/>
      <c r="B1064" s="227"/>
      <c r="C1064" s="157"/>
      <c r="D1064" s="227"/>
      <c r="E1064" s="157"/>
      <c r="F1064" s="227"/>
      <c r="G1064" s="157"/>
      <c r="H1064" s="227"/>
      <c r="I1064" s="157"/>
      <c r="J1064" s="157"/>
      <c r="K1064" s="33"/>
    </row>
    <row r="1065" ht="15.75" customHeight="1">
      <c r="A1065" s="226"/>
      <c r="B1065" s="227"/>
      <c r="C1065" s="157"/>
      <c r="D1065" s="227"/>
      <c r="E1065" s="157"/>
      <c r="F1065" s="227"/>
      <c r="G1065" s="157"/>
      <c r="H1065" s="227"/>
      <c r="I1065" s="157"/>
      <c r="J1065" s="157"/>
      <c r="K1065" s="33"/>
    </row>
    <row r="1066" ht="15.75" customHeight="1">
      <c r="A1066" s="226"/>
      <c r="B1066" s="227"/>
      <c r="C1066" s="157"/>
      <c r="D1066" s="227"/>
      <c r="E1066" s="157"/>
      <c r="F1066" s="227"/>
      <c r="G1066" s="157"/>
      <c r="H1066" s="227"/>
      <c r="I1066" s="157"/>
      <c r="J1066" s="157"/>
      <c r="K1066" s="33"/>
    </row>
    <row r="1067" ht="15.75" customHeight="1">
      <c r="A1067" s="226"/>
      <c r="B1067" s="227"/>
      <c r="C1067" s="157"/>
      <c r="D1067" s="227"/>
      <c r="E1067" s="157"/>
      <c r="F1067" s="227"/>
      <c r="G1067" s="157"/>
      <c r="H1067" s="227"/>
      <c r="I1067" s="157"/>
      <c r="J1067" s="157"/>
      <c r="K1067" s="33"/>
    </row>
    <row r="1068" ht="15.75" customHeight="1">
      <c r="A1068" s="226"/>
      <c r="B1068" s="227"/>
      <c r="C1068" s="157"/>
      <c r="D1068" s="227"/>
      <c r="E1068" s="157"/>
      <c r="F1068" s="227"/>
      <c r="G1068" s="157"/>
      <c r="H1068" s="227"/>
      <c r="I1068" s="157"/>
      <c r="J1068" s="157"/>
      <c r="K1068" s="33"/>
    </row>
    <row r="1069" ht="15.75" customHeight="1">
      <c r="A1069" s="226"/>
      <c r="B1069" s="227"/>
      <c r="C1069" s="157"/>
      <c r="D1069" s="227"/>
      <c r="E1069" s="157"/>
      <c r="F1069" s="227"/>
      <c r="G1069" s="157"/>
      <c r="H1069" s="227"/>
      <c r="I1069" s="157"/>
      <c r="J1069" s="157"/>
      <c r="K1069" s="33"/>
    </row>
    <row r="1070" ht="15.75" customHeight="1">
      <c r="A1070" s="226"/>
      <c r="B1070" s="227"/>
      <c r="C1070" s="157"/>
      <c r="D1070" s="227"/>
      <c r="E1070" s="157"/>
      <c r="F1070" s="227"/>
      <c r="G1070" s="157"/>
      <c r="H1070" s="227"/>
      <c r="I1070" s="157"/>
      <c r="J1070" s="157"/>
      <c r="K1070" s="33"/>
    </row>
    <row r="1071" ht="15.75" customHeight="1">
      <c r="A1071" s="226"/>
      <c r="B1071" s="227"/>
      <c r="C1071" s="157"/>
      <c r="D1071" s="227"/>
      <c r="E1071" s="157"/>
      <c r="F1071" s="227"/>
      <c r="G1071" s="157"/>
      <c r="H1071" s="227"/>
      <c r="I1071" s="157"/>
      <c r="J1071" s="157"/>
      <c r="K1071" s="33"/>
    </row>
    <row r="1072" ht="15.75" customHeight="1">
      <c r="A1072" s="226"/>
      <c r="B1072" s="227"/>
      <c r="C1072" s="157"/>
      <c r="D1072" s="227"/>
      <c r="E1072" s="157"/>
      <c r="F1072" s="227"/>
      <c r="G1072" s="157"/>
      <c r="H1072" s="227"/>
      <c r="I1072" s="157"/>
      <c r="J1072" s="157"/>
      <c r="K1072" s="33"/>
    </row>
    <row r="1073" ht="15.75" customHeight="1">
      <c r="A1073" s="226"/>
      <c r="B1073" s="227"/>
      <c r="C1073" s="157"/>
      <c r="D1073" s="227"/>
      <c r="E1073" s="157"/>
      <c r="F1073" s="227"/>
      <c r="G1073" s="157"/>
      <c r="H1073" s="227"/>
      <c r="I1073" s="157"/>
      <c r="J1073" s="157"/>
      <c r="K1073" s="33"/>
    </row>
    <row r="1074" ht="15.75" customHeight="1">
      <c r="A1074" s="226"/>
      <c r="B1074" s="227"/>
      <c r="C1074" s="157"/>
      <c r="D1074" s="227"/>
      <c r="E1074" s="157"/>
      <c r="F1074" s="227"/>
      <c r="G1074" s="157"/>
      <c r="H1074" s="227"/>
      <c r="I1074" s="157"/>
      <c r="J1074" s="157"/>
      <c r="K1074" s="33"/>
    </row>
    <row r="1075" ht="15.75" customHeight="1">
      <c r="A1075" s="226"/>
      <c r="B1075" s="227"/>
      <c r="C1075" s="157"/>
      <c r="D1075" s="227"/>
      <c r="E1075" s="157"/>
      <c r="F1075" s="227"/>
      <c r="G1075" s="157"/>
      <c r="H1075" s="227"/>
      <c r="I1075" s="157"/>
      <c r="J1075" s="157"/>
      <c r="K1075" s="33"/>
    </row>
    <row r="1076" ht="15.75" customHeight="1">
      <c r="A1076" s="226"/>
      <c r="B1076" s="227"/>
      <c r="C1076" s="157"/>
      <c r="D1076" s="227"/>
      <c r="E1076" s="157"/>
      <c r="F1076" s="227"/>
      <c r="G1076" s="157"/>
      <c r="H1076" s="227"/>
      <c r="I1076" s="157"/>
      <c r="J1076" s="157"/>
      <c r="K1076" s="33"/>
    </row>
    <row r="1077" ht="15.75" customHeight="1">
      <c r="A1077" s="226"/>
      <c r="B1077" s="227"/>
      <c r="C1077" s="157"/>
      <c r="D1077" s="227"/>
      <c r="E1077" s="157"/>
      <c r="F1077" s="227"/>
      <c r="G1077" s="157"/>
      <c r="H1077" s="227"/>
      <c r="I1077" s="157"/>
      <c r="J1077" s="157"/>
      <c r="K1077" s="33"/>
    </row>
    <row r="1078" ht="15.75" customHeight="1">
      <c r="A1078" s="226"/>
      <c r="B1078" s="227"/>
      <c r="C1078" s="157"/>
      <c r="D1078" s="227"/>
      <c r="E1078" s="157"/>
      <c r="F1078" s="227"/>
      <c r="G1078" s="157"/>
      <c r="H1078" s="227"/>
      <c r="I1078" s="157"/>
      <c r="J1078" s="157"/>
      <c r="K1078" s="33"/>
    </row>
    <row r="1079" ht="15.75" customHeight="1">
      <c r="A1079" s="226"/>
      <c r="B1079" s="227"/>
      <c r="C1079" s="157"/>
      <c r="D1079" s="227"/>
      <c r="E1079" s="157"/>
      <c r="F1079" s="227"/>
      <c r="G1079" s="157"/>
      <c r="H1079" s="227"/>
      <c r="I1079" s="157"/>
      <c r="J1079" s="157"/>
      <c r="K1079" s="33"/>
    </row>
    <row r="1080" ht="15.75" customHeight="1">
      <c r="A1080" s="226"/>
      <c r="B1080" s="227"/>
      <c r="C1080" s="157"/>
      <c r="D1080" s="227"/>
      <c r="E1080" s="157"/>
      <c r="F1080" s="227"/>
      <c r="G1080" s="157"/>
      <c r="H1080" s="227"/>
      <c r="I1080" s="157"/>
      <c r="J1080" s="157"/>
      <c r="K1080" s="33"/>
    </row>
    <row r="1081" ht="15.75" customHeight="1">
      <c r="A1081" s="226"/>
      <c r="B1081" s="227"/>
      <c r="C1081" s="157"/>
      <c r="D1081" s="227"/>
      <c r="E1081" s="157"/>
      <c r="F1081" s="227"/>
      <c r="G1081" s="157"/>
      <c r="H1081" s="227"/>
      <c r="I1081" s="157"/>
      <c r="J1081" s="157"/>
      <c r="K1081" s="33"/>
    </row>
    <row r="1082" ht="15.75" customHeight="1">
      <c r="A1082" s="226"/>
      <c r="B1082" s="227"/>
      <c r="C1082" s="157"/>
      <c r="D1082" s="227"/>
      <c r="E1082" s="157"/>
      <c r="F1082" s="227"/>
      <c r="G1082" s="157"/>
      <c r="H1082" s="227"/>
      <c r="I1082" s="157"/>
      <c r="J1082" s="157"/>
      <c r="K1082" s="33"/>
    </row>
    <row r="1083" ht="15.75" customHeight="1">
      <c r="A1083" s="226"/>
      <c r="B1083" s="227"/>
      <c r="C1083" s="157"/>
      <c r="D1083" s="227"/>
      <c r="E1083" s="157"/>
      <c r="F1083" s="227"/>
      <c r="G1083" s="157"/>
      <c r="H1083" s="227"/>
      <c r="I1083" s="157"/>
      <c r="J1083" s="157"/>
      <c r="K1083" s="33"/>
    </row>
    <row r="1084" ht="15.75" customHeight="1">
      <c r="A1084" s="226"/>
      <c r="B1084" s="227"/>
      <c r="C1084" s="157"/>
      <c r="D1084" s="227"/>
      <c r="E1084" s="157"/>
      <c r="F1084" s="227"/>
      <c r="G1084" s="157"/>
      <c r="H1084" s="227"/>
      <c r="I1084" s="157"/>
      <c r="J1084" s="157"/>
      <c r="K1084" s="33"/>
    </row>
    <row r="1085" ht="15.75" customHeight="1">
      <c r="A1085" s="226"/>
      <c r="B1085" s="227"/>
      <c r="C1085" s="157"/>
      <c r="D1085" s="227"/>
      <c r="E1085" s="157"/>
      <c r="F1085" s="227"/>
      <c r="G1085" s="157"/>
      <c r="H1085" s="227"/>
      <c r="I1085" s="157"/>
      <c r="J1085" s="157"/>
      <c r="K1085" s="33"/>
    </row>
    <row r="1086" ht="15.75" customHeight="1">
      <c r="A1086" s="226"/>
      <c r="B1086" s="227"/>
      <c r="C1086" s="157"/>
      <c r="D1086" s="227"/>
      <c r="E1086" s="157"/>
      <c r="F1086" s="227"/>
      <c r="G1086" s="157"/>
      <c r="H1086" s="227"/>
      <c r="I1086" s="157"/>
      <c r="J1086" s="157"/>
      <c r="K1086" s="33"/>
    </row>
    <row r="1087" ht="15.75" customHeight="1">
      <c r="A1087" s="226"/>
      <c r="B1087" s="227"/>
      <c r="C1087" s="157"/>
      <c r="D1087" s="227"/>
      <c r="E1087" s="157"/>
      <c r="F1087" s="227"/>
      <c r="G1087" s="157"/>
      <c r="H1087" s="227"/>
      <c r="I1087" s="157"/>
      <c r="J1087" s="157"/>
      <c r="K1087" s="33"/>
    </row>
    <row r="1088" ht="15.75" customHeight="1">
      <c r="A1088" s="226"/>
      <c r="B1088" s="227"/>
      <c r="C1088" s="157"/>
      <c r="D1088" s="227"/>
      <c r="E1088" s="157"/>
      <c r="F1088" s="227"/>
      <c r="G1088" s="157"/>
      <c r="H1088" s="227"/>
      <c r="I1088" s="157"/>
      <c r="J1088" s="157"/>
      <c r="K1088" s="33"/>
    </row>
    <row r="1089" ht="15.75" customHeight="1">
      <c r="A1089" s="226"/>
      <c r="B1089" s="227"/>
      <c r="C1089" s="157"/>
      <c r="D1089" s="227"/>
      <c r="E1089" s="157"/>
      <c r="F1089" s="227"/>
      <c r="G1089" s="157"/>
      <c r="H1089" s="227"/>
      <c r="I1089" s="157"/>
      <c r="J1089" s="157"/>
      <c r="K1089" s="33"/>
    </row>
    <row r="1090" ht="15.75" customHeight="1">
      <c r="A1090" s="226"/>
      <c r="B1090" s="227"/>
      <c r="C1090" s="157"/>
      <c r="D1090" s="227"/>
      <c r="E1090" s="157"/>
      <c r="F1090" s="227"/>
      <c r="G1090" s="157"/>
      <c r="H1090" s="227"/>
      <c r="I1090" s="157"/>
      <c r="J1090" s="157"/>
      <c r="K1090" s="33"/>
    </row>
    <row r="1091" ht="15.75" customHeight="1">
      <c r="A1091" s="226"/>
      <c r="B1091" s="227"/>
      <c r="C1091" s="157"/>
      <c r="D1091" s="227"/>
      <c r="E1091" s="157"/>
      <c r="F1091" s="227"/>
      <c r="G1091" s="157"/>
      <c r="H1091" s="227"/>
      <c r="I1091" s="157"/>
      <c r="J1091" s="157"/>
      <c r="K1091" s="33"/>
    </row>
    <row r="1092" ht="15.75" customHeight="1">
      <c r="A1092" s="226"/>
      <c r="B1092" s="227"/>
      <c r="C1092" s="157"/>
      <c r="D1092" s="227"/>
      <c r="E1092" s="157"/>
      <c r="F1092" s="227"/>
      <c r="G1092" s="157"/>
      <c r="H1092" s="227"/>
      <c r="I1092" s="157"/>
      <c r="J1092" s="157"/>
      <c r="K1092" s="33"/>
    </row>
    <row r="1093" ht="15.75" customHeight="1">
      <c r="A1093" s="226"/>
      <c r="B1093" s="227"/>
      <c r="C1093" s="157"/>
      <c r="D1093" s="227"/>
      <c r="E1093" s="157"/>
      <c r="F1093" s="227"/>
      <c r="G1093" s="157"/>
      <c r="H1093" s="227"/>
      <c r="I1093" s="157"/>
      <c r="J1093" s="157"/>
      <c r="K1093" s="33"/>
    </row>
    <row r="1094" ht="15.75" customHeight="1">
      <c r="A1094" s="226"/>
      <c r="B1094" s="227"/>
      <c r="C1094" s="157"/>
      <c r="D1094" s="227"/>
      <c r="E1094" s="157"/>
      <c r="F1094" s="227"/>
      <c r="G1094" s="157"/>
      <c r="H1094" s="227"/>
      <c r="I1094" s="157"/>
      <c r="J1094" s="157"/>
      <c r="K1094" s="33"/>
    </row>
    <row r="1095" ht="15.75" customHeight="1">
      <c r="A1095" s="226"/>
      <c r="B1095" s="227"/>
      <c r="C1095" s="157"/>
      <c r="D1095" s="227"/>
      <c r="E1095" s="157"/>
      <c r="F1095" s="227"/>
      <c r="G1095" s="157"/>
      <c r="H1095" s="227"/>
      <c r="I1095" s="157"/>
      <c r="J1095" s="157"/>
      <c r="K1095" s="33"/>
    </row>
    <row r="1096" ht="15.75" customHeight="1">
      <c r="A1096" s="226"/>
      <c r="B1096" s="227"/>
      <c r="C1096" s="157"/>
      <c r="D1096" s="227"/>
      <c r="E1096" s="157"/>
      <c r="F1096" s="227"/>
      <c r="G1096" s="157"/>
      <c r="H1096" s="227"/>
      <c r="I1096" s="157"/>
      <c r="J1096" s="157"/>
      <c r="K1096" s="33"/>
    </row>
    <row r="1097" ht="15.75" customHeight="1">
      <c r="A1097" s="226"/>
      <c r="B1097" s="227"/>
      <c r="C1097" s="157"/>
      <c r="D1097" s="227"/>
      <c r="E1097" s="157"/>
      <c r="F1097" s="227"/>
      <c r="G1097" s="157"/>
      <c r="H1097" s="227"/>
      <c r="I1097" s="157"/>
      <c r="J1097" s="157"/>
      <c r="K1097" s="33"/>
    </row>
    <row r="1098" ht="15.75" customHeight="1">
      <c r="A1098" s="226"/>
      <c r="B1098" s="227"/>
      <c r="C1098" s="157"/>
      <c r="D1098" s="227"/>
      <c r="E1098" s="157"/>
      <c r="F1098" s="227"/>
      <c r="G1098" s="157"/>
      <c r="H1098" s="227"/>
      <c r="I1098" s="157"/>
      <c r="J1098" s="157"/>
      <c r="K1098" s="33"/>
    </row>
    <row r="1099" ht="15.75" customHeight="1">
      <c r="A1099" s="226"/>
      <c r="B1099" s="227"/>
      <c r="C1099" s="157"/>
      <c r="D1099" s="227"/>
      <c r="E1099" s="157"/>
      <c r="F1099" s="227"/>
      <c r="G1099" s="157"/>
      <c r="H1099" s="227"/>
      <c r="I1099" s="157"/>
      <c r="J1099" s="157"/>
      <c r="K1099" s="33"/>
    </row>
    <row r="1100" ht="15.75" customHeight="1">
      <c r="A1100" s="226"/>
      <c r="B1100" s="227"/>
      <c r="C1100" s="157"/>
      <c r="D1100" s="227"/>
      <c r="E1100" s="157"/>
      <c r="F1100" s="227"/>
      <c r="G1100" s="157"/>
      <c r="H1100" s="227"/>
      <c r="I1100" s="157"/>
      <c r="J1100" s="157"/>
      <c r="K1100" s="33"/>
    </row>
    <row r="1101" ht="15.75" customHeight="1">
      <c r="A1101" s="226"/>
      <c r="B1101" s="227"/>
      <c r="C1101" s="157"/>
      <c r="D1101" s="227"/>
      <c r="E1101" s="157"/>
      <c r="F1101" s="227"/>
      <c r="G1101" s="157"/>
      <c r="H1101" s="227"/>
      <c r="I1101" s="157"/>
      <c r="J1101" s="157"/>
      <c r="K1101" s="33"/>
    </row>
    <row r="1102" ht="15.75" customHeight="1">
      <c r="A1102" s="226"/>
      <c r="B1102" s="227"/>
      <c r="C1102" s="157"/>
      <c r="D1102" s="227"/>
      <c r="E1102" s="157"/>
      <c r="F1102" s="227"/>
      <c r="G1102" s="157"/>
      <c r="H1102" s="227"/>
      <c r="I1102" s="157"/>
      <c r="J1102" s="157"/>
      <c r="K1102" s="33"/>
    </row>
    <row r="1103" ht="15.75" customHeight="1">
      <c r="A1103" s="226"/>
      <c r="B1103" s="227"/>
      <c r="C1103" s="157"/>
      <c r="D1103" s="227"/>
      <c r="E1103" s="157"/>
      <c r="F1103" s="227"/>
      <c r="G1103" s="157"/>
      <c r="H1103" s="227"/>
      <c r="I1103" s="157"/>
      <c r="J1103" s="157"/>
      <c r="K1103" s="33"/>
    </row>
    <row r="1104" ht="15.75" customHeight="1">
      <c r="A1104" s="226"/>
      <c r="B1104" s="227"/>
      <c r="C1104" s="157"/>
      <c r="D1104" s="227"/>
      <c r="E1104" s="157"/>
      <c r="F1104" s="227"/>
      <c r="G1104" s="157"/>
      <c r="H1104" s="227"/>
      <c r="I1104" s="157"/>
      <c r="J1104" s="157"/>
      <c r="K1104" s="33"/>
    </row>
    <row r="1105" ht="15.75" customHeight="1">
      <c r="A1105" s="226"/>
      <c r="B1105" s="227"/>
      <c r="C1105" s="157"/>
      <c r="D1105" s="227"/>
      <c r="E1105" s="157"/>
      <c r="F1105" s="227"/>
      <c r="G1105" s="157"/>
      <c r="H1105" s="227"/>
      <c r="I1105" s="157"/>
      <c r="J1105" s="157"/>
      <c r="K1105" s="33"/>
    </row>
    <row r="1106" ht="15.75" customHeight="1">
      <c r="A1106" s="226"/>
      <c r="B1106" s="227"/>
      <c r="C1106" s="157"/>
      <c r="D1106" s="227"/>
      <c r="E1106" s="157"/>
      <c r="F1106" s="227"/>
      <c r="G1106" s="157"/>
      <c r="H1106" s="227"/>
      <c r="I1106" s="157"/>
      <c r="J1106" s="157"/>
      <c r="K1106" s="33"/>
    </row>
    <row r="1107" ht="15.75" customHeight="1">
      <c r="A1107" s="226"/>
      <c r="B1107" s="227"/>
      <c r="C1107" s="157"/>
      <c r="D1107" s="227"/>
      <c r="E1107" s="157"/>
      <c r="F1107" s="227"/>
      <c r="G1107" s="157"/>
      <c r="H1107" s="227"/>
      <c r="I1107" s="157"/>
      <c r="J1107" s="157"/>
      <c r="K1107" s="33"/>
    </row>
    <row r="1108" ht="15.75" customHeight="1">
      <c r="A1108" s="226"/>
      <c r="B1108" s="227"/>
      <c r="C1108" s="157"/>
      <c r="D1108" s="227"/>
      <c r="E1108" s="157"/>
      <c r="F1108" s="227"/>
      <c r="G1108" s="157"/>
      <c r="H1108" s="227"/>
      <c r="I1108" s="157"/>
      <c r="J1108" s="157"/>
      <c r="K1108" s="33"/>
    </row>
    <row r="1109" ht="15.75" customHeight="1">
      <c r="A1109" s="226"/>
      <c r="B1109" s="227"/>
      <c r="C1109" s="157"/>
      <c r="D1109" s="227"/>
      <c r="E1109" s="157"/>
      <c r="F1109" s="227"/>
      <c r="G1109" s="157"/>
      <c r="H1109" s="227"/>
      <c r="I1109" s="157"/>
      <c r="J1109" s="157"/>
      <c r="K1109" s="33"/>
    </row>
    <row r="1110" ht="15.75" customHeight="1">
      <c r="A1110" s="226"/>
      <c r="B1110" s="227"/>
      <c r="C1110" s="157"/>
      <c r="D1110" s="227"/>
      <c r="E1110" s="157"/>
      <c r="F1110" s="227"/>
      <c r="G1110" s="157"/>
      <c r="H1110" s="227"/>
      <c r="I1110" s="157"/>
      <c r="J1110" s="157"/>
      <c r="K1110" s="33"/>
    </row>
    <row r="1111" ht="15.75" customHeight="1">
      <c r="A1111" s="226"/>
      <c r="B1111" s="227"/>
      <c r="C1111" s="157"/>
      <c r="D1111" s="227"/>
      <c r="E1111" s="157"/>
      <c r="F1111" s="227"/>
      <c r="G1111" s="157"/>
      <c r="H1111" s="227"/>
      <c r="I1111" s="157"/>
      <c r="J1111" s="157"/>
      <c r="K1111" s="33"/>
    </row>
    <row r="1112" ht="15.75" customHeight="1">
      <c r="A1112" s="226"/>
      <c r="B1112" s="227"/>
      <c r="C1112" s="157"/>
      <c r="D1112" s="227"/>
      <c r="E1112" s="157"/>
      <c r="F1112" s="227"/>
      <c r="G1112" s="157"/>
      <c r="H1112" s="227"/>
      <c r="I1112" s="157"/>
      <c r="J1112" s="157"/>
      <c r="K1112" s="33"/>
    </row>
    <row r="1113" ht="15.75" customHeight="1">
      <c r="A1113" s="226"/>
      <c r="B1113" s="227"/>
      <c r="C1113" s="157"/>
      <c r="D1113" s="227"/>
      <c r="E1113" s="157"/>
      <c r="F1113" s="227"/>
      <c r="G1113" s="157"/>
      <c r="H1113" s="227"/>
      <c r="I1113" s="157"/>
      <c r="J1113" s="157"/>
      <c r="K1113" s="33"/>
    </row>
    <row r="1114" ht="15.75" customHeight="1">
      <c r="A1114" s="226"/>
      <c r="B1114" s="227"/>
      <c r="C1114" s="157"/>
      <c r="D1114" s="227"/>
      <c r="E1114" s="157"/>
      <c r="F1114" s="227"/>
      <c r="G1114" s="157"/>
      <c r="H1114" s="227"/>
      <c r="I1114" s="157"/>
      <c r="J1114" s="157"/>
      <c r="K1114" s="33"/>
    </row>
    <row r="1115" ht="15.75" customHeight="1">
      <c r="A1115" s="226"/>
      <c r="B1115" s="227"/>
      <c r="C1115" s="157"/>
      <c r="D1115" s="227"/>
      <c r="E1115" s="157"/>
      <c r="F1115" s="227"/>
      <c r="G1115" s="157"/>
      <c r="H1115" s="227"/>
      <c r="I1115" s="157"/>
      <c r="J1115" s="157"/>
      <c r="K1115" s="33"/>
    </row>
    <row r="1116" ht="15.75" customHeight="1">
      <c r="A1116" s="226"/>
      <c r="B1116" s="227"/>
      <c r="C1116" s="157"/>
      <c r="D1116" s="227"/>
      <c r="E1116" s="157"/>
      <c r="F1116" s="227"/>
      <c r="G1116" s="157"/>
      <c r="H1116" s="227"/>
      <c r="I1116" s="157"/>
      <c r="J1116" s="157"/>
      <c r="K1116" s="33"/>
    </row>
    <row r="1117" ht="15.75" customHeight="1">
      <c r="A1117" s="226"/>
      <c r="B1117" s="227"/>
      <c r="C1117" s="157"/>
      <c r="D1117" s="227"/>
      <c r="E1117" s="157"/>
      <c r="F1117" s="227"/>
      <c r="G1117" s="157"/>
      <c r="H1117" s="227"/>
      <c r="I1117" s="157"/>
      <c r="J1117" s="157"/>
      <c r="K1117" s="33"/>
    </row>
    <row r="1118" ht="15.75" customHeight="1">
      <c r="A1118" s="226"/>
      <c r="B1118" s="227"/>
      <c r="C1118" s="157"/>
      <c r="D1118" s="227"/>
      <c r="E1118" s="157"/>
      <c r="F1118" s="227"/>
      <c r="G1118" s="157"/>
      <c r="H1118" s="227"/>
      <c r="I1118" s="157"/>
      <c r="J1118" s="157"/>
      <c r="K1118" s="33"/>
    </row>
    <row r="1119" ht="15.75" customHeight="1">
      <c r="A1119" s="226"/>
      <c r="B1119" s="227"/>
      <c r="C1119" s="157"/>
      <c r="D1119" s="227"/>
      <c r="E1119" s="157"/>
      <c r="F1119" s="227"/>
      <c r="G1119" s="157"/>
      <c r="H1119" s="227"/>
      <c r="I1119" s="157"/>
      <c r="J1119" s="157"/>
      <c r="K1119" s="33"/>
    </row>
    <row r="1120" ht="15.75" customHeight="1">
      <c r="A1120" s="226"/>
      <c r="B1120" s="227"/>
      <c r="C1120" s="157"/>
      <c r="D1120" s="227"/>
      <c r="E1120" s="157"/>
      <c r="F1120" s="227"/>
      <c r="G1120" s="157"/>
      <c r="H1120" s="227"/>
      <c r="I1120" s="157"/>
      <c r="J1120" s="157"/>
      <c r="K1120" s="33"/>
    </row>
    <row r="1121" ht="15.75" customHeight="1">
      <c r="A1121" s="226"/>
      <c r="B1121" s="227"/>
      <c r="C1121" s="157"/>
      <c r="D1121" s="227"/>
      <c r="E1121" s="157"/>
      <c r="F1121" s="227"/>
      <c r="G1121" s="157"/>
      <c r="H1121" s="227"/>
      <c r="I1121" s="157"/>
      <c r="J1121" s="157"/>
      <c r="K1121" s="33"/>
    </row>
    <row r="1122" ht="15.75" customHeight="1">
      <c r="A1122" s="226"/>
      <c r="B1122" s="227"/>
      <c r="C1122" s="157"/>
      <c r="D1122" s="227"/>
      <c r="E1122" s="157"/>
      <c r="F1122" s="227"/>
      <c r="G1122" s="157"/>
      <c r="H1122" s="227"/>
      <c r="I1122" s="157"/>
      <c r="J1122" s="157"/>
      <c r="K1122" s="33"/>
    </row>
    <row r="1123" ht="15.75" customHeight="1">
      <c r="A1123" s="226"/>
      <c r="B1123" s="227"/>
      <c r="C1123" s="157"/>
      <c r="D1123" s="227"/>
      <c r="E1123" s="157"/>
      <c r="F1123" s="227"/>
      <c r="G1123" s="157"/>
      <c r="H1123" s="227"/>
      <c r="I1123" s="157"/>
      <c r="J1123" s="157"/>
      <c r="K1123" s="33"/>
    </row>
    <row r="1124" ht="15.75" customHeight="1">
      <c r="A1124" s="226"/>
      <c r="B1124" s="227"/>
      <c r="C1124" s="157"/>
      <c r="D1124" s="227"/>
      <c r="E1124" s="157"/>
      <c r="F1124" s="227"/>
      <c r="G1124" s="157"/>
      <c r="H1124" s="227"/>
      <c r="I1124" s="157"/>
      <c r="J1124" s="157"/>
      <c r="K1124" s="33"/>
    </row>
    <row r="1125" ht="15.75" customHeight="1">
      <c r="A1125" s="226"/>
      <c r="B1125" s="227"/>
      <c r="C1125" s="157"/>
      <c r="D1125" s="227"/>
      <c r="E1125" s="157"/>
      <c r="F1125" s="227"/>
      <c r="G1125" s="157"/>
      <c r="H1125" s="227"/>
      <c r="I1125" s="157"/>
      <c r="J1125" s="157"/>
      <c r="K1125" s="33"/>
    </row>
    <row r="1126" ht="15.75" customHeight="1">
      <c r="A1126" s="226"/>
      <c r="B1126" s="227"/>
      <c r="C1126" s="157"/>
      <c r="D1126" s="227"/>
      <c r="E1126" s="157"/>
      <c r="F1126" s="227"/>
      <c r="G1126" s="157"/>
      <c r="H1126" s="227"/>
      <c r="I1126" s="157"/>
      <c r="J1126" s="157"/>
      <c r="K1126" s="33"/>
    </row>
    <row r="1127" ht="15.75" customHeight="1">
      <c r="A1127" s="226"/>
      <c r="B1127" s="227"/>
      <c r="C1127" s="157"/>
      <c r="D1127" s="227"/>
      <c r="E1127" s="157"/>
      <c r="F1127" s="227"/>
      <c r="G1127" s="157"/>
      <c r="H1127" s="227"/>
      <c r="I1127" s="157"/>
      <c r="J1127" s="157"/>
      <c r="K1127" s="33"/>
    </row>
    <row r="1128" ht="15.75" customHeight="1">
      <c r="A1128" s="226"/>
      <c r="B1128" s="227"/>
      <c r="C1128" s="157"/>
      <c r="D1128" s="227"/>
      <c r="E1128" s="157"/>
      <c r="F1128" s="227"/>
      <c r="G1128" s="157"/>
      <c r="H1128" s="227"/>
      <c r="I1128" s="157"/>
      <c r="J1128" s="157"/>
      <c r="K1128" s="33"/>
    </row>
    <row r="1129" ht="15.75" customHeight="1">
      <c r="A1129" s="226"/>
      <c r="B1129" s="227"/>
      <c r="C1129" s="157"/>
      <c r="D1129" s="227"/>
      <c r="E1129" s="157"/>
      <c r="F1129" s="227"/>
      <c r="G1129" s="157"/>
      <c r="H1129" s="227"/>
      <c r="I1129" s="157"/>
      <c r="J1129" s="157"/>
      <c r="K1129" s="33"/>
    </row>
    <row r="1130" ht="15.75" customHeight="1">
      <c r="A1130" s="226"/>
      <c r="B1130" s="227"/>
      <c r="C1130" s="157"/>
      <c r="D1130" s="227"/>
      <c r="E1130" s="157"/>
      <c r="F1130" s="227"/>
      <c r="G1130" s="157"/>
      <c r="H1130" s="227"/>
      <c r="I1130" s="157"/>
      <c r="J1130" s="157"/>
      <c r="K1130" s="33"/>
    </row>
    <row r="1131" ht="15.75" customHeight="1">
      <c r="A1131" s="226"/>
      <c r="B1131" s="227"/>
      <c r="C1131" s="157"/>
      <c r="D1131" s="227"/>
      <c r="E1131" s="157"/>
      <c r="F1131" s="227"/>
      <c r="G1131" s="157"/>
      <c r="H1131" s="227"/>
      <c r="I1131" s="157"/>
      <c r="J1131" s="157"/>
      <c r="K1131" s="33"/>
    </row>
    <row r="1132" ht="15.75" customHeight="1">
      <c r="A1132" s="226"/>
      <c r="B1132" s="227"/>
      <c r="C1132" s="157"/>
      <c r="D1132" s="227"/>
      <c r="E1132" s="157"/>
      <c r="F1132" s="227"/>
      <c r="G1132" s="157"/>
      <c r="H1132" s="227"/>
      <c r="I1132" s="157"/>
      <c r="J1132" s="157"/>
      <c r="K1132" s="33"/>
    </row>
    <row r="1133" ht="15.75" customHeight="1">
      <c r="A1133" s="226"/>
      <c r="B1133" s="227"/>
      <c r="C1133" s="157"/>
      <c r="D1133" s="227"/>
      <c r="E1133" s="157"/>
      <c r="F1133" s="227"/>
      <c r="G1133" s="157"/>
      <c r="H1133" s="227"/>
      <c r="I1133" s="157"/>
      <c r="J1133" s="157"/>
      <c r="K1133" s="33"/>
    </row>
    <row r="1134" ht="15.75" customHeight="1">
      <c r="A1134" s="226"/>
      <c r="B1134" s="227"/>
      <c r="C1134" s="157"/>
      <c r="D1134" s="227"/>
      <c r="E1134" s="157"/>
      <c r="F1134" s="227"/>
      <c r="G1134" s="157"/>
      <c r="H1134" s="227"/>
      <c r="I1134" s="157"/>
      <c r="J1134" s="157"/>
      <c r="K1134" s="33"/>
    </row>
    <row r="1135" ht="15.75" customHeight="1">
      <c r="A1135" s="226"/>
      <c r="B1135" s="227"/>
      <c r="C1135" s="157"/>
      <c r="D1135" s="227"/>
      <c r="E1135" s="157"/>
      <c r="F1135" s="227"/>
      <c r="G1135" s="157"/>
      <c r="H1135" s="227"/>
      <c r="I1135" s="157"/>
      <c r="J1135" s="157"/>
      <c r="K1135" s="33"/>
    </row>
    <row r="1136" ht="15.75" customHeight="1">
      <c r="A1136" s="226"/>
      <c r="B1136" s="227"/>
      <c r="C1136" s="157"/>
      <c r="D1136" s="227"/>
      <c r="E1136" s="157"/>
      <c r="F1136" s="227"/>
      <c r="G1136" s="157"/>
      <c r="H1136" s="227"/>
      <c r="I1136" s="157"/>
      <c r="J1136" s="157"/>
      <c r="K1136" s="33"/>
    </row>
    <row r="1137" ht="15.75" customHeight="1">
      <c r="A1137" s="226"/>
      <c r="B1137" s="227"/>
      <c r="C1137" s="157"/>
      <c r="D1137" s="227"/>
      <c r="E1137" s="157"/>
      <c r="F1137" s="227"/>
      <c r="G1137" s="157"/>
      <c r="H1137" s="227"/>
      <c r="I1137" s="157"/>
      <c r="J1137" s="157"/>
      <c r="K1137" s="33"/>
    </row>
    <row r="1138" ht="15.75" customHeight="1">
      <c r="A1138" s="226"/>
      <c r="B1138" s="227"/>
      <c r="C1138" s="157"/>
      <c r="D1138" s="227"/>
      <c r="E1138" s="157"/>
      <c r="F1138" s="227"/>
      <c r="G1138" s="157"/>
      <c r="H1138" s="227"/>
      <c r="I1138" s="157"/>
      <c r="J1138" s="157"/>
      <c r="K1138" s="33"/>
    </row>
    <row r="1139" ht="15.75" customHeight="1">
      <c r="A1139" s="226"/>
      <c r="B1139" s="227"/>
      <c r="C1139" s="157"/>
      <c r="D1139" s="227"/>
      <c r="E1139" s="157"/>
      <c r="F1139" s="227"/>
      <c r="G1139" s="157"/>
      <c r="H1139" s="227"/>
      <c r="I1139" s="157"/>
      <c r="J1139" s="157"/>
      <c r="K1139" s="33"/>
    </row>
    <row r="1140" ht="15.75" customHeight="1">
      <c r="A1140" s="226"/>
      <c r="B1140" s="227"/>
      <c r="C1140" s="157"/>
      <c r="D1140" s="227"/>
      <c r="E1140" s="157"/>
      <c r="F1140" s="227"/>
      <c r="G1140" s="157"/>
      <c r="H1140" s="227"/>
      <c r="I1140" s="157"/>
      <c r="J1140" s="157"/>
      <c r="K1140" s="33"/>
    </row>
    <row r="1141" ht="15.75" customHeight="1">
      <c r="A1141" s="226"/>
      <c r="B1141" s="227"/>
      <c r="C1141" s="157"/>
      <c r="D1141" s="227"/>
      <c r="E1141" s="157"/>
      <c r="F1141" s="227"/>
      <c r="G1141" s="157"/>
      <c r="H1141" s="227"/>
      <c r="I1141" s="157"/>
      <c r="J1141" s="157"/>
      <c r="K1141" s="33"/>
    </row>
    <row r="1142" ht="15.75" customHeight="1">
      <c r="A1142" s="226"/>
      <c r="B1142" s="227"/>
      <c r="C1142" s="157"/>
      <c r="D1142" s="227"/>
      <c r="E1142" s="157"/>
      <c r="F1142" s="227"/>
      <c r="G1142" s="157"/>
      <c r="H1142" s="227"/>
      <c r="I1142" s="157"/>
      <c r="J1142" s="157"/>
      <c r="K1142" s="33"/>
    </row>
    <row r="1143" ht="15.75" customHeight="1">
      <c r="A1143" s="226"/>
      <c r="B1143" s="227"/>
      <c r="C1143" s="157"/>
      <c r="D1143" s="227"/>
      <c r="E1143" s="157"/>
      <c r="F1143" s="227"/>
      <c r="G1143" s="157"/>
      <c r="H1143" s="227"/>
      <c r="I1143" s="157"/>
      <c r="J1143" s="157"/>
      <c r="K1143" s="33"/>
    </row>
    <row r="1144" ht="15.75" customHeight="1">
      <c r="A1144" s="226"/>
      <c r="B1144" s="227"/>
      <c r="C1144" s="157"/>
      <c r="D1144" s="227"/>
      <c r="E1144" s="157"/>
      <c r="F1144" s="227"/>
      <c r="G1144" s="157"/>
      <c r="H1144" s="227"/>
      <c r="I1144" s="157"/>
      <c r="J1144" s="157"/>
      <c r="K1144" s="33"/>
    </row>
    <row r="1145" ht="15.75" customHeight="1">
      <c r="A1145" s="226"/>
      <c r="B1145" s="227"/>
      <c r="C1145" s="157"/>
      <c r="D1145" s="227"/>
      <c r="E1145" s="157"/>
      <c r="F1145" s="227"/>
      <c r="G1145" s="157"/>
      <c r="H1145" s="227"/>
      <c r="I1145" s="157"/>
      <c r="J1145" s="157"/>
      <c r="K1145" s="33"/>
    </row>
    <row r="1146" ht="15.75" customHeight="1">
      <c r="A1146" s="226"/>
      <c r="B1146" s="227"/>
      <c r="C1146" s="157"/>
      <c r="D1146" s="227"/>
      <c r="E1146" s="157"/>
      <c r="F1146" s="227"/>
      <c r="G1146" s="157"/>
      <c r="H1146" s="227"/>
      <c r="I1146" s="157"/>
      <c r="J1146" s="157"/>
      <c r="K1146" s="33"/>
    </row>
    <row r="1147" ht="15.75" customHeight="1">
      <c r="A1147" s="226"/>
      <c r="B1147" s="227"/>
      <c r="C1147" s="157"/>
      <c r="D1147" s="227"/>
      <c r="E1147" s="157"/>
      <c r="F1147" s="227"/>
      <c r="G1147" s="157"/>
      <c r="H1147" s="227"/>
      <c r="I1147" s="157"/>
      <c r="J1147" s="157"/>
      <c r="K1147" s="33"/>
    </row>
    <row r="1148" ht="15.75" customHeight="1">
      <c r="A1148" s="226"/>
      <c r="B1148" s="227"/>
      <c r="C1148" s="157"/>
      <c r="D1148" s="227"/>
      <c r="E1148" s="157"/>
      <c r="F1148" s="227"/>
      <c r="G1148" s="157"/>
      <c r="H1148" s="227"/>
      <c r="I1148" s="157"/>
      <c r="J1148" s="157"/>
      <c r="K1148" s="33"/>
    </row>
    <row r="1149" ht="15.75" customHeight="1">
      <c r="A1149" s="226"/>
      <c r="B1149" s="227"/>
      <c r="C1149" s="157"/>
      <c r="D1149" s="227"/>
      <c r="E1149" s="157"/>
      <c r="F1149" s="227"/>
      <c r="G1149" s="157"/>
      <c r="H1149" s="227"/>
      <c r="I1149" s="157"/>
      <c r="J1149" s="157"/>
      <c r="K1149" s="33"/>
    </row>
    <row r="1150" ht="15.75" customHeight="1">
      <c r="A1150" s="226"/>
      <c r="B1150" s="227"/>
      <c r="C1150" s="157"/>
      <c r="D1150" s="227"/>
      <c r="E1150" s="157"/>
      <c r="F1150" s="227"/>
      <c r="G1150" s="157"/>
      <c r="H1150" s="227"/>
      <c r="I1150" s="157"/>
      <c r="J1150" s="157"/>
      <c r="K1150" s="33"/>
    </row>
    <row r="1151" ht="15.75" customHeight="1">
      <c r="A1151" s="226"/>
      <c r="B1151" s="227"/>
      <c r="C1151" s="157"/>
      <c r="D1151" s="227"/>
      <c r="E1151" s="157"/>
      <c r="F1151" s="227"/>
      <c r="G1151" s="157"/>
      <c r="H1151" s="227"/>
      <c r="I1151" s="157"/>
      <c r="J1151" s="157"/>
      <c r="K1151" s="33"/>
    </row>
    <row r="1152" ht="15.75" customHeight="1">
      <c r="A1152" s="226"/>
      <c r="B1152" s="227"/>
      <c r="C1152" s="157"/>
      <c r="D1152" s="227"/>
      <c r="E1152" s="157"/>
      <c r="F1152" s="227"/>
      <c r="G1152" s="157"/>
      <c r="H1152" s="227"/>
      <c r="I1152" s="157"/>
      <c r="J1152" s="157"/>
      <c r="K1152" s="33"/>
    </row>
    <row r="1153" ht="15.75" customHeight="1">
      <c r="A1153" s="226"/>
      <c r="B1153" s="227"/>
      <c r="C1153" s="157"/>
      <c r="D1153" s="227"/>
      <c r="E1153" s="157"/>
      <c r="F1153" s="227"/>
      <c r="G1153" s="157"/>
      <c r="H1153" s="227"/>
      <c r="I1153" s="157"/>
      <c r="J1153" s="157"/>
      <c r="K1153" s="33"/>
    </row>
    <row r="1154" ht="15.75" customHeight="1">
      <c r="A1154" s="226"/>
      <c r="B1154" s="227"/>
      <c r="C1154" s="157"/>
      <c r="D1154" s="227"/>
      <c r="E1154" s="157"/>
      <c r="F1154" s="227"/>
      <c r="G1154" s="157"/>
      <c r="H1154" s="227"/>
      <c r="I1154" s="157"/>
      <c r="J1154" s="157"/>
      <c r="K1154" s="33"/>
    </row>
    <row r="1155" ht="15.75" customHeight="1">
      <c r="A1155" s="226"/>
      <c r="B1155" s="227"/>
      <c r="C1155" s="157"/>
      <c r="D1155" s="227"/>
      <c r="E1155" s="157"/>
      <c r="F1155" s="227"/>
      <c r="G1155" s="157"/>
      <c r="H1155" s="227"/>
      <c r="I1155" s="157"/>
      <c r="J1155" s="157"/>
      <c r="K1155" s="33"/>
    </row>
    <row r="1156" ht="15.75" customHeight="1">
      <c r="A1156" s="226"/>
      <c r="B1156" s="227"/>
      <c r="C1156" s="157"/>
      <c r="D1156" s="227"/>
      <c r="E1156" s="157"/>
      <c r="F1156" s="227"/>
      <c r="G1156" s="157"/>
      <c r="H1156" s="227"/>
      <c r="I1156" s="157"/>
      <c r="J1156" s="157"/>
      <c r="K1156" s="33"/>
    </row>
    <row r="1157" ht="15.75" customHeight="1">
      <c r="A1157" s="226"/>
      <c r="B1157" s="227"/>
      <c r="C1157" s="157"/>
      <c r="D1157" s="227"/>
      <c r="E1157" s="157"/>
      <c r="F1157" s="227"/>
      <c r="G1157" s="157"/>
      <c r="H1157" s="227"/>
      <c r="I1157" s="157"/>
      <c r="J1157" s="157"/>
      <c r="K1157" s="33"/>
    </row>
    <row r="1158" ht="15.75" customHeight="1">
      <c r="A1158" s="226"/>
      <c r="B1158" s="227"/>
      <c r="C1158" s="157"/>
      <c r="D1158" s="227"/>
      <c r="E1158" s="157"/>
      <c r="F1158" s="227"/>
      <c r="G1158" s="157"/>
      <c r="H1158" s="227"/>
      <c r="I1158" s="157"/>
      <c r="J1158" s="157"/>
      <c r="K1158" s="33"/>
    </row>
    <row r="1159" ht="15.75" customHeight="1">
      <c r="A1159" s="226"/>
      <c r="B1159" s="227"/>
      <c r="C1159" s="157"/>
      <c r="D1159" s="227"/>
      <c r="E1159" s="157"/>
      <c r="F1159" s="227"/>
      <c r="G1159" s="157"/>
      <c r="H1159" s="227"/>
      <c r="I1159" s="157"/>
      <c r="J1159" s="157"/>
      <c r="K1159" s="33"/>
    </row>
    <row r="1160" ht="15.75" customHeight="1">
      <c r="A1160" s="226"/>
      <c r="B1160" s="227"/>
      <c r="C1160" s="157"/>
      <c r="D1160" s="227"/>
      <c r="E1160" s="157"/>
      <c r="F1160" s="227"/>
      <c r="G1160" s="157"/>
      <c r="H1160" s="227"/>
      <c r="I1160" s="157"/>
      <c r="J1160" s="157"/>
      <c r="K1160" s="33"/>
    </row>
    <row r="1161" ht="15.75" customHeight="1">
      <c r="A1161" s="226"/>
      <c r="B1161" s="227"/>
      <c r="C1161" s="157"/>
      <c r="D1161" s="227"/>
      <c r="E1161" s="157"/>
      <c r="F1161" s="227"/>
      <c r="G1161" s="157"/>
      <c r="H1161" s="227"/>
      <c r="I1161" s="157"/>
      <c r="J1161" s="157"/>
      <c r="K1161" s="33"/>
    </row>
    <row r="1162" ht="15.75" customHeight="1">
      <c r="A1162" s="226"/>
      <c r="B1162" s="227"/>
      <c r="C1162" s="157"/>
      <c r="D1162" s="227"/>
      <c r="E1162" s="157"/>
      <c r="F1162" s="227"/>
      <c r="G1162" s="157"/>
      <c r="H1162" s="227"/>
      <c r="I1162" s="157"/>
      <c r="J1162" s="157"/>
      <c r="K1162" s="33"/>
    </row>
    <row r="1163" ht="15.75" customHeight="1">
      <c r="A1163" s="226"/>
      <c r="B1163" s="227"/>
      <c r="C1163" s="157"/>
      <c r="D1163" s="227"/>
      <c r="E1163" s="157"/>
      <c r="F1163" s="227"/>
      <c r="G1163" s="157"/>
      <c r="H1163" s="227"/>
      <c r="I1163" s="157"/>
      <c r="J1163" s="157"/>
      <c r="K1163" s="33"/>
    </row>
    <row r="1164" ht="15.75" customHeight="1">
      <c r="A1164" s="226"/>
      <c r="B1164" s="227"/>
      <c r="C1164" s="157"/>
      <c r="D1164" s="227"/>
      <c r="E1164" s="157"/>
      <c r="F1164" s="227"/>
      <c r="G1164" s="157"/>
      <c r="H1164" s="227"/>
      <c r="I1164" s="157"/>
      <c r="J1164" s="157"/>
      <c r="K1164" s="33"/>
    </row>
    <row r="1165" ht="15.75" customHeight="1">
      <c r="A1165" s="226"/>
      <c r="B1165" s="227"/>
      <c r="C1165" s="157"/>
      <c r="D1165" s="227"/>
      <c r="E1165" s="157"/>
      <c r="F1165" s="227"/>
      <c r="G1165" s="157"/>
      <c r="H1165" s="227"/>
      <c r="I1165" s="157"/>
      <c r="J1165" s="157"/>
      <c r="K1165" s="33"/>
    </row>
    <row r="1166" ht="15.75" customHeight="1">
      <c r="A1166" s="226"/>
      <c r="B1166" s="227"/>
      <c r="C1166" s="157"/>
      <c r="D1166" s="227"/>
      <c r="E1166" s="157"/>
      <c r="F1166" s="227"/>
      <c r="G1166" s="157"/>
      <c r="H1166" s="227"/>
      <c r="I1166" s="157"/>
      <c r="J1166" s="157"/>
      <c r="K1166" s="33"/>
    </row>
    <row r="1167" ht="15.75" customHeight="1">
      <c r="A1167" s="226"/>
      <c r="B1167" s="227"/>
      <c r="C1167" s="157"/>
      <c r="D1167" s="227"/>
      <c r="E1167" s="157"/>
      <c r="F1167" s="227"/>
      <c r="G1167" s="157"/>
      <c r="H1167" s="227"/>
      <c r="I1167" s="157"/>
      <c r="J1167" s="157"/>
      <c r="K1167" s="33"/>
    </row>
    <row r="1168" ht="15.75" customHeight="1">
      <c r="A1168" s="226"/>
      <c r="B1168" s="227"/>
      <c r="C1168" s="157"/>
      <c r="D1168" s="227"/>
      <c r="E1168" s="157"/>
      <c r="F1168" s="227"/>
      <c r="G1168" s="157"/>
      <c r="H1168" s="227"/>
      <c r="I1168" s="157"/>
      <c r="J1168" s="157"/>
      <c r="K1168" s="33"/>
    </row>
    <row r="1169" ht="15.75" customHeight="1">
      <c r="A1169" s="226"/>
      <c r="B1169" s="227"/>
      <c r="C1169" s="157"/>
      <c r="D1169" s="227"/>
      <c r="E1169" s="157"/>
      <c r="F1169" s="227"/>
      <c r="G1169" s="157"/>
      <c r="H1169" s="227"/>
      <c r="I1169" s="157"/>
      <c r="J1169" s="157"/>
      <c r="K1169" s="33"/>
    </row>
    <row r="1170" ht="15.75" customHeight="1">
      <c r="A1170" s="226"/>
      <c r="B1170" s="227"/>
      <c r="C1170" s="157"/>
      <c r="D1170" s="227"/>
      <c r="E1170" s="157"/>
      <c r="F1170" s="227"/>
      <c r="G1170" s="157"/>
      <c r="H1170" s="227"/>
      <c r="I1170" s="157"/>
      <c r="J1170" s="157"/>
      <c r="K1170" s="33"/>
    </row>
    <row r="1171" ht="15.75" customHeight="1">
      <c r="A1171" s="226"/>
      <c r="B1171" s="227"/>
      <c r="C1171" s="157"/>
      <c r="D1171" s="227"/>
      <c r="E1171" s="157"/>
      <c r="F1171" s="227"/>
      <c r="G1171" s="157"/>
      <c r="H1171" s="227"/>
      <c r="I1171" s="157"/>
      <c r="J1171" s="157"/>
      <c r="K1171" s="33"/>
    </row>
    <row r="1172" ht="15.75" customHeight="1">
      <c r="A1172" s="226"/>
      <c r="B1172" s="227"/>
      <c r="C1172" s="157"/>
      <c r="D1172" s="227"/>
      <c r="E1172" s="157"/>
      <c r="F1172" s="227"/>
      <c r="G1172" s="157"/>
      <c r="H1172" s="227"/>
      <c r="I1172" s="157"/>
      <c r="J1172" s="157"/>
      <c r="K1172" s="33"/>
    </row>
    <row r="1173" ht="15.75" customHeight="1">
      <c r="A1173" s="226"/>
      <c r="B1173" s="227"/>
      <c r="C1173" s="157"/>
      <c r="D1173" s="227"/>
      <c r="E1173" s="157"/>
      <c r="F1173" s="227"/>
      <c r="G1173" s="157"/>
      <c r="H1173" s="227"/>
      <c r="I1173" s="157"/>
      <c r="J1173" s="157"/>
      <c r="K1173" s="33"/>
    </row>
    <row r="1174" ht="15.75" customHeight="1">
      <c r="A1174" s="226"/>
      <c r="B1174" s="227"/>
      <c r="C1174" s="157"/>
      <c r="D1174" s="227"/>
      <c r="E1174" s="157"/>
      <c r="F1174" s="227"/>
      <c r="G1174" s="157"/>
      <c r="H1174" s="227"/>
      <c r="I1174" s="157"/>
      <c r="J1174" s="157"/>
      <c r="K1174" s="33"/>
    </row>
    <row r="1175" ht="15.75" customHeight="1">
      <c r="A1175" s="226"/>
      <c r="B1175" s="227"/>
      <c r="C1175" s="157"/>
      <c r="D1175" s="227"/>
      <c r="E1175" s="157"/>
      <c r="F1175" s="227"/>
      <c r="G1175" s="157"/>
      <c r="H1175" s="227"/>
      <c r="I1175" s="157"/>
      <c r="J1175" s="157"/>
      <c r="K1175" s="33"/>
    </row>
    <row r="1176" ht="15.75" customHeight="1">
      <c r="A1176" s="226"/>
      <c r="B1176" s="227"/>
      <c r="C1176" s="157"/>
      <c r="D1176" s="227"/>
      <c r="E1176" s="157"/>
      <c r="F1176" s="227"/>
      <c r="G1176" s="157"/>
      <c r="H1176" s="227"/>
      <c r="I1176" s="157"/>
      <c r="J1176" s="157"/>
      <c r="K1176" s="33"/>
    </row>
    <row r="1177" ht="15.75" customHeight="1">
      <c r="A1177" s="226"/>
      <c r="B1177" s="227"/>
      <c r="C1177" s="157"/>
      <c r="D1177" s="227"/>
      <c r="E1177" s="157"/>
      <c r="F1177" s="227"/>
      <c r="G1177" s="157"/>
      <c r="H1177" s="227"/>
      <c r="I1177" s="157"/>
      <c r="J1177" s="157"/>
      <c r="K1177" s="33"/>
    </row>
    <row r="1178" ht="15.75" customHeight="1">
      <c r="A1178" s="226"/>
      <c r="B1178" s="227"/>
      <c r="C1178" s="157"/>
      <c r="D1178" s="227"/>
      <c r="E1178" s="157"/>
      <c r="F1178" s="227"/>
      <c r="G1178" s="157"/>
      <c r="H1178" s="227"/>
      <c r="I1178" s="157"/>
      <c r="J1178" s="157"/>
      <c r="K1178" s="33"/>
    </row>
    <row r="1179" ht="15.75" customHeight="1">
      <c r="A1179" s="226"/>
      <c r="B1179" s="227"/>
      <c r="C1179" s="157"/>
      <c r="D1179" s="227"/>
      <c r="E1179" s="157"/>
      <c r="F1179" s="227"/>
      <c r="G1179" s="157"/>
      <c r="H1179" s="227"/>
      <c r="I1179" s="157"/>
      <c r="J1179" s="157"/>
      <c r="K1179" s="33"/>
    </row>
    <row r="1180" ht="15.75" customHeight="1">
      <c r="A1180" s="226"/>
      <c r="B1180" s="227"/>
      <c r="C1180" s="157"/>
      <c r="D1180" s="227"/>
      <c r="E1180" s="157"/>
      <c r="F1180" s="227"/>
      <c r="G1180" s="157"/>
      <c r="H1180" s="227"/>
      <c r="I1180" s="157"/>
      <c r="J1180" s="157"/>
      <c r="K1180" s="33"/>
    </row>
    <row r="1181" ht="15.75" customHeight="1">
      <c r="A1181" s="226"/>
      <c r="B1181" s="227"/>
      <c r="C1181" s="157"/>
      <c r="D1181" s="227"/>
      <c r="E1181" s="157"/>
      <c r="F1181" s="227"/>
      <c r="G1181" s="157"/>
      <c r="H1181" s="227"/>
      <c r="I1181" s="157"/>
      <c r="J1181" s="157"/>
      <c r="K1181" s="33"/>
    </row>
    <row r="1182" ht="15.75" customHeight="1">
      <c r="A1182" s="226"/>
      <c r="B1182" s="227"/>
      <c r="C1182" s="157"/>
      <c r="D1182" s="227"/>
      <c r="E1182" s="157"/>
      <c r="F1182" s="227"/>
      <c r="G1182" s="157"/>
      <c r="H1182" s="227"/>
      <c r="I1182" s="157"/>
      <c r="J1182" s="157"/>
      <c r="K1182" s="33"/>
    </row>
    <row r="1183" ht="15.75" customHeight="1">
      <c r="A1183" s="226"/>
      <c r="B1183" s="227"/>
      <c r="C1183" s="157"/>
      <c r="D1183" s="227"/>
      <c r="E1183" s="157"/>
      <c r="F1183" s="227"/>
      <c r="G1183" s="157"/>
      <c r="H1183" s="227"/>
      <c r="I1183" s="157"/>
      <c r="J1183" s="157"/>
      <c r="K1183" s="33"/>
    </row>
    <row r="1184" ht="15.75" customHeight="1">
      <c r="A1184" s="226"/>
      <c r="B1184" s="227"/>
      <c r="C1184" s="157"/>
      <c r="D1184" s="227"/>
      <c r="E1184" s="157"/>
      <c r="F1184" s="227"/>
      <c r="G1184" s="157"/>
      <c r="H1184" s="227"/>
      <c r="I1184" s="157"/>
      <c r="J1184" s="157"/>
      <c r="K1184" s="33"/>
    </row>
    <row r="1185" ht="15.75" customHeight="1">
      <c r="A1185" s="226"/>
      <c r="B1185" s="227"/>
      <c r="C1185" s="157"/>
      <c r="D1185" s="227"/>
      <c r="E1185" s="157"/>
      <c r="F1185" s="227"/>
      <c r="G1185" s="157"/>
      <c r="H1185" s="227"/>
      <c r="I1185" s="157"/>
      <c r="J1185" s="157"/>
      <c r="K1185" s="33"/>
    </row>
    <row r="1186" ht="15.75" customHeight="1">
      <c r="A1186" s="226"/>
      <c r="B1186" s="227"/>
      <c r="C1186" s="157"/>
      <c r="D1186" s="227"/>
      <c r="E1186" s="157"/>
      <c r="F1186" s="227"/>
      <c r="G1186" s="157"/>
      <c r="H1186" s="227"/>
      <c r="I1186" s="157"/>
      <c r="J1186" s="157"/>
      <c r="K1186" s="33"/>
    </row>
    <row r="1187" ht="15.75" customHeight="1">
      <c r="A1187" s="226"/>
      <c r="B1187" s="227"/>
      <c r="C1187" s="157"/>
      <c r="D1187" s="227"/>
      <c r="E1187" s="157"/>
      <c r="F1187" s="227"/>
      <c r="G1187" s="157"/>
      <c r="H1187" s="227"/>
      <c r="I1187" s="157"/>
      <c r="J1187" s="157"/>
      <c r="K1187" s="33"/>
    </row>
    <row r="1188" ht="15.75" customHeight="1">
      <c r="A1188" s="226"/>
      <c r="B1188" s="227"/>
      <c r="C1188" s="157"/>
      <c r="D1188" s="227"/>
      <c r="E1188" s="157"/>
      <c r="F1188" s="227"/>
      <c r="G1188" s="157"/>
      <c r="H1188" s="227"/>
      <c r="I1188" s="157"/>
      <c r="J1188" s="157"/>
      <c r="K1188" s="33"/>
    </row>
    <row r="1189" ht="15.75" customHeight="1">
      <c r="A1189" s="226"/>
      <c r="B1189" s="227"/>
      <c r="C1189" s="157"/>
      <c r="D1189" s="227"/>
      <c r="E1189" s="157"/>
      <c r="F1189" s="227"/>
      <c r="G1189" s="157"/>
      <c r="H1189" s="227"/>
      <c r="I1189" s="157"/>
      <c r="J1189" s="157"/>
      <c r="K1189" s="33"/>
    </row>
    <row r="1190" ht="15.75" customHeight="1">
      <c r="A1190" s="226"/>
      <c r="B1190" s="227"/>
      <c r="C1190" s="157"/>
      <c r="D1190" s="227"/>
      <c r="E1190" s="157"/>
      <c r="F1190" s="227"/>
      <c r="G1190" s="157"/>
      <c r="H1190" s="227"/>
      <c r="I1190" s="157"/>
      <c r="J1190" s="157"/>
      <c r="K1190" s="33"/>
    </row>
    <row r="1191" ht="15.75" customHeight="1">
      <c r="A1191" s="226"/>
      <c r="B1191" s="227"/>
      <c r="C1191" s="157"/>
      <c r="D1191" s="227"/>
      <c r="E1191" s="157"/>
      <c r="F1191" s="227"/>
      <c r="G1191" s="157"/>
      <c r="H1191" s="227"/>
      <c r="I1191" s="157"/>
      <c r="J1191" s="157"/>
      <c r="K1191" s="33"/>
    </row>
    <row r="1192" ht="15.75" customHeight="1">
      <c r="A1192" s="226"/>
      <c r="B1192" s="227"/>
      <c r="C1192" s="157"/>
      <c r="D1192" s="227"/>
      <c r="E1192" s="157"/>
      <c r="F1192" s="227"/>
      <c r="G1192" s="157"/>
      <c r="H1192" s="227"/>
      <c r="I1192" s="157"/>
      <c r="J1192" s="157"/>
      <c r="K1192" s="33"/>
    </row>
    <row r="1193" ht="15.75" customHeight="1">
      <c r="A1193" s="226"/>
      <c r="B1193" s="227"/>
      <c r="C1193" s="157"/>
      <c r="D1193" s="227"/>
      <c r="E1193" s="157"/>
      <c r="F1193" s="227"/>
      <c r="G1193" s="157"/>
      <c r="H1193" s="227"/>
      <c r="I1193" s="157"/>
      <c r="J1193" s="157"/>
      <c r="K1193" s="33"/>
    </row>
    <row r="1194" ht="15.75" customHeight="1">
      <c r="A1194" s="226"/>
      <c r="B1194" s="227"/>
      <c r="C1194" s="157"/>
      <c r="D1194" s="227"/>
      <c r="E1194" s="157"/>
      <c r="F1194" s="227"/>
      <c r="G1194" s="157"/>
      <c r="H1194" s="227"/>
      <c r="I1194" s="157"/>
      <c r="J1194" s="157"/>
      <c r="K1194" s="33"/>
    </row>
    <row r="1195" ht="15.75" customHeight="1">
      <c r="A1195" s="226"/>
      <c r="B1195" s="227"/>
      <c r="C1195" s="157"/>
      <c r="D1195" s="227"/>
      <c r="E1195" s="157"/>
      <c r="F1195" s="227"/>
      <c r="G1195" s="157"/>
      <c r="H1195" s="227"/>
      <c r="I1195" s="157"/>
      <c r="J1195" s="157"/>
      <c r="K1195" s="33"/>
    </row>
    <row r="1196" ht="15.75" customHeight="1">
      <c r="A1196" s="226"/>
      <c r="B1196" s="227"/>
      <c r="C1196" s="157"/>
      <c r="D1196" s="227"/>
      <c r="E1196" s="157"/>
      <c r="F1196" s="227"/>
      <c r="G1196" s="157"/>
      <c r="H1196" s="227"/>
      <c r="I1196" s="157"/>
      <c r="J1196" s="157"/>
      <c r="K1196" s="33"/>
    </row>
    <row r="1197" ht="15.75" customHeight="1">
      <c r="A1197" s="226"/>
      <c r="B1197" s="227"/>
      <c r="C1197" s="157"/>
      <c r="D1197" s="227"/>
      <c r="E1197" s="157"/>
      <c r="F1197" s="227"/>
      <c r="G1197" s="157"/>
      <c r="H1197" s="227"/>
      <c r="I1197" s="157"/>
      <c r="J1197" s="157"/>
      <c r="K1197" s="33"/>
    </row>
    <row r="1198" ht="15.75" customHeight="1">
      <c r="A1198" s="226"/>
      <c r="B1198" s="227"/>
      <c r="C1198" s="157"/>
      <c r="D1198" s="227"/>
      <c r="E1198" s="157"/>
      <c r="F1198" s="227"/>
      <c r="G1198" s="157"/>
      <c r="H1198" s="227"/>
      <c r="I1198" s="157"/>
      <c r="J1198" s="157"/>
      <c r="K1198" s="33"/>
    </row>
    <row r="1199" ht="15.75" customHeight="1">
      <c r="A1199" s="226"/>
      <c r="B1199" s="227"/>
      <c r="C1199" s="157"/>
      <c r="D1199" s="227"/>
      <c r="E1199" s="157"/>
      <c r="F1199" s="227"/>
      <c r="G1199" s="157"/>
      <c r="H1199" s="227"/>
      <c r="I1199" s="157"/>
      <c r="J1199" s="157"/>
      <c r="K1199" s="33"/>
    </row>
    <row r="1200" ht="15.75" customHeight="1">
      <c r="A1200" s="226"/>
      <c r="B1200" s="227"/>
      <c r="C1200" s="157"/>
      <c r="D1200" s="227"/>
      <c r="E1200" s="157"/>
      <c r="F1200" s="227"/>
      <c r="G1200" s="157"/>
      <c r="H1200" s="227"/>
      <c r="I1200" s="157"/>
      <c r="J1200" s="157"/>
      <c r="K1200" s="33"/>
    </row>
    <row r="1201" ht="15.75" customHeight="1">
      <c r="A1201" s="226"/>
      <c r="B1201" s="227"/>
      <c r="C1201" s="157"/>
      <c r="D1201" s="227"/>
      <c r="E1201" s="157"/>
      <c r="F1201" s="227"/>
      <c r="G1201" s="157"/>
      <c r="H1201" s="227"/>
      <c r="I1201" s="157"/>
      <c r="J1201" s="157"/>
      <c r="K1201" s="33"/>
    </row>
    <row r="1202" ht="15.75" customHeight="1">
      <c r="A1202" s="226"/>
      <c r="B1202" s="227"/>
      <c r="C1202" s="157"/>
      <c r="D1202" s="227"/>
      <c r="E1202" s="157"/>
      <c r="F1202" s="227"/>
      <c r="G1202" s="157"/>
      <c r="H1202" s="227"/>
      <c r="I1202" s="157"/>
      <c r="J1202" s="157"/>
      <c r="K1202" s="33"/>
    </row>
    <row r="1203" ht="15.75" customHeight="1">
      <c r="A1203" s="226"/>
      <c r="B1203" s="227"/>
      <c r="C1203" s="157"/>
      <c r="D1203" s="227"/>
      <c r="E1203" s="157"/>
      <c r="F1203" s="227"/>
      <c r="G1203" s="157"/>
      <c r="H1203" s="227"/>
      <c r="I1203" s="157"/>
      <c r="J1203" s="157"/>
      <c r="K1203" s="33"/>
    </row>
    <row r="1204" ht="15.75" customHeight="1">
      <c r="A1204" s="226"/>
      <c r="B1204" s="227"/>
      <c r="C1204" s="157"/>
      <c r="D1204" s="227"/>
      <c r="E1204" s="157"/>
      <c r="F1204" s="227"/>
      <c r="G1204" s="157"/>
      <c r="H1204" s="227"/>
      <c r="I1204" s="157"/>
      <c r="J1204" s="157"/>
      <c r="K1204" s="33"/>
    </row>
    <row r="1205" ht="15.75" customHeight="1">
      <c r="A1205" s="226"/>
      <c r="B1205" s="227"/>
      <c r="C1205" s="157"/>
      <c r="D1205" s="227"/>
      <c r="E1205" s="157"/>
      <c r="F1205" s="227"/>
      <c r="G1205" s="157"/>
      <c r="H1205" s="227"/>
      <c r="I1205" s="157"/>
      <c r="J1205" s="157"/>
      <c r="K1205" s="33"/>
    </row>
    <row r="1206" ht="15.75" customHeight="1">
      <c r="A1206" s="226"/>
      <c r="B1206" s="227"/>
      <c r="C1206" s="157"/>
      <c r="D1206" s="227"/>
      <c r="E1206" s="157"/>
      <c r="F1206" s="227"/>
      <c r="G1206" s="157"/>
      <c r="H1206" s="227"/>
      <c r="I1206" s="157"/>
      <c r="J1206" s="157"/>
      <c r="K1206" s="33"/>
    </row>
    <row r="1207" ht="15.75" customHeight="1">
      <c r="A1207" s="226"/>
      <c r="B1207" s="227"/>
      <c r="C1207" s="157"/>
      <c r="D1207" s="227"/>
      <c r="E1207" s="157"/>
      <c r="F1207" s="227"/>
      <c r="G1207" s="157"/>
      <c r="H1207" s="227"/>
      <c r="I1207" s="157"/>
      <c r="J1207" s="157"/>
      <c r="K1207" s="33"/>
    </row>
    <row r="1208" ht="15.75" customHeight="1">
      <c r="A1208" s="226"/>
      <c r="B1208" s="227"/>
      <c r="C1208" s="157"/>
      <c r="D1208" s="227"/>
      <c r="E1208" s="157"/>
      <c r="F1208" s="227"/>
      <c r="G1208" s="157"/>
      <c r="H1208" s="227"/>
      <c r="I1208" s="157"/>
      <c r="J1208" s="157"/>
      <c r="K1208" s="33"/>
    </row>
    <row r="1209" ht="15.75" customHeight="1">
      <c r="A1209" s="226"/>
      <c r="B1209" s="227"/>
      <c r="C1209" s="157"/>
      <c r="D1209" s="227"/>
      <c r="E1209" s="157"/>
      <c r="F1209" s="227"/>
      <c r="G1209" s="157"/>
      <c r="H1209" s="227"/>
      <c r="I1209" s="157"/>
      <c r="J1209" s="157"/>
      <c r="K1209" s="33"/>
    </row>
    <row r="1210" ht="15.75" customHeight="1">
      <c r="A1210" s="226"/>
      <c r="B1210" s="227"/>
      <c r="C1210" s="157"/>
      <c r="D1210" s="227"/>
      <c r="E1210" s="157"/>
      <c r="F1210" s="227"/>
      <c r="G1210" s="157"/>
      <c r="H1210" s="227"/>
      <c r="I1210" s="157"/>
      <c r="J1210" s="157"/>
      <c r="K1210" s="33"/>
    </row>
    <row r="1211" ht="15.75" customHeight="1">
      <c r="A1211" s="226"/>
      <c r="B1211" s="227"/>
      <c r="C1211" s="157"/>
      <c r="D1211" s="227"/>
      <c r="E1211" s="157"/>
      <c r="F1211" s="227"/>
      <c r="G1211" s="157"/>
      <c r="H1211" s="227"/>
      <c r="I1211" s="157"/>
      <c r="J1211" s="157"/>
      <c r="K1211" s="33"/>
    </row>
    <row r="1212" ht="15.75" customHeight="1">
      <c r="A1212" s="226"/>
      <c r="B1212" s="227"/>
      <c r="C1212" s="157"/>
      <c r="D1212" s="227"/>
      <c r="E1212" s="157"/>
      <c r="F1212" s="227"/>
      <c r="G1212" s="157"/>
      <c r="H1212" s="227"/>
      <c r="I1212" s="157"/>
      <c r="J1212" s="157"/>
      <c r="K1212" s="33"/>
    </row>
    <row r="1213" ht="15.75" customHeight="1">
      <c r="A1213" s="226"/>
      <c r="B1213" s="227"/>
      <c r="C1213" s="157"/>
      <c r="D1213" s="227"/>
      <c r="E1213" s="157"/>
      <c r="F1213" s="227"/>
      <c r="G1213" s="157"/>
      <c r="H1213" s="227"/>
      <c r="I1213" s="157"/>
      <c r="J1213" s="157"/>
      <c r="K1213" s="33"/>
    </row>
    <row r="1214" ht="15.75" customHeight="1">
      <c r="A1214" s="226"/>
      <c r="B1214" s="227"/>
      <c r="C1214" s="157"/>
      <c r="D1214" s="227"/>
      <c r="E1214" s="157"/>
      <c r="F1214" s="227"/>
      <c r="G1214" s="157"/>
      <c r="H1214" s="227"/>
      <c r="I1214" s="157"/>
      <c r="J1214" s="157"/>
      <c r="K1214" s="33"/>
    </row>
    <row r="1215" ht="15.75" customHeight="1">
      <c r="A1215" s="226"/>
      <c r="B1215" s="227"/>
      <c r="C1215" s="157"/>
      <c r="D1215" s="227"/>
      <c r="E1215" s="157"/>
      <c r="F1215" s="227"/>
      <c r="G1215" s="157"/>
      <c r="H1215" s="227"/>
      <c r="I1215" s="157"/>
      <c r="J1215" s="157"/>
      <c r="K1215" s="33"/>
    </row>
    <row r="1216" ht="15.75" customHeight="1">
      <c r="A1216" s="226"/>
      <c r="B1216" s="227"/>
      <c r="C1216" s="157"/>
      <c r="D1216" s="227"/>
      <c r="E1216" s="157"/>
      <c r="F1216" s="227"/>
      <c r="G1216" s="157"/>
      <c r="H1216" s="227"/>
      <c r="I1216" s="157"/>
      <c r="J1216" s="157"/>
      <c r="K1216" s="33"/>
    </row>
    <row r="1217" ht="15.75" customHeight="1">
      <c r="A1217" s="226"/>
      <c r="B1217" s="227"/>
      <c r="C1217" s="157"/>
      <c r="D1217" s="227"/>
      <c r="E1217" s="157"/>
      <c r="F1217" s="227"/>
      <c r="G1217" s="157"/>
      <c r="H1217" s="227"/>
      <c r="I1217" s="157"/>
      <c r="J1217" s="157"/>
      <c r="K1217" s="33"/>
    </row>
    <row r="1218" ht="15.75" customHeight="1">
      <c r="A1218" s="226"/>
      <c r="B1218" s="227"/>
      <c r="C1218" s="157"/>
      <c r="D1218" s="227"/>
      <c r="E1218" s="157"/>
      <c r="F1218" s="227"/>
      <c r="G1218" s="157"/>
      <c r="H1218" s="227"/>
      <c r="I1218" s="157"/>
      <c r="J1218" s="157"/>
      <c r="K1218" s="33"/>
    </row>
    <row r="1219" ht="15.75" customHeight="1">
      <c r="A1219" s="226"/>
      <c r="B1219" s="227"/>
      <c r="C1219" s="157"/>
      <c r="D1219" s="227"/>
      <c r="E1219" s="157"/>
      <c r="F1219" s="227"/>
      <c r="G1219" s="157"/>
      <c r="H1219" s="227"/>
      <c r="I1219" s="157"/>
      <c r="J1219" s="157"/>
      <c r="K1219" s="33"/>
    </row>
    <row r="1220" ht="15.75" customHeight="1">
      <c r="A1220" s="226"/>
      <c r="B1220" s="227"/>
      <c r="C1220" s="157"/>
      <c r="D1220" s="227"/>
      <c r="E1220" s="157"/>
      <c r="F1220" s="227"/>
      <c r="G1220" s="157"/>
      <c r="H1220" s="227"/>
      <c r="I1220" s="157"/>
      <c r="J1220" s="157"/>
      <c r="K1220" s="33"/>
    </row>
    <row r="1221" ht="15.75" customHeight="1">
      <c r="A1221" s="226"/>
      <c r="B1221" s="227"/>
      <c r="C1221" s="157"/>
      <c r="D1221" s="227"/>
      <c r="E1221" s="157"/>
      <c r="F1221" s="227"/>
      <c r="G1221" s="157"/>
      <c r="H1221" s="227"/>
      <c r="I1221" s="157"/>
      <c r="J1221" s="157"/>
      <c r="K1221" s="33"/>
    </row>
    <row r="1222" ht="15.75" customHeight="1">
      <c r="A1222" s="226"/>
      <c r="B1222" s="227"/>
      <c r="C1222" s="157"/>
      <c r="D1222" s="227"/>
      <c r="E1222" s="157"/>
      <c r="F1222" s="227"/>
      <c r="G1222" s="157"/>
      <c r="H1222" s="227"/>
      <c r="I1222" s="157"/>
      <c r="J1222" s="157"/>
      <c r="K1222" s="33"/>
    </row>
    <row r="1223" ht="15.75" customHeight="1">
      <c r="A1223" s="226"/>
      <c r="B1223" s="227"/>
      <c r="C1223" s="157"/>
      <c r="D1223" s="227"/>
      <c r="E1223" s="157"/>
      <c r="F1223" s="227"/>
      <c r="G1223" s="157"/>
      <c r="H1223" s="227"/>
      <c r="I1223" s="157"/>
      <c r="J1223" s="157"/>
      <c r="K1223" s="33"/>
    </row>
    <row r="1224" ht="15.75" customHeight="1">
      <c r="A1224" s="226"/>
      <c r="B1224" s="227"/>
      <c r="C1224" s="157"/>
      <c r="D1224" s="227"/>
      <c r="E1224" s="157"/>
      <c r="F1224" s="227"/>
      <c r="G1224" s="157"/>
      <c r="H1224" s="227"/>
      <c r="I1224" s="157"/>
      <c r="J1224" s="157"/>
      <c r="K1224" s="33"/>
    </row>
    <row r="1225" ht="15.75" customHeight="1">
      <c r="A1225" s="226"/>
      <c r="B1225" s="227"/>
      <c r="C1225" s="157"/>
      <c r="D1225" s="227"/>
      <c r="E1225" s="157"/>
      <c r="F1225" s="227"/>
      <c r="G1225" s="157"/>
      <c r="H1225" s="227"/>
      <c r="I1225" s="157"/>
      <c r="J1225" s="157"/>
      <c r="K1225" s="33"/>
    </row>
    <row r="1226" ht="15.75" customHeight="1">
      <c r="A1226" s="226"/>
      <c r="B1226" s="227"/>
      <c r="C1226" s="157"/>
      <c r="D1226" s="227"/>
      <c r="E1226" s="157"/>
      <c r="F1226" s="227"/>
      <c r="G1226" s="157"/>
      <c r="H1226" s="227"/>
      <c r="I1226" s="157"/>
      <c r="J1226" s="157"/>
      <c r="K1226" s="33"/>
    </row>
    <row r="1227" ht="15.75" customHeight="1">
      <c r="A1227" s="226"/>
      <c r="B1227" s="227"/>
      <c r="C1227" s="157"/>
      <c r="D1227" s="227"/>
      <c r="E1227" s="157"/>
      <c r="F1227" s="227"/>
      <c r="G1227" s="157"/>
      <c r="H1227" s="227"/>
      <c r="I1227" s="157"/>
      <c r="J1227" s="157"/>
      <c r="K1227" s="33"/>
    </row>
    <row r="1228" ht="15.75" customHeight="1">
      <c r="A1228" s="226"/>
      <c r="B1228" s="227"/>
      <c r="C1228" s="157"/>
      <c r="D1228" s="227"/>
      <c r="E1228" s="157"/>
      <c r="F1228" s="227"/>
      <c r="G1228" s="157"/>
      <c r="H1228" s="227"/>
      <c r="I1228" s="157"/>
      <c r="J1228" s="157"/>
      <c r="K1228" s="33"/>
    </row>
    <row r="1229" ht="15.75" customHeight="1">
      <c r="A1229" s="226"/>
      <c r="B1229" s="227"/>
      <c r="C1229" s="157"/>
      <c r="D1229" s="227"/>
      <c r="E1229" s="157"/>
      <c r="F1229" s="227"/>
      <c r="G1229" s="157"/>
      <c r="H1229" s="227"/>
      <c r="I1229" s="157"/>
      <c r="J1229" s="157"/>
      <c r="K1229" s="33"/>
    </row>
    <row r="1230" ht="15.75" customHeight="1">
      <c r="A1230" s="226"/>
      <c r="B1230" s="227"/>
      <c r="C1230" s="157"/>
      <c r="D1230" s="227"/>
      <c r="E1230" s="157"/>
      <c r="F1230" s="227"/>
      <c r="G1230" s="157"/>
      <c r="H1230" s="227"/>
      <c r="I1230" s="157"/>
      <c r="J1230" s="157"/>
      <c r="K1230" s="33"/>
    </row>
    <row r="1231" ht="15.75" customHeight="1">
      <c r="A1231" s="226"/>
      <c r="B1231" s="227"/>
      <c r="C1231" s="157"/>
      <c r="D1231" s="227"/>
      <c r="E1231" s="157"/>
      <c r="F1231" s="227"/>
      <c r="G1231" s="157"/>
      <c r="H1231" s="227"/>
      <c r="I1231" s="157"/>
      <c r="J1231" s="157"/>
      <c r="K1231" s="33"/>
    </row>
    <row r="1232" ht="15.75" customHeight="1">
      <c r="A1232" s="226"/>
      <c r="B1232" s="227"/>
      <c r="C1232" s="157"/>
      <c r="D1232" s="227"/>
      <c r="E1232" s="157"/>
      <c r="F1232" s="227"/>
      <c r="G1232" s="157"/>
      <c r="H1232" s="227"/>
      <c r="I1232" s="157"/>
      <c r="J1232" s="157"/>
      <c r="K1232" s="33"/>
    </row>
    <row r="1233" ht="15.75" customHeight="1">
      <c r="A1233" s="226"/>
      <c r="B1233" s="227"/>
      <c r="C1233" s="157"/>
      <c r="D1233" s="227"/>
      <c r="E1233" s="157"/>
      <c r="F1233" s="227"/>
      <c r="G1233" s="157"/>
      <c r="H1233" s="227"/>
      <c r="I1233" s="157"/>
      <c r="J1233" s="157"/>
      <c r="K1233" s="33"/>
    </row>
    <row r="1234" ht="15.75" customHeight="1">
      <c r="A1234" s="226"/>
      <c r="B1234" s="227"/>
      <c r="C1234" s="157"/>
      <c r="D1234" s="227"/>
      <c r="E1234" s="157"/>
      <c r="F1234" s="227"/>
      <c r="G1234" s="157"/>
      <c r="H1234" s="227"/>
      <c r="I1234" s="157"/>
      <c r="J1234" s="157"/>
      <c r="K1234" s="33"/>
    </row>
    <row r="1235" ht="15.75" customHeight="1">
      <c r="A1235" s="226"/>
      <c r="B1235" s="227"/>
      <c r="C1235" s="157"/>
      <c r="D1235" s="227"/>
      <c r="E1235" s="157"/>
      <c r="F1235" s="227"/>
      <c r="G1235" s="157"/>
      <c r="H1235" s="227"/>
      <c r="I1235" s="157"/>
      <c r="J1235" s="157"/>
      <c r="K1235" s="33"/>
    </row>
    <row r="1236" ht="15.75" customHeight="1">
      <c r="A1236" s="226"/>
      <c r="B1236" s="227"/>
      <c r="C1236" s="157"/>
      <c r="D1236" s="227"/>
      <c r="E1236" s="157"/>
      <c r="F1236" s="227"/>
      <c r="G1236" s="157"/>
      <c r="H1236" s="227"/>
      <c r="I1236" s="157"/>
      <c r="J1236" s="157"/>
      <c r="K1236" s="33"/>
    </row>
    <row r="1237" ht="15.75" customHeight="1">
      <c r="A1237" s="226"/>
      <c r="B1237" s="227"/>
      <c r="C1237" s="157"/>
      <c r="D1237" s="227"/>
      <c r="E1237" s="157"/>
      <c r="F1237" s="227"/>
      <c r="G1237" s="157"/>
      <c r="H1237" s="227"/>
      <c r="I1237" s="157"/>
      <c r="J1237" s="157"/>
      <c r="K1237" s="33"/>
    </row>
    <row r="1238" ht="15.75" customHeight="1">
      <c r="A1238" s="226"/>
      <c r="B1238" s="227"/>
      <c r="C1238" s="157"/>
      <c r="D1238" s="227"/>
      <c r="E1238" s="157"/>
      <c r="F1238" s="227"/>
      <c r="G1238" s="157"/>
      <c r="H1238" s="227"/>
      <c r="I1238" s="157"/>
      <c r="J1238" s="157"/>
      <c r="K1238" s="33"/>
    </row>
    <row r="1239" ht="15.75" customHeight="1">
      <c r="A1239" s="226"/>
      <c r="B1239" s="227"/>
      <c r="C1239" s="157"/>
      <c r="D1239" s="227"/>
      <c r="E1239" s="157"/>
      <c r="F1239" s="227"/>
      <c r="G1239" s="157"/>
      <c r="H1239" s="227"/>
      <c r="I1239" s="157"/>
      <c r="J1239" s="157"/>
      <c r="K1239" s="33"/>
    </row>
    <row r="1240" ht="15.75" customHeight="1">
      <c r="A1240" s="226"/>
      <c r="B1240" s="227"/>
      <c r="C1240" s="157"/>
      <c r="D1240" s="227"/>
      <c r="E1240" s="157"/>
      <c r="F1240" s="227"/>
      <c r="G1240" s="157"/>
      <c r="H1240" s="227"/>
      <c r="I1240" s="157"/>
      <c r="J1240" s="157"/>
      <c r="K1240" s="33"/>
    </row>
    <row r="1241" ht="15.75" customHeight="1">
      <c r="A1241" s="226"/>
      <c r="B1241" s="227"/>
      <c r="C1241" s="157"/>
      <c r="D1241" s="227"/>
      <c r="E1241" s="157"/>
      <c r="F1241" s="227"/>
      <c r="G1241" s="157"/>
      <c r="H1241" s="227"/>
      <c r="I1241" s="157"/>
      <c r="J1241" s="157"/>
      <c r="K1241" s="33"/>
    </row>
    <row r="1242" ht="15.75" customHeight="1">
      <c r="A1242" s="226"/>
      <c r="B1242" s="227"/>
      <c r="C1242" s="157"/>
      <c r="D1242" s="227"/>
      <c r="E1242" s="157"/>
      <c r="F1242" s="227"/>
      <c r="G1242" s="157"/>
      <c r="H1242" s="227"/>
      <c r="I1242" s="157"/>
      <c r="J1242" s="157"/>
      <c r="K1242" s="33"/>
    </row>
    <row r="1243" ht="15.75" customHeight="1">
      <c r="A1243" s="226"/>
      <c r="B1243" s="227"/>
      <c r="C1243" s="157"/>
      <c r="D1243" s="227"/>
      <c r="E1243" s="157"/>
      <c r="F1243" s="227"/>
      <c r="G1243" s="157"/>
      <c r="H1243" s="227"/>
      <c r="I1243" s="157"/>
      <c r="J1243" s="157"/>
      <c r="K1243" s="33"/>
    </row>
    <row r="1244" ht="15.75" customHeight="1">
      <c r="A1244" s="226"/>
      <c r="B1244" s="227"/>
      <c r="C1244" s="157"/>
      <c r="D1244" s="227"/>
      <c r="E1244" s="157"/>
      <c r="F1244" s="227"/>
      <c r="G1244" s="157"/>
      <c r="H1244" s="227"/>
      <c r="I1244" s="157"/>
      <c r="J1244" s="157"/>
      <c r="K1244" s="33"/>
    </row>
    <row r="1245" ht="15.75" customHeight="1">
      <c r="A1245" s="226"/>
      <c r="B1245" s="227"/>
      <c r="C1245" s="157"/>
      <c r="D1245" s="227"/>
      <c r="E1245" s="157"/>
      <c r="F1245" s="227"/>
      <c r="G1245" s="157"/>
      <c r="H1245" s="227"/>
      <c r="I1245" s="157"/>
      <c r="J1245" s="157"/>
      <c r="K1245" s="33"/>
    </row>
    <row r="1246" ht="15.75" customHeight="1">
      <c r="A1246" s="226"/>
      <c r="B1246" s="227"/>
      <c r="C1246" s="157"/>
      <c r="D1246" s="227"/>
      <c r="E1246" s="157"/>
      <c r="F1246" s="227"/>
      <c r="G1246" s="157"/>
      <c r="H1246" s="227"/>
      <c r="I1246" s="157"/>
      <c r="J1246" s="157"/>
      <c r="K1246" s="33"/>
    </row>
    <row r="1247" ht="15.75" customHeight="1">
      <c r="A1247" s="226"/>
      <c r="B1247" s="227"/>
      <c r="C1247" s="157"/>
      <c r="D1247" s="227"/>
      <c r="E1247" s="157"/>
      <c r="F1247" s="227"/>
      <c r="G1247" s="157"/>
      <c r="H1247" s="227"/>
      <c r="I1247" s="157"/>
      <c r="J1247" s="157"/>
      <c r="K1247" s="33"/>
    </row>
    <row r="1248" ht="15.75" customHeight="1">
      <c r="A1248" s="226"/>
      <c r="B1248" s="227"/>
      <c r="C1248" s="157"/>
      <c r="D1248" s="227"/>
      <c r="E1248" s="157"/>
      <c r="F1248" s="227"/>
      <c r="G1248" s="157"/>
      <c r="H1248" s="227"/>
      <c r="I1248" s="157"/>
      <c r="J1248" s="157"/>
      <c r="K1248" s="33"/>
    </row>
    <row r="1249" ht="15.75" customHeight="1">
      <c r="A1249" s="226"/>
      <c r="B1249" s="227"/>
      <c r="C1249" s="157"/>
      <c r="D1249" s="227"/>
      <c r="E1249" s="157"/>
      <c r="F1249" s="227"/>
      <c r="G1249" s="157"/>
      <c r="H1249" s="227"/>
      <c r="I1249" s="157"/>
      <c r="J1249" s="157"/>
      <c r="K1249" s="33"/>
    </row>
    <row r="1250" ht="15.75" customHeight="1">
      <c r="A1250" s="226"/>
      <c r="B1250" s="227"/>
      <c r="C1250" s="157"/>
      <c r="D1250" s="227"/>
      <c r="E1250" s="157"/>
      <c r="F1250" s="227"/>
      <c r="G1250" s="157"/>
      <c r="H1250" s="227"/>
      <c r="I1250" s="157"/>
      <c r="J1250" s="157"/>
      <c r="K1250" s="33"/>
    </row>
    <row r="1251" ht="15.75" customHeight="1">
      <c r="A1251" s="226"/>
      <c r="B1251" s="227"/>
      <c r="C1251" s="157"/>
      <c r="D1251" s="227"/>
      <c r="E1251" s="157"/>
      <c r="F1251" s="227"/>
      <c r="G1251" s="157"/>
      <c r="H1251" s="227"/>
      <c r="I1251" s="157"/>
      <c r="J1251" s="157"/>
      <c r="K1251" s="33"/>
    </row>
    <row r="1252" ht="15.75" customHeight="1">
      <c r="A1252" s="226"/>
      <c r="B1252" s="227"/>
      <c r="C1252" s="157"/>
      <c r="D1252" s="227"/>
      <c r="E1252" s="157"/>
      <c r="F1252" s="227"/>
      <c r="G1252" s="157"/>
      <c r="H1252" s="227"/>
      <c r="I1252" s="157"/>
      <c r="J1252" s="157"/>
      <c r="K1252" s="33"/>
    </row>
    <row r="1253" ht="15.75" customHeight="1">
      <c r="A1253" s="226"/>
      <c r="B1253" s="227"/>
      <c r="C1253" s="157"/>
      <c r="D1253" s="227"/>
      <c r="E1253" s="157"/>
      <c r="F1253" s="227"/>
      <c r="G1253" s="157"/>
      <c r="H1253" s="227"/>
      <c r="I1253" s="157"/>
      <c r="J1253" s="157"/>
      <c r="K1253" s="33"/>
    </row>
    <row r="1254" ht="15.75" customHeight="1">
      <c r="A1254" s="226"/>
      <c r="B1254" s="227"/>
      <c r="C1254" s="157"/>
      <c r="D1254" s="227"/>
      <c r="E1254" s="157"/>
      <c r="F1254" s="227"/>
      <c r="G1254" s="157"/>
      <c r="H1254" s="227"/>
      <c r="I1254" s="157"/>
      <c r="J1254" s="157"/>
      <c r="K1254" s="33"/>
    </row>
    <row r="1255" ht="15.75" customHeight="1">
      <c r="A1255" s="226"/>
      <c r="B1255" s="227"/>
      <c r="C1255" s="157"/>
      <c r="D1255" s="227"/>
      <c r="E1255" s="157"/>
      <c r="F1255" s="227"/>
      <c r="G1255" s="157"/>
      <c r="H1255" s="227"/>
      <c r="I1255" s="157"/>
      <c r="J1255" s="157"/>
      <c r="K1255" s="33"/>
    </row>
    <row r="1256" ht="15.75" customHeight="1">
      <c r="A1256" s="226"/>
      <c r="B1256" s="227"/>
      <c r="C1256" s="157"/>
      <c r="D1256" s="227"/>
      <c r="E1256" s="157"/>
      <c r="F1256" s="227"/>
      <c r="G1256" s="157"/>
      <c r="H1256" s="227"/>
      <c r="I1256" s="157"/>
      <c r="J1256" s="157"/>
      <c r="K1256" s="33"/>
    </row>
    <row r="1257" ht="15.75" customHeight="1">
      <c r="A1257" s="226"/>
      <c r="B1257" s="227"/>
      <c r="C1257" s="157"/>
      <c r="D1257" s="227"/>
      <c r="E1257" s="157"/>
      <c r="F1257" s="227"/>
      <c r="G1257" s="157"/>
      <c r="H1257" s="227"/>
      <c r="I1257" s="157"/>
      <c r="J1257" s="157"/>
      <c r="K1257" s="33"/>
    </row>
    <row r="1258" ht="15.75" customHeight="1">
      <c r="A1258" s="226"/>
      <c r="B1258" s="227"/>
      <c r="C1258" s="157"/>
      <c r="D1258" s="227"/>
      <c r="E1258" s="157"/>
      <c r="F1258" s="227"/>
      <c r="G1258" s="157"/>
      <c r="H1258" s="227"/>
      <c r="I1258" s="157"/>
      <c r="J1258" s="157"/>
      <c r="K1258" s="33"/>
    </row>
    <row r="1259" ht="15.75" customHeight="1">
      <c r="A1259" s="226"/>
      <c r="B1259" s="227"/>
      <c r="C1259" s="157"/>
      <c r="D1259" s="227"/>
      <c r="E1259" s="157"/>
      <c r="F1259" s="227"/>
      <c r="G1259" s="157"/>
      <c r="H1259" s="227"/>
      <c r="I1259" s="157"/>
      <c r="J1259" s="157"/>
      <c r="K1259" s="33"/>
    </row>
    <row r="1260" ht="15.75" customHeight="1">
      <c r="A1260" s="226"/>
      <c r="B1260" s="227"/>
      <c r="C1260" s="157"/>
      <c r="D1260" s="227"/>
      <c r="E1260" s="157"/>
      <c r="F1260" s="227"/>
      <c r="G1260" s="157"/>
      <c r="H1260" s="227"/>
      <c r="I1260" s="157"/>
      <c r="J1260" s="157"/>
      <c r="K1260" s="33"/>
    </row>
    <row r="1261" ht="15.75" customHeight="1">
      <c r="A1261" s="226"/>
      <c r="B1261" s="227"/>
      <c r="C1261" s="157"/>
      <c r="D1261" s="227"/>
      <c r="E1261" s="157"/>
      <c r="F1261" s="227"/>
      <c r="G1261" s="157"/>
      <c r="H1261" s="227"/>
      <c r="I1261" s="157"/>
      <c r="J1261" s="157"/>
      <c r="K1261" s="33"/>
    </row>
    <row r="1262" ht="15.75" customHeight="1">
      <c r="A1262" s="226"/>
      <c r="B1262" s="227"/>
      <c r="C1262" s="157"/>
      <c r="D1262" s="227"/>
      <c r="E1262" s="157"/>
      <c r="F1262" s="227"/>
      <c r="G1262" s="157"/>
      <c r="H1262" s="227"/>
      <c r="I1262" s="157"/>
      <c r="J1262" s="157"/>
      <c r="K1262" s="33"/>
    </row>
    <row r="1263" ht="15.75" customHeight="1">
      <c r="A1263" s="226"/>
      <c r="B1263" s="227"/>
      <c r="C1263" s="157"/>
      <c r="D1263" s="227"/>
      <c r="E1263" s="157"/>
      <c r="F1263" s="227"/>
      <c r="G1263" s="157"/>
      <c r="H1263" s="227"/>
      <c r="I1263" s="157"/>
      <c r="J1263" s="157"/>
      <c r="K1263" s="33"/>
    </row>
    <row r="1264" ht="15.75" customHeight="1">
      <c r="A1264" s="226"/>
      <c r="B1264" s="227"/>
      <c r="C1264" s="157"/>
      <c r="D1264" s="227"/>
      <c r="E1264" s="157"/>
      <c r="F1264" s="227"/>
      <c r="G1264" s="157"/>
      <c r="H1264" s="227"/>
      <c r="I1264" s="157"/>
      <c r="J1264" s="157"/>
      <c r="K1264" s="33"/>
    </row>
    <row r="1265" ht="15.75" customHeight="1">
      <c r="A1265" s="226"/>
      <c r="B1265" s="227"/>
      <c r="C1265" s="157"/>
      <c r="D1265" s="227"/>
      <c r="E1265" s="157"/>
      <c r="F1265" s="227"/>
      <c r="G1265" s="157"/>
      <c r="H1265" s="227"/>
      <c r="I1265" s="157"/>
      <c r="J1265" s="157"/>
      <c r="K1265" s="33"/>
    </row>
    <row r="1266" ht="15.75" customHeight="1">
      <c r="A1266" s="226"/>
      <c r="B1266" s="227"/>
      <c r="C1266" s="157"/>
      <c r="D1266" s="227"/>
      <c r="E1266" s="157"/>
      <c r="F1266" s="227"/>
      <c r="G1266" s="157"/>
      <c r="H1266" s="227"/>
      <c r="I1266" s="157"/>
      <c r="J1266" s="157"/>
      <c r="K1266" s="33"/>
    </row>
    <row r="1267" ht="15.75" customHeight="1">
      <c r="A1267" s="226"/>
      <c r="B1267" s="227"/>
      <c r="C1267" s="157"/>
      <c r="D1267" s="227"/>
      <c r="E1267" s="157"/>
      <c r="F1267" s="227"/>
      <c r="G1267" s="157"/>
      <c r="H1267" s="227"/>
      <c r="I1267" s="157"/>
      <c r="J1267" s="157"/>
      <c r="K1267" s="33"/>
    </row>
    <row r="1268" ht="15.75" customHeight="1">
      <c r="A1268" s="226"/>
      <c r="B1268" s="227"/>
      <c r="C1268" s="157"/>
      <c r="D1268" s="227"/>
      <c r="E1268" s="157"/>
      <c r="F1268" s="227"/>
      <c r="G1268" s="157"/>
      <c r="H1268" s="227"/>
      <c r="I1268" s="157"/>
      <c r="J1268" s="157"/>
      <c r="K1268" s="33"/>
    </row>
    <row r="1269" ht="15.75" customHeight="1">
      <c r="A1269" s="226"/>
      <c r="B1269" s="227"/>
      <c r="C1269" s="157"/>
      <c r="D1269" s="227"/>
      <c r="E1269" s="157"/>
      <c r="F1269" s="227"/>
      <c r="G1269" s="157"/>
      <c r="H1269" s="227"/>
      <c r="I1269" s="157"/>
      <c r="J1269" s="157"/>
      <c r="K1269" s="33"/>
    </row>
    <row r="1270" ht="15.75" customHeight="1">
      <c r="A1270" s="226"/>
      <c r="B1270" s="227"/>
      <c r="C1270" s="157"/>
      <c r="D1270" s="227"/>
      <c r="E1270" s="157"/>
      <c r="F1270" s="227"/>
      <c r="G1270" s="157"/>
      <c r="H1270" s="227"/>
      <c r="I1270" s="157"/>
      <c r="J1270" s="157"/>
      <c r="K1270" s="33"/>
    </row>
    <row r="1271" ht="15.75" customHeight="1">
      <c r="A1271" s="226"/>
      <c r="B1271" s="227"/>
      <c r="C1271" s="157"/>
      <c r="D1271" s="227"/>
      <c r="E1271" s="157"/>
      <c r="F1271" s="227"/>
      <c r="G1271" s="157"/>
      <c r="H1271" s="227"/>
      <c r="I1271" s="157"/>
      <c r="J1271" s="157"/>
      <c r="K1271" s="33"/>
    </row>
    <row r="1272" ht="15.75" customHeight="1">
      <c r="A1272" s="226"/>
      <c r="B1272" s="227"/>
      <c r="C1272" s="157"/>
      <c r="D1272" s="227"/>
      <c r="E1272" s="157"/>
      <c r="F1272" s="227"/>
      <c r="G1272" s="157"/>
      <c r="H1272" s="227"/>
      <c r="I1272" s="157"/>
      <c r="J1272" s="157"/>
      <c r="K1272" s="33"/>
    </row>
    <row r="1273" ht="15.75" customHeight="1">
      <c r="A1273" s="226"/>
      <c r="B1273" s="227"/>
      <c r="C1273" s="157"/>
      <c r="D1273" s="227"/>
      <c r="E1273" s="157"/>
      <c r="F1273" s="227"/>
      <c r="G1273" s="157"/>
      <c r="H1273" s="227"/>
      <c r="I1273" s="157"/>
      <c r="J1273" s="157"/>
      <c r="K1273" s="33"/>
    </row>
    <row r="1274" ht="15.75" customHeight="1">
      <c r="A1274" s="226"/>
      <c r="B1274" s="227"/>
      <c r="C1274" s="157"/>
      <c r="D1274" s="227"/>
      <c r="E1274" s="157"/>
      <c r="F1274" s="227"/>
      <c r="G1274" s="157"/>
      <c r="H1274" s="227"/>
      <c r="I1274" s="157"/>
      <c r="J1274" s="157"/>
      <c r="K1274" s="33"/>
    </row>
    <row r="1275" ht="15.75" customHeight="1">
      <c r="A1275" s="226"/>
      <c r="B1275" s="227"/>
      <c r="C1275" s="157"/>
      <c r="D1275" s="227"/>
      <c r="E1275" s="157"/>
      <c r="F1275" s="227"/>
      <c r="G1275" s="157"/>
      <c r="H1275" s="227"/>
      <c r="I1275" s="157"/>
      <c r="J1275" s="157"/>
      <c r="K1275" s="33"/>
    </row>
    <row r="1276" ht="15.75" customHeight="1">
      <c r="A1276" s="226"/>
      <c r="B1276" s="227"/>
      <c r="C1276" s="157"/>
      <c r="D1276" s="227"/>
      <c r="E1276" s="157"/>
      <c r="F1276" s="227"/>
      <c r="G1276" s="157"/>
      <c r="H1276" s="227"/>
      <c r="I1276" s="157"/>
      <c r="J1276" s="157"/>
      <c r="K1276" s="33"/>
    </row>
    <row r="1277" ht="15.75" customHeight="1">
      <c r="A1277" s="226"/>
      <c r="B1277" s="227"/>
      <c r="C1277" s="157"/>
      <c r="D1277" s="227"/>
      <c r="E1277" s="157"/>
      <c r="F1277" s="227"/>
      <c r="G1277" s="157"/>
      <c r="H1277" s="227"/>
      <c r="I1277" s="157"/>
      <c r="J1277" s="157"/>
      <c r="K1277" s="33"/>
    </row>
    <row r="1278" ht="15.75" customHeight="1">
      <c r="A1278" s="226"/>
      <c r="B1278" s="227"/>
      <c r="C1278" s="157"/>
      <c r="D1278" s="227"/>
      <c r="E1278" s="157"/>
      <c r="F1278" s="227"/>
      <c r="G1278" s="157"/>
      <c r="H1278" s="227"/>
      <c r="I1278" s="157"/>
      <c r="J1278" s="157"/>
      <c r="K1278" s="33"/>
    </row>
    <row r="1279" ht="15.75" customHeight="1">
      <c r="A1279" s="226"/>
      <c r="B1279" s="227"/>
      <c r="C1279" s="157"/>
      <c r="D1279" s="227"/>
      <c r="E1279" s="157"/>
      <c r="F1279" s="227"/>
      <c r="G1279" s="157"/>
      <c r="H1279" s="227"/>
      <c r="I1279" s="157"/>
      <c r="J1279" s="157"/>
      <c r="K1279" s="33"/>
    </row>
    <row r="1280" ht="15.75" customHeight="1">
      <c r="A1280" s="226"/>
      <c r="B1280" s="227"/>
      <c r="C1280" s="157"/>
      <c r="D1280" s="227"/>
      <c r="E1280" s="157"/>
      <c r="F1280" s="227"/>
      <c r="G1280" s="157"/>
      <c r="H1280" s="227"/>
      <c r="I1280" s="157"/>
      <c r="J1280" s="157"/>
      <c r="K1280" s="33"/>
    </row>
    <row r="1281" ht="15.75" customHeight="1">
      <c r="A1281" s="226"/>
      <c r="B1281" s="227"/>
      <c r="C1281" s="157"/>
      <c r="D1281" s="227"/>
      <c r="E1281" s="157"/>
      <c r="F1281" s="227"/>
      <c r="G1281" s="157"/>
      <c r="H1281" s="227"/>
      <c r="I1281" s="157"/>
      <c r="J1281" s="157"/>
      <c r="K1281" s="33"/>
    </row>
    <row r="1282" ht="15.75" customHeight="1">
      <c r="A1282" s="226"/>
      <c r="B1282" s="227"/>
      <c r="C1282" s="157"/>
      <c r="D1282" s="227"/>
      <c r="E1282" s="157"/>
      <c r="F1282" s="227"/>
      <c r="G1282" s="157"/>
      <c r="H1282" s="227"/>
      <c r="I1282" s="157"/>
      <c r="J1282" s="157"/>
      <c r="K1282" s="33"/>
    </row>
    <row r="1283" ht="15.75" customHeight="1">
      <c r="A1283" s="226"/>
      <c r="B1283" s="227"/>
      <c r="C1283" s="157"/>
      <c r="D1283" s="227"/>
      <c r="E1283" s="157"/>
      <c r="F1283" s="227"/>
      <c r="G1283" s="157"/>
      <c r="H1283" s="227"/>
      <c r="I1283" s="157"/>
      <c r="J1283" s="157"/>
      <c r="K1283" s="33"/>
    </row>
    <row r="1284" ht="15.75" customHeight="1">
      <c r="A1284" s="226"/>
      <c r="B1284" s="227"/>
      <c r="C1284" s="157"/>
      <c r="D1284" s="227"/>
      <c r="E1284" s="157"/>
      <c r="F1284" s="227"/>
      <c r="G1284" s="157"/>
      <c r="H1284" s="227"/>
      <c r="I1284" s="157"/>
      <c r="J1284" s="157"/>
      <c r="K1284" s="33"/>
    </row>
    <row r="1285" ht="15.75" customHeight="1">
      <c r="A1285" s="226"/>
      <c r="B1285" s="227"/>
      <c r="C1285" s="157"/>
      <c r="D1285" s="227"/>
      <c r="E1285" s="157"/>
      <c r="F1285" s="227"/>
      <c r="G1285" s="157"/>
      <c r="H1285" s="227"/>
      <c r="I1285" s="157"/>
      <c r="J1285" s="157"/>
      <c r="K1285" s="33"/>
    </row>
    <row r="1286" ht="15.75" customHeight="1">
      <c r="A1286" s="226"/>
      <c r="B1286" s="227"/>
      <c r="C1286" s="157"/>
      <c r="D1286" s="227"/>
      <c r="E1286" s="157"/>
      <c r="F1286" s="227"/>
      <c r="G1286" s="157"/>
      <c r="H1286" s="227"/>
      <c r="I1286" s="157"/>
      <c r="J1286" s="157"/>
      <c r="K1286" s="33"/>
    </row>
    <row r="1287" ht="15.75" customHeight="1">
      <c r="A1287" s="226"/>
      <c r="B1287" s="227"/>
      <c r="C1287" s="157"/>
      <c r="D1287" s="227"/>
      <c r="E1287" s="157"/>
      <c r="F1287" s="227"/>
      <c r="G1287" s="157"/>
      <c r="H1287" s="227"/>
      <c r="I1287" s="157"/>
      <c r="J1287" s="157"/>
      <c r="K1287" s="33"/>
    </row>
    <row r="1288" ht="15.75" customHeight="1">
      <c r="A1288" s="226"/>
      <c r="B1288" s="227"/>
      <c r="C1288" s="157"/>
      <c r="D1288" s="227"/>
      <c r="E1288" s="157"/>
      <c r="F1288" s="227"/>
      <c r="G1288" s="157"/>
      <c r="H1288" s="227"/>
      <c r="I1288" s="157"/>
      <c r="J1288" s="157"/>
      <c r="K1288" s="33"/>
    </row>
    <row r="1289" ht="15.75" customHeight="1">
      <c r="A1289" s="226"/>
      <c r="B1289" s="227"/>
      <c r="C1289" s="157"/>
      <c r="D1289" s="227"/>
      <c r="E1289" s="157"/>
      <c r="F1289" s="227"/>
      <c r="G1289" s="157"/>
      <c r="H1289" s="227"/>
      <c r="I1289" s="157"/>
      <c r="J1289" s="157"/>
      <c r="K1289" s="33"/>
    </row>
    <row r="1290" ht="15.75" customHeight="1">
      <c r="A1290" s="226"/>
      <c r="B1290" s="227"/>
      <c r="C1290" s="157"/>
      <c r="D1290" s="227"/>
      <c r="E1290" s="157"/>
      <c r="F1290" s="227"/>
      <c r="G1290" s="157"/>
      <c r="H1290" s="227"/>
      <c r="I1290" s="157"/>
      <c r="J1290" s="157"/>
      <c r="K1290" s="33"/>
    </row>
    <row r="1291" ht="15.75" customHeight="1">
      <c r="A1291" s="226"/>
      <c r="B1291" s="227"/>
      <c r="C1291" s="157"/>
      <c r="D1291" s="227"/>
      <c r="E1291" s="157"/>
      <c r="F1291" s="227"/>
      <c r="G1291" s="157"/>
      <c r="H1291" s="227"/>
      <c r="I1291" s="157"/>
      <c r="J1291" s="157"/>
      <c r="K1291" s="33"/>
    </row>
    <row r="1292" ht="15.75" customHeight="1">
      <c r="A1292" s="226"/>
      <c r="B1292" s="227"/>
      <c r="C1292" s="157"/>
      <c r="D1292" s="227"/>
      <c r="E1292" s="157"/>
      <c r="F1292" s="227"/>
      <c r="G1292" s="157"/>
      <c r="H1292" s="227"/>
      <c r="I1292" s="157"/>
      <c r="J1292" s="157"/>
      <c r="K1292" s="33"/>
    </row>
    <row r="1293" ht="15.75" customHeight="1">
      <c r="A1293" s="226"/>
      <c r="B1293" s="227"/>
      <c r="C1293" s="157"/>
      <c r="D1293" s="227"/>
      <c r="E1293" s="157"/>
      <c r="F1293" s="227"/>
      <c r="G1293" s="157"/>
      <c r="H1293" s="227"/>
      <c r="I1293" s="157"/>
      <c r="J1293" s="157"/>
      <c r="K1293" s="33"/>
    </row>
    <row r="1294" ht="15.75" customHeight="1">
      <c r="A1294" s="226"/>
      <c r="B1294" s="227"/>
      <c r="C1294" s="157"/>
      <c r="D1294" s="227"/>
      <c r="E1294" s="157"/>
      <c r="F1294" s="227"/>
      <c r="G1294" s="157"/>
      <c r="H1294" s="227"/>
      <c r="I1294" s="157"/>
      <c r="J1294" s="157"/>
      <c r="K1294" s="33"/>
    </row>
    <row r="1295" ht="15.75" customHeight="1">
      <c r="A1295" s="226"/>
      <c r="B1295" s="227"/>
      <c r="C1295" s="157"/>
      <c r="D1295" s="227"/>
      <c r="E1295" s="157"/>
      <c r="F1295" s="227"/>
      <c r="G1295" s="157"/>
      <c r="H1295" s="227"/>
      <c r="I1295" s="157"/>
      <c r="J1295" s="157"/>
      <c r="K1295" s="33"/>
    </row>
    <row r="1296" ht="15.75" customHeight="1">
      <c r="A1296" s="226"/>
      <c r="B1296" s="227"/>
      <c r="C1296" s="157"/>
      <c r="D1296" s="227"/>
      <c r="E1296" s="157"/>
      <c r="F1296" s="227"/>
      <c r="G1296" s="157"/>
      <c r="H1296" s="227"/>
      <c r="I1296" s="157"/>
      <c r="J1296" s="157"/>
      <c r="K1296" s="33"/>
    </row>
    <row r="1297" ht="15.75" customHeight="1">
      <c r="A1297" s="226"/>
      <c r="B1297" s="227"/>
      <c r="C1297" s="157"/>
      <c r="D1297" s="227"/>
      <c r="E1297" s="157"/>
      <c r="F1297" s="227"/>
      <c r="G1297" s="157"/>
      <c r="H1297" s="227"/>
      <c r="I1297" s="157"/>
      <c r="J1297" s="157"/>
      <c r="K1297" s="33"/>
    </row>
    <row r="1298" ht="15.75" customHeight="1">
      <c r="A1298" s="226"/>
      <c r="B1298" s="227"/>
      <c r="C1298" s="157"/>
      <c r="D1298" s="227"/>
      <c r="E1298" s="157"/>
      <c r="F1298" s="227"/>
      <c r="G1298" s="157"/>
      <c r="H1298" s="227"/>
      <c r="I1298" s="157"/>
      <c r="J1298" s="157"/>
      <c r="K1298" s="33"/>
    </row>
    <row r="1299" ht="15.75" customHeight="1">
      <c r="A1299" s="226"/>
      <c r="B1299" s="227"/>
      <c r="C1299" s="157"/>
      <c r="D1299" s="227"/>
      <c r="E1299" s="157"/>
      <c r="F1299" s="227"/>
      <c r="G1299" s="157"/>
      <c r="H1299" s="227"/>
      <c r="I1299" s="157"/>
      <c r="J1299" s="157"/>
      <c r="K1299" s="33"/>
    </row>
    <row r="1300" ht="15.75" customHeight="1">
      <c r="A1300" s="226"/>
      <c r="B1300" s="227"/>
      <c r="C1300" s="157"/>
      <c r="D1300" s="227"/>
      <c r="E1300" s="157"/>
      <c r="F1300" s="227"/>
      <c r="G1300" s="157"/>
      <c r="H1300" s="227"/>
      <c r="I1300" s="157"/>
      <c r="J1300" s="157"/>
      <c r="K1300" s="33"/>
    </row>
    <row r="1301" ht="15.75" customHeight="1">
      <c r="A1301" s="226"/>
      <c r="B1301" s="227"/>
      <c r="C1301" s="157"/>
      <c r="D1301" s="227"/>
      <c r="E1301" s="157"/>
      <c r="F1301" s="227"/>
      <c r="G1301" s="157"/>
      <c r="H1301" s="227"/>
      <c r="I1301" s="157"/>
      <c r="J1301" s="157"/>
      <c r="K1301" s="33"/>
    </row>
    <row r="1302" ht="15.75" customHeight="1">
      <c r="A1302" s="226"/>
      <c r="B1302" s="227"/>
      <c r="C1302" s="157"/>
      <c r="D1302" s="227"/>
      <c r="E1302" s="157"/>
      <c r="F1302" s="227"/>
      <c r="G1302" s="157"/>
      <c r="H1302" s="227"/>
      <c r="I1302" s="157"/>
      <c r="J1302" s="157"/>
      <c r="K1302" s="33"/>
    </row>
    <row r="1303" ht="15.75" customHeight="1">
      <c r="A1303" s="226"/>
      <c r="B1303" s="227"/>
      <c r="C1303" s="157"/>
      <c r="D1303" s="227"/>
      <c r="E1303" s="157"/>
      <c r="F1303" s="227"/>
      <c r="G1303" s="157"/>
      <c r="H1303" s="227"/>
      <c r="I1303" s="157"/>
      <c r="J1303" s="157"/>
      <c r="K1303" s="33"/>
    </row>
    <row r="1304" ht="15.75" customHeight="1">
      <c r="A1304" s="226"/>
      <c r="B1304" s="227"/>
      <c r="C1304" s="157"/>
      <c r="D1304" s="227"/>
      <c r="E1304" s="157"/>
      <c r="F1304" s="227"/>
      <c r="G1304" s="157"/>
      <c r="H1304" s="227"/>
      <c r="I1304" s="157"/>
      <c r="J1304" s="157"/>
      <c r="K1304" s="33"/>
    </row>
    <row r="1305" ht="15.75" customHeight="1">
      <c r="A1305" s="226"/>
      <c r="B1305" s="227"/>
      <c r="C1305" s="157"/>
      <c r="D1305" s="227"/>
      <c r="E1305" s="157"/>
      <c r="F1305" s="227"/>
      <c r="G1305" s="157"/>
      <c r="H1305" s="227"/>
      <c r="I1305" s="157"/>
      <c r="J1305" s="157"/>
      <c r="K1305" s="33"/>
    </row>
    <row r="1306" ht="15.75" customHeight="1">
      <c r="A1306" s="226"/>
      <c r="B1306" s="227"/>
      <c r="C1306" s="157"/>
      <c r="D1306" s="227"/>
      <c r="E1306" s="157"/>
      <c r="F1306" s="227"/>
      <c r="G1306" s="157"/>
      <c r="H1306" s="227"/>
      <c r="I1306" s="157"/>
      <c r="J1306" s="157"/>
      <c r="K1306" s="33"/>
    </row>
    <row r="1307" ht="15.75" customHeight="1">
      <c r="A1307" s="226"/>
      <c r="B1307" s="227"/>
      <c r="C1307" s="157"/>
      <c r="D1307" s="227"/>
      <c r="E1307" s="157"/>
      <c r="F1307" s="227"/>
      <c r="G1307" s="157"/>
      <c r="H1307" s="227"/>
      <c r="I1307" s="157"/>
      <c r="J1307" s="157"/>
      <c r="K1307" s="33"/>
    </row>
    <row r="1308" ht="15.75" customHeight="1">
      <c r="A1308" s="226"/>
      <c r="B1308" s="227"/>
      <c r="C1308" s="157"/>
      <c r="D1308" s="227"/>
      <c r="E1308" s="157"/>
      <c r="F1308" s="227"/>
      <c r="G1308" s="157"/>
      <c r="H1308" s="227"/>
      <c r="I1308" s="157"/>
      <c r="J1308" s="157"/>
      <c r="K1308" s="33"/>
    </row>
    <row r="1309" ht="15.75" customHeight="1">
      <c r="A1309" s="226"/>
      <c r="B1309" s="227"/>
      <c r="C1309" s="157"/>
      <c r="D1309" s="227"/>
      <c r="E1309" s="157"/>
      <c r="F1309" s="227"/>
      <c r="G1309" s="157"/>
      <c r="H1309" s="227"/>
      <c r="I1309" s="157"/>
      <c r="J1309" s="157"/>
      <c r="K1309" s="33"/>
    </row>
    <row r="1310" ht="15.75" customHeight="1">
      <c r="A1310" s="226"/>
      <c r="B1310" s="227"/>
      <c r="C1310" s="157"/>
      <c r="D1310" s="227"/>
      <c r="E1310" s="157"/>
      <c r="F1310" s="227"/>
      <c r="G1310" s="157"/>
      <c r="H1310" s="227"/>
      <c r="I1310" s="157"/>
      <c r="J1310" s="157"/>
      <c r="K1310" s="33"/>
    </row>
    <row r="1311" ht="15.75" customHeight="1">
      <c r="A1311" s="226"/>
      <c r="B1311" s="227"/>
      <c r="C1311" s="157"/>
      <c r="D1311" s="227"/>
      <c r="E1311" s="157"/>
      <c r="F1311" s="227"/>
      <c r="G1311" s="157"/>
      <c r="H1311" s="227"/>
      <c r="I1311" s="157"/>
      <c r="J1311" s="157"/>
      <c r="K1311" s="33"/>
    </row>
    <row r="1312" ht="15.75" customHeight="1">
      <c r="A1312" s="226"/>
      <c r="B1312" s="227"/>
      <c r="C1312" s="157"/>
      <c r="D1312" s="227"/>
      <c r="E1312" s="157"/>
      <c r="F1312" s="227"/>
      <c r="G1312" s="157"/>
      <c r="H1312" s="227"/>
      <c r="I1312" s="157"/>
      <c r="J1312" s="157"/>
      <c r="K1312" s="33"/>
    </row>
    <row r="1313" ht="15.75" customHeight="1">
      <c r="A1313" s="226"/>
      <c r="B1313" s="227"/>
      <c r="C1313" s="157"/>
      <c r="D1313" s="227"/>
      <c r="E1313" s="157"/>
      <c r="F1313" s="227"/>
      <c r="G1313" s="157"/>
      <c r="H1313" s="227"/>
      <c r="I1313" s="157"/>
      <c r="J1313" s="157"/>
      <c r="K1313" s="33"/>
    </row>
    <row r="1314" ht="15.75" customHeight="1">
      <c r="A1314" s="226"/>
      <c r="B1314" s="227"/>
      <c r="C1314" s="157"/>
      <c r="D1314" s="227"/>
      <c r="E1314" s="157"/>
      <c r="F1314" s="227"/>
      <c r="G1314" s="157"/>
      <c r="H1314" s="227"/>
      <c r="I1314" s="157"/>
      <c r="J1314" s="157"/>
      <c r="K1314" s="33"/>
    </row>
    <row r="1315" ht="15.75" customHeight="1">
      <c r="A1315" s="226"/>
      <c r="B1315" s="227"/>
      <c r="C1315" s="157"/>
      <c r="D1315" s="227"/>
      <c r="E1315" s="157"/>
      <c r="F1315" s="227"/>
      <c r="G1315" s="157"/>
      <c r="H1315" s="227"/>
      <c r="I1315" s="157"/>
      <c r="J1315" s="157"/>
      <c r="K1315" s="33"/>
    </row>
    <row r="1316" ht="15.75" customHeight="1">
      <c r="A1316" s="226"/>
      <c r="B1316" s="227"/>
      <c r="C1316" s="157"/>
      <c r="D1316" s="227"/>
      <c r="E1316" s="157"/>
      <c r="F1316" s="227"/>
      <c r="G1316" s="157"/>
      <c r="H1316" s="227"/>
      <c r="I1316" s="157"/>
      <c r="J1316" s="157"/>
      <c r="K1316" s="33"/>
    </row>
    <row r="1317" ht="15.75" customHeight="1">
      <c r="A1317" s="226"/>
      <c r="B1317" s="227"/>
      <c r="C1317" s="157"/>
      <c r="D1317" s="227"/>
      <c r="E1317" s="157"/>
      <c r="F1317" s="227"/>
      <c r="G1317" s="157"/>
      <c r="H1317" s="227"/>
      <c r="I1317" s="157"/>
      <c r="J1317" s="157"/>
      <c r="K1317" s="33"/>
    </row>
    <row r="1318" ht="15.75" customHeight="1">
      <c r="A1318" s="226"/>
      <c r="B1318" s="227"/>
      <c r="C1318" s="157"/>
      <c r="D1318" s="227"/>
      <c r="E1318" s="157"/>
      <c r="F1318" s="227"/>
      <c r="G1318" s="157"/>
      <c r="H1318" s="227"/>
      <c r="I1318" s="157"/>
      <c r="J1318" s="157"/>
      <c r="K1318" s="33"/>
    </row>
    <row r="1319" ht="15.75" customHeight="1">
      <c r="A1319" s="226"/>
      <c r="B1319" s="227"/>
      <c r="C1319" s="157"/>
      <c r="D1319" s="227"/>
      <c r="E1319" s="157"/>
      <c r="F1319" s="227"/>
      <c r="G1319" s="157"/>
      <c r="H1319" s="227"/>
      <c r="I1319" s="157"/>
      <c r="J1319" s="157"/>
      <c r="K1319" s="33"/>
    </row>
    <row r="1320" ht="15.75" customHeight="1">
      <c r="A1320" s="226"/>
      <c r="B1320" s="227"/>
      <c r="C1320" s="157"/>
      <c r="D1320" s="227"/>
      <c r="E1320" s="157"/>
      <c r="F1320" s="227"/>
      <c r="G1320" s="157"/>
      <c r="H1320" s="227"/>
      <c r="I1320" s="157"/>
      <c r="J1320" s="157"/>
      <c r="K1320" s="33"/>
    </row>
    <row r="1321" ht="15.75" customHeight="1">
      <c r="A1321" s="226"/>
      <c r="B1321" s="227"/>
      <c r="C1321" s="157"/>
      <c r="D1321" s="227"/>
      <c r="E1321" s="157"/>
      <c r="F1321" s="227"/>
      <c r="G1321" s="157"/>
      <c r="H1321" s="227"/>
      <c r="I1321" s="157"/>
      <c r="J1321" s="157"/>
      <c r="K1321" s="33"/>
    </row>
    <row r="1322" ht="15.75" customHeight="1">
      <c r="A1322" s="226"/>
      <c r="B1322" s="227"/>
      <c r="C1322" s="157"/>
      <c r="D1322" s="227"/>
      <c r="E1322" s="157"/>
      <c r="F1322" s="227"/>
      <c r="G1322" s="157"/>
      <c r="H1322" s="227"/>
      <c r="I1322" s="157"/>
      <c r="J1322" s="157"/>
      <c r="K1322" s="33"/>
    </row>
    <row r="1323" ht="15.75" customHeight="1">
      <c r="A1323" s="226"/>
      <c r="B1323" s="227"/>
      <c r="C1323" s="157"/>
      <c r="D1323" s="227"/>
      <c r="E1323" s="157"/>
      <c r="F1323" s="227"/>
      <c r="G1323" s="157"/>
      <c r="H1323" s="227"/>
      <c r="I1323" s="157"/>
      <c r="J1323" s="157"/>
      <c r="K1323" s="33"/>
    </row>
    <row r="1324" ht="15.75" customHeight="1">
      <c r="A1324" s="226"/>
      <c r="B1324" s="227"/>
      <c r="C1324" s="157"/>
      <c r="D1324" s="227"/>
      <c r="E1324" s="157"/>
      <c r="F1324" s="227"/>
      <c r="G1324" s="157"/>
      <c r="H1324" s="227"/>
      <c r="I1324" s="157"/>
      <c r="J1324" s="157"/>
      <c r="K1324" s="33"/>
    </row>
    <row r="1325" ht="15.75" customHeight="1">
      <c r="A1325" s="226"/>
      <c r="B1325" s="227"/>
      <c r="C1325" s="157"/>
      <c r="D1325" s="227"/>
      <c r="E1325" s="157"/>
      <c r="F1325" s="227"/>
      <c r="G1325" s="157"/>
      <c r="H1325" s="227"/>
      <c r="I1325" s="157"/>
      <c r="J1325" s="157"/>
      <c r="K1325" s="33"/>
    </row>
    <row r="1326" ht="15.75" customHeight="1">
      <c r="A1326" s="226"/>
      <c r="B1326" s="227"/>
      <c r="C1326" s="157"/>
      <c r="D1326" s="227"/>
      <c r="E1326" s="157"/>
      <c r="F1326" s="227"/>
      <c r="G1326" s="157"/>
      <c r="H1326" s="227"/>
      <c r="I1326" s="157"/>
      <c r="J1326" s="157"/>
      <c r="K1326" s="33"/>
    </row>
    <row r="1327" ht="15.75" customHeight="1">
      <c r="A1327" s="226"/>
      <c r="B1327" s="227"/>
      <c r="C1327" s="157"/>
      <c r="D1327" s="227"/>
      <c r="E1327" s="157"/>
      <c r="F1327" s="227"/>
      <c r="G1327" s="157"/>
      <c r="H1327" s="227"/>
      <c r="I1327" s="157"/>
      <c r="J1327" s="157"/>
      <c r="K1327" s="33"/>
    </row>
    <row r="1328" ht="15.75" customHeight="1">
      <c r="A1328" s="226"/>
      <c r="B1328" s="227"/>
      <c r="C1328" s="157"/>
      <c r="D1328" s="227"/>
      <c r="E1328" s="157"/>
      <c r="F1328" s="227"/>
      <c r="G1328" s="157"/>
      <c r="H1328" s="227"/>
      <c r="I1328" s="157"/>
      <c r="J1328" s="157"/>
      <c r="K1328" s="33"/>
    </row>
    <row r="1329" ht="15.75" customHeight="1">
      <c r="A1329" s="226"/>
      <c r="B1329" s="227"/>
      <c r="C1329" s="157"/>
      <c r="D1329" s="227"/>
      <c r="E1329" s="157"/>
      <c r="F1329" s="227"/>
      <c r="G1329" s="157"/>
      <c r="H1329" s="227"/>
      <c r="I1329" s="157"/>
      <c r="J1329" s="157"/>
      <c r="K1329" s="33"/>
    </row>
    <row r="1330" ht="15.75" customHeight="1">
      <c r="A1330" s="226"/>
      <c r="B1330" s="227"/>
      <c r="C1330" s="157"/>
      <c r="D1330" s="227"/>
      <c r="E1330" s="157"/>
      <c r="F1330" s="227"/>
      <c r="G1330" s="157"/>
      <c r="H1330" s="227"/>
      <c r="I1330" s="157"/>
      <c r="J1330" s="157"/>
      <c r="K1330" s="33"/>
    </row>
    <row r="1331" ht="15.75" customHeight="1">
      <c r="A1331" s="226"/>
      <c r="B1331" s="227"/>
      <c r="C1331" s="157"/>
      <c r="D1331" s="227"/>
      <c r="E1331" s="157"/>
      <c r="F1331" s="227"/>
      <c r="G1331" s="157"/>
      <c r="H1331" s="227"/>
      <c r="I1331" s="157"/>
      <c r="J1331" s="157"/>
      <c r="K1331" s="33"/>
    </row>
    <row r="1332" ht="15.75" customHeight="1">
      <c r="A1332" s="226"/>
      <c r="B1332" s="227"/>
      <c r="C1332" s="157"/>
      <c r="D1332" s="227"/>
      <c r="E1332" s="157"/>
      <c r="F1332" s="227"/>
      <c r="G1332" s="157"/>
      <c r="H1332" s="227"/>
      <c r="I1332" s="157"/>
      <c r="J1332" s="157"/>
      <c r="K1332" s="33"/>
    </row>
    <row r="1333" ht="15.75" customHeight="1">
      <c r="A1333" s="226"/>
      <c r="B1333" s="227"/>
      <c r="C1333" s="157"/>
      <c r="D1333" s="227"/>
      <c r="E1333" s="157"/>
      <c r="F1333" s="227"/>
      <c r="G1333" s="157"/>
      <c r="H1333" s="227"/>
      <c r="I1333" s="157"/>
      <c r="J1333" s="157"/>
      <c r="K1333" s="33"/>
    </row>
    <row r="1334" ht="15.75" customHeight="1">
      <c r="A1334" s="226"/>
      <c r="B1334" s="227"/>
      <c r="C1334" s="157"/>
      <c r="D1334" s="227"/>
      <c r="E1334" s="157"/>
      <c r="F1334" s="227"/>
      <c r="G1334" s="157"/>
      <c r="H1334" s="227"/>
      <c r="I1334" s="157"/>
      <c r="J1334" s="157"/>
      <c r="K1334" s="33"/>
    </row>
    <row r="1335" ht="15.75" customHeight="1">
      <c r="A1335" s="226"/>
      <c r="B1335" s="227"/>
      <c r="C1335" s="157"/>
      <c r="D1335" s="227"/>
      <c r="E1335" s="157"/>
      <c r="F1335" s="227"/>
      <c r="G1335" s="157"/>
      <c r="H1335" s="227"/>
      <c r="I1335" s="157"/>
      <c r="J1335" s="157"/>
      <c r="K1335" s="33"/>
    </row>
    <row r="1336" ht="15.75" customHeight="1">
      <c r="A1336" s="226"/>
      <c r="B1336" s="227"/>
      <c r="C1336" s="157"/>
      <c r="D1336" s="227"/>
      <c r="E1336" s="157"/>
      <c r="F1336" s="227"/>
      <c r="G1336" s="157"/>
      <c r="H1336" s="227"/>
      <c r="I1336" s="157"/>
      <c r="J1336" s="157"/>
      <c r="K1336" s="33"/>
    </row>
    <row r="1337" ht="15.75" customHeight="1">
      <c r="A1337" s="226"/>
      <c r="B1337" s="227"/>
      <c r="C1337" s="157"/>
      <c r="D1337" s="227"/>
      <c r="E1337" s="157"/>
      <c r="F1337" s="227"/>
      <c r="G1337" s="157"/>
      <c r="H1337" s="227"/>
      <c r="I1337" s="157"/>
      <c r="J1337" s="157"/>
      <c r="K1337" s="33"/>
    </row>
    <row r="1338" ht="15.75" customHeight="1">
      <c r="A1338" s="226"/>
      <c r="B1338" s="227"/>
      <c r="C1338" s="157"/>
      <c r="D1338" s="227"/>
      <c r="E1338" s="157"/>
      <c r="F1338" s="227"/>
      <c r="G1338" s="157"/>
      <c r="H1338" s="227"/>
      <c r="I1338" s="157"/>
      <c r="J1338" s="157"/>
      <c r="K1338" s="33"/>
    </row>
    <row r="1339" ht="15.75" customHeight="1">
      <c r="A1339" s="226"/>
      <c r="B1339" s="227"/>
      <c r="C1339" s="157"/>
      <c r="D1339" s="227"/>
      <c r="E1339" s="157"/>
      <c r="F1339" s="227"/>
      <c r="G1339" s="157"/>
      <c r="H1339" s="227"/>
      <c r="I1339" s="157"/>
      <c r="J1339" s="157"/>
      <c r="K1339" s="33"/>
    </row>
    <row r="1340" ht="15.75" customHeight="1">
      <c r="A1340" s="226"/>
      <c r="B1340" s="227"/>
      <c r="C1340" s="157"/>
      <c r="D1340" s="227"/>
      <c r="E1340" s="157"/>
      <c r="F1340" s="227"/>
      <c r="G1340" s="157"/>
      <c r="H1340" s="227"/>
      <c r="I1340" s="157"/>
      <c r="J1340" s="157"/>
      <c r="K1340" s="33"/>
    </row>
    <row r="1341" ht="15.75" customHeight="1">
      <c r="A1341" s="226"/>
      <c r="B1341" s="227"/>
      <c r="C1341" s="157"/>
      <c r="D1341" s="227"/>
      <c r="E1341" s="157"/>
      <c r="F1341" s="227"/>
      <c r="G1341" s="157"/>
      <c r="H1341" s="227"/>
      <c r="I1341" s="157"/>
      <c r="J1341" s="157"/>
      <c r="K1341" s="33"/>
    </row>
    <row r="1342" ht="15.75" customHeight="1">
      <c r="A1342" s="226"/>
      <c r="B1342" s="227"/>
      <c r="C1342" s="157"/>
      <c r="D1342" s="227"/>
      <c r="E1342" s="157"/>
      <c r="F1342" s="227"/>
      <c r="G1342" s="157"/>
      <c r="H1342" s="227"/>
      <c r="I1342" s="157"/>
      <c r="J1342" s="157"/>
      <c r="K1342" s="33"/>
    </row>
    <row r="1343" ht="15.75" customHeight="1">
      <c r="A1343" s="226"/>
      <c r="B1343" s="227"/>
      <c r="C1343" s="157"/>
      <c r="D1343" s="227"/>
      <c r="E1343" s="157"/>
      <c r="F1343" s="227"/>
      <c r="G1343" s="157"/>
      <c r="H1343" s="227"/>
      <c r="I1343" s="157"/>
      <c r="J1343" s="157"/>
      <c r="K1343" s="33"/>
    </row>
    <row r="1344" ht="15.75" customHeight="1">
      <c r="A1344" s="226"/>
      <c r="B1344" s="227"/>
      <c r="C1344" s="157"/>
      <c r="D1344" s="227"/>
      <c r="E1344" s="157"/>
      <c r="F1344" s="227"/>
      <c r="G1344" s="157"/>
      <c r="H1344" s="227"/>
      <c r="I1344" s="157"/>
      <c r="J1344" s="157"/>
      <c r="K1344" s="33"/>
    </row>
    <row r="1345" ht="15.75" customHeight="1">
      <c r="A1345" s="226"/>
      <c r="B1345" s="227"/>
      <c r="C1345" s="157"/>
      <c r="D1345" s="227"/>
      <c r="E1345" s="157"/>
      <c r="F1345" s="227"/>
      <c r="G1345" s="157"/>
      <c r="H1345" s="227"/>
      <c r="I1345" s="157"/>
      <c r="J1345" s="157"/>
      <c r="K1345" s="33"/>
    </row>
    <row r="1346" ht="15.75" customHeight="1">
      <c r="A1346" s="226"/>
      <c r="B1346" s="227"/>
      <c r="C1346" s="157"/>
      <c r="D1346" s="227"/>
      <c r="E1346" s="157"/>
      <c r="F1346" s="227"/>
      <c r="G1346" s="157"/>
      <c r="H1346" s="227"/>
      <c r="I1346" s="157"/>
      <c r="J1346" s="157"/>
      <c r="K1346" s="33"/>
    </row>
    <row r="1347" ht="15.75" customHeight="1">
      <c r="A1347" s="226"/>
      <c r="B1347" s="227"/>
      <c r="C1347" s="157"/>
      <c r="D1347" s="227"/>
      <c r="E1347" s="157"/>
      <c r="F1347" s="227"/>
      <c r="G1347" s="157"/>
      <c r="H1347" s="227"/>
      <c r="I1347" s="157"/>
      <c r="J1347" s="157"/>
      <c r="K1347" s="33"/>
    </row>
    <row r="1348" ht="15.75" customHeight="1">
      <c r="A1348" s="226"/>
      <c r="B1348" s="227"/>
      <c r="C1348" s="157"/>
      <c r="D1348" s="227"/>
      <c r="E1348" s="157"/>
      <c r="F1348" s="227"/>
      <c r="G1348" s="157"/>
      <c r="H1348" s="227"/>
      <c r="I1348" s="157"/>
      <c r="J1348" s="157"/>
      <c r="K1348" s="33"/>
    </row>
    <row r="1349" ht="15.75" customHeight="1">
      <c r="A1349" s="226"/>
      <c r="B1349" s="227"/>
      <c r="C1349" s="157"/>
      <c r="D1349" s="227"/>
      <c r="E1349" s="157"/>
      <c r="F1349" s="227"/>
      <c r="G1349" s="157"/>
      <c r="H1349" s="227"/>
      <c r="I1349" s="157"/>
      <c r="J1349" s="157"/>
      <c r="K1349" s="33"/>
    </row>
    <row r="1350" ht="15.75" customHeight="1">
      <c r="A1350" s="226"/>
      <c r="B1350" s="227"/>
      <c r="C1350" s="157"/>
      <c r="D1350" s="227"/>
      <c r="E1350" s="157"/>
      <c r="F1350" s="227"/>
      <c r="G1350" s="157"/>
      <c r="H1350" s="227"/>
      <c r="I1350" s="157"/>
      <c r="J1350" s="157"/>
      <c r="K1350" s="33"/>
    </row>
    <row r="1351" ht="15.75" customHeight="1">
      <c r="A1351" s="226"/>
      <c r="B1351" s="227"/>
      <c r="C1351" s="157"/>
      <c r="D1351" s="227"/>
      <c r="E1351" s="157"/>
      <c r="F1351" s="227"/>
      <c r="G1351" s="157"/>
      <c r="H1351" s="227"/>
      <c r="I1351" s="157"/>
      <c r="J1351" s="157"/>
      <c r="K1351" s="33"/>
    </row>
    <row r="1352" ht="15.75" customHeight="1">
      <c r="A1352" s="226"/>
      <c r="B1352" s="227"/>
      <c r="C1352" s="157"/>
      <c r="D1352" s="227"/>
      <c r="E1352" s="157"/>
      <c r="F1352" s="227"/>
      <c r="G1352" s="157"/>
      <c r="H1352" s="227"/>
      <c r="I1352" s="157"/>
      <c r="J1352" s="157"/>
      <c r="K1352" s="33"/>
    </row>
    <row r="1353" ht="15.75" customHeight="1">
      <c r="A1353" s="226"/>
      <c r="B1353" s="227"/>
      <c r="C1353" s="157"/>
      <c r="D1353" s="227"/>
      <c r="E1353" s="157"/>
      <c r="F1353" s="227"/>
      <c r="G1353" s="157"/>
      <c r="H1353" s="227"/>
      <c r="I1353" s="157"/>
      <c r="J1353" s="157"/>
      <c r="K1353" s="33"/>
    </row>
    <row r="1354" ht="15.75" customHeight="1">
      <c r="A1354" s="226"/>
      <c r="B1354" s="227"/>
      <c r="C1354" s="157"/>
      <c r="D1354" s="227"/>
      <c r="E1354" s="157"/>
      <c r="F1354" s="227"/>
      <c r="G1354" s="157"/>
      <c r="H1354" s="227"/>
      <c r="I1354" s="157"/>
      <c r="J1354" s="157"/>
      <c r="K1354" s="33"/>
    </row>
    <row r="1355" ht="15.75" customHeight="1">
      <c r="A1355" s="226"/>
      <c r="B1355" s="227"/>
      <c r="C1355" s="157"/>
      <c r="D1355" s="227"/>
      <c r="E1355" s="157"/>
      <c r="F1355" s="227"/>
      <c r="G1355" s="157"/>
      <c r="H1355" s="227"/>
      <c r="I1355" s="157"/>
      <c r="J1355" s="157"/>
      <c r="K1355" s="33"/>
    </row>
    <row r="1356" ht="15.75" customHeight="1">
      <c r="A1356" s="226"/>
      <c r="B1356" s="227"/>
      <c r="C1356" s="157"/>
      <c r="D1356" s="227"/>
      <c r="E1356" s="157"/>
      <c r="F1356" s="227"/>
      <c r="G1356" s="157"/>
      <c r="H1356" s="227"/>
      <c r="I1356" s="157"/>
      <c r="J1356" s="157"/>
      <c r="K1356" s="33"/>
    </row>
    <row r="1357" ht="15.75" customHeight="1">
      <c r="A1357" s="226"/>
      <c r="B1357" s="227"/>
      <c r="C1357" s="157"/>
      <c r="D1357" s="227"/>
      <c r="E1357" s="157"/>
      <c r="F1357" s="227"/>
      <c r="G1357" s="157"/>
      <c r="H1357" s="227"/>
      <c r="I1357" s="157"/>
      <c r="J1357" s="157"/>
      <c r="K1357" s="33"/>
    </row>
  </sheetData>
  <autoFilter ref="$H$560"/>
  <mergeCells count="1260">
    <mergeCell ref="D134:E134"/>
    <mergeCell ref="F134:G134"/>
    <mergeCell ref="H134:I134"/>
    <mergeCell ref="J134:K134"/>
    <mergeCell ref="F135:G135"/>
    <mergeCell ref="H135:I135"/>
    <mergeCell ref="J135:K135"/>
    <mergeCell ref="H137:I137"/>
    <mergeCell ref="J137:K137"/>
    <mergeCell ref="D135:E135"/>
    <mergeCell ref="D136:E136"/>
    <mergeCell ref="F136:G136"/>
    <mergeCell ref="H136:I136"/>
    <mergeCell ref="J136:K136"/>
    <mergeCell ref="D137:E137"/>
    <mergeCell ref="F137:G137"/>
    <mergeCell ref="D138:E138"/>
    <mergeCell ref="F138:G138"/>
    <mergeCell ref="H138:I138"/>
    <mergeCell ref="J138:K138"/>
    <mergeCell ref="F139:G139"/>
    <mergeCell ref="H139:I139"/>
    <mergeCell ref="J139:K139"/>
    <mergeCell ref="J141:K141"/>
    <mergeCell ref="J142:K142"/>
    <mergeCell ref="D139:E139"/>
    <mergeCell ref="D140:E140"/>
    <mergeCell ref="F140:G140"/>
    <mergeCell ref="H140:I140"/>
    <mergeCell ref="J140:K140"/>
    <mergeCell ref="F141:G141"/>
    <mergeCell ref="H141:I141"/>
    <mergeCell ref="D155:E155"/>
    <mergeCell ref="D156:E156"/>
    <mergeCell ref="F156:G156"/>
    <mergeCell ref="H156:I156"/>
    <mergeCell ref="J156:K156"/>
    <mergeCell ref="D154:E154"/>
    <mergeCell ref="F154:G154"/>
    <mergeCell ref="H154:I154"/>
    <mergeCell ref="J154:K154"/>
    <mergeCell ref="F155:G155"/>
    <mergeCell ref="H155:I155"/>
    <mergeCell ref="J155:K155"/>
    <mergeCell ref="D164:E164"/>
    <mergeCell ref="F164:G164"/>
    <mergeCell ref="H164:I164"/>
    <mergeCell ref="J164:K164"/>
    <mergeCell ref="J165:K165"/>
    <mergeCell ref="J166:K166"/>
    <mergeCell ref="J167:K167"/>
    <mergeCell ref="D171:E171"/>
    <mergeCell ref="F171:G171"/>
    <mergeCell ref="H171:I171"/>
    <mergeCell ref="J171:K171"/>
    <mergeCell ref="D165:E165"/>
    <mergeCell ref="D169:E169"/>
    <mergeCell ref="F169:G169"/>
    <mergeCell ref="H169:I169"/>
    <mergeCell ref="J169:K169"/>
    <mergeCell ref="D170:E170"/>
    <mergeCell ref="F170:G170"/>
    <mergeCell ref="H153:I153"/>
    <mergeCell ref="J153:K153"/>
    <mergeCell ref="D151:E151"/>
    <mergeCell ref="D152:E152"/>
    <mergeCell ref="F152:G152"/>
    <mergeCell ref="H152:I152"/>
    <mergeCell ref="J152:K152"/>
    <mergeCell ref="D153:E153"/>
    <mergeCell ref="F153:G153"/>
    <mergeCell ref="B157:K157"/>
    <mergeCell ref="F158:G158"/>
    <mergeCell ref="H158:I158"/>
    <mergeCell ref="J158:K158"/>
    <mergeCell ref="F159:G159"/>
    <mergeCell ref="H159:I159"/>
    <mergeCell ref="J159:K159"/>
    <mergeCell ref="D160:E160"/>
    <mergeCell ref="F160:G160"/>
    <mergeCell ref="H160:I160"/>
    <mergeCell ref="J160:K160"/>
    <mergeCell ref="F161:G161"/>
    <mergeCell ref="H161:I161"/>
    <mergeCell ref="J161:K161"/>
    <mergeCell ref="H163:I163"/>
    <mergeCell ref="J163:K163"/>
    <mergeCell ref="D161:E161"/>
    <mergeCell ref="D162:E162"/>
    <mergeCell ref="F162:G162"/>
    <mergeCell ref="H162:I162"/>
    <mergeCell ref="J162:K162"/>
    <mergeCell ref="D163:E163"/>
    <mergeCell ref="F163:G163"/>
    <mergeCell ref="H170:I170"/>
    <mergeCell ref="J170:K170"/>
    <mergeCell ref="B172:K172"/>
    <mergeCell ref="D173:E173"/>
    <mergeCell ref="F173:G173"/>
    <mergeCell ref="H173:I173"/>
    <mergeCell ref="J173:K173"/>
    <mergeCell ref="F184:G184"/>
    <mergeCell ref="H184:I184"/>
    <mergeCell ref="B185:E185"/>
    <mergeCell ref="F185:G185"/>
    <mergeCell ref="H185:I185"/>
    <mergeCell ref="J185:K185"/>
    <mergeCell ref="D186:E186"/>
    <mergeCell ref="J186:K186"/>
    <mergeCell ref="F186:G186"/>
    <mergeCell ref="H186:I186"/>
    <mergeCell ref="D187:E187"/>
    <mergeCell ref="F187:G187"/>
    <mergeCell ref="J187:K187"/>
    <mergeCell ref="D188:E188"/>
    <mergeCell ref="F188:G188"/>
    <mergeCell ref="J188:K188"/>
    <mergeCell ref="J190:K190"/>
    <mergeCell ref="J191:K191"/>
    <mergeCell ref="H187:I187"/>
    <mergeCell ref="H188:I189"/>
    <mergeCell ref="D189:E189"/>
    <mergeCell ref="F189:G189"/>
    <mergeCell ref="J189:K189"/>
    <mergeCell ref="F190:G190"/>
    <mergeCell ref="H190:I190"/>
    <mergeCell ref="F199:G199"/>
    <mergeCell ref="H199:I199"/>
    <mergeCell ref="F197:G197"/>
    <mergeCell ref="H197:I197"/>
    <mergeCell ref="D198:E198"/>
    <mergeCell ref="F198:G198"/>
    <mergeCell ref="H198:I198"/>
    <mergeCell ref="J198:K198"/>
    <mergeCell ref="J199:K199"/>
    <mergeCell ref="H201:I201"/>
    <mergeCell ref="J201:K201"/>
    <mergeCell ref="D199:E199"/>
    <mergeCell ref="D200:E200"/>
    <mergeCell ref="F200:G200"/>
    <mergeCell ref="H200:I200"/>
    <mergeCell ref="J200:K200"/>
    <mergeCell ref="D201:E201"/>
    <mergeCell ref="F201:G201"/>
    <mergeCell ref="D193:E193"/>
    <mergeCell ref="F193:G193"/>
    <mergeCell ref="H193:I193"/>
    <mergeCell ref="J193:K193"/>
    <mergeCell ref="F194:G194"/>
    <mergeCell ref="H194:I194"/>
    <mergeCell ref="J194:K194"/>
    <mergeCell ref="D194:E194"/>
    <mergeCell ref="D195:E195"/>
    <mergeCell ref="F195:G195"/>
    <mergeCell ref="H195:I195"/>
    <mergeCell ref="J195:K195"/>
    <mergeCell ref="B196:K196"/>
    <mergeCell ref="D197:E197"/>
    <mergeCell ref="J197:K197"/>
    <mergeCell ref="D202:E202"/>
    <mergeCell ref="F202:G202"/>
    <mergeCell ref="H202:I202"/>
    <mergeCell ref="J202:K202"/>
    <mergeCell ref="F203:G203"/>
    <mergeCell ref="H203:I203"/>
    <mergeCell ref="J203:K203"/>
    <mergeCell ref="D203:E203"/>
    <mergeCell ref="D204:E204"/>
    <mergeCell ref="F204:G204"/>
    <mergeCell ref="H204:I204"/>
    <mergeCell ref="J204:K204"/>
    <mergeCell ref="B205:K205"/>
    <mergeCell ref="D206:E206"/>
    <mergeCell ref="J206:K206"/>
    <mergeCell ref="F208:G208"/>
    <mergeCell ref="H208:I208"/>
    <mergeCell ref="F206:G206"/>
    <mergeCell ref="H206:I206"/>
    <mergeCell ref="D207:E207"/>
    <mergeCell ref="F207:G207"/>
    <mergeCell ref="H207:I207"/>
    <mergeCell ref="J207:K207"/>
    <mergeCell ref="J208:K208"/>
    <mergeCell ref="D174:E174"/>
    <mergeCell ref="F174:G174"/>
    <mergeCell ref="H174:I174"/>
    <mergeCell ref="J174:K174"/>
    <mergeCell ref="F175:G175"/>
    <mergeCell ref="H175:I175"/>
    <mergeCell ref="J175:K175"/>
    <mergeCell ref="H177:I177"/>
    <mergeCell ref="J177:K177"/>
    <mergeCell ref="D175:E175"/>
    <mergeCell ref="D176:E176"/>
    <mergeCell ref="F176:G176"/>
    <mergeCell ref="H176:I176"/>
    <mergeCell ref="J176:K176"/>
    <mergeCell ref="D177:E177"/>
    <mergeCell ref="F177:G177"/>
    <mergeCell ref="D178:E178"/>
    <mergeCell ref="F178:G178"/>
    <mergeCell ref="H178:I178"/>
    <mergeCell ref="J178:K178"/>
    <mergeCell ref="F179:G179"/>
    <mergeCell ref="H179:I179"/>
    <mergeCell ref="J179:K179"/>
    <mergeCell ref="D179:E179"/>
    <mergeCell ref="D180:E180"/>
    <mergeCell ref="F180:G180"/>
    <mergeCell ref="H180:I180"/>
    <mergeCell ref="J180:K180"/>
    <mergeCell ref="B181:K181"/>
    <mergeCell ref="D182:E182"/>
    <mergeCell ref="J182:K182"/>
    <mergeCell ref="F182:G182"/>
    <mergeCell ref="H182:I182"/>
    <mergeCell ref="D183:E183"/>
    <mergeCell ref="F183:G183"/>
    <mergeCell ref="H183:I183"/>
    <mergeCell ref="J183:K183"/>
    <mergeCell ref="D184:E184"/>
    <mergeCell ref="J184:K184"/>
    <mergeCell ref="B211:C211"/>
    <mergeCell ref="D211:E211"/>
    <mergeCell ref="H210:I210"/>
    <mergeCell ref="J210:K210"/>
    <mergeCell ref="H211:I211"/>
    <mergeCell ref="J211:K211"/>
    <mergeCell ref="D208:E208"/>
    <mergeCell ref="D209:E209"/>
    <mergeCell ref="F209:G209"/>
    <mergeCell ref="H209:I209"/>
    <mergeCell ref="J209:K209"/>
    <mergeCell ref="D210:E210"/>
    <mergeCell ref="F210:G211"/>
    <mergeCell ref="J213:K213"/>
    <mergeCell ref="J214:K214"/>
    <mergeCell ref="J215:K215"/>
    <mergeCell ref="D212:E212"/>
    <mergeCell ref="F212:G212"/>
    <mergeCell ref="H212:I212"/>
    <mergeCell ref="J212:K212"/>
    <mergeCell ref="D213:E213"/>
    <mergeCell ref="F213:G213"/>
    <mergeCell ref="H213:I213"/>
    <mergeCell ref="D217:E217"/>
    <mergeCell ref="F217:G217"/>
    <mergeCell ref="H217:I217"/>
    <mergeCell ref="J217:K217"/>
    <mergeCell ref="F218:G218"/>
    <mergeCell ref="H218:I218"/>
    <mergeCell ref="J218:K218"/>
    <mergeCell ref="D218:E218"/>
    <mergeCell ref="D219:E219"/>
    <mergeCell ref="F219:G219"/>
    <mergeCell ref="H219:I219"/>
    <mergeCell ref="J219:K219"/>
    <mergeCell ref="B220:K220"/>
    <mergeCell ref="D221:E221"/>
    <mergeCell ref="J221:K221"/>
    <mergeCell ref="F232:G232"/>
    <mergeCell ref="H232:I232"/>
    <mergeCell ref="F230:G230"/>
    <mergeCell ref="H230:I230"/>
    <mergeCell ref="D231:E231"/>
    <mergeCell ref="F231:G231"/>
    <mergeCell ref="H231:I231"/>
    <mergeCell ref="J231:K231"/>
    <mergeCell ref="J232:K232"/>
    <mergeCell ref="H234:I234"/>
    <mergeCell ref="J234:K234"/>
    <mergeCell ref="D232:E232"/>
    <mergeCell ref="D233:E233"/>
    <mergeCell ref="F233:G233"/>
    <mergeCell ref="H233:I233"/>
    <mergeCell ref="J233:K233"/>
    <mergeCell ref="D234:E234"/>
    <mergeCell ref="F234:G234"/>
    <mergeCell ref="D51:E51"/>
    <mergeCell ref="F51:G51"/>
    <mergeCell ref="H51:I51"/>
    <mergeCell ref="J51:K51"/>
    <mergeCell ref="F52:G52"/>
    <mergeCell ref="H52:I52"/>
    <mergeCell ref="J52:K52"/>
    <mergeCell ref="D52:E52"/>
    <mergeCell ref="D53:E53"/>
    <mergeCell ref="F53:G53"/>
    <mergeCell ref="H53:I53"/>
    <mergeCell ref="J53:K53"/>
    <mergeCell ref="D54:E54"/>
    <mergeCell ref="F54:G54"/>
    <mergeCell ref="F39:G39"/>
    <mergeCell ref="H39:I39"/>
    <mergeCell ref="F37:G37"/>
    <mergeCell ref="H37:I37"/>
    <mergeCell ref="D38:E38"/>
    <mergeCell ref="F38:G38"/>
    <mergeCell ref="H38:I38"/>
    <mergeCell ref="J38:K38"/>
    <mergeCell ref="J39:K39"/>
    <mergeCell ref="H41:I41"/>
    <mergeCell ref="J41:K41"/>
    <mergeCell ref="D39:E39"/>
    <mergeCell ref="D40:E40"/>
    <mergeCell ref="F40:G40"/>
    <mergeCell ref="H40:I40"/>
    <mergeCell ref="J40:K40"/>
    <mergeCell ref="D41:E41"/>
    <mergeCell ref="F41:G41"/>
    <mergeCell ref="J43:K43"/>
    <mergeCell ref="J44:K44"/>
    <mergeCell ref="J45:K45"/>
    <mergeCell ref="D42:E42"/>
    <mergeCell ref="F42:G42"/>
    <mergeCell ref="H42:I42"/>
    <mergeCell ref="J42:K42"/>
    <mergeCell ref="D43:E43"/>
    <mergeCell ref="F43:G43"/>
    <mergeCell ref="H43:I43"/>
    <mergeCell ref="D56:E56"/>
    <mergeCell ref="D57:E57"/>
    <mergeCell ref="F57:G57"/>
    <mergeCell ref="H57:I57"/>
    <mergeCell ref="J57:K57"/>
    <mergeCell ref="J67:K67"/>
    <mergeCell ref="J68:K68"/>
    <mergeCell ref="J69:K69"/>
    <mergeCell ref="D66:E66"/>
    <mergeCell ref="F66:G66"/>
    <mergeCell ref="H66:I66"/>
    <mergeCell ref="J66:K66"/>
    <mergeCell ref="F67:G67"/>
    <mergeCell ref="H67:I67"/>
    <mergeCell ref="F68:G68"/>
    <mergeCell ref="H54:I54"/>
    <mergeCell ref="J54:K54"/>
    <mergeCell ref="D55:E55"/>
    <mergeCell ref="F55:G55"/>
    <mergeCell ref="H55:I55"/>
    <mergeCell ref="J55:K55"/>
    <mergeCell ref="J56:K56"/>
    <mergeCell ref="F56:G56"/>
    <mergeCell ref="H56:I56"/>
    <mergeCell ref="D58:E58"/>
    <mergeCell ref="F58:G58"/>
    <mergeCell ref="H58:I58"/>
    <mergeCell ref="J58:K58"/>
    <mergeCell ref="B59:K59"/>
    <mergeCell ref="J61:K61"/>
    <mergeCell ref="N61:O61"/>
    <mergeCell ref="D60:E60"/>
    <mergeCell ref="F60:G60"/>
    <mergeCell ref="H60:I60"/>
    <mergeCell ref="J60:K60"/>
    <mergeCell ref="D61:E61"/>
    <mergeCell ref="F61:G61"/>
    <mergeCell ref="H61:I61"/>
    <mergeCell ref="H63:I63"/>
    <mergeCell ref="J63:K63"/>
    <mergeCell ref="D62:E62"/>
    <mergeCell ref="F62:G62"/>
    <mergeCell ref="H62:I62"/>
    <mergeCell ref="J62:K62"/>
    <mergeCell ref="N62:O62"/>
    <mergeCell ref="F63:G63"/>
    <mergeCell ref="N63:O63"/>
    <mergeCell ref="D71:E71"/>
    <mergeCell ref="F71:G71"/>
    <mergeCell ref="H71:I71"/>
    <mergeCell ref="J71:K71"/>
    <mergeCell ref="B15:C15"/>
    <mergeCell ref="B16:C16"/>
    <mergeCell ref="B17:C17"/>
    <mergeCell ref="B18:C18"/>
    <mergeCell ref="B19:C19"/>
    <mergeCell ref="B20:C20"/>
    <mergeCell ref="B21:C21"/>
    <mergeCell ref="B25:C25"/>
    <mergeCell ref="B26:C26"/>
    <mergeCell ref="B28:C28"/>
    <mergeCell ref="B29:C29"/>
    <mergeCell ref="B30:C30"/>
    <mergeCell ref="B31:C31"/>
    <mergeCell ref="B32:C32"/>
    <mergeCell ref="B33:C33"/>
    <mergeCell ref="B34:C34"/>
    <mergeCell ref="B35:C35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7:C47"/>
    <mergeCell ref="B48:C48"/>
    <mergeCell ref="B49:C49"/>
    <mergeCell ref="B51:C51"/>
    <mergeCell ref="B52:C52"/>
    <mergeCell ref="B53:C53"/>
    <mergeCell ref="B54:C54"/>
    <mergeCell ref="B55:C55"/>
    <mergeCell ref="B56:C56"/>
    <mergeCell ref="B57:C57"/>
    <mergeCell ref="B58:C58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B73:C73"/>
    <mergeCell ref="B75:C75"/>
    <mergeCell ref="B76:C76"/>
    <mergeCell ref="B77:C77"/>
    <mergeCell ref="B78:C78"/>
    <mergeCell ref="B79:C79"/>
    <mergeCell ref="B80:C80"/>
    <mergeCell ref="B81:C81"/>
    <mergeCell ref="B82:C82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5:C95"/>
    <mergeCell ref="B96:C96"/>
    <mergeCell ref="B97:C97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20:C120"/>
    <mergeCell ref="B121:C121"/>
    <mergeCell ref="B122:C122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5:C145"/>
    <mergeCell ref="B146:C146"/>
    <mergeCell ref="B147:C147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0:C170"/>
    <mergeCell ref="B171:C171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2:C182"/>
    <mergeCell ref="B183:C183"/>
    <mergeCell ref="B184:C184"/>
    <mergeCell ref="B186:C186"/>
    <mergeCell ref="B187:C187"/>
    <mergeCell ref="B247:C247"/>
    <mergeCell ref="B248:C248"/>
    <mergeCell ref="B249:C249"/>
    <mergeCell ref="B250:C250"/>
    <mergeCell ref="B251:C251"/>
    <mergeCell ref="B252:C252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5:C265"/>
    <mergeCell ref="B266:C266"/>
    <mergeCell ref="B267:C267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8:C278"/>
    <mergeCell ref="B286:C286"/>
    <mergeCell ref="B287:C287"/>
    <mergeCell ref="B279:C279"/>
    <mergeCell ref="B280:C280"/>
    <mergeCell ref="B281:C281"/>
    <mergeCell ref="B282:C282"/>
    <mergeCell ref="B283:C283"/>
    <mergeCell ref="B284:C284"/>
    <mergeCell ref="B285:C285"/>
    <mergeCell ref="B188:C189"/>
    <mergeCell ref="B190:C190"/>
    <mergeCell ref="B191:C191"/>
    <mergeCell ref="B193:C193"/>
    <mergeCell ref="B194:C194"/>
    <mergeCell ref="B195:C195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6:C206"/>
    <mergeCell ref="B207:C207"/>
    <mergeCell ref="B208:C208"/>
    <mergeCell ref="B209:C209"/>
    <mergeCell ref="B210:C210"/>
    <mergeCell ref="B212:C212"/>
    <mergeCell ref="B213:C213"/>
    <mergeCell ref="B214:C214"/>
    <mergeCell ref="B215:C215"/>
    <mergeCell ref="B217:C217"/>
    <mergeCell ref="B218:C218"/>
    <mergeCell ref="B219:C219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1:C241"/>
    <mergeCell ref="B242:C242"/>
    <mergeCell ref="B243:C243"/>
    <mergeCell ref="B245:C245"/>
    <mergeCell ref="B246:C246"/>
    <mergeCell ref="H8:I8"/>
    <mergeCell ref="J8:K8"/>
    <mergeCell ref="H9:I9"/>
    <mergeCell ref="J9:K9"/>
    <mergeCell ref="H10:I10"/>
    <mergeCell ref="J10:K10"/>
    <mergeCell ref="D8:E8"/>
    <mergeCell ref="F8:G8"/>
    <mergeCell ref="B9:C9"/>
    <mergeCell ref="D9:E9"/>
    <mergeCell ref="F9:G9"/>
    <mergeCell ref="D10:E10"/>
    <mergeCell ref="F10:G10"/>
    <mergeCell ref="F2:G2"/>
    <mergeCell ref="H2:I2"/>
    <mergeCell ref="B1:C1"/>
    <mergeCell ref="D1:E1"/>
    <mergeCell ref="F1:G1"/>
    <mergeCell ref="H1:I1"/>
    <mergeCell ref="J1:K1"/>
    <mergeCell ref="D2:E2"/>
    <mergeCell ref="J2:K2"/>
    <mergeCell ref="B2:C2"/>
    <mergeCell ref="B3:C3"/>
    <mergeCell ref="D3:E3"/>
    <mergeCell ref="F3:G3"/>
    <mergeCell ref="H3:I3"/>
    <mergeCell ref="J3:K3"/>
    <mergeCell ref="B4:K4"/>
    <mergeCell ref="F6:G6"/>
    <mergeCell ref="H6:I6"/>
    <mergeCell ref="B5:C5"/>
    <mergeCell ref="D5:E5"/>
    <mergeCell ref="F5:G5"/>
    <mergeCell ref="H5:I5"/>
    <mergeCell ref="J5:K5"/>
    <mergeCell ref="D6:E6"/>
    <mergeCell ref="J6:K6"/>
    <mergeCell ref="B6:C6"/>
    <mergeCell ref="B7:C7"/>
    <mergeCell ref="D7:E7"/>
    <mergeCell ref="F7:G7"/>
    <mergeCell ref="H7:I7"/>
    <mergeCell ref="J7:K7"/>
    <mergeCell ref="B8:C8"/>
    <mergeCell ref="B10:C10"/>
    <mergeCell ref="B11:C11"/>
    <mergeCell ref="D11:E11"/>
    <mergeCell ref="F11:G11"/>
    <mergeCell ref="H11:I11"/>
    <mergeCell ref="J11:K11"/>
    <mergeCell ref="B13:K13"/>
    <mergeCell ref="H14:I14"/>
    <mergeCell ref="H15:I15"/>
    <mergeCell ref="B14:C14"/>
    <mergeCell ref="D14:E14"/>
    <mergeCell ref="F14:G14"/>
    <mergeCell ref="J14:K14"/>
    <mergeCell ref="D15:E15"/>
    <mergeCell ref="F15:G16"/>
    <mergeCell ref="J15:K15"/>
    <mergeCell ref="J16:K16"/>
    <mergeCell ref="F18:G18"/>
    <mergeCell ref="H18:I18"/>
    <mergeCell ref="D16:E16"/>
    <mergeCell ref="H16:I16"/>
    <mergeCell ref="D17:E17"/>
    <mergeCell ref="F17:G17"/>
    <mergeCell ref="H17:I17"/>
    <mergeCell ref="J17:K17"/>
    <mergeCell ref="J18:K18"/>
    <mergeCell ref="J19:K20"/>
    <mergeCell ref="J21:K21"/>
    <mergeCell ref="J22:K22"/>
    <mergeCell ref="J24:K24"/>
    <mergeCell ref="J25:K25"/>
    <mergeCell ref="J26:K26"/>
    <mergeCell ref="D18:E18"/>
    <mergeCell ref="D19:E19"/>
    <mergeCell ref="F19:G19"/>
    <mergeCell ref="H19:I19"/>
    <mergeCell ref="D20:E20"/>
    <mergeCell ref="F20:G20"/>
    <mergeCell ref="H20:I20"/>
    <mergeCell ref="B22:C22"/>
    <mergeCell ref="B24:C24"/>
    <mergeCell ref="D24:E24"/>
    <mergeCell ref="F24:G24"/>
    <mergeCell ref="H24:I24"/>
    <mergeCell ref="F25:G25"/>
    <mergeCell ref="H25:I25"/>
    <mergeCell ref="H28:I28"/>
    <mergeCell ref="J28:K28"/>
    <mergeCell ref="D25:E25"/>
    <mergeCell ref="D26:E26"/>
    <mergeCell ref="F26:G26"/>
    <mergeCell ref="H26:I26"/>
    <mergeCell ref="B27:K27"/>
    <mergeCell ref="D28:E28"/>
    <mergeCell ref="F28:G28"/>
    <mergeCell ref="D29:E29"/>
    <mergeCell ref="F29:G29"/>
    <mergeCell ref="H29:I29"/>
    <mergeCell ref="J29:K29"/>
    <mergeCell ref="F30:G30"/>
    <mergeCell ref="H30:I30"/>
    <mergeCell ref="J30:K30"/>
    <mergeCell ref="H32:I32"/>
    <mergeCell ref="J32:K32"/>
    <mergeCell ref="D30:E30"/>
    <mergeCell ref="D31:E31"/>
    <mergeCell ref="F31:G31"/>
    <mergeCell ref="H31:I31"/>
    <mergeCell ref="J31:K31"/>
    <mergeCell ref="D32:E32"/>
    <mergeCell ref="F32:G32"/>
    <mergeCell ref="D33:E33"/>
    <mergeCell ref="F33:G33"/>
    <mergeCell ref="H33:I33"/>
    <mergeCell ref="J33:K33"/>
    <mergeCell ref="F34:G34"/>
    <mergeCell ref="H34:I34"/>
    <mergeCell ref="J34:K34"/>
    <mergeCell ref="D34:E34"/>
    <mergeCell ref="D35:E35"/>
    <mergeCell ref="F35:G35"/>
    <mergeCell ref="H35:I35"/>
    <mergeCell ref="J35:K35"/>
    <mergeCell ref="B36:K36"/>
    <mergeCell ref="D37:E37"/>
    <mergeCell ref="J37:K37"/>
    <mergeCell ref="D47:E47"/>
    <mergeCell ref="F47:G47"/>
    <mergeCell ref="H47:I47"/>
    <mergeCell ref="J47:K47"/>
    <mergeCell ref="F48:G48"/>
    <mergeCell ref="H48:I48"/>
    <mergeCell ref="J48:K48"/>
    <mergeCell ref="D48:E48"/>
    <mergeCell ref="D49:E49"/>
    <mergeCell ref="F49:G49"/>
    <mergeCell ref="H49:I49"/>
    <mergeCell ref="J49:K49"/>
    <mergeCell ref="N49:O49"/>
    <mergeCell ref="B50:K50"/>
    <mergeCell ref="N51:O51"/>
    <mergeCell ref="F76:G76"/>
    <mergeCell ref="H76:I76"/>
    <mergeCell ref="D77:E77"/>
    <mergeCell ref="F77:G77"/>
    <mergeCell ref="H77:I77"/>
    <mergeCell ref="J77:K77"/>
    <mergeCell ref="J78:K78"/>
    <mergeCell ref="D78:E78"/>
    <mergeCell ref="D79:E79"/>
    <mergeCell ref="F79:G79"/>
    <mergeCell ref="H79:I79"/>
    <mergeCell ref="J79:K79"/>
    <mergeCell ref="D80:E80"/>
    <mergeCell ref="F80:G80"/>
    <mergeCell ref="F87:G87"/>
    <mergeCell ref="H87:I87"/>
    <mergeCell ref="F85:G85"/>
    <mergeCell ref="H85:I85"/>
    <mergeCell ref="D86:E86"/>
    <mergeCell ref="F86:G86"/>
    <mergeCell ref="H86:I86"/>
    <mergeCell ref="J86:K86"/>
    <mergeCell ref="J87:K87"/>
    <mergeCell ref="D81:E81"/>
    <mergeCell ref="F81:G81"/>
    <mergeCell ref="H81:I81"/>
    <mergeCell ref="J81:K81"/>
    <mergeCell ref="D82:E82"/>
    <mergeCell ref="F82:G82"/>
    <mergeCell ref="H82:I82"/>
    <mergeCell ref="J82:K82"/>
    <mergeCell ref="B83:K83"/>
    <mergeCell ref="D84:E84"/>
    <mergeCell ref="F84:G84"/>
    <mergeCell ref="H84:I84"/>
    <mergeCell ref="J84:K84"/>
    <mergeCell ref="D85:E85"/>
    <mergeCell ref="J85:K85"/>
    <mergeCell ref="H89:I89"/>
    <mergeCell ref="J89:K89"/>
    <mergeCell ref="D87:E87"/>
    <mergeCell ref="D88:E88"/>
    <mergeCell ref="F88:G88"/>
    <mergeCell ref="H88:I88"/>
    <mergeCell ref="J88:K88"/>
    <mergeCell ref="D89:E89"/>
    <mergeCell ref="F89:G89"/>
    <mergeCell ref="J91:K91"/>
    <mergeCell ref="J92:K92"/>
    <mergeCell ref="J93:K93"/>
    <mergeCell ref="D90:E90"/>
    <mergeCell ref="F90:G90"/>
    <mergeCell ref="H90:I90"/>
    <mergeCell ref="J90:K90"/>
    <mergeCell ref="D91:E91"/>
    <mergeCell ref="F91:G91"/>
    <mergeCell ref="H91:I91"/>
    <mergeCell ref="D95:E95"/>
    <mergeCell ref="F95:G95"/>
    <mergeCell ref="H95:I95"/>
    <mergeCell ref="J95:K95"/>
    <mergeCell ref="F96:G96"/>
    <mergeCell ref="H96:I96"/>
    <mergeCell ref="J96:K96"/>
    <mergeCell ref="D96:E96"/>
    <mergeCell ref="D97:E97"/>
    <mergeCell ref="F97:G97"/>
    <mergeCell ref="H97:I97"/>
    <mergeCell ref="J97:K97"/>
    <mergeCell ref="B98:K98"/>
    <mergeCell ref="D99:E99"/>
    <mergeCell ref="J99:K99"/>
    <mergeCell ref="F101:G101"/>
    <mergeCell ref="H101:I101"/>
    <mergeCell ref="F99:G99"/>
    <mergeCell ref="H99:I99"/>
    <mergeCell ref="D100:E100"/>
    <mergeCell ref="F100:G100"/>
    <mergeCell ref="H100:I100"/>
    <mergeCell ref="J100:K100"/>
    <mergeCell ref="J101:K101"/>
    <mergeCell ref="H103:I103"/>
    <mergeCell ref="J103:K103"/>
    <mergeCell ref="D101:E101"/>
    <mergeCell ref="D102:E102"/>
    <mergeCell ref="F102:G102"/>
    <mergeCell ref="H102:I102"/>
    <mergeCell ref="J102:K102"/>
    <mergeCell ref="D103:E103"/>
    <mergeCell ref="F103:G103"/>
    <mergeCell ref="F110:G110"/>
    <mergeCell ref="H110:I110"/>
    <mergeCell ref="F108:G108"/>
    <mergeCell ref="H108:I108"/>
    <mergeCell ref="D109:E109"/>
    <mergeCell ref="F109:G109"/>
    <mergeCell ref="H109:I109"/>
    <mergeCell ref="J109:K109"/>
    <mergeCell ref="J110:K110"/>
    <mergeCell ref="D104:E104"/>
    <mergeCell ref="F104:G104"/>
    <mergeCell ref="H104:I104"/>
    <mergeCell ref="J104:K104"/>
    <mergeCell ref="F105:G105"/>
    <mergeCell ref="H105:I105"/>
    <mergeCell ref="J105:K105"/>
    <mergeCell ref="D105:E105"/>
    <mergeCell ref="D106:E106"/>
    <mergeCell ref="F106:G106"/>
    <mergeCell ref="H106:I106"/>
    <mergeCell ref="J106:K106"/>
    <mergeCell ref="B107:K107"/>
    <mergeCell ref="D108:E108"/>
    <mergeCell ref="J108:K108"/>
    <mergeCell ref="H112:I112"/>
    <mergeCell ref="J112:K112"/>
    <mergeCell ref="D110:E110"/>
    <mergeCell ref="D111:E111"/>
    <mergeCell ref="F111:G111"/>
    <mergeCell ref="H111:I111"/>
    <mergeCell ref="J111:K111"/>
    <mergeCell ref="D112:E112"/>
    <mergeCell ref="F112:G112"/>
    <mergeCell ref="J114:K114"/>
    <mergeCell ref="J115:K115"/>
    <mergeCell ref="D113:E113"/>
    <mergeCell ref="F113:G113"/>
    <mergeCell ref="H113:I113"/>
    <mergeCell ref="J113:K113"/>
    <mergeCell ref="D114:E114"/>
    <mergeCell ref="H114:I114"/>
    <mergeCell ref="D115:E115"/>
    <mergeCell ref="H65:I65"/>
    <mergeCell ref="J65:K65"/>
    <mergeCell ref="D63:E63"/>
    <mergeCell ref="D64:E64"/>
    <mergeCell ref="F64:G64"/>
    <mergeCell ref="H64:I64"/>
    <mergeCell ref="J64:K64"/>
    <mergeCell ref="D65:E65"/>
    <mergeCell ref="F65:G65"/>
    <mergeCell ref="D72:E72"/>
    <mergeCell ref="F72:G72"/>
    <mergeCell ref="H72:I72"/>
    <mergeCell ref="J72:K72"/>
    <mergeCell ref="D73:E73"/>
    <mergeCell ref="F73:G73"/>
    <mergeCell ref="H73:I73"/>
    <mergeCell ref="J73:K73"/>
    <mergeCell ref="B74:K74"/>
    <mergeCell ref="D75:E75"/>
    <mergeCell ref="F75:G75"/>
    <mergeCell ref="H75:I75"/>
    <mergeCell ref="J75:K75"/>
    <mergeCell ref="D76:E76"/>
    <mergeCell ref="J76:K76"/>
    <mergeCell ref="F78:G78"/>
    <mergeCell ref="H78:I78"/>
    <mergeCell ref="H80:I80"/>
    <mergeCell ref="J80:K80"/>
    <mergeCell ref="D116:E116"/>
    <mergeCell ref="J116:K116"/>
    <mergeCell ref="J117:K117"/>
    <mergeCell ref="D120:E120"/>
    <mergeCell ref="F120:G120"/>
    <mergeCell ref="H120:I120"/>
    <mergeCell ref="J120:K120"/>
    <mergeCell ref="D121:E121"/>
    <mergeCell ref="F121:G121"/>
    <mergeCell ref="H121:I121"/>
    <mergeCell ref="J121:K121"/>
    <mergeCell ref="D122:E122"/>
    <mergeCell ref="F122:G122"/>
    <mergeCell ref="H122:I122"/>
    <mergeCell ref="J122:K122"/>
    <mergeCell ref="B123:K123"/>
    <mergeCell ref="D124:E124"/>
    <mergeCell ref="F124:G124"/>
    <mergeCell ref="H124:I124"/>
    <mergeCell ref="J124:K124"/>
    <mergeCell ref="D125:E125"/>
    <mergeCell ref="J125:K125"/>
    <mergeCell ref="F127:G127"/>
    <mergeCell ref="H127:I127"/>
    <mergeCell ref="F125:G125"/>
    <mergeCell ref="H125:I125"/>
    <mergeCell ref="D126:E126"/>
    <mergeCell ref="F126:G126"/>
    <mergeCell ref="H126:I126"/>
    <mergeCell ref="J126:K126"/>
    <mergeCell ref="J127:K127"/>
    <mergeCell ref="D127:E127"/>
    <mergeCell ref="F128:G128"/>
    <mergeCell ref="H128:I128"/>
    <mergeCell ref="J128:K128"/>
    <mergeCell ref="F129:G129"/>
    <mergeCell ref="H129:I129"/>
    <mergeCell ref="J129:K129"/>
    <mergeCell ref="D128:E128"/>
    <mergeCell ref="D130:E130"/>
    <mergeCell ref="F130:G130"/>
    <mergeCell ref="H130:I130"/>
    <mergeCell ref="J130:K130"/>
    <mergeCell ref="D131:E131"/>
    <mergeCell ref="F131:G131"/>
    <mergeCell ref="H131:I131"/>
    <mergeCell ref="J131:K131"/>
    <mergeCell ref="B132:K132"/>
    <mergeCell ref="D133:E133"/>
    <mergeCell ref="F133:G133"/>
    <mergeCell ref="H133:I133"/>
    <mergeCell ref="J133:K133"/>
    <mergeCell ref="D145:E145"/>
    <mergeCell ref="F145:G145"/>
    <mergeCell ref="H145:I145"/>
    <mergeCell ref="J145:K145"/>
    <mergeCell ref="F146:G146"/>
    <mergeCell ref="H146:I146"/>
    <mergeCell ref="J146:K146"/>
    <mergeCell ref="D146:E146"/>
    <mergeCell ref="D147:E147"/>
    <mergeCell ref="F147:G147"/>
    <mergeCell ref="H147:I147"/>
    <mergeCell ref="J147:K147"/>
    <mergeCell ref="B148:K148"/>
    <mergeCell ref="D149:E149"/>
    <mergeCell ref="J149:K149"/>
    <mergeCell ref="F151:G151"/>
    <mergeCell ref="H151:I151"/>
    <mergeCell ref="F149:G149"/>
    <mergeCell ref="H149:I149"/>
    <mergeCell ref="D150:E150"/>
    <mergeCell ref="F150:G150"/>
    <mergeCell ref="H150:I150"/>
    <mergeCell ref="J150:K150"/>
    <mergeCell ref="J151:K151"/>
    <mergeCell ref="D271:E271"/>
    <mergeCell ref="D272:E272"/>
    <mergeCell ref="F272:G272"/>
    <mergeCell ref="H272:I272"/>
    <mergeCell ref="J272:K272"/>
    <mergeCell ref="D273:E273"/>
    <mergeCell ref="F273:G273"/>
    <mergeCell ref="D274:E274"/>
    <mergeCell ref="F274:G274"/>
    <mergeCell ref="H274:I274"/>
    <mergeCell ref="J274:K274"/>
    <mergeCell ref="F275:G275"/>
    <mergeCell ref="H275:I275"/>
    <mergeCell ref="J275:K275"/>
    <mergeCell ref="F266:G266"/>
    <mergeCell ref="H266:I266"/>
    <mergeCell ref="J262:K262"/>
    <mergeCell ref="J263:K263"/>
    <mergeCell ref="D265:E265"/>
    <mergeCell ref="F265:G265"/>
    <mergeCell ref="H265:I265"/>
    <mergeCell ref="J265:K265"/>
    <mergeCell ref="J266:K266"/>
    <mergeCell ref="D266:E266"/>
    <mergeCell ref="D267:E267"/>
    <mergeCell ref="F267:G267"/>
    <mergeCell ref="H267:I267"/>
    <mergeCell ref="J267:K267"/>
    <mergeCell ref="B268:K268"/>
    <mergeCell ref="D269:E269"/>
    <mergeCell ref="J269:K269"/>
    <mergeCell ref="F271:G271"/>
    <mergeCell ref="H271:I271"/>
    <mergeCell ref="F269:G269"/>
    <mergeCell ref="H269:I269"/>
    <mergeCell ref="D270:E270"/>
    <mergeCell ref="F270:G270"/>
    <mergeCell ref="H270:I270"/>
    <mergeCell ref="J270:K270"/>
    <mergeCell ref="J271:K271"/>
    <mergeCell ref="H273:I273"/>
    <mergeCell ref="J273:K273"/>
    <mergeCell ref="D275:E275"/>
    <mergeCell ref="D276:E276"/>
    <mergeCell ref="F276:G276"/>
    <mergeCell ref="H276:I276"/>
    <mergeCell ref="J276:K276"/>
    <mergeCell ref="B277:K277"/>
    <mergeCell ref="D278:E278"/>
    <mergeCell ref="J278:K278"/>
    <mergeCell ref="F280:G280"/>
    <mergeCell ref="H280:I280"/>
    <mergeCell ref="F278:G278"/>
    <mergeCell ref="H278:I278"/>
    <mergeCell ref="D279:E279"/>
    <mergeCell ref="F279:G279"/>
    <mergeCell ref="H279:I279"/>
    <mergeCell ref="J279:K279"/>
    <mergeCell ref="J280:K280"/>
    <mergeCell ref="H282:I282"/>
    <mergeCell ref="J282:K282"/>
    <mergeCell ref="D280:E280"/>
    <mergeCell ref="D281:E281"/>
    <mergeCell ref="F281:G281"/>
    <mergeCell ref="H281:I281"/>
    <mergeCell ref="J281:K281"/>
    <mergeCell ref="D282:E282"/>
    <mergeCell ref="F282:G282"/>
    <mergeCell ref="H285:I285"/>
    <mergeCell ref="J285:K285"/>
    <mergeCell ref="J286:K286"/>
    <mergeCell ref="J287:K287"/>
    <mergeCell ref="D289:J289"/>
    <mergeCell ref="D290:J290"/>
    <mergeCell ref="D283:E283"/>
    <mergeCell ref="F283:G283"/>
    <mergeCell ref="H283:I283"/>
    <mergeCell ref="J283:K283"/>
    <mergeCell ref="F284:G284"/>
    <mergeCell ref="H284:I284"/>
    <mergeCell ref="J284:K284"/>
    <mergeCell ref="D284:E284"/>
    <mergeCell ref="D285:E285"/>
    <mergeCell ref="D286:E286"/>
    <mergeCell ref="D287:E287"/>
    <mergeCell ref="A289:A290"/>
    <mergeCell ref="B289:B290"/>
    <mergeCell ref="A294:A303"/>
    <mergeCell ref="F541:F542"/>
    <mergeCell ref="F573:F574"/>
    <mergeCell ref="A534:A548"/>
    <mergeCell ref="A550:A551"/>
    <mergeCell ref="B550:B551"/>
    <mergeCell ref="D550:J550"/>
    <mergeCell ref="D551:J551"/>
    <mergeCell ref="A555:A564"/>
    <mergeCell ref="A566:A580"/>
    <mergeCell ref="A305:A319"/>
    <mergeCell ref="A321:A322"/>
    <mergeCell ref="B321:B322"/>
    <mergeCell ref="D321:J321"/>
    <mergeCell ref="D322:J322"/>
    <mergeCell ref="A326:A335"/>
    <mergeCell ref="F344:F345"/>
    <mergeCell ref="A337:A351"/>
    <mergeCell ref="A353:A354"/>
    <mergeCell ref="B353:B354"/>
    <mergeCell ref="A358:A367"/>
    <mergeCell ref="A369:A383"/>
    <mergeCell ref="A385:A386"/>
    <mergeCell ref="B385:B386"/>
    <mergeCell ref="D417:J417"/>
    <mergeCell ref="D418:J418"/>
    <mergeCell ref="D449:J449"/>
    <mergeCell ref="D450:J450"/>
    <mergeCell ref="D353:J353"/>
    <mergeCell ref="D354:J354"/>
    <mergeCell ref="F376:F377"/>
    <mergeCell ref="D385:J385"/>
    <mergeCell ref="D386:J386"/>
    <mergeCell ref="H403:H404"/>
    <mergeCell ref="F408:F409"/>
    <mergeCell ref="A449:A450"/>
    <mergeCell ref="A454:A468"/>
    <mergeCell ref="A470:A484"/>
    <mergeCell ref="F477:F478"/>
    <mergeCell ref="A486:A487"/>
    <mergeCell ref="B486:B487"/>
    <mergeCell ref="D486:J486"/>
    <mergeCell ref="D487:J487"/>
    <mergeCell ref="A390:A399"/>
    <mergeCell ref="A401:A415"/>
    <mergeCell ref="A417:A418"/>
    <mergeCell ref="B417:B418"/>
    <mergeCell ref="A422:A431"/>
    <mergeCell ref="A433:A447"/>
    <mergeCell ref="B449:B450"/>
    <mergeCell ref="A491:A500"/>
    <mergeCell ref="A502:A516"/>
    <mergeCell ref="A518:A519"/>
    <mergeCell ref="B518:B519"/>
    <mergeCell ref="D518:J518"/>
    <mergeCell ref="D519:J519"/>
    <mergeCell ref="A523:A532"/>
    <mergeCell ref="F223:G223"/>
    <mergeCell ref="H223:I223"/>
    <mergeCell ref="F221:G221"/>
    <mergeCell ref="H221:I221"/>
    <mergeCell ref="D222:E222"/>
    <mergeCell ref="F222:G222"/>
    <mergeCell ref="H222:I222"/>
    <mergeCell ref="J222:K222"/>
    <mergeCell ref="J223:K223"/>
    <mergeCell ref="H225:I225"/>
    <mergeCell ref="J225:K225"/>
    <mergeCell ref="D223:E223"/>
    <mergeCell ref="D224:E224"/>
    <mergeCell ref="F224:G224"/>
    <mergeCell ref="H224:I224"/>
    <mergeCell ref="J224:K224"/>
    <mergeCell ref="D225:E225"/>
    <mergeCell ref="F225:G225"/>
    <mergeCell ref="D226:E226"/>
    <mergeCell ref="F226:G226"/>
    <mergeCell ref="H226:I226"/>
    <mergeCell ref="J226:K226"/>
    <mergeCell ref="F227:G227"/>
    <mergeCell ref="H227:I227"/>
    <mergeCell ref="J227:K227"/>
    <mergeCell ref="D227:E227"/>
    <mergeCell ref="D228:E228"/>
    <mergeCell ref="F228:G228"/>
    <mergeCell ref="H228:I228"/>
    <mergeCell ref="J228:K228"/>
    <mergeCell ref="B229:K229"/>
    <mergeCell ref="D230:E230"/>
    <mergeCell ref="J230:K230"/>
    <mergeCell ref="H238:I238"/>
    <mergeCell ref="J238:K238"/>
    <mergeCell ref="D243:E243"/>
    <mergeCell ref="D245:E245"/>
    <mergeCell ref="F245:G245"/>
    <mergeCell ref="H245:I245"/>
    <mergeCell ref="J245:K245"/>
    <mergeCell ref="D246:E246"/>
    <mergeCell ref="F246:G246"/>
    <mergeCell ref="D247:E247"/>
    <mergeCell ref="F247:G247"/>
    <mergeCell ref="H247:I247"/>
    <mergeCell ref="J247:K247"/>
    <mergeCell ref="F248:G248"/>
    <mergeCell ref="H248:I248"/>
    <mergeCell ref="J248:K248"/>
    <mergeCell ref="H250:I250"/>
    <mergeCell ref="J250:K250"/>
    <mergeCell ref="D248:E248"/>
    <mergeCell ref="D249:E249"/>
    <mergeCell ref="F249:G249"/>
    <mergeCell ref="H249:I249"/>
    <mergeCell ref="J249:K249"/>
    <mergeCell ref="D250:E250"/>
    <mergeCell ref="F250:G250"/>
    <mergeCell ref="D251:E251"/>
    <mergeCell ref="F251:G251"/>
    <mergeCell ref="H251:I251"/>
    <mergeCell ref="J251:K251"/>
    <mergeCell ref="D252:E252"/>
    <mergeCell ref="F252:G252"/>
    <mergeCell ref="H252:I252"/>
    <mergeCell ref="J252:K252"/>
    <mergeCell ref="B253:K253"/>
    <mergeCell ref="D254:E254"/>
    <mergeCell ref="F254:G254"/>
    <mergeCell ref="H254:I254"/>
    <mergeCell ref="J254:K254"/>
    <mergeCell ref="D255:E255"/>
    <mergeCell ref="J255:K255"/>
    <mergeCell ref="F257:G257"/>
    <mergeCell ref="H257:I257"/>
    <mergeCell ref="F255:G255"/>
    <mergeCell ref="H255:I255"/>
    <mergeCell ref="D256:E256"/>
    <mergeCell ref="F256:G256"/>
    <mergeCell ref="H256:I256"/>
    <mergeCell ref="J256:K256"/>
    <mergeCell ref="J257:K257"/>
    <mergeCell ref="H259:I259"/>
    <mergeCell ref="J259:K259"/>
    <mergeCell ref="D257:E257"/>
    <mergeCell ref="D258:E258"/>
    <mergeCell ref="F258:G258"/>
    <mergeCell ref="H258:I258"/>
    <mergeCell ref="J258:K258"/>
    <mergeCell ref="D259:E259"/>
    <mergeCell ref="F259:G259"/>
    <mergeCell ref="D235:E235"/>
    <mergeCell ref="F235:G235"/>
    <mergeCell ref="H235:I235"/>
    <mergeCell ref="J235:K235"/>
    <mergeCell ref="F236:G236"/>
    <mergeCell ref="H236:I236"/>
    <mergeCell ref="J236:K236"/>
    <mergeCell ref="D236:E236"/>
    <mergeCell ref="D237:E237"/>
    <mergeCell ref="F237:G237"/>
    <mergeCell ref="H237:I237"/>
    <mergeCell ref="J237:K237"/>
    <mergeCell ref="D238:E238"/>
    <mergeCell ref="F238:G238"/>
    <mergeCell ref="D239:E239"/>
    <mergeCell ref="F239:G239"/>
    <mergeCell ref="H239:I239"/>
    <mergeCell ref="J239:K239"/>
    <mergeCell ref="F241:G241"/>
    <mergeCell ref="H241:I241"/>
    <mergeCell ref="J241:K241"/>
    <mergeCell ref="H243:I243"/>
    <mergeCell ref="J243:K243"/>
    <mergeCell ref="D241:E241"/>
    <mergeCell ref="D242:E242"/>
    <mergeCell ref="F242:G242"/>
    <mergeCell ref="H242:I242"/>
    <mergeCell ref="J242:K242"/>
    <mergeCell ref="F243:G243"/>
    <mergeCell ref="B244:K244"/>
    <mergeCell ref="H246:I246"/>
    <mergeCell ref="J246:K246"/>
    <mergeCell ref="D260:E260"/>
    <mergeCell ref="F260:G260"/>
    <mergeCell ref="H260:I260"/>
    <mergeCell ref="J260:K260"/>
    <mergeCell ref="D261:E261"/>
    <mergeCell ref="H261:I261"/>
    <mergeCell ref="J261:K2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4.75"/>
    <col customWidth="1" min="3" max="3" width="31.38"/>
    <col customWidth="1" min="4" max="4" width="1.25"/>
    <col customWidth="1" min="5" max="5" width="28.75"/>
    <col customWidth="1" min="6" max="6" width="0.75"/>
    <col customWidth="1" min="7" max="7" width="27.75"/>
    <col customWidth="1" min="8" max="8" width="1.63"/>
    <col customWidth="1" min="9" max="9" width="27.13"/>
    <col customWidth="1" min="10" max="10" width="1.38"/>
    <col customWidth="1" min="11" max="11" width="28.38"/>
    <col customWidth="1" min="12" max="12" width="1.13"/>
    <col customWidth="1" min="13" max="13" width="21.38"/>
    <col customWidth="1" min="14" max="14" width="7.13"/>
  </cols>
  <sheetData>
    <row r="1" ht="15.75" hidden="1" customHeight="1">
      <c r="B1" s="38" t="s">
        <v>0</v>
      </c>
      <c r="C1" s="12"/>
      <c r="D1" s="39" t="s">
        <v>1</v>
      </c>
      <c r="E1" s="12"/>
      <c r="F1" s="40" t="s">
        <v>2</v>
      </c>
      <c r="G1" s="12"/>
      <c r="H1" s="40" t="s">
        <v>3</v>
      </c>
      <c r="I1" s="12"/>
      <c r="J1" s="40" t="s">
        <v>4</v>
      </c>
      <c r="K1" s="13"/>
    </row>
    <row r="2" ht="15.75" hidden="1" customHeight="1">
      <c r="B2" s="6">
        <v>16.0</v>
      </c>
      <c r="D2" s="7">
        <v>17.0</v>
      </c>
      <c r="F2" s="7">
        <v>18.0</v>
      </c>
      <c r="H2" s="7">
        <v>19.0</v>
      </c>
      <c r="J2" s="7">
        <v>20.0</v>
      </c>
      <c r="K2" s="8"/>
    </row>
    <row r="3" ht="15.75" hidden="1" customHeight="1">
      <c r="B3" s="9" t="s">
        <v>5</v>
      </c>
      <c r="D3" s="10" t="s">
        <v>5</v>
      </c>
      <c r="F3" s="10" t="s">
        <v>5</v>
      </c>
      <c r="H3" s="10" t="s">
        <v>5</v>
      </c>
      <c r="J3" s="262" t="s">
        <v>5</v>
      </c>
      <c r="K3" s="8"/>
    </row>
    <row r="4" ht="15.75" hidden="1" customHeight="1">
      <c r="B4" s="263"/>
      <c r="C4" s="12"/>
      <c r="D4" s="264" t="s">
        <v>671</v>
      </c>
      <c r="E4" s="12"/>
      <c r="F4" s="12"/>
      <c r="G4" s="12"/>
      <c r="H4" s="12"/>
      <c r="I4" s="12"/>
      <c r="J4" s="264"/>
      <c r="K4" s="13"/>
    </row>
    <row r="5" ht="15.75" hidden="1" customHeight="1">
      <c r="B5" s="265"/>
      <c r="D5" s="265"/>
      <c r="F5" s="266" t="s">
        <v>40</v>
      </c>
      <c r="H5" s="266" t="s">
        <v>66</v>
      </c>
      <c r="J5" s="266" t="s">
        <v>211</v>
      </c>
      <c r="K5" s="8"/>
    </row>
    <row r="6" ht="15.75" hidden="1" customHeight="1">
      <c r="B6" s="265"/>
      <c r="D6" s="265"/>
      <c r="F6" s="266" t="s">
        <v>672</v>
      </c>
      <c r="H6" s="266" t="s">
        <v>673</v>
      </c>
      <c r="J6" s="266" t="s">
        <v>674</v>
      </c>
      <c r="K6" s="8"/>
    </row>
    <row r="7" ht="15.75" hidden="1" customHeight="1">
      <c r="B7" s="265"/>
      <c r="D7" s="265"/>
      <c r="F7" s="266" t="s">
        <v>675</v>
      </c>
      <c r="H7" s="266" t="s">
        <v>676</v>
      </c>
      <c r="J7" s="266">
        <v>3500.0</v>
      </c>
      <c r="K7" s="8"/>
    </row>
    <row r="8" ht="15.75" hidden="1" customHeight="1">
      <c r="B8" s="267"/>
      <c r="D8" s="265"/>
      <c r="F8" s="268"/>
      <c r="H8" s="268"/>
      <c r="J8" s="268"/>
      <c r="K8" s="8"/>
    </row>
    <row r="9" ht="15.75" hidden="1" customHeight="1">
      <c r="B9" s="267"/>
      <c r="D9" s="265"/>
      <c r="F9" s="269" t="s">
        <v>9</v>
      </c>
      <c r="H9" s="269" t="s">
        <v>66</v>
      </c>
      <c r="J9" s="269" t="s">
        <v>66</v>
      </c>
      <c r="K9" s="8"/>
    </row>
    <row r="10" ht="15.75" hidden="1" customHeight="1">
      <c r="B10" s="267"/>
      <c r="D10" s="265"/>
      <c r="F10" s="269" t="s">
        <v>596</v>
      </c>
      <c r="H10" s="269" t="s">
        <v>677</v>
      </c>
      <c r="J10" s="269" t="s">
        <v>678</v>
      </c>
      <c r="K10" s="8"/>
    </row>
    <row r="11" ht="15.75" hidden="1" customHeight="1">
      <c r="B11" s="267"/>
      <c r="D11" s="265"/>
      <c r="F11" s="269">
        <v>6400.0</v>
      </c>
      <c r="H11" s="269" t="s">
        <v>679</v>
      </c>
      <c r="J11" s="269" t="s">
        <v>680</v>
      </c>
      <c r="K11" s="8"/>
    </row>
    <row r="12" ht="15.75" hidden="1" customHeight="1">
      <c r="B12" s="267"/>
      <c r="D12" s="265"/>
      <c r="F12" s="268"/>
      <c r="G12" s="268"/>
      <c r="H12" s="268"/>
      <c r="I12" s="268"/>
      <c r="J12" s="268"/>
      <c r="K12" s="270"/>
    </row>
    <row r="13" ht="15.75" hidden="1" customHeight="1">
      <c r="B13" s="267"/>
      <c r="D13" s="265"/>
      <c r="F13" s="271" t="s">
        <v>211</v>
      </c>
      <c r="H13" s="271" t="s">
        <v>211</v>
      </c>
      <c r="J13" s="271" t="s">
        <v>211</v>
      </c>
      <c r="K13" s="8"/>
    </row>
    <row r="14" ht="15.75" hidden="1" customHeight="1">
      <c r="B14" s="267"/>
      <c r="D14" s="265"/>
      <c r="F14" s="271" t="s">
        <v>674</v>
      </c>
      <c r="H14" s="271" t="s">
        <v>674</v>
      </c>
      <c r="J14" s="271" t="s">
        <v>674</v>
      </c>
      <c r="K14" s="8"/>
    </row>
    <row r="15" ht="15.75" hidden="1" customHeight="1">
      <c r="B15" s="267"/>
      <c r="D15" s="265"/>
      <c r="F15" s="271">
        <v>3500.0</v>
      </c>
      <c r="H15" s="271">
        <v>3500.0</v>
      </c>
      <c r="J15" s="271">
        <v>3500.0</v>
      </c>
      <c r="K15" s="8"/>
    </row>
    <row r="16" ht="15.75" hidden="1" customHeight="1">
      <c r="B16" s="263"/>
      <c r="C16" s="12"/>
      <c r="D16" s="264" t="s">
        <v>681</v>
      </c>
      <c r="E16" s="12"/>
      <c r="F16" s="12"/>
      <c r="G16" s="12"/>
      <c r="H16" s="12"/>
      <c r="I16" s="12"/>
      <c r="J16" s="264"/>
      <c r="K16" s="13"/>
    </row>
    <row r="17" ht="15.75" hidden="1" customHeight="1">
      <c r="B17" s="272"/>
      <c r="D17" s="273"/>
      <c r="F17" s="274"/>
      <c r="H17" s="274"/>
      <c r="J17" s="274"/>
      <c r="K17" s="8"/>
    </row>
    <row r="18" ht="15.75" hidden="1" customHeight="1">
      <c r="B18" s="272"/>
      <c r="D18" s="275"/>
      <c r="F18" s="276"/>
      <c r="H18" s="276"/>
      <c r="J18" s="274"/>
      <c r="K18" s="8"/>
    </row>
    <row r="19" ht="15.75" hidden="1" customHeight="1">
      <c r="B19" s="272"/>
      <c r="D19" s="275"/>
      <c r="F19" s="277"/>
      <c r="H19" s="277"/>
      <c r="J19" s="268"/>
      <c r="K19" s="8"/>
    </row>
    <row r="20" ht="15.75" hidden="1" customHeight="1">
      <c r="B20" s="272"/>
      <c r="D20" s="278"/>
      <c r="F20" s="279" t="s">
        <v>313</v>
      </c>
      <c r="H20" s="279" t="s">
        <v>17</v>
      </c>
      <c r="J20" s="280" t="s">
        <v>340</v>
      </c>
      <c r="K20" s="8"/>
    </row>
    <row r="21" ht="15.75" hidden="1" customHeight="1">
      <c r="B21" s="272"/>
      <c r="D21" s="278"/>
      <c r="F21" s="279" t="s">
        <v>682</v>
      </c>
      <c r="H21" s="279" t="s">
        <v>683</v>
      </c>
      <c r="J21" s="280" t="s">
        <v>684</v>
      </c>
      <c r="K21" s="8"/>
    </row>
    <row r="22" ht="15.75" hidden="1" customHeight="1">
      <c r="B22" s="272"/>
      <c r="D22" s="278"/>
      <c r="F22" s="280" t="s">
        <v>685</v>
      </c>
      <c r="H22" s="280"/>
      <c r="J22" s="280" t="s">
        <v>686</v>
      </c>
      <c r="K22" s="8"/>
    </row>
    <row r="23" ht="15.75" hidden="1" customHeight="1">
      <c r="B23" s="272"/>
      <c r="D23" s="278"/>
      <c r="F23" s="268"/>
      <c r="H23" s="281"/>
      <c r="J23" s="268"/>
      <c r="K23" s="8"/>
    </row>
    <row r="24" ht="15.75" hidden="1" customHeight="1">
      <c r="B24" s="282"/>
      <c r="C24" s="35"/>
      <c r="D24" s="283"/>
      <c r="E24" s="35"/>
      <c r="F24" s="284"/>
      <c r="G24" s="35"/>
      <c r="H24" s="285"/>
      <c r="I24" s="35"/>
      <c r="J24" s="284"/>
      <c r="K24" s="37"/>
    </row>
    <row r="25" ht="15.75" hidden="1" customHeight="1">
      <c r="B25" s="268"/>
      <c r="C25" s="268"/>
      <c r="D25" s="286"/>
      <c r="E25" s="286"/>
      <c r="F25" s="268"/>
      <c r="G25" s="268"/>
      <c r="H25" s="268"/>
      <c r="I25" s="268"/>
      <c r="J25" s="268"/>
      <c r="K25" s="268"/>
    </row>
    <row r="26" ht="15.75" hidden="1" customHeight="1">
      <c r="B26" s="38" t="s">
        <v>0</v>
      </c>
      <c r="C26" s="12"/>
      <c r="D26" s="39" t="s">
        <v>1</v>
      </c>
      <c r="E26" s="12"/>
      <c r="F26" s="40" t="s">
        <v>2</v>
      </c>
      <c r="G26" s="12"/>
      <c r="H26" s="40" t="s">
        <v>3</v>
      </c>
      <c r="I26" s="12"/>
      <c r="J26" s="40" t="s">
        <v>4</v>
      </c>
      <c r="K26" s="13"/>
    </row>
    <row r="27" ht="15.75" hidden="1" customHeight="1">
      <c r="B27" s="6">
        <v>23.0</v>
      </c>
      <c r="D27" s="7">
        <v>24.0</v>
      </c>
      <c r="F27" s="7">
        <v>25.0</v>
      </c>
      <c r="H27" s="7">
        <v>26.0</v>
      </c>
      <c r="J27" s="7">
        <v>27.0</v>
      </c>
      <c r="K27" s="8"/>
    </row>
    <row r="28" ht="15.75" hidden="1" customHeight="1">
      <c r="B28" s="9" t="s">
        <v>5</v>
      </c>
      <c r="D28" s="10" t="s">
        <v>5</v>
      </c>
      <c r="F28" s="10" t="s">
        <v>5</v>
      </c>
      <c r="H28" s="10" t="s">
        <v>5</v>
      </c>
      <c r="J28" s="262" t="s">
        <v>5</v>
      </c>
      <c r="K28" s="8"/>
    </row>
    <row r="29" ht="15.75" hidden="1" customHeight="1">
      <c r="B29" s="263"/>
      <c r="C29" s="12"/>
      <c r="D29" s="264" t="s">
        <v>671</v>
      </c>
      <c r="E29" s="12"/>
      <c r="F29" s="12"/>
      <c r="G29" s="12"/>
      <c r="H29" s="12"/>
      <c r="I29" s="12"/>
      <c r="J29" s="264"/>
      <c r="K29" s="13"/>
    </row>
    <row r="30" ht="15.75" hidden="1" customHeight="1">
      <c r="B30" s="287" t="s">
        <v>8</v>
      </c>
      <c r="D30" s="266" t="s">
        <v>18</v>
      </c>
      <c r="F30" s="288" t="s">
        <v>69</v>
      </c>
      <c r="H30" s="288" t="s">
        <v>17</v>
      </c>
      <c r="J30" s="288" t="s">
        <v>17</v>
      </c>
      <c r="K30" s="8"/>
    </row>
    <row r="31" ht="15.75" hidden="1" customHeight="1">
      <c r="B31" s="287" t="s">
        <v>687</v>
      </c>
      <c r="D31" s="266" t="s">
        <v>251</v>
      </c>
      <c r="F31" s="288" t="s">
        <v>688</v>
      </c>
      <c r="H31" s="288" t="s">
        <v>27</v>
      </c>
      <c r="J31" s="288" t="s">
        <v>27</v>
      </c>
      <c r="K31" s="8"/>
    </row>
    <row r="32" ht="15.75" hidden="1" customHeight="1">
      <c r="B32" s="287" t="s">
        <v>689</v>
      </c>
      <c r="D32" s="288" t="s">
        <v>690</v>
      </c>
      <c r="F32" s="288">
        <v>1640.0</v>
      </c>
      <c r="H32" s="288" t="s">
        <v>691</v>
      </c>
      <c r="J32" s="288" t="s">
        <v>691</v>
      </c>
      <c r="K32" s="8"/>
    </row>
    <row r="33" ht="15.75" hidden="1" customHeight="1">
      <c r="B33" s="289"/>
      <c r="D33" s="268"/>
      <c r="F33" s="268"/>
      <c r="H33" s="268"/>
      <c r="J33" s="268"/>
      <c r="K33" s="8"/>
    </row>
    <row r="34" ht="15.75" hidden="1" customHeight="1">
      <c r="B34" s="290" t="s">
        <v>211</v>
      </c>
      <c r="D34" s="269" t="s">
        <v>17</v>
      </c>
      <c r="F34" s="291" t="s">
        <v>69</v>
      </c>
      <c r="H34" s="292" t="s">
        <v>56</v>
      </c>
      <c r="J34" s="291" t="s">
        <v>9</v>
      </c>
      <c r="K34" s="8"/>
    </row>
    <row r="35" ht="15.75" hidden="1" customHeight="1">
      <c r="B35" s="290" t="s">
        <v>692</v>
      </c>
      <c r="D35" s="291" t="s">
        <v>41</v>
      </c>
      <c r="F35" s="291" t="s">
        <v>688</v>
      </c>
      <c r="H35" s="292" t="s">
        <v>693</v>
      </c>
      <c r="J35" s="291" t="s">
        <v>694</v>
      </c>
      <c r="K35" s="8"/>
    </row>
    <row r="36" ht="15.75" hidden="1" customHeight="1">
      <c r="B36" s="290">
        <v>2000.0</v>
      </c>
      <c r="D36" s="291" t="s">
        <v>695</v>
      </c>
      <c r="F36" s="291">
        <v>1640.0</v>
      </c>
      <c r="H36" s="292" t="s">
        <v>696</v>
      </c>
      <c r="J36" s="291" t="s">
        <v>697</v>
      </c>
      <c r="K36" s="8"/>
    </row>
    <row r="37" ht="15.75" hidden="1" customHeight="1">
      <c r="B37" s="289"/>
      <c r="C37" s="268"/>
      <c r="D37" s="268"/>
      <c r="F37" s="268"/>
      <c r="H37" s="268"/>
      <c r="J37" s="293" t="s">
        <v>698</v>
      </c>
      <c r="K37" s="8"/>
    </row>
    <row r="38" ht="15.75" hidden="1" customHeight="1">
      <c r="B38" s="294" t="s">
        <v>211</v>
      </c>
      <c r="D38" s="271" t="s">
        <v>17</v>
      </c>
      <c r="F38" s="295" t="s">
        <v>699</v>
      </c>
      <c r="H38" s="295" t="s">
        <v>57</v>
      </c>
      <c r="J38" s="271" t="s">
        <v>700</v>
      </c>
      <c r="K38" s="8"/>
    </row>
    <row r="39" ht="15.75" hidden="1" customHeight="1">
      <c r="B39" s="294" t="s">
        <v>692</v>
      </c>
      <c r="D39" s="295" t="s">
        <v>701</v>
      </c>
      <c r="F39" s="295" t="s">
        <v>702</v>
      </c>
      <c r="H39" s="295" t="s">
        <v>703</v>
      </c>
      <c r="J39" s="271" t="s">
        <v>704</v>
      </c>
      <c r="K39" s="8"/>
    </row>
    <row r="40" ht="15.75" hidden="1" customHeight="1">
      <c r="B40" s="294">
        <v>2000.0</v>
      </c>
      <c r="D40" s="295"/>
      <c r="F40" s="295" t="s">
        <v>705</v>
      </c>
      <c r="H40" s="295" t="s">
        <v>159</v>
      </c>
      <c r="J40" s="271" t="s">
        <v>706</v>
      </c>
      <c r="K40" s="8"/>
    </row>
    <row r="41" ht="15.75" hidden="1" customHeight="1">
      <c r="B41" s="263"/>
      <c r="C41" s="12"/>
      <c r="D41" s="296" t="s">
        <v>707</v>
      </c>
      <c r="E41" s="12"/>
      <c r="F41" s="264" t="s">
        <v>681</v>
      </c>
      <c r="G41" s="12"/>
      <c r="H41" s="264"/>
      <c r="I41" s="264"/>
      <c r="J41" s="264"/>
      <c r="K41" s="13"/>
    </row>
    <row r="42" ht="15.75" hidden="1" customHeight="1">
      <c r="B42" s="297" t="s">
        <v>52</v>
      </c>
      <c r="D42" s="274" t="s">
        <v>32</v>
      </c>
      <c r="F42" s="298" t="s">
        <v>52</v>
      </c>
      <c r="H42" s="274"/>
      <c r="J42" s="274"/>
      <c r="K42" s="8"/>
    </row>
    <row r="43" ht="15.75" hidden="1" customHeight="1">
      <c r="B43" s="297" t="s">
        <v>708</v>
      </c>
      <c r="D43" s="299" t="s">
        <v>709</v>
      </c>
      <c r="F43" s="299" t="s">
        <v>710</v>
      </c>
      <c r="H43" s="276"/>
      <c r="J43" s="274"/>
      <c r="K43" s="8"/>
    </row>
    <row r="44" ht="15.75" hidden="1" customHeight="1">
      <c r="B44" s="289"/>
      <c r="D44" s="300" t="s">
        <v>711</v>
      </c>
      <c r="F44" s="277"/>
      <c r="H44" s="277"/>
      <c r="J44" s="268"/>
      <c r="K44" s="8"/>
    </row>
    <row r="45" ht="15.75" hidden="1" customHeight="1">
      <c r="B45" s="301" t="s">
        <v>340</v>
      </c>
      <c r="D45" s="279"/>
      <c r="F45" s="279" t="s">
        <v>700</v>
      </c>
      <c r="H45" s="302" t="s">
        <v>700</v>
      </c>
      <c r="I45" s="303"/>
      <c r="J45" s="304" t="s">
        <v>39</v>
      </c>
      <c r="K45" s="8"/>
    </row>
    <row r="46" ht="15.75" hidden="1" customHeight="1">
      <c r="B46" s="301" t="s">
        <v>712</v>
      </c>
      <c r="D46" s="279"/>
      <c r="F46" s="279" t="s">
        <v>713</v>
      </c>
      <c r="H46" s="302" t="s">
        <v>714</v>
      </c>
      <c r="I46" s="303"/>
      <c r="J46" s="304" t="s">
        <v>715</v>
      </c>
      <c r="K46" s="8"/>
    </row>
    <row r="47" ht="15.75" hidden="1" customHeight="1">
      <c r="B47" s="301" t="s">
        <v>716</v>
      </c>
      <c r="D47" s="305"/>
      <c r="F47" s="280" t="s">
        <v>683</v>
      </c>
      <c r="H47" s="302" t="s">
        <v>717</v>
      </c>
      <c r="I47" s="303"/>
      <c r="J47" s="280"/>
      <c r="K47" s="8"/>
    </row>
    <row r="48" ht="15.75" hidden="1" customHeight="1">
      <c r="B48" s="289"/>
      <c r="D48" s="286"/>
      <c r="F48" s="306" t="s">
        <v>718</v>
      </c>
      <c r="J48" s="268"/>
      <c r="K48" s="8"/>
    </row>
    <row r="49" ht="15.75" hidden="1" customHeight="1">
      <c r="B49" s="307"/>
      <c r="C49" s="35"/>
      <c r="D49" s="308"/>
      <c r="E49" s="35"/>
      <c r="F49" s="284"/>
      <c r="G49" s="35"/>
      <c r="H49" s="284"/>
      <c r="I49" s="35"/>
      <c r="J49" s="284"/>
      <c r="K49" s="37"/>
    </row>
    <row r="50" ht="15.75" hidden="1" customHeight="1">
      <c r="B50" s="268"/>
      <c r="C50" s="268"/>
      <c r="D50" s="286"/>
      <c r="E50" s="286"/>
      <c r="F50" s="268"/>
      <c r="G50" s="268"/>
      <c r="H50" s="268"/>
      <c r="I50" s="268"/>
      <c r="J50" s="268"/>
      <c r="K50" s="268"/>
    </row>
    <row r="51" ht="15.75" hidden="1" customHeight="1">
      <c r="B51" s="38" t="s">
        <v>0</v>
      </c>
      <c r="C51" s="12"/>
      <c r="D51" s="39" t="s">
        <v>1</v>
      </c>
      <c r="E51" s="12"/>
      <c r="F51" s="40" t="s">
        <v>2</v>
      </c>
      <c r="G51" s="12"/>
      <c r="H51" s="40" t="s">
        <v>3</v>
      </c>
      <c r="I51" s="12"/>
      <c r="J51" s="40" t="s">
        <v>4</v>
      </c>
      <c r="K51" s="13"/>
    </row>
    <row r="52" ht="15.75" hidden="1" customHeight="1">
      <c r="B52" s="6">
        <v>2.0</v>
      </c>
      <c r="D52" s="7">
        <v>3.0</v>
      </c>
      <c r="F52" s="7">
        <v>4.0</v>
      </c>
      <c r="H52" s="7">
        <v>5.0</v>
      </c>
      <c r="J52" s="7">
        <v>6.0</v>
      </c>
      <c r="K52" s="8"/>
    </row>
    <row r="53" ht="15.75" hidden="1" customHeight="1">
      <c r="B53" s="9" t="s">
        <v>75</v>
      </c>
      <c r="D53" s="10" t="s">
        <v>75</v>
      </c>
      <c r="F53" s="10" t="s">
        <v>75</v>
      </c>
      <c r="H53" s="10" t="s">
        <v>75</v>
      </c>
      <c r="J53" s="262" t="s">
        <v>75</v>
      </c>
      <c r="K53" s="8"/>
    </row>
    <row r="54" ht="15.75" hidden="1" customHeight="1">
      <c r="B54" s="263"/>
      <c r="C54" s="12"/>
      <c r="D54" s="264" t="s">
        <v>671</v>
      </c>
      <c r="E54" s="12"/>
      <c r="F54" s="12"/>
      <c r="G54" s="12"/>
      <c r="H54" s="12"/>
      <c r="I54" s="12"/>
      <c r="J54" s="264"/>
      <c r="K54" s="13"/>
    </row>
    <row r="55" ht="15.75" hidden="1" customHeight="1">
      <c r="B55" s="309" t="s">
        <v>9</v>
      </c>
      <c r="D55" s="288" t="s">
        <v>37</v>
      </c>
      <c r="F55" s="288" t="s">
        <v>37</v>
      </c>
      <c r="H55" s="288" t="s">
        <v>38</v>
      </c>
      <c r="J55" s="288" t="s">
        <v>38</v>
      </c>
      <c r="K55" s="8"/>
    </row>
    <row r="56" ht="15.75" hidden="1" customHeight="1">
      <c r="B56" s="309" t="s">
        <v>694</v>
      </c>
      <c r="D56" s="288" t="s">
        <v>27</v>
      </c>
      <c r="F56" s="288" t="s">
        <v>27</v>
      </c>
      <c r="H56" s="288" t="s">
        <v>719</v>
      </c>
      <c r="J56" s="288" t="s">
        <v>92</v>
      </c>
      <c r="K56" s="8"/>
    </row>
    <row r="57" ht="15.75" hidden="1" customHeight="1">
      <c r="B57" s="309" t="s">
        <v>697</v>
      </c>
      <c r="D57" s="288" t="s">
        <v>720</v>
      </c>
      <c r="F57" s="288" t="s">
        <v>720</v>
      </c>
      <c r="H57" s="288" t="s">
        <v>721</v>
      </c>
      <c r="J57" s="288" t="s">
        <v>722</v>
      </c>
      <c r="K57" s="8"/>
    </row>
    <row r="58" ht="15.75" hidden="1" customHeight="1">
      <c r="B58" s="289"/>
      <c r="D58" s="268"/>
      <c r="F58" s="268"/>
      <c r="H58" s="268"/>
      <c r="J58" s="268"/>
      <c r="K58" s="8"/>
    </row>
    <row r="59" ht="15.75" hidden="1" customHeight="1">
      <c r="B59" s="310" t="s">
        <v>723</v>
      </c>
      <c r="D59" s="291" t="s">
        <v>76</v>
      </c>
      <c r="F59" s="291" t="s">
        <v>724</v>
      </c>
      <c r="H59" s="291" t="s">
        <v>725</v>
      </c>
      <c r="J59" s="291" t="s">
        <v>726</v>
      </c>
      <c r="K59" s="8"/>
    </row>
    <row r="60" ht="15.75" hidden="1" customHeight="1">
      <c r="B60" s="310" t="s">
        <v>340</v>
      </c>
      <c r="D60" s="291" t="s">
        <v>727</v>
      </c>
      <c r="F60" s="291" t="s">
        <v>76</v>
      </c>
      <c r="H60" s="311" t="s">
        <v>728</v>
      </c>
      <c r="J60" s="291" t="s">
        <v>729</v>
      </c>
      <c r="K60" s="8"/>
    </row>
    <row r="61" ht="15.75" hidden="1" customHeight="1">
      <c r="B61" s="310" t="s">
        <v>730</v>
      </c>
      <c r="D61" s="291" t="s">
        <v>731</v>
      </c>
      <c r="F61" s="291" t="s">
        <v>732</v>
      </c>
      <c r="H61" s="291" t="s">
        <v>733</v>
      </c>
      <c r="J61" s="291" t="s">
        <v>734</v>
      </c>
      <c r="K61" s="8"/>
    </row>
    <row r="62" ht="15.75" hidden="1" customHeight="1">
      <c r="B62" s="312" t="s">
        <v>735</v>
      </c>
      <c r="D62" s="268"/>
      <c r="F62" s="268"/>
      <c r="H62" s="268"/>
      <c r="J62" s="268"/>
      <c r="K62" s="270"/>
    </row>
    <row r="63" ht="15.75" hidden="1" customHeight="1">
      <c r="B63" s="313" t="s">
        <v>736</v>
      </c>
      <c r="D63" s="295" t="s">
        <v>9</v>
      </c>
      <c r="F63" s="295" t="s">
        <v>9</v>
      </c>
      <c r="H63" s="295" t="s">
        <v>563</v>
      </c>
      <c r="J63" s="295" t="s">
        <v>125</v>
      </c>
      <c r="K63" s="8"/>
    </row>
    <row r="64" ht="15.75" hidden="1" customHeight="1">
      <c r="B64" s="314" t="s">
        <v>737</v>
      </c>
      <c r="D64" s="295" t="s">
        <v>738</v>
      </c>
      <c r="F64" s="295" t="s">
        <v>739</v>
      </c>
      <c r="H64" s="295" t="s">
        <v>564</v>
      </c>
      <c r="J64" s="295" t="s">
        <v>740</v>
      </c>
      <c r="K64" s="8"/>
    </row>
    <row r="65" ht="15.75" hidden="1" customHeight="1">
      <c r="B65" s="314" t="s">
        <v>741</v>
      </c>
      <c r="D65" s="295" t="s">
        <v>742</v>
      </c>
      <c r="F65" s="295" t="s">
        <v>742</v>
      </c>
      <c r="H65" s="295" t="s">
        <v>743</v>
      </c>
      <c r="J65" s="293" t="s">
        <v>744</v>
      </c>
      <c r="K65" s="8"/>
    </row>
    <row r="66" ht="15.75" hidden="1" customHeight="1">
      <c r="B66" s="263"/>
      <c r="C66" s="12"/>
      <c r="D66" s="264" t="s">
        <v>681</v>
      </c>
      <c r="E66" s="12"/>
      <c r="F66" s="12"/>
      <c r="G66" s="12"/>
      <c r="H66" s="12"/>
      <c r="I66" s="12"/>
      <c r="J66" s="264"/>
      <c r="K66" s="13"/>
    </row>
    <row r="67" ht="15.75" hidden="1" customHeight="1">
      <c r="B67" s="297"/>
      <c r="D67" s="298"/>
      <c r="F67" s="274"/>
      <c r="H67" s="274"/>
      <c r="J67" s="274"/>
      <c r="K67" s="8"/>
    </row>
    <row r="68" ht="15.75" hidden="1" customHeight="1">
      <c r="B68" s="297"/>
      <c r="D68" s="299"/>
      <c r="F68" s="276"/>
      <c r="H68" s="276"/>
      <c r="J68" s="274"/>
      <c r="K68" s="8"/>
    </row>
    <row r="69" ht="15.75" hidden="1" customHeight="1">
      <c r="B69" s="312"/>
      <c r="D69" s="300"/>
      <c r="F69" s="277"/>
      <c r="H69" s="277"/>
      <c r="J69" s="268"/>
      <c r="K69" s="8"/>
    </row>
    <row r="70" ht="15.75" hidden="1" customHeight="1">
      <c r="B70" s="315" t="s">
        <v>39</v>
      </c>
      <c r="D70" s="279" t="s">
        <v>25</v>
      </c>
      <c r="F70" s="304" t="s">
        <v>39</v>
      </c>
      <c r="H70" s="316" t="s">
        <v>745</v>
      </c>
      <c r="J70" s="304" t="s">
        <v>40</v>
      </c>
      <c r="K70" s="8"/>
    </row>
    <row r="71" ht="15.75" hidden="1" customHeight="1">
      <c r="B71" s="315" t="s">
        <v>746</v>
      </c>
      <c r="D71" s="279" t="s">
        <v>747</v>
      </c>
      <c r="F71" s="304" t="s">
        <v>748</v>
      </c>
      <c r="H71" s="317" t="s">
        <v>749</v>
      </c>
      <c r="J71" s="304" t="s">
        <v>750</v>
      </c>
      <c r="K71" s="8"/>
    </row>
    <row r="72" ht="15.75" hidden="1" customHeight="1">
      <c r="B72" s="318"/>
      <c r="D72" s="279" t="s">
        <v>751</v>
      </c>
      <c r="F72" s="280"/>
      <c r="H72" s="316"/>
      <c r="J72" s="304"/>
      <c r="K72" s="8"/>
    </row>
    <row r="73" ht="15.75" hidden="1" customHeight="1">
      <c r="B73" s="289"/>
      <c r="D73" s="319"/>
      <c r="F73" s="320"/>
      <c r="H73" s="281"/>
      <c r="J73" s="281"/>
      <c r="K73" s="8"/>
    </row>
    <row r="74" ht="15.75" hidden="1" customHeight="1">
      <c r="B74" s="307"/>
      <c r="C74" s="35"/>
      <c r="D74" s="321"/>
      <c r="E74" s="35"/>
      <c r="F74" s="284"/>
      <c r="G74" s="35"/>
      <c r="H74" s="285"/>
      <c r="I74" s="35"/>
      <c r="J74" s="285"/>
      <c r="K74" s="37"/>
    </row>
    <row r="75" ht="15.75" hidden="1" customHeight="1">
      <c r="B75" s="268"/>
      <c r="C75" s="268"/>
      <c r="D75" s="286"/>
      <c r="E75" s="286"/>
      <c r="F75" s="268"/>
      <c r="G75" s="268"/>
      <c r="H75" s="268"/>
      <c r="I75" s="268"/>
      <c r="J75" s="268"/>
      <c r="K75" s="268"/>
    </row>
    <row r="76" ht="15.75" hidden="1" customHeight="1">
      <c r="B76" s="38" t="s">
        <v>0</v>
      </c>
      <c r="C76" s="12"/>
      <c r="D76" s="39" t="s">
        <v>1</v>
      </c>
      <c r="E76" s="12"/>
      <c r="F76" s="40" t="s">
        <v>2</v>
      </c>
      <c r="G76" s="12"/>
      <c r="H76" s="40" t="s">
        <v>3</v>
      </c>
      <c r="I76" s="12"/>
      <c r="J76" s="40" t="s">
        <v>4</v>
      </c>
      <c r="K76" s="13"/>
    </row>
    <row r="77" ht="15.75" hidden="1" customHeight="1">
      <c r="B77" s="65">
        <v>9.0</v>
      </c>
      <c r="D77" s="66">
        <v>10.0</v>
      </c>
      <c r="F77" s="66">
        <v>11.0</v>
      </c>
      <c r="H77" s="66">
        <v>12.0</v>
      </c>
      <c r="J77" s="66">
        <v>13.0</v>
      </c>
      <c r="K77" s="8"/>
    </row>
    <row r="78" ht="15.75" hidden="1" customHeight="1">
      <c r="B78" s="9" t="s">
        <v>75</v>
      </c>
      <c r="D78" s="10" t="s">
        <v>75</v>
      </c>
      <c r="F78" s="10" t="s">
        <v>75</v>
      </c>
      <c r="H78" s="10" t="s">
        <v>75</v>
      </c>
      <c r="J78" s="262" t="s">
        <v>75</v>
      </c>
      <c r="K78" s="8"/>
    </row>
    <row r="79" ht="15.75" hidden="1" customHeight="1">
      <c r="B79" s="263"/>
      <c r="C79" s="12"/>
      <c r="D79" s="264" t="s">
        <v>671</v>
      </c>
      <c r="E79" s="12"/>
      <c r="F79" s="12"/>
      <c r="G79" s="12"/>
      <c r="H79" s="12"/>
      <c r="I79" s="12"/>
      <c r="J79" s="264"/>
      <c r="K79" s="13"/>
    </row>
    <row r="80" ht="15.75" hidden="1" customHeight="1">
      <c r="B80" s="288" t="s">
        <v>99</v>
      </c>
      <c r="D80" s="288" t="s">
        <v>40</v>
      </c>
      <c r="F80" s="288"/>
      <c r="H80" s="288" t="s">
        <v>125</v>
      </c>
      <c r="J80" s="288"/>
      <c r="K80" s="8"/>
    </row>
    <row r="81" ht="15.75" hidden="1" customHeight="1">
      <c r="B81" s="288" t="s">
        <v>752</v>
      </c>
      <c r="D81" s="288" t="s">
        <v>753</v>
      </c>
      <c r="F81" s="288"/>
      <c r="H81" s="288" t="s">
        <v>128</v>
      </c>
      <c r="J81" s="288"/>
      <c r="K81" s="8"/>
    </row>
    <row r="82" ht="15.75" hidden="1" customHeight="1">
      <c r="B82" s="288" t="s">
        <v>754</v>
      </c>
      <c r="D82" s="288" t="s">
        <v>755</v>
      </c>
      <c r="F82" s="288"/>
      <c r="H82" s="288" t="s">
        <v>756</v>
      </c>
      <c r="J82" s="322"/>
      <c r="K82" s="8"/>
    </row>
    <row r="83" ht="15.75" hidden="1" customHeight="1">
      <c r="B83" s="289"/>
      <c r="D83" s="268"/>
      <c r="F83" s="268"/>
      <c r="H83" s="281"/>
      <c r="J83" s="281"/>
      <c r="K83" s="8"/>
      <c r="M83" s="96" t="s">
        <v>757</v>
      </c>
    </row>
    <row r="84" ht="15.75" hidden="1" customHeight="1">
      <c r="B84" s="310" t="s">
        <v>726</v>
      </c>
      <c r="D84" s="291" t="s">
        <v>726</v>
      </c>
      <c r="F84" s="291" t="s">
        <v>25</v>
      </c>
      <c r="H84" s="291" t="s">
        <v>116</v>
      </c>
      <c r="J84" s="291" t="s">
        <v>40</v>
      </c>
      <c r="K84" s="8"/>
      <c r="L84" s="323"/>
      <c r="M84" s="96" t="s">
        <v>758</v>
      </c>
    </row>
    <row r="85" ht="15.75" hidden="1" customHeight="1">
      <c r="B85" s="310" t="s">
        <v>759</v>
      </c>
      <c r="D85" s="291" t="s">
        <v>760</v>
      </c>
      <c r="F85" s="291" t="s">
        <v>761</v>
      </c>
      <c r="H85" s="291" t="s">
        <v>762</v>
      </c>
      <c r="J85" s="291" t="s">
        <v>763</v>
      </c>
      <c r="K85" s="8"/>
      <c r="M85" s="96" t="s">
        <v>764</v>
      </c>
    </row>
    <row r="86" ht="15.75" hidden="1" customHeight="1">
      <c r="B86" s="310" t="s">
        <v>765</v>
      </c>
      <c r="D86" s="291"/>
      <c r="F86" s="291"/>
      <c r="H86" s="293" t="s">
        <v>766</v>
      </c>
      <c r="J86" s="291" t="s">
        <v>767</v>
      </c>
      <c r="K86" s="8"/>
      <c r="M86" s="96" t="s">
        <v>768</v>
      </c>
    </row>
    <row r="87" ht="15.75" hidden="1" customHeight="1">
      <c r="B87" s="289"/>
      <c r="C87" s="268"/>
      <c r="D87" s="268"/>
      <c r="F87" s="268"/>
      <c r="H87" s="268"/>
      <c r="J87" s="281"/>
      <c r="K87" s="8"/>
    </row>
    <row r="88" ht="15.75" hidden="1" customHeight="1">
      <c r="B88" s="314" t="s">
        <v>69</v>
      </c>
      <c r="D88" s="295" t="s">
        <v>145</v>
      </c>
      <c r="F88" s="295" t="s">
        <v>145</v>
      </c>
      <c r="H88" s="295" t="s">
        <v>66</v>
      </c>
      <c r="J88" s="295" t="s">
        <v>69</v>
      </c>
      <c r="K88" s="8"/>
    </row>
    <row r="89" ht="15.75" hidden="1" customHeight="1">
      <c r="B89" s="314" t="s">
        <v>90</v>
      </c>
      <c r="D89" s="295" t="s">
        <v>769</v>
      </c>
      <c r="F89" s="295" t="s">
        <v>770</v>
      </c>
      <c r="H89" s="295" t="s">
        <v>771</v>
      </c>
      <c r="J89" s="295" t="s">
        <v>772</v>
      </c>
      <c r="K89" s="8"/>
    </row>
    <row r="90" ht="15.75" hidden="1" customHeight="1">
      <c r="B90" s="314" t="s">
        <v>773</v>
      </c>
      <c r="D90" s="295" t="s">
        <v>774</v>
      </c>
      <c r="F90" s="295" t="s">
        <v>774</v>
      </c>
      <c r="H90" s="295" t="s">
        <v>775</v>
      </c>
      <c r="J90" s="295" t="s">
        <v>776</v>
      </c>
      <c r="K90" s="8"/>
    </row>
    <row r="91" ht="15.75" hidden="1" customHeight="1">
      <c r="B91" s="263"/>
      <c r="C91" s="12"/>
      <c r="D91" s="264" t="s">
        <v>681</v>
      </c>
      <c r="E91" s="12"/>
      <c r="F91" s="12"/>
      <c r="G91" s="12"/>
      <c r="H91" s="12"/>
      <c r="I91" s="12"/>
      <c r="J91" s="264"/>
      <c r="K91" s="13"/>
    </row>
    <row r="92" ht="15.75" hidden="1" customHeight="1">
      <c r="B92" s="297"/>
      <c r="D92" s="298"/>
      <c r="F92" s="298"/>
      <c r="H92" s="298"/>
      <c r="J92" s="298"/>
      <c r="K92" s="8"/>
    </row>
    <row r="93" ht="15.75" hidden="1" customHeight="1">
      <c r="B93" s="297"/>
      <c r="D93" s="299"/>
      <c r="F93" s="299"/>
      <c r="H93" s="299"/>
      <c r="J93" s="298"/>
      <c r="K93" s="8"/>
    </row>
    <row r="94" ht="15.75" hidden="1" customHeight="1">
      <c r="B94" s="312"/>
      <c r="D94" s="300"/>
      <c r="F94" s="277"/>
      <c r="H94" s="277"/>
      <c r="J94" s="281"/>
      <c r="K94" s="8"/>
    </row>
    <row r="95" ht="15.75" hidden="1" customHeight="1">
      <c r="B95" s="324" t="s">
        <v>207</v>
      </c>
      <c r="D95" s="304" t="s">
        <v>105</v>
      </c>
      <c r="F95" s="305" t="s">
        <v>25</v>
      </c>
      <c r="H95" s="305" t="s">
        <v>78</v>
      </c>
      <c r="J95" s="304" t="s">
        <v>40</v>
      </c>
      <c r="K95" s="8"/>
    </row>
    <row r="96" ht="15.75" hidden="1" customHeight="1">
      <c r="B96" s="324" t="s">
        <v>777</v>
      </c>
      <c r="D96" s="304" t="s">
        <v>778</v>
      </c>
      <c r="F96" s="305" t="s">
        <v>779</v>
      </c>
      <c r="H96" s="305" t="s">
        <v>780</v>
      </c>
      <c r="J96" s="304" t="s">
        <v>781</v>
      </c>
      <c r="K96" s="8"/>
    </row>
    <row r="97" ht="15.75" hidden="1" customHeight="1">
      <c r="B97" s="324" t="s">
        <v>782</v>
      </c>
      <c r="D97" s="304" t="s">
        <v>25</v>
      </c>
      <c r="F97" s="304" t="s">
        <v>783</v>
      </c>
      <c r="H97" s="304" t="s">
        <v>784</v>
      </c>
      <c r="J97" s="304" t="s">
        <v>785</v>
      </c>
      <c r="K97" s="8"/>
    </row>
    <row r="98" ht="15.75" hidden="1" customHeight="1">
      <c r="B98" s="312"/>
      <c r="D98" s="281" t="s">
        <v>786</v>
      </c>
      <c r="F98" s="320"/>
      <c r="H98" s="304" t="s">
        <v>78</v>
      </c>
      <c r="J98" s="293" t="s">
        <v>787</v>
      </c>
      <c r="K98" s="8"/>
    </row>
    <row r="99" ht="15.75" hidden="1" customHeight="1">
      <c r="B99" s="325"/>
      <c r="C99" s="35"/>
      <c r="D99" s="321" t="s">
        <v>788</v>
      </c>
      <c r="E99" s="35"/>
      <c r="F99" s="285"/>
      <c r="G99" s="35"/>
      <c r="H99" s="285" t="s">
        <v>789</v>
      </c>
      <c r="I99" s="35"/>
      <c r="J99" s="285"/>
      <c r="K99" s="37"/>
    </row>
    <row r="100" ht="15.75" hidden="1" customHeight="1">
      <c r="B100" s="268"/>
      <c r="C100" s="268"/>
      <c r="D100" s="286"/>
      <c r="E100" s="286"/>
      <c r="F100" s="268"/>
      <c r="G100" s="268"/>
      <c r="H100" s="268"/>
      <c r="I100" s="268"/>
      <c r="J100" s="268"/>
      <c r="K100" s="268"/>
    </row>
    <row r="101" ht="15.75" hidden="1" customHeight="1">
      <c r="B101" s="38" t="s">
        <v>0</v>
      </c>
      <c r="C101" s="12"/>
      <c r="D101" s="39" t="s">
        <v>1</v>
      </c>
      <c r="E101" s="12"/>
      <c r="F101" s="40" t="s">
        <v>2</v>
      </c>
      <c r="G101" s="12"/>
      <c r="H101" s="40" t="s">
        <v>3</v>
      </c>
      <c r="I101" s="12"/>
      <c r="J101" s="40" t="s">
        <v>4</v>
      </c>
      <c r="K101" s="13"/>
    </row>
    <row r="102" ht="15.75" hidden="1" customHeight="1">
      <c r="B102" s="65">
        <v>16.0</v>
      </c>
      <c r="D102" s="66">
        <v>17.0</v>
      </c>
      <c r="F102" s="66">
        <v>18.0</v>
      </c>
      <c r="H102" s="66">
        <v>19.0</v>
      </c>
      <c r="J102" s="66">
        <v>20.0</v>
      </c>
      <c r="K102" s="8"/>
    </row>
    <row r="103" ht="15.75" hidden="1" customHeight="1">
      <c r="B103" s="9" t="s">
        <v>75</v>
      </c>
      <c r="D103" s="10" t="s">
        <v>75</v>
      </c>
      <c r="F103" s="10" t="s">
        <v>75</v>
      </c>
      <c r="H103" s="10" t="s">
        <v>75</v>
      </c>
      <c r="J103" s="262" t="s">
        <v>75</v>
      </c>
      <c r="K103" s="8"/>
    </row>
    <row r="104" ht="15.75" hidden="1" customHeight="1">
      <c r="B104" s="263"/>
      <c r="C104" s="12"/>
      <c r="D104" s="264" t="s">
        <v>671</v>
      </c>
      <c r="E104" s="12"/>
      <c r="F104" s="12"/>
      <c r="G104" s="12"/>
      <c r="H104" s="12"/>
      <c r="I104" s="12"/>
      <c r="J104" s="264"/>
      <c r="K104" s="13"/>
    </row>
    <row r="105" ht="15.75" hidden="1" customHeight="1">
      <c r="B105" s="309" t="s">
        <v>116</v>
      </c>
      <c r="D105" s="288" t="s">
        <v>40</v>
      </c>
      <c r="F105" s="288" t="s">
        <v>66</v>
      </c>
      <c r="H105" s="288" t="s">
        <v>40</v>
      </c>
      <c r="J105" s="288" t="s">
        <v>66</v>
      </c>
      <c r="K105" s="8"/>
    </row>
    <row r="106" ht="15.75" hidden="1" customHeight="1">
      <c r="B106" s="309" t="s">
        <v>790</v>
      </c>
      <c r="D106" s="288" t="s">
        <v>791</v>
      </c>
      <c r="F106" s="288" t="s">
        <v>792</v>
      </c>
      <c r="H106" s="288" t="s">
        <v>793</v>
      </c>
      <c r="J106" s="288" t="s">
        <v>794</v>
      </c>
      <c r="K106" s="8"/>
    </row>
    <row r="107" ht="15.75" hidden="1" customHeight="1">
      <c r="B107" s="309" t="s">
        <v>795</v>
      </c>
      <c r="D107" s="288" t="s">
        <v>796</v>
      </c>
      <c r="F107" s="288" t="s">
        <v>797</v>
      </c>
      <c r="H107" s="288" t="s">
        <v>798</v>
      </c>
      <c r="J107" s="288" t="s">
        <v>799</v>
      </c>
      <c r="K107" s="8"/>
    </row>
    <row r="108" ht="15.75" hidden="1" customHeight="1">
      <c r="B108" s="312" t="s">
        <v>800</v>
      </c>
      <c r="D108" s="281" t="s">
        <v>801</v>
      </c>
      <c r="F108" s="268"/>
      <c r="H108" s="293" t="s">
        <v>802</v>
      </c>
      <c r="J108" s="268"/>
      <c r="K108" s="8"/>
    </row>
    <row r="109" ht="15.75" hidden="1" customHeight="1">
      <c r="B109" s="310" t="s">
        <v>69</v>
      </c>
      <c r="D109" s="291" t="s">
        <v>69</v>
      </c>
      <c r="F109" s="291" t="s">
        <v>9</v>
      </c>
      <c r="H109" s="291" t="s">
        <v>274</v>
      </c>
      <c r="J109" s="326" t="s">
        <v>803</v>
      </c>
      <c r="K109" s="8"/>
    </row>
    <row r="110" ht="15.75" hidden="1" customHeight="1">
      <c r="B110" s="310" t="s">
        <v>772</v>
      </c>
      <c r="D110" s="291" t="s">
        <v>772</v>
      </c>
      <c r="F110" s="291" t="s">
        <v>804</v>
      </c>
      <c r="H110" s="291" t="s">
        <v>805</v>
      </c>
      <c r="K110" s="8"/>
    </row>
    <row r="111" ht="15.75" hidden="1" customHeight="1">
      <c r="B111" s="310" t="s">
        <v>776</v>
      </c>
      <c r="D111" s="291" t="s">
        <v>776</v>
      </c>
      <c r="F111" s="291" t="s">
        <v>806</v>
      </c>
      <c r="H111" s="293" t="s">
        <v>807</v>
      </c>
      <c r="K111" s="8"/>
    </row>
    <row r="112" ht="15.75" hidden="1" customHeight="1">
      <c r="B112" s="289"/>
      <c r="C112" s="268"/>
      <c r="D112" s="268"/>
      <c r="F112" s="268"/>
      <c r="H112" s="268"/>
      <c r="K112" s="8"/>
    </row>
    <row r="113" ht="15.75" hidden="1" customHeight="1">
      <c r="B113" s="314" t="s">
        <v>66</v>
      </c>
      <c r="D113" s="295" t="s">
        <v>66</v>
      </c>
      <c r="F113" s="295" t="s">
        <v>18</v>
      </c>
      <c r="H113" s="295" t="s">
        <v>9</v>
      </c>
      <c r="K113" s="8"/>
    </row>
    <row r="114" ht="15.75" hidden="1" customHeight="1">
      <c r="B114" s="314" t="s">
        <v>808</v>
      </c>
      <c r="D114" s="295" t="s">
        <v>809</v>
      </c>
      <c r="F114" s="295" t="s">
        <v>810</v>
      </c>
      <c r="H114" s="295" t="s">
        <v>144</v>
      </c>
      <c r="K114" s="8"/>
    </row>
    <row r="115" ht="15.75" hidden="1" customHeight="1">
      <c r="B115" s="314" t="s">
        <v>811</v>
      </c>
      <c r="D115" s="295" t="s">
        <v>812</v>
      </c>
      <c r="F115" s="295" t="s">
        <v>813</v>
      </c>
      <c r="H115" s="295" t="s">
        <v>773</v>
      </c>
      <c r="K115" s="8"/>
    </row>
    <row r="116" ht="15.75" hidden="1" customHeight="1">
      <c r="B116" s="263"/>
      <c r="C116" s="12"/>
      <c r="D116" s="264" t="s">
        <v>681</v>
      </c>
      <c r="E116" s="12"/>
      <c r="F116" s="12"/>
      <c r="G116" s="12"/>
      <c r="H116" s="12"/>
      <c r="I116" s="12"/>
      <c r="J116" s="264"/>
      <c r="K116" s="13"/>
    </row>
    <row r="117" ht="15.75" hidden="1" customHeight="1">
      <c r="B117" s="297"/>
      <c r="D117" s="298" t="s">
        <v>151</v>
      </c>
      <c r="F117" s="298" t="s">
        <v>78</v>
      </c>
      <c r="H117" s="298" t="s">
        <v>814</v>
      </c>
      <c r="J117" s="298"/>
      <c r="K117" s="8"/>
    </row>
    <row r="118" ht="15.75" hidden="1" customHeight="1">
      <c r="B118" s="297"/>
      <c r="D118" s="327" t="s">
        <v>815</v>
      </c>
      <c r="F118" s="299" t="s">
        <v>816</v>
      </c>
      <c r="H118" s="299" t="s">
        <v>817</v>
      </c>
      <c r="J118" s="298"/>
      <c r="K118" s="8"/>
    </row>
    <row r="119" ht="15.75" hidden="1" customHeight="1">
      <c r="B119" s="312"/>
      <c r="D119" s="300"/>
      <c r="F119" s="277"/>
      <c r="H119" s="300" t="s">
        <v>818</v>
      </c>
      <c r="J119" s="268"/>
      <c r="K119" s="8"/>
    </row>
    <row r="120" ht="15.75" hidden="1" customHeight="1">
      <c r="B120" s="301" t="s">
        <v>39</v>
      </c>
      <c r="D120" s="304" t="s">
        <v>151</v>
      </c>
      <c r="F120" s="305" t="s">
        <v>7</v>
      </c>
      <c r="H120" s="305" t="s">
        <v>166</v>
      </c>
      <c r="J120" s="304" t="s">
        <v>171</v>
      </c>
      <c r="K120" s="8"/>
    </row>
    <row r="121" ht="15.75" hidden="1" customHeight="1">
      <c r="B121" s="301" t="s">
        <v>819</v>
      </c>
      <c r="D121" s="304" t="s">
        <v>820</v>
      </c>
      <c r="F121" s="305" t="s">
        <v>19</v>
      </c>
      <c r="H121" s="305" t="s">
        <v>821</v>
      </c>
      <c r="J121" s="304" t="s">
        <v>822</v>
      </c>
      <c r="K121" s="8"/>
    </row>
    <row r="122" ht="15.75" hidden="1" customHeight="1">
      <c r="B122" s="301" t="s">
        <v>823</v>
      </c>
      <c r="D122" s="304" t="s">
        <v>824</v>
      </c>
      <c r="F122" s="305" t="s">
        <v>825</v>
      </c>
      <c r="H122" s="304"/>
      <c r="J122" s="304">
        <v>2000.0</v>
      </c>
      <c r="K122" s="8"/>
    </row>
    <row r="123" ht="15.75" hidden="1" customHeight="1">
      <c r="B123" s="312" t="s">
        <v>826</v>
      </c>
      <c r="D123" s="319"/>
      <c r="F123" s="320" t="s">
        <v>827</v>
      </c>
      <c r="H123" s="281"/>
      <c r="J123" s="281" t="s">
        <v>78</v>
      </c>
      <c r="K123" s="8"/>
    </row>
    <row r="124" ht="15.75" hidden="1" customHeight="1">
      <c r="B124" s="307"/>
      <c r="C124" s="35"/>
      <c r="D124" s="308"/>
      <c r="E124" s="35"/>
      <c r="F124" s="284"/>
      <c r="G124" s="35"/>
      <c r="H124" s="284"/>
      <c r="I124" s="35"/>
      <c r="J124" s="285" t="s">
        <v>828</v>
      </c>
      <c r="K124" s="37"/>
    </row>
    <row r="125" ht="15.75" hidden="1" customHeight="1">
      <c r="B125" s="268"/>
      <c r="C125" s="268"/>
      <c r="D125" s="286"/>
      <c r="E125" s="286"/>
      <c r="F125" s="268"/>
      <c r="G125" s="268"/>
      <c r="H125" s="268"/>
      <c r="I125" s="268"/>
      <c r="J125" s="268"/>
      <c r="K125" s="268"/>
    </row>
    <row r="126" ht="15.75" hidden="1" customHeight="1">
      <c r="B126" s="38" t="s">
        <v>0</v>
      </c>
      <c r="C126" s="12"/>
      <c r="D126" s="39" t="s">
        <v>1</v>
      </c>
      <c r="E126" s="12"/>
      <c r="F126" s="40" t="s">
        <v>2</v>
      </c>
      <c r="G126" s="12"/>
      <c r="H126" s="40" t="s">
        <v>3</v>
      </c>
      <c r="I126" s="12"/>
      <c r="J126" s="40" t="s">
        <v>4</v>
      </c>
      <c r="K126" s="13"/>
    </row>
    <row r="127" ht="15.75" hidden="1" customHeight="1">
      <c r="B127" s="65">
        <v>23.0</v>
      </c>
      <c r="D127" s="66">
        <v>24.0</v>
      </c>
      <c r="F127" s="66">
        <v>25.0</v>
      </c>
      <c r="H127" s="66">
        <v>26.0</v>
      </c>
      <c r="J127" s="66">
        <v>27.0</v>
      </c>
      <c r="K127" s="8"/>
    </row>
    <row r="128" ht="15.75" hidden="1" customHeight="1">
      <c r="B128" s="9" t="s">
        <v>75</v>
      </c>
      <c r="D128" s="10" t="s">
        <v>75</v>
      </c>
      <c r="F128" s="10" t="s">
        <v>75</v>
      </c>
      <c r="H128" s="10" t="s">
        <v>75</v>
      </c>
      <c r="J128" s="262" t="s">
        <v>75</v>
      </c>
      <c r="K128" s="8"/>
    </row>
    <row r="129" ht="15.75" hidden="1" customHeight="1">
      <c r="B129" s="263"/>
      <c r="C129" s="12"/>
      <c r="D129" s="264" t="s">
        <v>671</v>
      </c>
      <c r="E129" s="12"/>
      <c r="F129" s="12"/>
      <c r="G129" s="12"/>
      <c r="H129" s="12"/>
      <c r="I129" s="12"/>
      <c r="J129" s="264"/>
      <c r="K129" s="13"/>
    </row>
    <row r="130" ht="15.75" hidden="1" customHeight="1">
      <c r="B130" s="328"/>
      <c r="D130" s="328"/>
      <c r="F130" s="288" t="s">
        <v>171</v>
      </c>
      <c r="H130" s="288" t="s">
        <v>171</v>
      </c>
      <c r="J130" s="288" t="s">
        <v>66</v>
      </c>
      <c r="K130" s="8"/>
    </row>
    <row r="131" ht="15.75" hidden="1" customHeight="1">
      <c r="B131" s="328"/>
      <c r="D131" s="328"/>
      <c r="F131" s="288" t="s">
        <v>173</v>
      </c>
      <c r="H131" s="288" t="s">
        <v>173</v>
      </c>
      <c r="J131" s="288" t="s">
        <v>794</v>
      </c>
      <c r="K131" s="8"/>
    </row>
    <row r="132" ht="15.75" hidden="1" customHeight="1">
      <c r="B132" s="328"/>
      <c r="D132" s="328"/>
      <c r="F132" s="288" t="s">
        <v>829</v>
      </c>
      <c r="H132" s="288" t="s">
        <v>829</v>
      </c>
      <c r="J132" s="288" t="s">
        <v>799</v>
      </c>
      <c r="K132" s="8"/>
    </row>
    <row r="133" ht="13.5" hidden="1" customHeight="1">
      <c r="B133" s="267"/>
      <c r="D133" s="265"/>
      <c r="F133" s="268"/>
      <c r="H133" s="268"/>
      <c r="J133" s="268"/>
      <c r="K133" s="8"/>
    </row>
    <row r="134" ht="15.75" hidden="1" customHeight="1">
      <c r="B134" s="267"/>
      <c r="D134" s="265"/>
      <c r="E134" s="265"/>
      <c r="F134" s="329" t="s">
        <v>830</v>
      </c>
      <c r="H134" s="329" t="s">
        <v>831</v>
      </c>
      <c r="J134" s="330"/>
      <c r="K134" s="8"/>
    </row>
    <row r="135" ht="9.0" hidden="1" customHeight="1">
      <c r="B135" s="267"/>
      <c r="D135" s="265"/>
      <c r="E135" s="265"/>
      <c r="F135" s="268"/>
      <c r="G135" s="268"/>
      <c r="H135" s="268"/>
      <c r="I135" s="268"/>
      <c r="J135" s="268"/>
      <c r="K135" s="8"/>
    </row>
    <row r="136" ht="15.75" hidden="1" customHeight="1">
      <c r="B136" s="328"/>
      <c r="D136" s="328"/>
      <c r="F136" s="291" t="s">
        <v>18</v>
      </c>
      <c r="H136" s="291" t="s">
        <v>18</v>
      </c>
      <c r="J136" s="291" t="s">
        <v>18</v>
      </c>
      <c r="K136" s="8"/>
    </row>
    <row r="137" ht="15.75" hidden="1" customHeight="1">
      <c r="B137" s="328"/>
      <c r="D137" s="328"/>
      <c r="F137" s="291" t="s">
        <v>564</v>
      </c>
      <c r="H137" s="291" t="s">
        <v>251</v>
      </c>
      <c r="J137" s="291" t="s">
        <v>251</v>
      </c>
      <c r="K137" s="8"/>
    </row>
    <row r="138" ht="15.75" hidden="1" customHeight="1">
      <c r="B138" s="328"/>
      <c r="D138" s="328"/>
      <c r="F138" s="291" t="s">
        <v>832</v>
      </c>
      <c r="H138" s="291" t="s">
        <v>833</v>
      </c>
      <c r="J138" s="291" t="s">
        <v>833</v>
      </c>
      <c r="K138" s="8"/>
    </row>
    <row r="139" ht="15.75" hidden="1" customHeight="1">
      <c r="B139" s="267"/>
      <c r="C139" s="265"/>
      <c r="D139" s="265"/>
      <c r="F139" s="268"/>
      <c r="H139" s="268"/>
      <c r="J139" s="268"/>
      <c r="K139" s="270"/>
    </row>
    <row r="140" ht="15.75" hidden="1" customHeight="1">
      <c r="B140" s="331"/>
      <c r="D140" s="328"/>
      <c r="F140" s="295" t="s">
        <v>196</v>
      </c>
      <c r="H140" s="295" t="s">
        <v>196</v>
      </c>
      <c r="J140" s="295" t="s">
        <v>196</v>
      </c>
      <c r="K140" s="8"/>
    </row>
    <row r="141" ht="15.75" hidden="1" customHeight="1">
      <c r="B141" s="331"/>
      <c r="D141" s="328"/>
      <c r="F141" s="295" t="s">
        <v>834</v>
      </c>
      <c r="H141" s="295" t="s">
        <v>834</v>
      </c>
      <c r="J141" s="295" t="s">
        <v>835</v>
      </c>
      <c r="K141" s="8"/>
    </row>
    <row r="142" ht="15.75" hidden="1" customHeight="1">
      <c r="B142" s="331"/>
      <c r="D142" s="328"/>
      <c r="F142" s="295" t="s">
        <v>836</v>
      </c>
      <c r="H142" s="295" t="s">
        <v>836</v>
      </c>
      <c r="J142" s="295" t="s">
        <v>836</v>
      </c>
      <c r="K142" s="8"/>
    </row>
    <row r="143" ht="15.75" hidden="1" customHeight="1">
      <c r="B143" s="332"/>
      <c r="C143" s="12"/>
      <c r="D143" s="264" t="s">
        <v>681</v>
      </c>
      <c r="E143" s="12"/>
      <c r="F143" s="12"/>
      <c r="G143" s="12"/>
      <c r="H143" s="12"/>
      <c r="I143" s="12"/>
      <c r="J143" s="333"/>
      <c r="K143" s="13"/>
    </row>
    <row r="144" ht="15.75" hidden="1" customHeight="1">
      <c r="B144" s="334"/>
      <c r="D144" s="328"/>
      <c r="F144" s="274"/>
      <c r="H144" s="298" t="s">
        <v>48</v>
      </c>
      <c r="J144" s="298" t="s">
        <v>8</v>
      </c>
      <c r="K144" s="8"/>
    </row>
    <row r="145" ht="15.75" hidden="1" customHeight="1">
      <c r="B145" s="334"/>
      <c r="D145" s="335"/>
      <c r="F145" s="276"/>
      <c r="H145" s="299" t="s">
        <v>837</v>
      </c>
      <c r="J145" s="298" t="s">
        <v>838</v>
      </c>
      <c r="K145" s="8"/>
    </row>
    <row r="146" ht="15.75" hidden="1" customHeight="1">
      <c r="B146" s="334"/>
      <c r="D146" s="335"/>
      <c r="F146" s="277"/>
      <c r="H146" s="277"/>
      <c r="J146" s="281" t="s">
        <v>839</v>
      </c>
      <c r="K146" s="8"/>
    </row>
    <row r="147" ht="15.75" hidden="1" customHeight="1">
      <c r="B147" s="331"/>
      <c r="D147" s="328"/>
      <c r="F147" s="304" t="s">
        <v>99</v>
      </c>
      <c r="H147" s="305" t="s">
        <v>99</v>
      </c>
      <c r="J147" s="305" t="s">
        <v>69</v>
      </c>
      <c r="K147" s="8"/>
    </row>
    <row r="148" ht="15.75" hidden="1" customHeight="1">
      <c r="B148" s="331"/>
      <c r="D148" s="328"/>
      <c r="F148" s="304" t="s">
        <v>840</v>
      </c>
      <c r="H148" s="305" t="s">
        <v>841</v>
      </c>
      <c r="J148" s="305" t="s">
        <v>588</v>
      </c>
      <c r="K148" s="8"/>
    </row>
    <row r="149" ht="15.75" hidden="1" customHeight="1">
      <c r="B149" s="331"/>
      <c r="D149" s="328"/>
      <c r="F149" s="304" t="s">
        <v>842</v>
      </c>
      <c r="H149" s="305" t="s">
        <v>166</v>
      </c>
      <c r="J149" s="304">
        <v>5000.0</v>
      </c>
      <c r="K149" s="8"/>
    </row>
    <row r="150" ht="15.75" hidden="1" customHeight="1">
      <c r="B150" s="334"/>
      <c r="D150" s="336"/>
      <c r="F150" s="319" t="s">
        <v>843</v>
      </c>
      <c r="H150" s="96" t="s">
        <v>844</v>
      </c>
      <c r="J150" s="281" t="s">
        <v>845</v>
      </c>
      <c r="K150" s="8"/>
    </row>
    <row r="151" ht="15.75" hidden="1" customHeight="1">
      <c r="B151" s="337"/>
      <c r="C151" s="35"/>
      <c r="D151" s="338"/>
      <c r="E151" s="35"/>
      <c r="F151" s="321" t="s">
        <v>846</v>
      </c>
      <c r="G151" s="35"/>
      <c r="H151" s="285"/>
      <c r="I151" s="35"/>
      <c r="J151" s="285"/>
      <c r="K151" s="37"/>
    </row>
    <row r="152" ht="15.75" hidden="1" customHeight="1">
      <c r="B152" s="268"/>
      <c r="C152" s="268"/>
      <c r="D152" s="286"/>
      <c r="E152" s="286"/>
      <c r="F152" s="268"/>
      <c r="G152" s="268"/>
      <c r="H152" s="268"/>
      <c r="I152" s="268"/>
      <c r="J152" s="268"/>
      <c r="K152" s="268"/>
    </row>
    <row r="153" ht="15.75" hidden="1" customHeight="1">
      <c r="B153" s="38" t="s">
        <v>0</v>
      </c>
      <c r="C153" s="12"/>
      <c r="D153" s="39" t="s">
        <v>1</v>
      </c>
      <c r="E153" s="12"/>
      <c r="F153" s="40" t="s">
        <v>2</v>
      </c>
      <c r="G153" s="12"/>
      <c r="H153" s="40" t="s">
        <v>3</v>
      </c>
      <c r="I153" s="12"/>
      <c r="J153" s="40" t="s">
        <v>4</v>
      </c>
      <c r="K153" s="13"/>
    </row>
    <row r="154" ht="15.75" hidden="1" customHeight="1">
      <c r="B154" s="65">
        <v>30.0</v>
      </c>
      <c r="D154" s="66">
        <v>31.0</v>
      </c>
      <c r="F154" s="66">
        <v>1.0</v>
      </c>
      <c r="H154" s="66">
        <v>2.0</v>
      </c>
      <c r="J154" s="66">
        <v>3.0</v>
      </c>
      <c r="K154" s="8"/>
    </row>
    <row r="155" ht="15.75" hidden="1" customHeight="1">
      <c r="B155" s="9" t="s">
        <v>75</v>
      </c>
      <c r="D155" s="10" t="s">
        <v>75</v>
      </c>
      <c r="F155" s="68" t="s">
        <v>209</v>
      </c>
      <c r="H155" s="68" t="s">
        <v>209</v>
      </c>
      <c r="J155" s="339" t="s">
        <v>209</v>
      </c>
      <c r="K155" s="8"/>
    </row>
    <row r="156" ht="15.75" hidden="1" customHeight="1">
      <c r="B156" s="263"/>
      <c r="C156" s="12"/>
      <c r="D156" s="264" t="s">
        <v>671</v>
      </c>
      <c r="E156" s="12"/>
      <c r="F156" s="12"/>
      <c r="G156" s="12"/>
      <c r="H156" s="12"/>
      <c r="I156" s="12"/>
      <c r="J156" s="264"/>
      <c r="K156" s="13"/>
    </row>
    <row r="157" ht="15.75" hidden="1" customHeight="1">
      <c r="B157" s="288" t="s">
        <v>66</v>
      </c>
      <c r="D157" s="288"/>
      <c r="F157" s="288" t="s">
        <v>847</v>
      </c>
      <c r="H157" s="328"/>
      <c r="J157" s="328"/>
      <c r="K157" s="8"/>
    </row>
    <row r="158" ht="15.75" hidden="1" customHeight="1">
      <c r="B158" s="288" t="s">
        <v>848</v>
      </c>
      <c r="D158" s="288"/>
      <c r="F158" s="288" t="s">
        <v>849</v>
      </c>
      <c r="H158" s="328"/>
      <c r="J158" s="328"/>
      <c r="K158" s="8"/>
    </row>
    <row r="159" ht="15.75" hidden="1" customHeight="1">
      <c r="B159" s="288" t="s">
        <v>775</v>
      </c>
      <c r="D159" s="288"/>
      <c r="F159" s="288" t="s">
        <v>850</v>
      </c>
      <c r="H159" s="328"/>
      <c r="J159" s="328"/>
      <c r="K159" s="8"/>
    </row>
    <row r="160" ht="15.75" hidden="1" customHeight="1">
      <c r="B160" s="289"/>
      <c r="D160" s="268"/>
      <c r="F160" s="293" t="s">
        <v>851</v>
      </c>
      <c r="H160" s="265"/>
      <c r="J160" s="265"/>
      <c r="K160" s="8"/>
    </row>
    <row r="161" ht="15.75" hidden="1" customHeight="1">
      <c r="B161" s="310" t="s">
        <v>18</v>
      </c>
      <c r="D161" s="291" t="s">
        <v>210</v>
      </c>
      <c r="F161" s="291" t="s">
        <v>210</v>
      </c>
      <c r="H161" s="328"/>
      <c r="J161" s="328"/>
      <c r="K161" s="8"/>
    </row>
    <row r="162" ht="15.75" hidden="1" customHeight="1">
      <c r="B162" s="310" t="s">
        <v>251</v>
      </c>
      <c r="D162" s="291" t="s">
        <v>852</v>
      </c>
      <c r="F162" s="291" t="s">
        <v>852</v>
      </c>
      <c r="H162" s="328"/>
      <c r="J162" s="328"/>
      <c r="K162" s="8"/>
    </row>
    <row r="163" ht="15.75" hidden="1" customHeight="1">
      <c r="B163" s="310" t="s">
        <v>833</v>
      </c>
      <c r="D163" s="291" t="s">
        <v>712</v>
      </c>
      <c r="F163" s="291" t="s">
        <v>712</v>
      </c>
      <c r="H163" s="328"/>
      <c r="J163" s="328"/>
      <c r="K163" s="8"/>
    </row>
    <row r="164" ht="15.75" hidden="1" customHeight="1">
      <c r="B164" s="289"/>
      <c r="C164" s="268"/>
      <c r="D164" s="268"/>
      <c r="F164" s="268"/>
      <c r="H164" s="265"/>
      <c r="J164" s="265"/>
      <c r="K164" s="340"/>
    </row>
    <row r="165" ht="15.75" hidden="1" customHeight="1">
      <c r="B165" s="314" t="s">
        <v>211</v>
      </c>
      <c r="D165" s="295" t="s">
        <v>211</v>
      </c>
      <c r="F165" s="295" t="s">
        <v>211</v>
      </c>
      <c r="H165" s="328"/>
      <c r="J165" s="328"/>
      <c r="K165" s="8"/>
    </row>
    <row r="166" ht="15.75" hidden="1" customHeight="1">
      <c r="B166" s="314" t="s">
        <v>471</v>
      </c>
      <c r="D166" s="295" t="s">
        <v>853</v>
      </c>
      <c r="F166" s="295" t="s">
        <v>479</v>
      </c>
      <c r="H166" s="328"/>
      <c r="J166" s="328"/>
      <c r="K166" s="8"/>
    </row>
    <row r="167" ht="15.75" hidden="1" customHeight="1">
      <c r="B167" s="314" t="s">
        <v>854</v>
      </c>
      <c r="D167" s="295" t="s">
        <v>855</v>
      </c>
      <c r="F167" s="295" t="s">
        <v>856</v>
      </c>
      <c r="H167" s="328"/>
      <c r="J167" s="328"/>
      <c r="K167" s="8"/>
    </row>
    <row r="168" ht="15.75" hidden="1" customHeight="1">
      <c r="B168" s="263"/>
      <c r="C168" s="12"/>
      <c r="D168" s="264" t="s">
        <v>681</v>
      </c>
      <c r="E168" s="12"/>
      <c r="F168" s="12"/>
      <c r="G168" s="12"/>
      <c r="H168" s="12"/>
      <c r="I168" s="12"/>
      <c r="J168" s="264"/>
      <c r="K168" s="13"/>
    </row>
    <row r="169" ht="15.75" hidden="1" customHeight="1">
      <c r="B169" s="297" t="s">
        <v>66</v>
      </c>
      <c r="D169" s="298" t="s">
        <v>8</v>
      </c>
      <c r="F169" s="298"/>
      <c r="H169" s="265"/>
      <c r="J169" s="265"/>
      <c r="K169" s="8"/>
    </row>
    <row r="170" ht="15.75" hidden="1" customHeight="1">
      <c r="B170" s="297" t="s">
        <v>857</v>
      </c>
      <c r="D170" s="299" t="s">
        <v>838</v>
      </c>
      <c r="F170" s="276"/>
      <c r="H170" s="341"/>
      <c r="J170" s="265"/>
      <c r="K170" s="8"/>
    </row>
    <row r="171" ht="15.75" hidden="1" customHeight="1">
      <c r="B171" s="312"/>
      <c r="D171" s="281" t="s">
        <v>839</v>
      </c>
      <c r="F171" s="277"/>
      <c r="H171" s="341"/>
      <c r="J171" s="265"/>
      <c r="K171" s="8"/>
    </row>
    <row r="172" ht="15.75" hidden="1" customHeight="1">
      <c r="B172" s="301" t="s">
        <v>8</v>
      </c>
      <c r="D172" s="304" t="s">
        <v>25</v>
      </c>
      <c r="F172" s="305" t="s">
        <v>39</v>
      </c>
      <c r="H172" s="336"/>
      <c r="J172" s="328"/>
      <c r="K172" s="8"/>
    </row>
    <row r="173" ht="15.75" hidden="1" customHeight="1">
      <c r="B173" s="301" t="s">
        <v>858</v>
      </c>
      <c r="D173" s="304" t="s">
        <v>859</v>
      </c>
      <c r="F173" s="305" t="s">
        <v>860</v>
      </c>
      <c r="H173" s="336"/>
      <c r="J173" s="328"/>
      <c r="K173" s="8"/>
    </row>
    <row r="174" ht="15.75" hidden="1" customHeight="1">
      <c r="B174" s="301" t="s">
        <v>48</v>
      </c>
      <c r="D174" s="304" t="s">
        <v>861</v>
      </c>
      <c r="F174" s="305" t="s">
        <v>207</v>
      </c>
      <c r="H174" s="328"/>
      <c r="J174" s="265"/>
      <c r="K174" s="8"/>
    </row>
    <row r="175" ht="15.75" hidden="1" customHeight="1">
      <c r="B175" s="312" t="s">
        <v>862</v>
      </c>
      <c r="D175" s="319" t="s">
        <v>863</v>
      </c>
      <c r="F175" s="319" t="s">
        <v>864</v>
      </c>
      <c r="H175" s="265"/>
    </row>
    <row r="176" ht="15.75" hidden="1" customHeight="1">
      <c r="B176" s="307"/>
      <c r="C176" s="35"/>
      <c r="D176" s="321" t="s">
        <v>865</v>
      </c>
      <c r="E176" s="35"/>
      <c r="F176" s="285"/>
      <c r="G176" s="35"/>
      <c r="H176" s="342"/>
      <c r="I176" s="35"/>
      <c r="J176" s="343"/>
      <c r="K176" s="37"/>
    </row>
    <row r="177" ht="15.75" hidden="1" customHeight="1">
      <c r="B177" s="268"/>
      <c r="C177" s="268"/>
      <c r="D177" s="286"/>
      <c r="E177" s="286"/>
      <c r="F177" s="268"/>
      <c r="G177" s="268"/>
      <c r="H177" s="268"/>
      <c r="I177" s="268"/>
      <c r="J177" s="268"/>
      <c r="K177" s="268"/>
    </row>
    <row r="178" ht="15.75" hidden="1" customHeight="1">
      <c r="B178" s="268"/>
      <c r="C178" s="268"/>
      <c r="D178" s="286"/>
      <c r="E178" s="286"/>
      <c r="F178" s="268"/>
      <c r="G178" s="268"/>
      <c r="H178" s="268"/>
      <c r="I178" s="268"/>
      <c r="J178" s="268"/>
      <c r="K178" s="268"/>
    </row>
    <row r="179" ht="15.75" hidden="1" customHeight="1">
      <c r="B179" s="38" t="s">
        <v>0</v>
      </c>
      <c r="C179" s="12"/>
      <c r="D179" s="39" t="s">
        <v>1</v>
      </c>
      <c r="E179" s="12"/>
      <c r="F179" s="40" t="s">
        <v>2</v>
      </c>
      <c r="G179" s="12"/>
      <c r="H179" s="40" t="s">
        <v>3</v>
      </c>
      <c r="I179" s="12"/>
      <c r="J179" s="40" t="s">
        <v>4</v>
      </c>
      <c r="K179" s="13"/>
    </row>
    <row r="180" ht="15.75" hidden="1" customHeight="1">
      <c r="B180" s="65">
        <v>6.0</v>
      </c>
      <c r="D180" s="66">
        <v>7.0</v>
      </c>
      <c r="F180" s="66">
        <v>8.0</v>
      </c>
      <c r="H180" s="66">
        <v>9.0</v>
      </c>
      <c r="J180" s="66">
        <v>10.0</v>
      </c>
      <c r="K180" s="8"/>
    </row>
    <row r="181" ht="15.75" hidden="1" customHeight="1">
      <c r="B181" s="67" t="s">
        <v>209</v>
      </c>
      <c r="D181" s="68" t="s">
        <v>209</v>
      </c>
      <c r="F181" s="68" t="s">
        <v>209</v>
      </c>
      <c r="H181" s="68" t="s">
        <v>209</v>
      </c>
      <c r="J181" s="339" t="s">
        <v>209</v>
      </c>
      <c r="K181" s="8"/>
    </row>
    <row r="182" ht="15.75" hidden="1" customHeight="1">
      <c r="B182" s="263"/>
      <c r="C182" s="12"/>
      <c r="D182" s="264" t="s">
        <v>671</v>
      </c>
      <c r="E182" s="12"/>
      <c r="F182" s="12"/>
      <c r="G182" s="12"/>
      <c r="H182" s="12"/>
      <c r="I182" s="12"/>
      <c r="J182" s="264"/>
      <c r="K182" s="13"/>
    </row>
    <row r="183" ht="15.75" hidden="1" customHeight="1">
      <c r="B183" s="288" t="s">
        <v>38</v>
      </c>
      <c r="D183" s="288" t="s">
        <v>38</v>
      </c>
      <c r="F183" s="288" t="s">
        <v>210</v>
      </c>
      <c r="H183" s="288" t="s">
        <v>40</v>
      </c>
      <c r="J183" s="288" t="s">
        <v>38</v>
      </c>
      <c r="K183" s="8"/>
    </row>
    <row r="184" ht="15.75" hidden="1" customHeight="1">
      <c r="B184" s="288" t="s">
        <v>212</v>
      </c>
      <c r="D184" s="288" t="s">
        <v>212</v>
      </c>
      <c r="F184" s="288" t="s">
        <v>866</v>
      </c>
      <c r="H184" s="288" t="s">
        <v>867</v>
      </c>
      <c r="J184" s="288" t="s">
        <v>412</v>
      </c>
      <c r="K184" s="8"/>
    </row>
    <row r="185" ht="15.75" hidden="1" customHeight="1">
      <c r="B185" s="288" t="s">
        <v>868</v>
      </c>
      <c r="D185" s="288" t="s">
        <v>868</v>
      </c>
      <c r="F185" s="288" t="s">
        <v>869</v>
      </c>
      <c r="H185" s="293" t="s">
        <v>870</v>
      </c>
      <c r="J185" s="288" t="s">
        <v>871</v>
      </c>
      <c r="K185" s="8"/>
    </row>
    <row r="186" ht="15.75" hidden="1" customHeight="1">
      <c r="B186" s="312"/>
      <c r="D186" s="281"/>
      <c r="F186" s="281"/>
      <c r="H186" s="281"/>
      <c r="J186" s="281"/>
      <c r="K186" s="8"/>
    </row>
    <row r="187" ht="15.75" hidden="1" customHeight="1">
      <c r="B187" s="310" t="s">
        <v>211</v>
      </c>
      <c r="D187" s="291" t="s">
        <v>211</v>
      </c>
      <c r="F187" s="291" t="s">
        <v>211</v>
      </c>
      <c r="H187" s="291" t="s">
        <v>211</v>
      </c>
      <c r="J187" s="291" t="s">
        <v>211</v>
      </c>
      <c r="K187" s="8"/>
    </row>
    <row r="188" ht="15.75" hidden="1" customHeight="1">
      <c r="B188" s="310" t="s">
        <v>483</v>
      </c>
      <c r="D188" s="291" t="s">
        <v>483</v>
      </c>
      <c r="F188" s="291" t="s">
        <v>872</v>
      </c>
      <c r="H188" s="291" t="s">
        <v>872</v>
      </c>
      <c r="J188" s="291" t="s">
        <v>872</v>
      </c>
      <c r="K188" s="8"/>
    </row>
    <row r="189" ht="15.75" hidden="1" customHeight="1">
      <c r="B189" s="310" t="s">
        <v>873</v>
      </c>
      <c r="D189" s="291" t="s">
        <v>873</v>
      </c>
      <c r="F189" s="291" t="s">
        <v>874</v>
      </c>
      <c r="H189" s="291" t="s">
        <v>874</v>
      </c>
      <c r="J189" s="291" t="s">
        <v>874</v>
      </c>
      <c r="K189" s="8"/>
    </row>
    <row r="190" ht="15.75" hidden="1" customHeight="1">
      <c r="B190" s="289"/>
      <c r="C190" s="268"/>
      <c r="D190" s="268"/>
      <c r="F190" s="268"/>
      <c r="H190" s="268"/>
      <c r="J190" s="268"/>
      <c r="K190" s="270"/>
    </row>
    <row r="191" ht="15.75" hidden="1" customHeight="1">
      <c r="B191" s="314" t="s">
        <v>9</v>
      </c>
      <c r="D191" s="295" t="s">
        <v>9</v>
      </c>
      <c r="F191" s="295" t="s">
        <v>9</v>
      </c>
      <c r="H191" s="295" t="s">
        <v>9</v>
      </c>
      <c r="J191" s="295" t="s">
        <v>9</v>
      </c>
    </row>
    <row r="192" ht="15.75" hidden="1" customHeight="1">
      <c r="B192" s="314" t="s">
        <v>875</v>
      </c>
      <c r="D192" s="295" t="s">
        <v>875</v>
      </c>
      <c r="F192" s="295" t="s">
        <v>876</v>
      </c>
      <c r="H192" s="295" t="s">
        <v>876</v>
      </c>
      <c r="J192" s="295" t="s">
        <v>876</v>
      </c>
    </row>
    <row r="193" ht="15.75" hidden="1" customHeight="1">
      <c r="B193" s="314" t="s">
        <v>877</v>
      </c>
      <c r="D193" s="295" t="s">
        <v>877</v>
      </c>
      <c r="F193" s="295" t="s">
        <v>878</v>
      </c>
      <c r="H193" s="295" t="s">
        <v>878</v>
      </c>
      <c r="J193" s="295" t="s">
        <v>878</v>
      </c>
    </row>
    <row r="194" ht="15.75" hidden="1" customHeight="1">
      <c r="B194" s="263"/>
      <c r="C194" s="12"/>
      <c r="D194" s="264" t="s">
        <v>681</v>
      </c>
      <c r="E194" s="12"/>
      <c r="F194" s="12"/>
      <c r="G194" s="12"/>
      <c r="H194" s="12"/>
      <c r="I194" s="12"/>
      <c r="J194" s="264"/>
      <c r="K194" s="13"/>
    </row>
    <row r="195" ht="15.75" hidden="1" customHeight="1">
      <c r="B195" s="297"/>
      <c r="D195" s="298"/>
      <c r="F195" s="274"/>
      <c r="H195" s="274"/>
      <c r="J195" s="274"/>
      <c r="K195" s="8"/>
    </row>
    <row r="196" ht="15.75" hidden="1" customHeight="1">
      <c r="B196" s="297"/>
      <c r="D196" s="299"/>
      <c r="F196" s="276"/>
      <c r="H196" s="276"/>
      <c r="J196" s="274"/>
      <c r="K196" s="8"/>
    </row>
    <row r="197" ht="15.75" hidden="1" customHeight="1">
      <c r="B197" s="312"/>
      <c r="D197" s="300"/>
      <c r="F197" s="277"/>
      <c r="H197" s="277"/>
      <c r="J197" s="268"/>
      <c r="K197" s="8"/>
    </row>
    <row r="198" ht="15.75" hidden="1" customHeight="1">
      <c r="B198" s="301" t="s">
        <v>38</v>
      </c>
      <c r="D198" s="304" t="s">
        <v>38</v>
      </c>
      <c r="F198" s="304" t="s">
        <v>38</v>
      </c>
      <c r="H198" s="305" t="s">
        <v>171</v>
      </c>
      <c r="J198" s="305" t="s">
        <v>879</v>
      </c>
    </row>
    <row r="199" ht="15.75" hidden="1" customHeight="1">
      <c r="B199" s="301" t="s">
        <v>880</v>
      </c>
      <c r="D199" s="304" t="s">
        <v>880</v>
      </c>
      <c r="F199" s="304" t="s">
        <v>881</v>
      </c>
      <c r="H199" s="305" t="s">
        <v>240</v>
      </c>
      <c r="J199" s="305" t="s">
        <v>882</v>
      </c>
    </row>
    <row r="200" ht="15.75" hidden="1" customHeight="1">
      <c r="B200" s="301" t="s">
        <v>883</v>
      </c>
      <c r="D200" s="304" t="s">
        <v>883</v>
      </c>
      <c r="F200" s="304" t="s">
        <v>884</v>
      </c>
      <c r="H200" s="304" t="s">
        <v>885</v>
      </c>
      <c r="J200" s="305" t="s">
        <v>886</v>
      </c>
    </row>
    <row r="201" ht="15.75" hidden="1" customHeight="1">
      <c r="B201" s="312"/>
      <c r="D201" s="319" t="s">
        <v>887</v>
      </c>
      <c r="H201" s="268"/>
      <c r="J201" s="281" t="s">
        <v>839</v>
      </c>
      <c r="K201" s="8"/>
    </row>
    <row r="202" ht="15.75" hidden="1" customHeight="1">
      <c r="B202" s="307"/>
      <c r="C202" s="35"/>
      <c r="D202" s="321" t="s">
        <v>495</v>
      </c>
      <c r="E202" s="35"/>
      <c r="F202" s="284"/>
      <c r="G202" s="35"/>
      <c r="H202" s="284"/>
      <c r="I202" s="35"/>
      <c r="J202" s="284"/>
      <c r="K202" s="37"/>
    </row>
    <row r="203" ht="15.75" hidden="1" customHeight="1">
      <c r="B203" s="268"/>
      <c r="C203" s="268"/>
      <c r="D203" s="286"/>
      <c r="E203" s="286"/>
      <c r="F203" s="268"/>
      <c r="G203" s="268"/>
      <c r="H203" s="268"/>
      <c r="I203" s="268"/>
      <c r="J203" s="268"/>
      <c r="K203" s="268"/>
    </row>
    <row r="204" ht="15.75" hidden="1" customHeight="1">
      <c r="B204" s="38" t="s">
        <v>0</v>
      </c>
      <c r="C204" s="12"/>
      <c r="D204" s="39" t="s">
        <v>1</v>
      </c>
      <c r="E204" s="12"/>
      <c r="F204" s="40" t="s">
        <v>2</v>
      </c>
      <c r="G204" s="12"/>
      <c r="H204" s="40" t="s">
        <v>3</v>
      </c>
      <c r="I204" s="12"/>
      <c r="J204" s="40" t="s">
        <v>4</v>
      </c>
      <c r="K204" s="13"/>
    </row>
    <row r="205" ht="15.75" hidden="1" customHeight="1">
      <c r="B205" s="65">
        <v>13.0</v>
      </c>
      <c r="D205" s="66">
        <v>14.0</v>
      </c>
      <c r="F205" s="66">
        <v>15.0</v>
      </c>
      <c r="H205" s="66">
        <v>16.0</v>
      </c>
      <c r="J205" s="66">
        <v>17.0</v>
      </c>
      <c r="K205" s="8"/>
    </row>
    <row r="206" ht="15.75" hidden="1" customHeight="1">
      <c r="B206" s="67" t="s">
        <v>209</v>
      </c>
      <c r="D206" s="68" t="s">
        <v>209</v>
      </c>
      <c r="F206" s="68" t="s">
        <v>209</v>
      </c>
      <c r="H206" s="68" t="s">
        <v>209</v>
      </c>
      <c r="J206" s="339" t="s">
        <v>209</v>
      </c>
      <c r="K206" s="8"/>
    </row>
    <row r="207" ht="15.75" hidden="1" customHeight="1">
      <c r="B207" s="263"/>
      <c r="C207" s="12"/>
      <c r="D207" s="264" t="s">
        <v>671</v>
      </c>
      <c r="E207" s="12"/>
      <c r="F207" s="12"/>
      <c r="G207" s="12"/>
      <c r="H207" s="12"/>
      <c r="I207" s="12"/>
      <c r="J207" s="264"/>
      <c r="K207" s="13"/>
    </row>
    <row r="208" ht="15.75" hidden="1" customHeight="1">
      <c r="B208" s="288" t="s">
        <v>38</v>
      </c>
      <c r="D208" s="288" t="s">
        <v>171</v>
      </c>
      <c r="F208" s="288" t="s">
        <v>38</v>
      </c>
      <c r="H208" s="288" t="s">
        <v>40</v>
      </c>
      <c r="J208" s="288"/>
      <c r="K208" s="8"/>
    </row>
    <row r="209" ht="15.75" hidden="1" customHeight="1">
      <c r="B209" s="288" t="s">
        <v>412</v>
      </c>
      <c r="D209" s="288" t="s">
        <v>888</v>
      </c>
      <c r="F209" s="288" t="s">
        <v>412</v>
      </c>
      <c r="H209" s="288" t="s">
        <v>889</v>
      </c>
      <c r="J209" s="288"/>
      <c r="K209" s="8"/>
    </row>
    <row r="210" ht="15.75" hidden="1" customHeight="1">
      <c r="B210" s="288" t="s">
        <v>871</v>
      </c>
      <c r="D210" s="288" t="s">
        <v>720</v>
      </c>
      <c r="F210" s="288" t="s">
        <v>495</v>
      </c>
      <c r="H210" s="288" t="s">
        <v>890</v>
      </c>
      <c r="J210" s="288"/>
      <c r="K210" s="8"/>
    </row>
    <row r="211" ht="15.75" hidden="1" customHeight="1">
      <c r="B211" s="312"/>
      <c r="D211" s="293" t="s">
        <v>891</v>
      </c>
      <c r="F211" s="281"/>
      <c r="H211" s="281" t="s">
        <v>892</v>
      </c>
      <c r="J211" s="281"/>
      <c r="K211" s="8"/>
    </row>
    <row r="212" ht="15.75" hidden="1" customHeight="1">
      <c r="B212" s="310" t="s">
        <v>211</v>
      </c>
      <c r="D212" s="291" t="s">
        <v>211</v>
      </c>
      <c r="F212" s="291" t="s">
        <v>211</v>
      </c>
      <c r="H212" s="291"/>
      <c r="J212" s="291"/>
      <c r="K212" s="8"/>
    </row>
    <row r="213" ht="15.75" hidden="1" customHeight="1">
      <c r="B213" s="310" t="s">
        <v>872</v>
      </c>
      <c r="D213" s="291" t="s">
        <v>872</v>
      </c>
      <c r="F213" s="291" t="s">
        <v>872</v>
      </c>
      <c r="H213" s="291"/>
      <c r="J213" s="291"/>
      <c r="K213" s="8"/>
    </row>
    <row r="214" ht="15.75" hidden="1" customHeight="1">
      <c r="B214" s="310" t="s">
        <v>874</v>
      </c>
      <c r="D214" s="291" t="s">
        <v>874</v>
      </c>
      <c r="F214" s="291" t="s">
        <v>893</v>
      </c>
      <c r="H214" s="291"/>
      <c r="J214" s="291"/>
      <c r="K214" s="8"/>
    </row>
    <row r="215" ht="15.75" hidden="1" customHeight="1">
      <c r="B215" s="289"/>
      <c r="C215" s="268"/>
      <c r="D215" s="268"/>
      <c r="F215" s="281"/>
      <c r="H215" s="268"/>
      <c r="J215" s="268"/>
      <c r="K215" s="270"/>
    </row>
    <row r="216" ht="15.75" hidden="1" customHeight="1">
      <c r="B216" s="314" t="s">
        <v>9</v>
      </c>
      <c r="D216" s="295" t="s">
        <v>9</v>
      </c>
      <c r="F216" s="295" t="s">
        <v>9</v>
      </c>
      <c r="H216" s="295" t="s">
        <v>9</v>
      </c>
      <c r="J216" s="295" t="s">
        <v>9</v>
      </c>
      <c r="K216" s="8"/>
    </row>
    <row r="217" ht="15.75" hidden="1" customHeight="1">
      <c r="B217" s="314" t="s">
        <v>894</v>
      </c>
      <c r="D217" s="295" t="s">
        <v>894</v>
      </c>
      <c r="F217" s="295" t="s">
        <v>894</v>
      </c>
      <c r="H217" s="295" t="s">
        <v>894</v>
      </c>
      <c r="J217" s="295" t="s">
        <v>894</v>
      </c>
      <c r="K217" s="8"/>
    </row>
    <row r="218" ht="15.75" hidden="1" customHeight="1">
      <c r="B218" s="314" t="s">
        <v>895</v>
      </c>
      <c r="D218" s="295" t="s">
        <v>895</v>
      </c>
      <c r="F218" s="295" t="s">
        <v>896</v>
      </c>
      <c r="H218" s="295" t="s">
        <v>896</v>
      </c>
      <c r="J218" s="295" t="s">
        <v>896</v>
      </c>
      <c r="K218" s="8"/>
    </row>
    <row r="219" ht="15.75" hidden="1" customHeight="1">
      <c r="B219" s="263"/>
      <c r="C219" s="12"/>
      <c r="D219" s="264" t="s">
        <v>681</v>
      </c>
      <c r="E219" s="12"/>
      <c r="F219" s="12"/>
      <c r="G219" s="12"/>
      <c r="H219" s="12"/>
      <c r="I219" s="12"/>
      <c r="J219" s="264"/>
      <c r="K219" s="13"/>
    </row>
    <row r="220" ht="15.75" hidden="1" customHeight="1">
      <c r="B220" s="297"/>
      <c r="D220" s="298"/>
      <c r="F220" s="298" t="s">
        <v>897</v>
      </c>
      <c r="H220" s="298" t="s">
        <v>897</v>
      </c>
      <c r="J220" s="274"/>
      <c r="K220" s="8"/>
    </row>
    <row r="221" ht="15.75" hidden="1" customHeight="1">
      <c r="B221" s="297"/>
      <c r="D221" s="299"/>
      <c r="F221" s="299" t="s">
        <v>898</v>
      </c>
      <c r="H221" s="299" t="s">
        <v>899</v>
      </c>
      <c r="J221" s="274"/>
      <c r="K221" s="8"/>
    </row>
    <row r="222" ht="15.75" hidden="1" customHeight="1">
      <c r="B222" s="312"/>
      <c r="D222" s="300"/>
      <c r="F222" s="277"/>
      <c r="H222" s="277"/>
      <c r="J222" s="268"/>
      <c r="K222" s="8"/>
    </row>
    <row r="223" ht="15.75" hidden="1" customHeight="1">
      <c r="B223" s="301" t="s">
        <v>207</v>
      </c>
      <c r="D223" s="304" t="s">
        <v>171</v>
      </c>
      <c r="F223" s="305" t="s">
        <v>99</v>
      </c>
      <c r="H223" s="305"/>
      <c r="J223" s="305" t="s">
        <v>900</v>
      </c>
    </row>
    <row r="224" ht="15.75" hidden="1" customHeight="1">
      <c r="B224" s="301" t="s">
        <v>901</v>
      </c>
      <c r="D224" s="304" t="s">
        <v>902</v>
      </c>
      <c r="F224" s="305" t="s">
        <v>903</v>
      </c>
      <c r="H224" s="305"/>
      <c r="J224" s="305" t="s">
        <v>904</v>
      </c>
    </row>
    <row r="225" ht="15.75" hidden="1" customHeight="1">
      <c r="B225" s="313" t="s">
        <v>905</v>
      </c>
      <c r="D225" s="304"/>
      <c r="F225" s="305" t="s">
        <v>906</v>
      </c>
      <c r="H225" s="304"/>
      <c r="J225" s="305"/>
    </row>
    <row r="226" ht="15.75" hidden="1" customHeight="1">
      <c r="B226" s="312"/>
      <c r="D226" s="319"/>
      <c r="F226" s="320" t="s">
        <v>907</v>
      </c>
      <c r="H226" s="281"/>
      <c r="J226" s="281"/>
      <c r="K226" s="8"/>
    </row>
    <row r="227" ht="15.75" hidden="1" customHeight="1">
      <c r="B227" s="325"/>
      <c r="C227" s="35"/>
      <c r="D227" s="321"/>
      <c r="E227" s="35"/>
      <c r="F227" s="284"/>
      <c r="G227" s="35"/>
      <c r="H227" s="285"/>
      <c r="I227" s="35"/>
      <c r="J227" s="285"/>
      <c r="K227" s="37"/>
    </row>
    <row r="228" ht="15.75" hidden="1" customHeight="1">
      <c r="B228" s="268"/>
      <c r="C228" s="268"/>
      <c r="D228" s="286"/>
      <c r="E228" s="286"/>
      <c r="F228" s="268"/>
      <c r="G228" s="268"/>
      <c r="H228" s="268"/>
      <c r="I228" s="268"/>
      <c r="J228" s="268"/>
      <c r="K228" s="268"/>
    </row>
    <row r="229" ht="15.75" hidden="1" customHeight="1">
      <c r="B229" s="38" t="s">
        <v>0</v>
      </c>
      <c r="C229" s="12"/>
      <c r="D229" s="39" t="s">
        <v>1</v>
      </c>
      <c r="E229" s="12"/>
      <c r="F229" s="40" t="s">
        <v>2</v>
      </c>
      <c r="G229" s="12"/>
      <c r="H229" s="40" t="s">
        <v>3</v>
      </c>
      <c r="I229" s="12"/>
      <c r="J229" s="40" t="s">
        <v>4</v>
      </c>
      <c r="K229" s="13"/>
    </row>
    <row r="230" ht="15.75" hidden="1" customHeight="1">
      <c r="B230" s="65">
        <v>20.0</v>
      </c>
      <c r="D230" s="66">
        <v>21.0</v>
      </c>
      <c r="F230" s="66">
        <v>22.0</v>
      </c>
      <c r="H230" s="66">
        <v>23.0</v>
      </c>
      <c r="J230" s="66">
        <v>24.0</v>
      </c>
      <c r="K230" s="8"/>
    </row>
    <row r="231" ht="15.75" hidden="1" customHeight="1">
      <c r="B231" s="67" t="s">
        <v>209</v>
      </c>
      <c r="D231" s="68" t="s">
        <v>209</v>
      </c>
      <c r="F231" s="68" t="s">
        <v>209</v>
      </c>
      <c r="H231" s="68" t="s">
        <v>209</v>
      </c>
      <c r="J231" s="339" t="s">
        <v>209</v>
      </c>
      <c r="K231" s="8"/>
    </row>
    <row r="232" ht="15.75" hidden="1" customHeight="1">
      <c r="B232" s="263"/>
      <c r="C232" s="12"/>
      <c r="D232" s="264" t="s">
        <v>671</v>
      </c>
      <c r="E232" s="12"/>
      <c r="F232" s="12"/>
      <c r="G232" s="12"/>
      <c r="H232" s="12"/>
      <c r="I232" s="12"/>
      <c r="J232" s="264"/>
      <c r="K232" s="13"/>
    </row>
    <row r="233" ht="15.75" hidden="1" customHeight="1">
      <c r="B233" s="288" t="s">
        <v>908</v>
      </c>
      <c r="D233" s="288" t="s">
        <v>66</v>
      </c>
      <c r="F233" s="288" t="s">
        <v>40</v>
      </c>
      <c r="H233" s="288" t="s">
        <v>284</v>
      </c>
      <c r="J233" s="288" t="s">
        <v>274</v>
      </c>
      <c r="K233" s="8"/>
    </row>
    <row r="234" ht="15.75" hidden="1" customHeight="1">
      <c r="B234" s="288" t="s">
        <v>295</v>
      </c>
      <c r="D234" s="288" t="s">
        <v>909</v>
      </c>
      <c r="F234" s="288" t="s">
        <v>910</v>
      </c>
      <c r="H234" s="288" t="s">
        <v>286</v>
      </c>
      <c r="J234" s="288" t="s">
        <v>911</v>
      </c>
      <c r="K234" s="8"/>
    </row>
    <row r="235" ht="15.75" hidden="1" customHeight="1">
      <c r="B235" s="288" t="s">
        <v>912</v>
      </c>
      <c r="D235" s="288" t="s">
        <v>695</v>
      </c>
      <c r="F235" s="288" t="s">
        <v>913</v>
      </c>
      <c r="H235" s="288" t="s">
        <v>914</v>
      </c>
      <c r="J235" s="288" t="s">
        <v>915</v>
      </c>
      <c r="K235" s="8"/>
    </row>
    <row r="236" ht="15.75" hidden="1" customHeight="1">
      <c r="B236" s="312"/>
      <c r="D236" s="293" t="s">
        <v>916</v>
      </c>
      <c r="F236" s="293" t="s">
        <v>870</v>
      </c>
      <c r="H236" s="293"/>
      <c r="J236" s="268"/>
      <c r="K236" s="8"/>
    </row>
    <row r="237" ht="15.75" hidden="1" customHeight="1">
      <c r="B237" s="310" t="s">
        <v>211</v>
      </c>
      <c r="D237" s="291" t="s">
        <v>211</v>
      </c>
      <c r="F237" s="291" t="s">
        <v>211</v>
      </c>
      <c r="H237" s="291" t="s">
        <v>211</v>
      </c>
      <c r="J237" s="344"/>
      <c r="K237" s="8"/>
    </row>
    <row r="238" ht="15.75" hidden="1" customHeight="1">
      <c r="B238" s="310" t="s">
        <v>917</v>
      </c>
      <c r="D238" s="291" t="s">
        <v>917</v>
      </c>
      <c r="F238" s="291" t="s">
        <v>917</v>
      </c>
      <c r="H238" s="291" t="s">
        <v>917</v>
      </c>
      <c r="J238" s="344"/>
      <c r="K238" s="8"/>
    </row>
    <row r="239" ht="15.75" hidden="1" customHeight="1">
      <c r="B239" s="310">
        <v>2400.0</v>
      </c>
      <c r="D239" s="291">
        <v>2400.0</v>
      </c>
      <c r="F239" s="291">
        <v>2400.0</v>
      </c>
      <c r="H239" s="291" t="s">
        <v>918</v>
      </c>
      <c r="J239" s="344"/>
      <c r="K239" s="8"/>
    </row>
    <row r="240" ht="15.75" hidden="1" customHeight="1">
      <c r="B240" s="289"/>
      <c r="C240" s="268"/>
      <c r="D240" s="293" t="s">
        <v>916</v>
      </c>
      <c r="F240" s="268"/>
      <c r="H240" s="268"/>
      <c r="J240" s="268"/>
      <c r="K240" s="270"/>
    </row>
    <row r="241" ht="15.75" hidden="1" customHeight="1">
      <c r="B241" s="314" t="s">
        <v>9</v>
      </c>
      <c r="D241" s="295" t="s">
        <v>9</v>
      </c>
      <c r="F241" s="295" t="s">
        <v>9</v>
      </c>
      <c r="H241" s="295" t="s">
        <v>9</v>
      </c>
      <c r="J241" s="295" t="s">
        <v>9</v>
      </c>
      <c r="K241" s="8"/>
    </row>
    <row r="242" ht="15.75" hidden="1" customHeight="1">
      <c r="B242" s="314" t="s">
        <v>919</v>
      </c>
      <c r="D242" s="295" t="s">
        <v>919</v>
      </c>
      <c r="F242" s="295" t="s">
        <v>919</v>
      </c>
      <c r="H242" s="295" t="s">
        <v>919</v>
      </c>
      <c r="J242" s="295" t="s">
        <v>919</v>
      </c>
      <c r="K242" s="8"/>
    </row>
    <row r="243" ht="15.75" hidden="1" customHeight="1">
      <c r="B243" s="314" t="s">
        <v>920</v>
      </c>
      <c r="D243" s="295" t="s">
        <v>920</v>
      </c>
      <c r="F243" s="295" t="s">
        <v>920</v>
      </c>
      <c r="H243" s="295" t="s">
        <v>920</v>
      </c>
      <c r="J243" s="295" t="s">
        <v>920</v>
      </c>
      <c r="K243" s="8"/>
    </row>
    <row r="244" ht="15.75" hidden="1" customHeight="1">
      <c r="B244" s="263"/>
      <c r="C244" s="12"/>
      <c r="D244" s="264" t="s">
        <v>681</v>
      </c>
      <c r="E244" s="12"/>
      <c r="F244" s="12"/>
      <c r="G244" s="12"/>
      <c r="H244" s="12"/>
      <c r="I244" s="12"/>
      <c r="J244" s="264"/>
      <c r="K244" s="13"/>
    </row>
    <row r="245" ht="15.75" hidden="1" customHeight="1">
      <c r="B245" s="297"/>
      <c r="D245" s="298"/>
      <c r="F245" s="274"/>
      <c r="H245" s="274"/>
      <c r="J245" s="274"/>
      <c r="K245" s="8"/>
    </row>
    <row r="246" ht="15.75" hidden="1" customHeight="1">
      <c r="B246" s="297"/>
      <c r="D246" s="299"/>
      <c r="F246" s="276"/>
      <c r="H246" s="276"/>
      <c r="J246" s="274"/>
      <c r="K246" s="8"/>
    </row>
    <row r="247" ht="15.75" hidden="1" customHeight="1">
      <c r="B247" s="312"/>
      <c r="D247" s="345" t="s">
        <v>916</v>
      </c>
      <c r="F247" s="277"/>
      <c r="H247" s="277"/>
      <c r="J247" s="268"/>
      <c r="K247" s="8"/>
    </row>
    <row r="248" ht="15.75" hidden="1" customHeight="1">
      <c r="B248" s="301" t="s">
        <v>39</v>
      </c>
      <c r="D248" s="304" t="s">
        <v>275</v>
      </c>
      <c r="F248" s="305" t="s">
        <v>288</v>
      </c>
      <c r="H248" s="305" t="s">
        <v>313</v>
      </c>
      <c r="J248" s="305" t="s">
        <v>99</v>
      </c>
    </row>
    <row r="249" ht="15.75" hidden="1" customHeight="1">
      <c r="B249" s="301" t="s">
        <v>921</v>
      </c>
      <c r="D249" s="304" t="s">
        <v>922</v>
      </c>
      <c r="F249" s="305" t="s">
        <v>604</v>
      </c>
      <c r="H249" s="305" t="s">
        <v>923</v>
      </c>
      <c r="J249" s="305" t="s">
        <v>924</v>
      </c>
    </row>
    <row r="250" ht="15.75" hidden="1" customHeight="1">
      <c r="B250" s="301" t="s">
        <v>925</v>
      </c>
      <c r="D250" s="304" t="s">
        <v>40</v>
      </c>
      <c r="F250" s="305" t="s">
        <v>926</v>
      </c>
      <c r="H250" s="304" t="s">
        <v>7</v>
      </c>
      <c r="J250" s="305" t="s">
        <v>903</v>
      </c>
    </row>
    <row r="251" ht="15.75" hidden="1" customHeight="1">
      <c r="B251" s="312" t="s">
        <v>927</v>
      </c>
      <c r="D251" s="319" t="s">
        <v>928</v>
      </c>
      <c r="F251" s="320"/>
      <c r="H251" s="281" t="s">
        <v>929</v>
      </c>
      <c r="J251" s="281" t="s">
        <v>842</v>
      </c>
      <c r="K251" s="8"/>
    </row>
    <row r="252" ht="15.75" hidden="1" customHeight="1">
      <c r="B252" s="307"/>
      <c r="C252" s="35"/>
      <c r="D252" s="321" t="s">
        <v>930</v>
      </c>
      <c r="E252" s="35"/>
      <c r="F252" s="284"/>
      <c r="G252" s="35"/>
      <c r="H252" s="285"/>
      <c r="I252" s="35"/>
      <c r="J252" s="285" t="s">
        <v>906</v>
      </c>
      <c r="K252" s="37"/>
    </row>
    <row r="253" ht="15.75" hidden="1" customHeight="1">
      <c r="B253" s="268"/>
      <c r="C253" s="268"/>
      <c r="D253" s="286"/>
      <c r="E253" s="286"/>
      <c r="F253" s="268"/>
      <c r="G253" s="268"/>
      <c r="H253" s="268"/>
      <c r="I253" s="268"/>
      <c r="J253" s="268"/>
      <c r="K253" s="268"/>
    </row>
    <row r="254" ht="15.75" hidden="1" customHeight="1">
      <c r="B254" s="38" t="s">
        <v>0</v>
      </c>
      <c r="C254" s="12"/>
      <c r="D254" s="39" t="s">
        <v>1</v>
      </c>
      <c r="E254" s="12"/>
      <c r="F254" s="40" t="s">
        <v>2</v>
      </c>
      <c r="G254" s="12"/>
      <c r="H254" s="40" t="s">
        <v>3</v>
      </c>
      <c r="I254" s="12"/>
      <c r="J254" s="40" t="s">
        <v>4</v>
      </c>
      <c r="K254" s="13"/>
    </row>
    <row r="255" ht="15.75" hidden="1" customHeight="1">
      <c r="B255" s="65">
        <v>27.0</v>
      </c>
      <c r="D255" s="66">
        <v>28.0</v>
      </c>
      <c r="F255" s="66">
        <v>29.0</v>
      </c>
      <c r="H255" s="66">
        <v>30.0</v>
      </c>
      <c r="J255" s="66">
        <v>1.0</v>
      </c>
      <c r="K255" s="8"/>
    </row>
    <row r="256" ht="15.75" hidden="1" customHeight="1">
      <c r="B256" s="67" t="s">
        <v>209</v>
      </c>
      <c r="D256" s="68" t="s">
        <v>209</v>
      </c>
      <c r="F256" s="68" t="s">
        <v>209</v>
      </c>
      <c r="H256" s="68" t="s">
        <v>209</v>
      </c>
      <c r="J256" s="339" t="s">
        <v>339</v>
      </c>
      <c r="K256" s="8"/>
    </row>
    <row r="257" ht="15.75" hidden="1" customHeight="1">
      <c r="B257" s="263"/>
      <c r="C257" s="12"/>
      <c r="D257" s="264" t="s">
        <v>671</v>
      </c>
      <c r="E257" s="12"/>
      <c r="F257" s="12"/>
      <c r="G257" s="12"/>
      <c r="H257" s="12"/>
      <c r="I257" s="12"/>
      <c r="J257" s="264"/>
      <c r="K257" s="13"/>
    </row>
    <row r="258" ht="15.75" hidden="1" customHeight="1">
      <c r="B258" s="288" t="s">
        <v>40</v>
      </c>
      <c r="D258" s="288" t="s">
        <v>9</v>
      </c>
      <c r="F258" s="288" t="s">
        <v>9</v>
      </c>
      <c r="H258" s="288" t="s">
        <v>9</v>
      </c>
      <c r="J258" s="328"/>
      <c r="K258" s="8"/>
    </row>
    <row r="259" ht="15.75" hidden="1" customHeight="1">
      <c r="B259" s="288" t="s">
        <v>931</v>
      </c>
      <c r="D259" s="288" t="s">
        <v>932</v>
      </c>
      <c r="F259" s="288" t="s">
        <v>933</v>
      </c>
      <c r="H259" s="288" t="s">
        <v>495</v>
      </c>
      <c r="J259" s="328"/>
      <c r="K259" s="8"/>
    </row>
    <row r="260" ht="15.75" hidden="1" customHeight="1">
      <c r="B260" s="288" t="s">
        <v>934</v>
      </c>
      <c r="D260" s="288" t="s">
        <v>773</v>
      </c>
      <c r="F260" s="288" t="s">
        <v>935</v>
      </c>
      <c r="H260" s="288"/>
      <c r="J260" s="328"/>
      <c r="K260" s="8"/>
    </row>
    <row r="261" ht="15.75" hidden="1" customHeight="1">
      <c r="B261" s="312" t="s">
        <v>936</v>
      </c>
      <c r="D261" s="281"/>
      <c r="F261" s="281"/>
      <c r="H261" s="281"/>
      <c r="J261" s="265"/>
      <c r="K261" s="8"/>
    </row>
    <row r="262" ht="15.75" hidden="1" customHeight="1">
      <c r="B262" s="310" t="s">
        <v>211</v>
      </c>
      <c r="D262" s="346"/>
      <c r="F262" s="291" t="s">
        <v>9</v>
      </c>
      <c r="H262" s="346"/>
      <c r="J262" s="328"/>
      <c r="K262" s="8"/>
    </row>
    <row r="263" ht="15.75" hidden="1" customHeight="1">
      <c r="B263" s="310" t="s">
        <v>937</v>
      </c>
      <c r="D263" s="346"/>
      <c r="F263" s="291" t="s">
        <v>938</v>
      </c>
      <c r="H263" s="346"/>
      <c r="J263" s="328"/>
      <c r="K263" s="8"/>
    </row>
    <row r="264" ht="15.75" hidden="1" customHeight="1">
      <c r="B264" s="310" t="s">
        <v>939</v>
      </c>
      <c r="D264" s="346"/>
      <c r="F264" s="293" t="s">
        <v>940</v>
      </c>
      <c r="H264" s="346"/>
      <c r="J264" s="328"/>
      <c r="K264" s="8"/>
    </row>
    <row r="265" ht="15.75" hidden="1" customHeight="1">
      <c r="B265" s="312" t="s">
        <v>941</v>
      </c>
      <c r="D265" s="268"/>
      <c r="F265" s="347" t="s">
        <v>942</v>
      </c>
      <c r="H265" s="268"/>
      <c r="J265" s="265"/>
      <c r="K265" s="340"/>
    </row>
    <row r="266" ht="15.75" hidden="1" customHeight="1">
      <c r="B266" s="314" t="s">
        <v>9</v>
      </c>
      <c r="D266" s="295" t="s">
        <v>9</v>
      </c>
      <c r="F266" s="295" t="s">
        <v>9</v>
      </c>
      <c r="H266" s="295" t="s">
        <v>9</v>
      </c>
      <c r="J266" s="328"/>
      <c r="K266" s="8"/>
    </row>
    <row r="267" ht="15.75" hidden="1" customHeight="1">
      <c r="B267" s="314" t="s">
        <v>919</v>
      </c>
      <c r="D267" s="295" t="s">
        <v>919</v>
      </c>
      <c r="F267" s="295" t="s">
        <v>919</v>
      </c>
      <c r="H267" s="295" t="s">
        <v>919</v>
      </c>
      <c r="J267" s="328"/>
      <c r="K267" s="8"/>
    </row>
    <row r="268" ht="15.75" hidden="1" customHeight="1">
      <c r="B268" s="314" t="s">
        <v>943</v>
      </c>
      <c r="D268" s="295" t="s">
        <v>943</v>
      </c>
      <c r="F268" s="295" t="s">
        <v>943</v>
      </c>
      <c r="H268" s="295" t="s">
        <v>943</v>
      </c>
      <c r="J268" s="328"/>
      <c r="K268" s="8"/>
    </row>
    <row r="269" ht="15.75" hidden="1" customHeight="1">
      <c r="B269" s="263"/>
      <c r="C269" s="12"/>
      <c r="D269" s="264" t="s">
        <v>681</v>
      </c>
      <c r="E269" s="12"/>
      <c r="F269" s="12"/>
      <c r="G269" s="12"/>
      <c r="H269" s="12"/>
      <c r="I269" s="12"/>
      <c r="J269" s="348"/>
      <c r="K269" s="13"/>
    </row>
    <row r="270" ht="15.75" hidden="1" customHeight="1">
      <c r="B270" s="297" t="s">
        <v>9</v>
      </c>
      <c r="D270" s="298" t="s">
        <v>9</v>
      </c>
      <c r="F270" s="298" t="s">
        <v>9</v>
      </c>
      <c r="H270" s="298" t="s">
        <v>40</v>
      </c>
      <c r="J270" s="265"/>
      <c r="K270" s="8"/>
    </row>
    <row r="271" ht="15.75" hidden="1" customHeight="1">
      <c r="B271" s="297" t="s">
        <v>944</v>
      </c>
      <c r="D271" s="299" t="s">
        <v>944</v>
      </c>
      <c r="F271" s="299" t="s">
        <v>944</v>
      </c>
      <c r="H271" s="299" t="s">
        <v>945</v>
      </c>
      <c r="J271" s="265"/>
      <c r="K271" s="8"/>
    </row>
    <row r="272" ht="15.75" hidden="1" customHeight="1">
      <c r="B272" s="312" t="s">
        <v>946</v>
      </c>
      <c r="D272" s="300" t="s">
        <v>946</v>
      </c>
      <c r="F272" s="300" t="s">
        <v>946</v>
      </c>
      <c r="H272" s="277"/>
      <c r="J272" s="265"/>
      <c r="K272" s="8"/>
    </row>
    <row r="273" ht="15.75" hidden="1" customHeight="1">
      <c r="B273" s="301" t="s">
        <v>99</v>
      </c>
      <c r="D273" s="304" t="s">
        <v>313</v>
      </c>
      <c r="F273" s="305" t="s">
        <v>205</v>
      </c>
      <c r="H273" s="305" t="s">
        <v>205</v>
      </c>
      <c r="J273" s="336"/>
    </row>
    <row r="274" ht="15.75" hidden="1" customHeight="1">
      <c r="B274" s="301" t="s">
        <v>947</v>
      </c>
      <c r="D274" s="304" t="s">
        <v>948</v>
      </c>
      <c r="F274" s="305" t="s">
        <v>949</v>
      </c>
      <c r="H274" s="305" t="s">
        <v>950</v>
      </c>
      <c r="J274" s="336"/>
    </row>
    <row r="275" ht="15.75" hidden="1" customHeight="1">
      <c r="B275" s="301" t="s">
        <v>929</v>
      </c>
      <c r="D275" s="304" t="s">
        <v>951</v>
      </c>
      <c r="F275" s="305" t="s">
        <v>78</v>
      </c>
      <c r="H275" s="304" t="s">
        <v>952</v>
      </c>
      <c r="J275" s="336"/>
    </row>
    <row r="276" ht="15.75" hidden="1" customHeight="1">
      <c r="B276" s="312" t="s">
        <v>953</v>
      </c>
      <c r="D276" s="319"/>
      <c r="F276" s="320" t="s">
        <v>954</v>
      </c>
      <c r="H276" s="281" t="s">
        <v>955</v>
      </c>
      <c r="J276" s="265"/>
      <c r="K276" s="8"/>
    </row>
    <row r="277" ht="15.75" hidden="1" customHeight="1">
      <c r="B277" s="325"/>
      <c r="C277" s="35"/>
      <c r="D277" s="349"/>
      <c r="E277" s="35"/>
      <c r="F277" s="284"/>
      <c r="G277" s="35"/>
      <c r="H277" s="284"/>
      <c r="I277" s="35"/>
      <c r="J277" s="343"/>
      <c r="K277" s="37"/>
    </row>
    <row r="278" ht="15.75" hidden="1" customHeight="1">
      <c r="B278" s="268"/>
      <c r="C278" s="268"/>
      <c r="D278" s="319"/>
      <c r="E278" s="319"/>
      <c r="F278" s="268"/>
      <c r="G278" s="268"/>
      <c r="H278" s="268"/>
      <c r="I278" s="268"/>
      <c r="J278" s="268"/>
      <c r="K278" s="268"/>
    </row>
    <row r="279" ht="15.75" hidden="1" customHeight="1">
      <c r="B279" s="38" t="s">
        <v>0</v>
      </c>
      <c r="C279" s="12"/>
      <c r="D279" s="39" t="s">
        <v>1</v>
      </c>
      <c r="E279" s="12"/>
      <c r="F279" s="40" t="s">
        <v>2</v>
      </c>
      <c r="G279" s="12"/>
      <c r="H279" s="40" t="s">
        <v>3</v>
      </c>
      <c r="I279" s="12"/>
      <c r="J279" s="40" t="s">
        <v>4</v>
      </c>
      <c r="K279" s="13"/>
    </row>
    <row r="280" ht="15.75" hidden="1" customHeight="1">
      <c r="B280" s="65">
        <v>4.0</v>
      </c>
      <c r="D280" s="66">
        <v>5.0</v>
      </c>
      <c r="F280" s="66">
        <v>6.0</v>
      </c>
      <c r="H280" s="66">
        <v>7.0</v>
      </c>
      <c r="J280" s="66">
        <v>8.0</v>
      </c>
      <c r="K280" s="8"/>
    </row>
    <row r="281" ht="15.75" hidden="1" customHeight="1">
      <c r="B281" s="67" t="s">
        <v>339</v>
      </c>
      <c r="D281" s="68" t="s">
        <v>339</v>
      </c>
      <c r="F281" s="68" t="s">
        <v>339</v>
      </c>
      <c r="H281" s="68" t="s">
        <v>339</v>
      </c>
      <c r="J281" s="339" t="s">
        <v>339</v>
      </c>
      <c r="K281" s="8"/>
    </row>
    <row r="282" ht="15.75" hidden="1" customHeight="1">
      <c r="B282" s="263"/>
      <c r="C282" s="12"/>
      <c r="D282" s="264" t="s">
        <v>671</v>
      </c>
      <c r="E282" s="12"/>
      <c r="F282" s="12"/>
      <c r="G282" s="12"/>
      <c r="H282" s="12"/>
      <c r="I282" s="12"/>
      <c r="J282" s="264"/>
      <c r="K282" s="13"/>
    </row>
    <row r="283" ht="15.75" hidden="1" customHeight="1">
      <c r="B283" s="288" t="s">
        <v>76</v>
      </c>
      <c r="D283" s="288" t="s">
        <v>76</v>
      </c>
      <c r="F283" s="288" t="s">
        <v>99</v>
      </c>
      <c r="H283" s="288" t="s">
        <v>38</v>
      </c>
      <c r="J283" s="288" t="s">
        <v>38</v>
      </c>
      <c r="K283" s="8"/>
    </row>
    <row r="284" ht="15.75" hidden="1" customHeight="1">
      <c r="B284" s="288" t="s">
        <v>956</v>
      </c>
      <c r="D284" s="288" t="s">
        <v>99</v>
      </c>
      <c r="F284" s="288" t="s">
        <v>957</v>
      </c>
      <c r="H284" s="288" t="s">
        <v>958</v>
      </c>
      <c r="J284" s="288" t="s">
        <v>412</v>
      </c>
      <c r="K284" s="8"/>
    </row>
    <row r="285" ht="15.75" hidden="1" customHeight="1">
      <c r="B285" s="288" t="s">
        <v>959</v>
      </c>
      <c r="D285" s="288" t="s">
        <v>957</v>
      </c>
      <c r="F285" s="288"/>
      <c r="H285" s="288" t="s">
        <v>960</v>
      </c>
      <c r="J285" s="288" t="s">
        <v>961</v>
      </c>
      <c r="K285" s="8"/>
    </row>
    <row r="286" ht="15.75" hidden="1" customHeight="1">
      <c r="B286" s="312"/>
      <c r="D286" s="281"/>
      <c r="F286" s="281"/>
      <c r="H286" s="281"/>
      <c r="J286" s="281" t="s">
        <v>962</v>
      </c>
      <c r="K286" s="8"/>
    </row>
    <row r="287" ht="15.75" hidden="1" customHeight="1">
      <c r="B287" s="310" t="s">
        <v>9</v>
      </c>
      <c r="D287" s="291" t="s">
        <v>963</v>
      </c>
      <c r="F287" s="291" t="s">
        <v>360</v>
      </c>
      <c r="H287" s="291" t="s">
        <v>40</v>
      </c>
      <c r="J287" s="291" t="s">
        <v>69</v>
      </c>
      <c r="K287" s="8"/>
    </row>
    <row r="288" ht="15.75" hidden="1" customHeight="1">
      <c r="B288" s="310" t="s">
        <v>964</v>
      </c>
      <c r="D288" s="291" t="s">
        <v>965</v>
      </c>
      <c r="F288" s="291" t="s">
        <v>835</v>
      </c>
      <c r="H288" s="291" t="s">
        <v>966</v>
      </c>
      <c r="J288" s="291" t="s">
        <v>967</v>
      </c>
      <c r="K288" s="8"/>
    </row>
    <row r="289" ht="15.75" hidden="1" customHeight="1">
      <c r="B289" s="310" t="s">
        <v>968</v>
      </c>
      <c r="D289" s="291" t="s">
        <v>969</v>
      </c>
      <c r="F289" s="291" t="s">
        <v>970</v>
      </c>
      <c r="H289" s="291" t="s">
        <v>971</v>
      </c>
      <c r="J289" s="291" t="s">
        <v>972</v>
      </c>
      <c r="K289" s="8"/>
    </row>
    <row r="290" ht="15.75" hidden="1" customHeight="1">
      <c r="B290" s="289"/>
      <c r="D290" s="268"/>
      <c r="F290" s="268"/>
      <c r="H290" s="268"/>
      <c r="J290" s="268"/>
      <c r="K290" s="270"/>
    </row>
    <row r="291" ht="15.75" hidden="1" customHeight="1">
      <c r="B291" s="331"/>
      <c r="D291" s="295" t="s">
        <v>9</v>
      </c>
      <c r="F291" s="295" t="s">
        <v>9</v>
      </c>
      <c r="H291" s="295" t="s">
        <v>9</v>
      </c>
      <c r="J291" s="295" t="s">
        <v>9</v>
      </c>
      <c r="K291" s="8"/>
    </row>
    <row r="292" ht="15.75" hidden="1" customHeight="1">
      <c r="B292" s="331"/>
      <c r="D292" s="295" t="s">
        <v>279</v>
      </c>
      <c r="F292" s="295" t="s">
        <v>279</v>
      </c>
      <c r="H292" s="295" t="s">
        <v>973</v>
      </c>
      <c r="J292" s="295" t="s">
        <v>973</v>
      </c>
      <c r="K292" s="8"/>
    </row>
    <row r="293" ht="15.75" hidden="1" customHeight="1">
      <c r="B293" s="331"/>
      <c r="D293" s="295" t="s">
        <v>974</v>
      </c>
      <c r="F293" s="295" t="s">
        <v>974</v>
      </c>
      <c r="H293" s="295" t="s">
        <v>975</v>
      </c>
      <c r="J293" s="295" t="s">
        <v>975</v>
      </c>
      <c r="K293" s="8"/>
    </row>
    <row r="294" ht="15.75" hidden="1" customHeight="1">
      <c r="B294" s="263"/>
      <c r="C294" s="12"/>
      <c r="D294" s="264" t="s">
        <v>681</v>
      </c>
      <c r="E294" s="12"/>
      <c r="F294" s="12"/>
      <c r="G294" s="12"/>
      <c r="H294" s="12"/>
      <c r="I294" s="12"/>
      <c r="J294" s="264"/>
      <c r="K294" s="13"/>
    </row>
    <row r="295" ht="15.75" hidden="1" customHeight="1">
      <c r="B295" s="297" t="s">
        <v>312</v>
      </c>
      <c r="D295" s="298"/>
      <c r="F295" s="274"/>
      <c r="H295" s="274"/>
      <c r="J295" s="274"/>
      <c r="K295" s="8"/>
    </row>
    <row r="296" ht="15.75" hidden="1" customHeight="1">
      <c r="B296" s="297" t="s">
        <v>976</v>
      </c>
      <c r="D296" s="299"/>
      <c r="F296" s="276"/>
      <c r="H296" s="276"/>
      <c r="J296" s="274"/>
      <c r="K296" s="8"/>
    </row>
    <row r="297" ht="15.75" hidden="1" customHeight="1">
      <c r="B297" s="312"/>
      <c r="D297" s="300"/>
      <c r="F297" s="277"/>
      <c r="H297" s="277"/>
      <c r="J297" s="268"/>
      <c r="K297" s="8"/>
    </row>
    <row r="298" ht="15.75" hidden="1" customHeight="1">
      <c r="B298" s="301" t="s">
        <v>977</v>
      </c>
      <c r="D298" s="304" t="s">
        <v>205</v>
      </c>
      <c r="F298" s="305" t="s">
        <v>205</v>
      </c>
      <c r="H298" s="305" t="s">
        <v>978</v>
      </c>
      <c r="J298" s="305" t="s">
        <v>38</v>
      </c>
    </row>
    <row r="299" ht="15.75" hidden="1" customHeight="1">
      <c r="B299" s="301" t="s">
        <v>717</v>
      </c>
      <c r="D299" s="304" t="s">
        <v>979</v>
      </c>
      <c r="F299" s="305" t="s">
        <v>980</v>
      </c>
      <c r="H299" s="305" t="s">
        <v>900</v>
      </c>
      <c r="J299" s="305" t="s">
        <v>981</v>
      </c>
    </row>
    <row r="300" ht="15.75" hidden="1" customHeight="1">
      <c r="B300" s="301" t="s">
        <v>982</v>
      </c>
      <c r="D300" s="304" t="s">
        <v>983</v>
      </c>
      <c r="F300" s="305" t="s">
        <v>984</v>
      </c>
      <c r="H300" s="304" t="s">
        <v>985</v>
      </c>
      <c r="J300" s="305" t="s">
        <v>986</v>
      </c>
    </row>
    <row r="301" ht="15.75" hidden="1" customHeight="1">
      <c r="B301" s="312" t="s">
        <v>987</v>
      </c>
      <c r="D301" s="319" t="s">
        <v>988</v>
      </c>
      <c r="F301" s="320" t="s">
        <v>989</v>
      </c>
      <c r="H301" s="281" t="s">
        <v>990</v>
      </c>
      <c r="J301" s="293" t="s">
        <v>991</v>
      </c>
      <c r="K301" s="8"/>
    </row>
    <row r="302" ht="15.75" hidden="1" customHeight="1">
      <c r="B302" s="307"/>
      <c r="C302" s="35"/>
      <c r="D302" s="321" t="s">
        <v>992</v>
      </c>
      <c r="E302" s="35"/>
      <c r="F302" s="285" t="s">
        <v>993</v>
      </c>
      <c r="G302" s="35"/>
      <c r="H302" s="350" t="s">
        <v>994</v>
      </c>
      <c r="I302" s="35"/>
      <c r="J302" s="285"/>
      <c r="K302" s="37"/>
    </row>
    <row r="303" ht="15.75" hidden="1" customHeight="1">
      <c r="B303" s="268"/>
      <c r="C303" s="268"/>
      <c r="D303" s="319"/>
      <c r="E303" s="319"/>
      <c r="F303" s="268"/>
      <c r="G303" s="268"/>
      <c r="H303" s="268"/>
      <c r="I303" s="268"/>
      <c r="J303" s="268"/>
      <c r="K303" s="268"/>
    </row>
    <row r="304" ht="15.75" hidden="1" customHeight="1">
      <c r="B304" s="38" t="s">
        <v>0</v>
      </c>
      <c r="C304" s="12"/>
      <c r="D304" s="39" t="s">
        <v>1</v>
      </c>
      <c r="E304" s="12"/>
      <c r="F304" s="40" t="s">
        <v>2</v>
      </c>
      <c r="G304" s="12"/>
      <c r="H304" s="40" t="s">
        <v>3</v>
      </c>
      <c r="I304" s="12"/>
      <c r="J304" s="40" t="s">
        <v>4</v>
      </c>
      <c r="K304" s="13"/>
    </row>
    <row r="305" ht="15.75" hidden="1" customHeight="1">
      <c r="B305" s="65">
        <v>11.0</v>
      </c>
      <c r="D305" s="66">
        <v>12.0</v>
      </c>
      <c r="F305" s="66">
        <v>13.0</v>
      </c>
      <c r="H305" s="66">
        <v>14.0</v>
      </c>
      <c r="J305" s="66">
        <v>15.0</v>
      </c>
      <c r="K305" s="8"/>
    </row>
    <row r="306" ht="15.75" hidden="1" customHeight="1">
      <c r="B306" s="67" t="s">
        <v>339</v>
      </c>
      <c r="D306" s="68" t="s">
        <v>339</v>
      </c>
      <c r="F306" s="68" t="s">
        <v>339</v>
      </c>
      <c r="H306" s="68" t="s">
        <v>339</v>
      </c>
      <c r="J306" s="339" t="s">
        <v>339</v>
      </c>
      <c r="K306" s="8"/>
    </row>
    <row r="307" ht="15.75" hidden="1" customHeight="1">
      <c r="B307" s="263"/>
      <c r="C307" s="12"/>
      <c r="D307" s="264" t="s">
        <v>671</v>
      </c>
      <c r="E307" s="12"/>
      <c r="F307" s="12"/>
      <c r="G307" s="12"/>
      <c r="H307" s="12"/>
      <c r="I307" s="12"/>
      <c r="J307" s="264"/>
      <c r="K307" s="13"/>
    </row>
    <row r="308" ht="15.75" hidden="1" customHeight="1">
      <c r="B308" s="288" t="s">
        <v>38</v>
      </c>
      <c r="D308" s="288" t="s">
        <v>40</v>
      </c>
      <c r="F308" s="288" t="s">
        <v>40</v>
      </c>
      <c r="H308" s="288" t="s">
        <v>40</v>
      </c>
      <c r="J308" s="288" t="s">
        <v>40</v>
      </c>
    </row>
    <row r="309" ht="15.75" hidden="1" customHeight="1">
      <c r="B309" s="288" t="s">
        <v>42</v>
      </c>
      <c r="D309" s="288" t="s">
        <v>995</v>
      </c>
      <c r="F309" s="288" t="s">
        <v>996</v>
      </c>
      <c r="H309" s="288" t="s">
        <v>997</v>
      </c>
      <c r="J309" s="288" t="s">
        <v>998</v>
      </c>
    </row>
    <row r="310" ht="15.75" hidden="1" customHeight="1">
      <c r="B310" s="288" t="s">
        <v>999</v>
      </c>
      <c r="D310" s="288" t="s">
        <v>1000</v>
      </c>
      <c r="F310" s="288" t="s">
        <v>1001</v>
      </c>
      <c r="H310" s="288" t="s">
        <v>1002</v>
      </c>
      <c r="J310" s="288" t="s">
        <v>1003</v>
      </c>
    </row>
    <row r="311" ht="15.75" hidden="1" customHeight="1">
      <c r="B311" s="312"/>
      <c r="D311" s="281" t="s">
        <v>1004</v>
      </c>
      <c r="F311" s="281" t="s">
        <v>1004</v>
      </c>
      <c r="H311" s="281" t="s">
        <v>1005</v>
      </c>
      <c r="J311" s="281" t="s">
        <v>1006</v>
      </c>
      <c r="K311" s="8"/>
    </row>
    <row r="312" ht="15.75" hidden="1" customHeight="1">
      <c r="B312" s="310" t="s">
        <v>69</v>
      </c>
      <c r="D312" s="291" t="s">
        <v>38</v>
      </c>
      <c r="F312" s="291" t="s">
        <v>38</v>
      </c>
      <c r="H312" s="291" t="s">
        <v>38</v>
      </c>
      <c r="J312" s="291" t="s">
        <v>69</v>
      </c>
      <c r="K312" s="8"/>
    </row>
    <row r="313" ht="15.75" hidden="1" customHeight="1">
      <c r="B313" s="310" t="s">
        <v>967</v>
      </c>
      <c r="D313" s="291" t="s">
        <v>1007</v>
      </c>
      <c r="F313" s="291" t="s">
        <v>1007</v>
      </c>
      <c r="H313" s="291" t="s">
        <v>1007</v>
      </c>
      <c r="J313" s="291" t="s">
        <v>1008</v>
      </c>
      <c r="K313" s="8"/>
    </row>
    <row r="314" ht="15.75" hidden="1" customHeight="1">
      <c r="B314" s="310" t="s">
        <v>972</v>
      </c>
      <c r="D314" s="291" t="s">
        <v>1009</v>
      </c>
      <c r="F314" s="291" t="s">
        <v>1009</v>
      </c>
      <c r="H314" s="291" t="s">
        <v>1009</v>
      </c>
      <c r="J314" s="291" t="s">
        <v>1010</v>
      </c>
      <c r="K314" s="8"/>
    </row>
    <row r="315" ht="15.75" hidden="1" customHeight="1">
      <c r="B315" s="289"/>
      <c r="C315" s="268"/>
      <c r="D315" s="268"/>
      <c r="F315" s="268"/>
      <c r="H315" s="268"/>
      <c r="J315" s="268"/>
      <c r="K315" s="270"/>
    </row>
    <row r="316" ht="15.75" hidden="1" customHeight="1">
      <c r="B316" s="314" t="s">
        <v>9</v>
      </c>
      <c r="D316" s="295" t="s">
        <v>69</v>
      </c>
      <c r="F316" s="295" t="s">
        <v>69</v>
      </c>
      <c r="H316" s="295" t="s">
        <v>69</v>
      </c>
      <c r="J316" s="295" t="s">
        <v>69</v>
      </c>
      <c r="K316" s="8"/>
    </row>
    <row r="317" ht="15.75" hidden="1" customHeight="1">
      <c r="B317" s="314" t="s">
        <v>1011</v>
      </c>
      <c r="D317" s="295" t="s">
        <v>1012</v>
      </c>
      <c r="F317" s="295" t="s">
        <v>410</v>
      </c>
      <c r="H317" s="295" t="s">
        <v>694</v>
      </c>
      <c r="J317" s="295" t="s">
        <v>694</v>
      </c>
      <c r="K317" s="8"/>
    </row>
    <row r="318" ht="15.75" hidden="1" customHeight="1">
      <c r="B318" s="314" t="s">
        <v>1013</v>
      </c>
      <c r="D318" s="295" t="s">
        <v>1014</v>
      </c>
      <c r="F318" s="295" t="s">
        <v>1015</v>
      </c>
      <c r="H318" s="295" t="s">
        <v>1016</v>
      </c>
      <c r="J318" s="295" t="s">
        <v>1016</v>
      </c>
      <c r="K318" s="8"/>
    </row>
    <row r="319" ht="15.75" hidden="1" customHeight="1">
      <c r="B319" s="263"/>
      <c r="C319" s="12"/>
      <c r="D319" s="264" t="s">
        <v>681</v>
      </c>
      <c r="E319" s="12"/>
      <c r="F319" s="12"/>
      <c r="G319" s="12"/>
      <c r="H319" s="12"/>
      <c r="I319" s="12"/>
      <c r="J319" s="264"/>
      <c r="K319" s="13"/>
    </row>
    <row r="320" ht="15.75" hidden="1" customHeight="1">
      <c r="B320" s="297"/>
      <c r="D320" s="298"/>
      <c r="F320" s="274"/>
      <c r="H320" s="274"/>
      <c r="J320" s="274"/>
      <c r="K320" s="8"/>
    </row>
    <row r="321" ht="15.75" hidden="1" customHeight="1">
      <c r="B321" s="297"/>
      <c r="D321" s="299"/>
      <c r="F321" s="276"/>
      <c r="H321" s="276"/>
      <c r="J321" s="274"/>
      <c r="K321" s="8"/>
    </row>
    <row r="322" ht="15.75" hidden="1" customHeight="1">
      <c r="B322" s="312"/>
      <c r="D322" s="300"/>
      <c r="F322" s="277"/>
      <c r="H322" s="277"/>
      <c r="J322" s="268"/>
      <c r="K322" s="8"/>
    </row>
    <row r="323" ht="15.75" hidden="1" customHeight="1">
      <c r="B323" s="301" t="s">
        <v>38</v>
      </c>
      <c r="D323" s="304" t="s">
        <v>38</v>
      </c>
      <c r="F323" s="305" t="s">
        <v>8</v>
      </c>
      <c r="H323" s="305" t="s">
        <v>313</v>
      </c>
      <c r="J323" s="305" t="s">
        <v>151</v>
      </c>
    </row>
    <row r="324" ht="15.75" hidden="1" customHeight="1">
      <c r="B324" s="301" t="s">
        <v>981</v>
      </c>
      <c r="D324" s="304" t="s">
        <v>900</v>
      </c>
      <c r="F324" s="305" t="s">
        <v>1017</v>
      </c>
      <c r="H324" s="305" t="s">
        <v>714</v>
      </c>
      <c r="J324" s="305" t="s">
        <v>1018</v>
      </c>
    </row>
    <row r="325" ht="15.75" hidden="1" customHeight="1">
      <c r="B325" s="301" t="s">
        <v>986</v>
      </c>
      <c r="D325" s="304" t="s">
        <v>904</v>
      </c>
      <c r="F325" s="304" t="s">
        <v>1019</v>
      </c>
      <c r="H325" s="304"/>
      <c r="J325" s="305" t="s">
        <v>57</v>
      </c>
    </row>
    <row r="326" ht="15.75" hidden="1" customHeight="1">
      <c r="B326" s="312"/>
      <c r="D326" s="319"/>
      <c r="F326" s="300" t="s">
        <v>1020</v>
      </c>
      <c r="H326" s="300"/>
      <c r="J326" s="281" t="s">
        <v>1021</v>
      </c>
      <c r="K326" s="8"/>
    </row>
    <row r="327" ht="15.75" hidden="1" customHeight="1">
      <c r="B327" s="325"/>
      <c r="C327" s="35"/>
      <c r="D327" s="321"/>
      <c r="E327" s="35"/>
      <c r="F327" s="351" t="s">
        <v>1022</v>
      </c>
      <c r="G327" s="35"/>
      <c r="H327" s="351"/>
      <c r="I327" s="35"/>
      <c r="J327" s="285" t="s">
        <v>1023</v>
      </c>
      <c r="K327" s="37"/>
    </row>
    <row r="328" ht="15.75" hidden="1" customHeight="1">
      <c r="B328" s="268"/>
      <c r="C328" s="268"/>
      <c r="D328" s="319"/>
      <c r="E328" s="319"/>
      <c r="F328" s="268"/>
      <c r="G328" s="268"/>
      <c r="H328" s="268"/>
      <c r="I328" s="268"/>
      <c r="J328" s="268"/>
      <c r="K328" s="268"/>
    </row>
    <row r="329" ht="15.75" hidden="1" customHeight="1">
      <c r="B329" s="38" t="s">
        <v>0</v>
      </c>
      <c r="C329" s="12"/>
      <c r="D329" s="39" t="s">
        <v>1</v>
      </c>
      <c r="E329" s="12"/>
      <c r="F329" s="40" t="s">
        <v>2</v>
      </c>
      <c r="G329" s="12"/>
      <c r="H329" s="40" t="s">
        <v>3</v>
      </c>
      <c r="I329" s="12"/>
      <c r="J329" s="40" t="s">
        <v>4</v>
      </c>
      <c r="K329" s="13"/>
    </row>
    <row r="330" ht="15.75" hidden="1" customHeight="1">
      <c r="B330" s="65">
        <v>18.0</v>
      </c>
      <c r="D330" s="66">
        <v>19.0</v>
      </c>
      <c r="F330" s="66">
        <v>20.0</v>
      </c>
      <c r="H330" s="66">
        <v>21.0</v>
      </c>
      <c r="J330" s="66">
        <v>22.0</v>
      </c>
      <c r="K330" s="8"/>
    </row>
    <row r="331" ht="15.75" hidden="1" customHeight="1">
      <c r="B331" s="67" t="s">
        <v>339</v>
      </c>
      <c r="D331" s="68" t="s">
        <v>339</v>
      </c>
      <c r="F331" s="68" t="s">
        <v>339</v>
      </c>
      <c r="H331" s="68" t="s">
        <v>339</v>
      </c>
      <c r="J331" s="339" t="s">
        <v>339</v>
      </c>
      <c r="K331" s="8"/>
    </row>
    <row r="332" ht="15.75" hidden="1" customHeight="1">
      <c r="B332" s="263"/>
      <c r="C332" s="12"/>
      <c r="D332" s="264" t="s">
        <v>671</v>
      </c>
      <c r="E332" s="12"/>
      <c r="F332" s="12"/>
      <c r="G332" s="12"/>
      <c r="H332" s="12"/>
      <c r="I332" s="12"/>
      <c r="J332" s="264"/>
      <c r="K332" s="13"/>
    </row>
    <row r="333" ht="15.75" hidden="1" customHeight="1">
      <c r="B333" s="288" t="s">
        <v>69</v>
      </c>
      <c r="D333" s="288" t="s">
        <v>38</v>
      </c>
      <c r="F333" s="288" t="s">
        <v>66</v>
      </c>
      <c r="H333" s="288" t="s">
        <v>66</v>
      </c>
      <c r="J333" s="288" t="s">
        <v>373</v>
      </c>
    </row>
    <row r="334" ht="15.75" hidden="1" customHeight="1">
      <c r="B334" s="288" t="s">
        <v>1024</v>
      </c>
      <c r="D334" s="288" t="s">
        <v>1025</v>
      </c>
      <c r="F334" s="288" t="s">
        <v>1026</v>
      </c>
      <c r="H334" s="288" t="s">
        <v>1027</v>
      </c>
      <c r="J334" s="288" t="s">
        <v>1028</v>
      </c>
    </row>
    <row r="335" ht="15.75" hidden="1" customHeight="1">
      <c r="B335" s="288" t="s">
        <v>1029</v>
      </c>
      <c r="D335" s="288" t="s">
        <v>807</v>
      </c>
      <c r="F335" s="288" t="s">
        <v>1030</v>
      </c>
      <c r="H335" s="288" t="s">
        <v>1031</v>
      </c>
      <c r="J335" s="288" t="s">
        <v>1032</v>
      </c>
    </row>
    <row r="336" ht="15.75" hidden="1" customHeight="1">
      <c r="B336" s="313" t="s">
        <v>1033</v>
      </c>
      <c r="D336" s="268"/>
      <c r="F336" s="281"/>
      <c r="H336" s="281"/>
      <c r="J336" s="281" t="s">
        <v>1034</v>
      </c>
      <c r="K336" s="8"/>
    </row>
    <row r="337" ht="15.75" hidden="1" customHeight="1">
      <c r="B337" s="310" t="s">
        <v>69</v>
      </c>
      <c r="D337" s="291" t="s">
        <v>69</v>
      </c>
      <c r="F337" s="291" t="s">
        <v>7</v>
      </c>
      <c r="H337" s="291" t="s">
        <v>69</v>
      </c>
      <c r="J337" s="291" t="s">
        <v>69</v>
      </c>
      <c r="K337" s="8"/>
    </row>
    <row r="338" ht="15.75" hidden="1" customHeight="1">
      <c r="B338" s="310" t="s">
        <v>1035</v>
      </c>
      <c r="D338" s="291" t="s">
        <v>1035</v>
      </c>
      <c r="F338" s="291" t="s">
        <v>1036</v>
      </c>
      <c r="H338" s="291" t="s">
        <v>1037</v>
      </c>
      <c r="J338" s="291" t="s">
        <v>1037</v>
      </c>
      <c r="K338" s="8"/>
    </row>
    <row r="339" ht="15.75" hidden="1" customHeight="1">
      <c r="B339" s="310" t="s">
        <v>1038</v>
      </c>
      <c r="D339" s="291" t="s">
        <v>1038</v>
      </c>
      <c r="F339" s="291" t="s">
        <v>1039</v>
      </c>
      <c r="H339" s="291" t="s">
        <v>1040</v>
      </c>
      <c r="J339" s="291" t="s">
        <v>1040</v>
      </c>
      <c r="K339" s="8"/>
    </row>
    <row r="340" ht="15.75" hidden="1" customHeight="1">
      <c r="B340" s="312"/>
      <c r="D340" s="281"/>
      <c r="H340" s="281"/>
      <c r="J340" s="268"/>
      <c r="K340" s="270"/>
    </row>
    <row r="341" ht="15.75" hidden="1" customHeight="1">
      <c r="B341" s="314" t="s">
        <v>18</v>
      </c>
      <c r="D341" s="295" t="s">
        <v>211</v>
      </c>
      <c r="F341" s="295" t="s">
        <v>211</v>
      </c>
      <c r="H341" s="295" t="s">
        <v>211</v>
      </c>
      <c r="J341" s="295" t="s">
        <v>211</v>
      </c>
      <c r="K341" s="8"/>
    </row>
    <row r="342" ht="15.75" hidden="1" customHeight="1">
      <c r="B342" s="314" t="s">
        <v>704</v>
      </c>
      <c r="D342" s="295" t="s">
        <v>608</v>
      </c>
      <c r="F342" s="295" t="s">
        <v>479</v>
      </c>
      <c r="H342" s="295" t="s">
        <v>471</v>
      </c>
      <c r="J342" s="295" t="s">
        <v>608</v>
      </c>
      <c r="K342" s="8"/>
    </row>
    <row r="343" ht="15.75" hidden="1" customHeight="1">
      <c r="B343" s="314" t="s">
        <v>1041</v>
      </c>
      <c r="D343" s="295" t="s">
        <v>1042</v>
      </c>
      <c r="F343" s="295" t="s">
        <v>1042</v>
      </c>
      <c r="H343" s="295" t="s">
        <v>1042</v>
      </c>
      <c r="J343" s="295" t="s">
        <v>1042</v>
      </c>
      <c r="K343" s="8"/>
    </row>
    <row r="344" ht="15.75" hidden="1" customHeight="1">
      <c r="B344" s="263"/>
      <c r="C344" s="12"/>
      <c r="D344" s="264" t="s">
        <v>681</v>
      </c>
      <c r="E344" s="12"/>
      <c r="F344" s="12"/>
      <c r="G344" s="12"/>
      <c r="H344" s="12"/>
      <c r="I344" s="12"/>
      <c r="J344" s="264"/>
      <c r="K344" s="13"/>
    </row>
    <row r="345" ht="15.75" hidden="1" customHeight="1">
      <c r="B345" s="297"/>
      <c r="D345" s="298"/>
      <c r="F345" s="274"/>
      <c r="H345" s="274"/>
      <c r="J345" s="274"/>
      <c r="K345" s="8"/>
    </row>
    <row r="346" ht="15.75" hidden="1" customHeight="1">
      <c r="B346" s="297"/>
      <c r="D346" s="299"/>
      <c r="F346" s="276"/>
      <c r="H346" s="276"/>
      <c r="J346" s="274"/>
      <c r="K346" s="8"/>
    </row>
    <row r="347" ht="15.75" hidden="1" customHeight="1">
      <c r="B347" s="313" t="s">
        <v>1033</v>
      </c>
      <c r="D347" s="300"/>
      <c r="F347" s="277"/>
      <c r="H347" s="277"/>
      <c r="J347" s="268"/>
      <c r="K347" s="8"/>
    </row>
    <row r="348" ht="15.75" hidden="1" customHeight="1">
      <c r="B348" s="304" t="s">
        <v>9</v>
      </c>
      <c r="D348" s="304" t="s">
        <v>39</v>
      </c>
      <c r="F348" s="305" t="s">
        <v>1043</v>
      </c>
      <c r="H348" s="305" t="s">
        <v>1043</v>
      </c>
      <c r="J348" s="305" t="s">
        <v>380</v>
      </c>
    </row>
    <row r="349" ht="15.75" hidden="1" customHeight="1">
      <c r="B349" s="304" t="s">
        <v>1044</v>
      </c>
      <c r="D349" s="304" t="s">
        <v>1045</v>
      </c>
      <c r="F349" s="305" t="s">
        <v>1046</v>
      </c>
      <c r="H349" s="305" t="s">
        <v>1047</v>
      </c>
      <c r="J349" s="305" t="s">
        <v>1048</v>
      </c>
    </row>
    <row r="350" ht="15.75" hidden="1" customHeight="1">
      <c r="B350" s="304" t="s">
        <v>1049</v>
      </c>
      <c r="D350" s="304" t="s">
        <v>1050</v>
      </c>
      <c r="F350" s="305" t="s">
        <v>1051</v>
      </c>
      <c r="H350" s="304" t="s">
        <v>32</v>
      </c>
      <c r="J350" s="305" t="s">
        <v>1052</v>
      </c>
    </row>
    <row r="351" ht="15.75" hidden="1" customHeight="1">
      <c r="B351" s="300"/>
      <c r="D351" s="300" t="s">
        <v>7</v>
      </c>
      <c r="F351" s="320" t="s">
        <v>1053</v>
      </c>
      <c r="H351" s="281" t="s">
        <v>1054</v>
      </c>
      <c r="J351" s="281"/>
      <c r="K351" s="8"/>
    </row>
    <row r="352" ht="15.75" hidden="1" customHeight="1">
      <c r="B352" s="321"/>
      <c r="C352" s="35"/>
      <c r="D352" s="321" t="s">
        <v>1055</v>
      </c>
      <c r="E352" s="35"/>
      <c r="F352" s="352" t="s">
        <v>1056</v>
      </c>
      <c r="G352" s="35"/>
      <c r="H352" s="285" t="s">
        <v>1057</v>
      </c>
      <c r="I352" s="35"/>
      <c r="J352" s="285"/>
      <c r="K352" s="37"/>
    </row>
    <row r="353" ht="15.75" hidden="1" customHeight="1">
      <c r="B353" s="268"/>
      <c r="C353" s="268"/>
      <c r="D353" s="319"/>
      <c r="E353" s="319"/>
      <c r="F353" s="268"/>
      <c r="G353" s="268"/>
      <c r="H353" s="268"/>
      <c r="I353" s="268"/>
      <c r="J353" s="268"/>
      <c r="K353" s="268"/>
    </row>
    <row r="354" ht="15.75" hidden="1" customHeight="1">
      <c r="B354" s="38" t="s">
        <v>0</v>
      </c>
      <c r="C354" s="12"/>
      <c r="D354" s="39" t="s">
        <v>1</v>
      </c>
      <c r="E354" s="12"/>
      <c r="F354" s="40" t="s">
        <v>2</v>
      </c>
      <c r="G354" s="12"/>
      <c r="H354" s="40" t="s">
        <v>3</v>
      </c>
      <c r="I354" s="12"/>
      <c r="J354" s="40" t="s">
        <v>4</v>
      </c>
      <c r="K354" s="13"/>
    </row>
    <row r="355" ht="15.75" hidden="1" customHeight="1">
      <c r="B355" s="65">
        <v>25.0</v>
      </c>
      <c r="D355" s="66">
        <v>26.0</v>
      </c>
      <c r="F355" s="66">
        <v>27.0</v>
      </c>
      <c r="H355" s="66">
        <v>28.0</v>
      </c>
      <c r="J355" s="66">
        <v>29.0</v>
      </c>
      <c r="K355" s="8"/>
    </row>
    <row r="356" ht="15.75" hidden="1" customHeight="1">
      <c r="B356" s="67" t="s">
        <v>339</v>
      </c>
      <c r="D356" s="68" t="s">
        <v>339</v>
      </c>
      <c r="F356" s="68" t="s">
        <v>339</v>
      </c>
      <c r="H356" s="68" t="s">
        <v>339</v>
      </c>
      <c r="J356" s="339" t="s">
        <v>339</v>
      </c>
      <c r="K356" s="8"/>
    </row>
    <row r="357" ht="15.75" hidden="1" customHeight="1">
      <c r="B357" s="263"/>
      <c r="C357" s="12"/>
      <c r="D357" s="264" t="s">
        <v>671</v>
      </c>
      <c r="E357" s="12"/>
      <c r="F357" s="12"/>
      <c r="G357" s="12"/>
      <c r="H357" s="12"/>
      <c r="I357" s="12"/>
      <c r="J357" s="264"/>
      <c r="K357" s="13"/>
    </row>
    <row r="358" ht="15.75" hidden="1" customHeight="1">
      <c r="B358" s="353"/>
      <c r="D358" s="288" t="s">
        <v>284</v>
      </c>
      <c r="F358" s="288" t="s">
        <v>66</v>
      </c>
      <c r="H358" s="288" t="s">
        <v>86</v>
      </c>
      <c r="J358" s="288" t="s">
        <v>66</v>
      </c>
      <c r="K358" s="8"/>
    </row>
    <row r="359" ht="15.75" hidden="1" customHeight="1">
      <c r="B359" s="353"/>
      <c r="D359" s="288" t="s">
        <v>454</v>
      </c>
      <c r="F359" s="288" t="s">
        <v>1058</v>
      </c>
      <c r="H359" s="288" t="s">
        <v>1059</v>
      </c>
      <c r="J359" s="288" t="s">
        <v>1060</v>
      </c>
      <c r="K359" s="8"/>
    </row>
    <row r="360" ht="15.75" hidden="1" customHeight="1">
      <c r="B360" s="353"/>
      <c r="D360" s="288" t="s">
        <v>1061</v>
      </c>
      <c r="F360" s="288" t="s">
        <v>1062</v>
      </c>
      <c r="H360" s="288"/>
      <c r="J360" s="288" t="s">
        <v>1063</v>
      </c>
      <c r="K360" s="8"/>
    </row>
    <row r="361" ht="15.75" hidden="1" customHeight="1">
      <c r="B361" s="353"/>
      <c r="D361" s="268"/>
      <c r="F361" s="281" t="s">
        <v>775</v>
      </c>
      <c r="H361" s="281"/>
      <c r="J361" s="281" t="s">
        <v>1064</v>
      </c>
      <c r="K361" s="8"/>
    </row>
    <row r="362" ht="15.75" hidden="1" customHeight="1">
      <c r="B362" s="353"/>
      <c r="D362" s="291" t="s">
        <v>69</v>
      </c>
      <c r="F362" s="291" t="s">
        <v>69</v>
      </c>
      <c r="H362" s="291" t="s">
        <v>69</v>
      </c>
      <c r="J362" s="291" t="s">
        <v>69</v>
      </c>
    </row>
    <row r="363" ht="15.75" hidden="1" customHeight="1">
      <c r="B363" s="353"/>
      <c r="D363" s="291" t="s">
        <v>1037</v>
      </c>
      <c r="F363" s="291" t="s">
        <v>1065</v>
      </c>
      <c r="H363" s="291" t="s">
        <v>1066</v>
      </c>
      <c r="J363" s="291" t="s">
        <v>480</v>
      </c>
    </row>
    <row r="364" ht="15.75" hidden="1" customHeight="1">
      <c r="B364" s="353"/>
      <c r="D364" s="291" t="s">
        <v>1040</v>
      </c>
      <c r="F364" s="291" t="s">
        <v>1067</v>
      </c>
      <c r="H364" s="291" t="s">
        <v>1068</v>
      </c>
      <c r="J364" s="291" t="s">
        <v>1069</v>
      </c>
    </row>
    <row r="365" ht="15.75" hidden="1" customHeight="1">
      <c r="B365" s="354"/>
      <c r="C365" s="355"/>
      <c r="D365" s="356" t="s">
        <v>1070</v>
      </c>
      <c r="H365" s="281" t="s">
        <v>1071</v>
      </c>
      <c r="J365" s="268"/>
      <c r="K365" s="270"/>
    </row>
    <row r="366" ht="15.75" hidden="1" customHeight="1">
      <c r="B366" s="353"/>
      <c r="D366" s="295" t="s">
        <v>69</v>
      </c>
      <c r="F366" s="295" t="s">
        <v>69</v>
      </c>
      <c r="H366" s="295" t="s">
        <v>69</v>
      </c>
      <c r="J366" s="328" t="s">
        <v>69</v>
      </c>
      <c r="K366" s="8"/>
    </row>
    <row r="367" ht="15.75" hidden="1" customHeight="1">
      <c r="B367" s="353"/>
      <c r="D367" s="295" t="s">
        <v>463</v>
      </c>
      <c r="F367" s="295" t="s">
        <v>463</v>
      </c>
      <c r="H367" s="295" t="s">
        <v>466</v>
      </c>
      <c r="J367" s="328" t="s">
        <v>466</v>
      </c>
      <c r="K367" s="8"/>
    </row>
    <row r="368" ht="15.75" hidden="1" customHeight="1">
      <c r="B368" s="353"/>
      <c r="D368" s="295" t="s">
        <v>1072</v>
      </c>
      <c r="F368" s="295" t="s">
        <v>1072</v>
      </c>
      <c r="H368" s="295" t="s">
        <v>1072</v>
      </c>
      <c r="J368" s="328" t="s">
        <v>1072</v>
      </c>
      <c r="K368" s="8"/>
    </row>
    <row r="369" ht="15.75" hidden="1" customHeight="1">
      <c r="B369" s="263"/>
      <c r="C369" s="12"/>
      <c r="D369" s="264" t="s">
        <v>681</v>
      </c>
      <c r="E369" s="12"/>
      <c r="F369" s="12"/>
      <c r="G369" s="12"/>
      <c r="H369" s="12"/>
      <c r="I369" s="12"/>
      <c r="J369" s="264"/>
      <c r="K369" s="13"/>
    </row>
    <row r="370" ht="15.75" hidden="1" customHeight="1">
      <c r="B370" s="353"/>
      <c r="D370" s="298"/>
      <c r="F370" s="274"/>
      <c r="H370" s="274"/>
      <c r="J370" s="274"/>
      <c r="K370" s="8"/>
    </row>
    <row r="371" ht="15.75" hidden="1" customHeight="1">
      <c r="B371" s="353"/>
      <c r="D371" s="299"/>
      <c r="F371" s="276"/>
      <c r="H371" s="276"/>
      <c r="J371" s="274"/>
      <c r="K371" s="8"/>
    </row>
    <row r="372" ht="15.75" hidden="1" customHeight="1">
      <c r="B372" s="353"/>
      <c r="D372" s="300"/>
      <c r="F372" s="277"/>
      <c r="H372" s="277"/>
      <c r="J372" s="268"/>
      <c r="K372" s="8"/>
    </row>
    <row r="373" ht="15.75" hidden="1" customHeight="1">
      <c r="B373" s="353"/>
      <c r="D373" s="304" t="s">
        <v>38</v>
      </c>
      <c r="F373" s="305" t="s">
        <v>340</v>
      </c>
      <c r="H373" s="305" t="s">
        <v>105</v>
      </c>
      <c r="J373" s="305" t="s">
        <v>105</v>
      </c>
    </row>
    <row r="374" ht="15.75" hidden="1" customHeight="1">
      <c r="B374" s="353"/>
      <c r="D374" s="304" t="s">
        <v>92</v>
      </c>
      <c r="F374" s="305" t="s">
        <v>1073</v>
      </c>
      <c r="H374" s="304" t="s">
        <v>1074</v>
      </c>
      <c r="J374" s="305" t="s">
        <v>1075</v>
      </c>
      <c r="M374" s="357"/>
    </row>
    <row r="375" ht="15.75" hidden="1" customHeight="1">
      <c r="B375" s="353"/>
      <c r="D375" s="304" t="s">
        <v>1076</v>
      </c>
      <c r="F375" s="305" t="s">
        <v>1077</v>
      </c>
      <c r="H375" s="304"/>
      <c r="J375" s="305"/>
    </row>
    <row r="376" ht="15.75" hidden="1" customHeight="1">
      <c r="B376" s="353"/>
      <c r="D376" s="319"/>
      <c r="F376" s="320"/>
      <c r="H376" s="281"/>
      <c r="J376" s="268"/>
      <c r="K376" s="8"/>
    </row>
    <row r="377" ht="15.75" hidden="1" customHeight="1">
      <c r="B377" s="358"/>
      <c r="C377" s="35"/>
      <c r="D377" s="321"/>
      <c r="E377" s="35"/>
      <c r="F377" s="284"/>
      <c r="G377" s="35"/>
      <c r="H377" s="285"/>
      <c r="I377" s="35"/>
      <c r="J377" s="284"/>
      <c r="K377" s="37"/>
    </row>
    <row r="378" ht="15.75" customHeight="1">
      <c r="A378" s="96" t="s">
        <v>159</v>
      </c>
      <c r="B378" s="268"/>
      <c r="C378" s="268"/>
      <c r="D378" s="319"/>
      <c r="E378" s="319"/>
      <c r="F378" s="268"/>
      <c r="G378" s="268"/>
      <c r="H378" s="268"/>
      <c r="I378" s="268"/>
      <c r="J378" s="268"/>
      <c r="K378" s="268"/>
    </row>
    <row r="379" ht="15.75" hidden="1" customHeight="1">
      <c r="B379" s="359"/>
      <c r="C379" s="360"/>
      <c r="D379" s="361"/>
      <c r="E379" s="362" t="s">
        <v>1078</v>
      </c>
      <c r="F379" s="360"/>
      <c r="G379" s="360"/>
      <c r="H379" s="360"/>
      <c r="I379" s="360"/>
      <c r="J379" s="360"/>
      <c r="K379" s="360"/>
      <c r="L379" s="360"/>
      <c r="M379" s="361"/>
    </row>
    <row r="380" ht="15.75" hidden="1" customHeight="1">
      <c r="B380" s="363"/>
      <c r="C380" s="364"/>
      <c r="D380" s="365"/>
      <c r="E380" s="366"/>
      <c r="F380" s="367"/>
      <c r="G380" s="367"/>
      <c r="H380" s="367"/>
      <c r="I380" s="367"/>
      <c r="J380" s="367"/>
      <c r="K380" s="367"/>
      <c r="L380" s="367"/>
      <c r="M380" s="368"/>
    </row>
    <row r="381" ht="4.5" hidden="1" customHeight="1">
      <c r="B381" s="369"/>
      <c r="C381" s="369"/>
      <c r="D381" s="370"/>
      <c r="E381" s="370"/>
      <c r="F381" s="369"/>
      <c r="G381" s="369"/>
      <c r="H381" s="369"/>
      <c r="I381" s="369"/>
      <c r="J381" s="369"/>
      <c r="K381" s="369"/>
      <c r="L381" s="371"/>
      <c r="M381" s="158"/>
    </row>
    <row r="382" ht="15.75" hidden="1" customHeight="1">
      <c r="B382" s="372"/>
      <c r="C382" s="373">
        <v>46174.0</v>
      </c>
      <c r="D382" s="373"/>
      <c r="E382" s="373">
        <v>46175.0</v>
      </c>
      <c r="F382" s="373"/>
      <c r="G382" s="373">
        <v>46176.0</v>
      </c>
      <c r="H382" s="373"/>
      <c r="I382" s="373">
        <v>46177.0</v>
      </c>
      <c r="J382" s="373"/>
      <c r="K382" s="373">
        <v>46178.0</v>
      </c>
      <c r="L382" s="374"/>
      <c r="M382" s="375" t="s">
        <v>1079</v>
      </c>
    </row>
    <row r="383" ht="15.75" hidden="1" customHeight="1">
      <c r="B383" s="376" t="s">
        <v>1080</v>
      </c>
      <c r="C383" s="150"/>
      <c r="D383" s="150"/>
      <c r="E383" s="150"/>
      <c r="F383" s="150"/>
      <c r="G383" s="150"/>
      <c r="H383" s="150"/>
      <c r="I383" s="150"/>
      <c r="J383" s="150"/>
      <c r="K383" s="150"/>
      <c r="L383" s="151"/>
      <c r="M383" s="365"/>
    </row>
    <row r="384" ht="9.75" hidden="1" customHeight="1">
      <c r="B384" s="369"/>
      <c r="C384" s="369"/>
      <c r="D384" s="370"/>
      <c r="E384" s="370"/>
      <c r="F384" s="369"/>
      <c r="G384" s="369"/>
      <c r="H384" s="369"/>
      <c r="I384" s="369"/>
      <c r="J384" s="369"/>
      <c r="K384" s="369"/>
      <c r="L384" s="158"/>
      <c r="M384" s="158"/>
    </row>
    <row r="385" ht="20.25" hidden="1" customHeight="1">
      <c r="A385" s="377"/>
      <c r="B385" s="378" t="s">
        <v>394</v>
      </c>
      <c r="C385" s="379" t="s">
        <v>40</v>
      </c>
      <c r="D385" s="380"/>
      <c r="E385" s="379" t="s">
        <v>40</v>
      </c>
      <c r="F385" s="380"/>
      <c r="G385" s="379" t="s">
        <v>1081</v>
      </c>
      <c r="H385" s="380"/>
      <c r="I385" s="379" t="s">
        <v>1082</v>
      </c>
      <c r="J385" s="381"/>
      <c r="K385" s="382" t="s">
        <v>9</v>
      </c>
      <c r="L385" s="383"/>
      <c r="M385" s="384" t="s">
        <v>1083</v>
      </c>
    </row>
    <row r="386" ht="15.75" hidden="1" customHeight="1">
      <c r="A386" s="377"/>
      <c r="B386" s="385"/>
      <c r="C386" s="386" t="s">
        <v>1084</v>
      </c>
      <c r="D386" s="387"/>
      <c r="E386" s="386" t="s">
        <v>1085</v>
      </c>
      <c r="F386" s="387"/>
      <c r="G386" s="386" t="s">
        <v>1086</v>
      </c>
      <c r="H386" s="387"/>
      <c r="I386" s="386" t="s">
        <v>1087</v>
      </c>
      <c r="J386" s="388"/>
      <c r="K386" s="389" t="s">
        <v>604</v>
      </c>
      <c r="L386" s="383"/>
      <c r="M386" s="390">
        <v>3.0</v>
      </c>
    </row>
    <row r="387" ht="15.75" hidden="1" customHeight="1">
      <c r="A387" s="377"/>
      <c r="B387" s="385"/>
      <c r="C387" s="386" t="s">
        <v>1088</v>
      </c>
      <c r="D387" s="387"/>
      <c r="E387" s="386" t="s">
        <v>1089</v>
      </c>
      <c r="F387" s="387"/>
      <c r="G387" s="386" t="s">
        <v>1090</v>
      </c>
      <c r="H387" s="387"/>
      <c r="I387" s="386"/>
      <c r="J387" s="388"/>
      <c r="K387" s="389" t="s">
        <v>1091</v>
      </c>
      <c r="L387" s="383"/>
      <c r="M387" s="154"/>
    </row>
    <row r="388" ht="15.75" hidden="1" customHeight="1">
      <c r="A388" s="377"/>
      <c r="B388" s="385"/>
      <c r="C388" s="391" t="s">
        <v>1092</v>
      </c>
      <c r="D388" s="392"/>
      <c r="E388" s="391" t="s">
        <v>532</v>
      </c>
      <c r="F388" s="393"/>
      <c r="G388" s="391" t="s">
        <v>532</v>
      </c>
      <c r="H388" s="393"/>
      <c r="I388" s="391" t="s">
        <v>1093</v>
      </c>
      <c r="J388" s="393"/>
      <c r="K388" s="394" t="s">
        <v>1094</v>
      </c>
      <c r="L388" s="383"/>
      <c r="M388" s="158"/>
    </row>
    <row r="389" ht="15.75" hidden="1" customHeight="1">
      <c r="A389" s="377"/>
      <c r="B389" s="395"/>
      <c r="C389" s="396" t="s">
        <v>1095</v>
      </c>
      <c r="D389" s="397"/>
      <c r="E389" s="396" t="s">
        <v>1096</v>
      </c>
      <c r="F389" s="398"/>
      <c r="G389" s="396" t="s">
        <v>1097</v>
      </c>
      <c r="H389" s="398"/>
      <c r="I389" s="396" t="s">
        <v>1098</v>
      </c>
      <c r="J389" s="398"/>
      <c r="K389" s="399" t="s">
        <v>1099</v>
      </c>
      <c r="L389" s="383"/>
      <c r="M389" s="158"/>
    </row>
    <row r="390" ht="17.25" hidden="1" customHeight="1">
      <c r="A390" s="193"/>
      <c r="B390" s="400"/>
      <c r="C390" s="401"/>
      <c r="D390" s="401"/>
      <c r="E390" s="402"/>
      <c r="F390" s="402"/>
      <c r="G390" s="402"/>
      <c r="H390" s="402"/>
      <c r="I390" s="402"/>
      <c r="J390" s="402"/>
      <c r="K390" s="403"/>
      <c r="L390" s="383"/>
      <c r="M390" s="384" t="s">
        <v>1100</v>
      </c>
    </row>
    <row r="391" ht="15.75" hidden="1" customHeight="1">
      <c r="A391" s="377"/>
      <c r="B391" s="378" t="s">
        <v>418</v>
      </c>
      <c r="C391" s="379" t="s">
        <v>69</v>
      </c>
      <c r="D391" s="404"/>
      <c r="E391" s="379" t="s">
        <v>86</v>
      </c>
      <c r="F391" s="381"/>
      <c r="G391" s="379" t="s">
        <v>1082</v>
      </c>
      <c r="H391" s="381"/>
      <c r="I391" s="379" t="s">
        <v>1082</v>
      </c>
      <c r="J391" s="381"/>
      <c r="K391" s="382" t="s">
        <v>211</v>
      </c>
      <c r="L391" s="383"/>
      <c r="M391" s="390">
        <v>1.0</v>
      </c>
    </row>
    <row r="392" ht="15.75" hidden="1" customHeight="1">
      <c r="A392" s="377"/>
      <c r="B392" s="385"/>
      <c r="C392" s="386" t="s">
        <v>480</v>
      </c>
      <c r="D392" s="405"/>
      <c r="E392" s="386" t="s">
        <v>1101</v>
      </c>
      <c r="F392" s="388"/>
      <c r="G392" s="386" t="s">
        <v>1102</v>
      </c>
      <c r="H392" s="388"/>
      <c r="I392" s="386" t="s">
        <v>1103</v>
      </c>
      <c r="J392" s="388"/>
      <c r="K392" s="389" t="s">
        <v>483</v>
      </c>
      <c r="L392" s="383"/>
      <c r="M392" s="154"/>
    </row>
    <row r="393" ht="15.75" hidden="1" customHeight="1">
      <c r="A393" s="377"/>
      <c r="B393" s="385"/>
      <c r="C393" s="386" t="s">
        <v>1104</v>
      </c>
      <c r="D393" s="405"/>
      <c r="E393" s="386"/>
      <c r="F393" s="388"/>
      <c r="G393" s="386" t="s">
        <v>797</v>
      </c>
      <c r="H393" s="388"/>
      <c r="I393" s="386"/>
      <c r="J393" s="388"/>
      <c r="K393" s="389" t="s">
        <v>1105</v>
      </c>
      <c r="L393" s="383"/>
      <c r="M393" s="158"/>
    </row>
    <row r="394" ht="15.75" hidden="1" customHeight="1">
      <c r="A394" s="377"/>
      <c r="B394" s="385"/>
      <c r="C394" s="391" t="s">
        <v>1106</v>
      </c>
      <c r="D394" s="392"/>
      <c r="E394" s="391" t="s">
        <v>1107</v>
      </c>
      <c r="F394" s="393"/>
      <c r="G394" s="391" t="s">
        <v>1093</v>
      </c>
      <c r="H394" s="393"/>
      <c r="I394" s="391" t="s">
        <v>1093</v>
      </c>
      <c r="J394" s="393"/>
      <c r="K394" s="406" t="s">
        <v>1108</v>
      </c>
      <c r="L394" s="383"/>
      <c r="M394" s="158"/>
    </row>
    <row r="395" ht="15.75" hidden="1" customHeight="1">
      <c r="A395" s="377"/>
      <c r="B395" s="395"/>
      <c r="C395" s="396" t="s">
        <v>1109</v>
      </c>
      <c r="D395" s="397"/>
      <c r="E395" s="396" t="s">
        <v>1096</v>
      </c>
      <c r="F395" s="398"/>
      <c r="G395" s="396" t="s">
        <v>1110</v>
      </c>
      <c r="H395" s="398"/>
      <c r="I395" s="396" t="s">
        <v>1111</v>
      </c>
      <c r="J395" s="398"/>
      <c r="K395" s="399" t="s">
        <v>1112</v>
      </c>
      <c r="L395" s="383"/>
      <c r="M395" s="384" t="s">
        <v>1113</v>
      </c>
    </row>
    <row r="396" ht="15.75" hidden="1" customHeight="1">
      <c r="A396" s="193"/>
      <c r="B396" s="407"/>
      <c r="C396" s="401"/>
      <c r="D396" s="401"/>
      <c r="E396" s="402"/>
      <c r="F396" s="402"/>
      <c r="G396" s="402"/>
      <c r="H396" s="402"/>
      <c r="I396" s="402"/>
      <c r="J396" s="402"/>
      <c r="K396" s="403"/>
      <c r="L396" s="383"/>
      <c r="M396" s="390">
        <v>2.0</v>
      </c>
    </row>
    <row r="397" ht="15.75" hidden="1" customHeight="1">
      <c r="A397" s="377"/>
      <c r="B397" s="378" t="s">
        <v>1114</v>
      </c>
      <c r="C397" s="379" t="s">
        <v>211</v>
      </c>
      <c r="D397" s="408"/>
      <c r="E397" s="379" t="s">
        <v>211</v>
      </c>
      <c r="F397" s="409"/>
      <c r="G397" s="379" t="s">
        <v>211</v>
      </c>
      <c r="H397" s="409"/>
      <c r="I397" s="379" t="s">
        <v>211</v>
      </c>
      <c r="J397" s="409"/>
      <c r="K397" s="382" t="s">
        <v>211</v>
      </c>
      <c r="L397" s="383"/>
      <c r="M397" s="154"/>
    </row>
    <row r="398" ht="15.75" hidden="1" customHeight="1">
      <c r="A398" s="377"/>
      <c r="B398" s="385"/>
      <c r="C398" s="386" t="s">
        <v>608</v>
      </c>
      <c r="D398" s="410"/>
      <c r="E398" s="386" t="s">
        <v>608</v>
      </c>
      <c r="F398" s="411"/>
      <c r="G398" s="386" t="s">
        <v>471</v>
      </c>
      <c r="H398" s="411"/>
      <c r="I398" s="386" t="s">
        <v>1115</v>
      </c>
      <c r="J398" s="411"/>
      <c r="K398" s="389" t="s">
        <v>1116</v>
      </c>
      <c r="L398" s="383"/>
      <c r="M398" s="158"/>
    </row>
    <row r="399" ht="15.75" hidden="1" customHeight="1">
      <c r="A399" s="377"/>
      <c r="B399" s="385"/>
      <c r="C399" s="386" t="s">
        <v>1042</v>
      </c>
      <c r="D399" s="410"/>
      <c r="E399" s="386" t="s">
        <v>1042</v>
      </c>
      <c r="F399" s="411"/>
      <c r="G399" s="386" t="s">
        <v>1042</v>
      </c>
      <c r="H399" s="411"/>
      <c r="I399" s="386" t="s">
        <v>1117</v>
      </c>
      <c r="J399" s="411"/>
      <c r="K399" s="389" t="s">
        <v>1042</v>
      </c>
      <c r="L399" s="383"/>
      <c r="M399" s="158"/>
    </row>
    <row r="400" ht="15.75" hidden="1" customHeight="1">
      <c r="A400" s="377"/>
      <c r="B400" s="385"/>
      <c r="C400" s="391" t="s">
        <v>1093</v>
      </c>
      <c r="D400" s="401"/>
      <c r="E400" s="391" t="s">
        <v>1093</v>
      </c>
      <c r="F400" s="402"/>
      <c r="G400" s="391" t="s">
        <v>1093</v>
      </c>
      <c r="H400" s="402"/>
      <c r="I400" s="391" t="s">
        <v>1093</v>
      </c>
      <c r="J400" s="402"/>
      <c r="K400" s="412" t="s">
        <v>1108</v>
      </c>
      <c r="L400" s="383"/>
      <c r="M400" s="384" t="s">
        <v>1118</v>
      </c>
    </row>
    <row r="401" ht="15.75" hidden="1" customHeight="1">
      <c r="A401" s="377"/>
      <c r="B401" s="395"/>
      <c r="C401" s="396" t="s">
        <v>1096</v>
      </c>
      <c r="D401" s="397"/>
      <c r="E401" s="396" t="s">
        <v>1119</v>
      </c>
      <c r="F401" s="398"/>
      <c r="G401" s="396" t="s">
        <v>1099</v>
      </c>
      <c r="H401" s="398"/>
      <c r="I401" s="396" t="s">
        <v>1120</v>
      </c>
      <c r="J401" s="398"/>
      <c r="K401" s="399" t="s">
        <v>1099</v>
      </c>
      <c r="L401" s="383"/>
      <c r="M401" s="390">
        <v>0.0</v>
      </c>
    </row>
    <row r="402" ht="15.75" hidden="1" customHeight="1">
      <c r="A402" s="193"/>
      <c r="B402" s="413"/>
      <c r="C402" s="414"/>
      <c r="D402" s="414"/>
      <c r="E402" s="413"/>
      <c r="F402" s="413"/>
      <c r="G402" s="413"/>
      <c r="H402" s="413"/>
      <c r="I402" s="413"/>
      <c r="J402" s="413"/>
      <c r="K402" s="415"/>
      <c r="L402" s="158"/>
      <c r="M402" s="154"/>
    </row>
    <row r="403" ht="15.75" hidden="1" customHeight="1">
      <c r="A403" s="416" t="s">
        <v>1121</v>
      </c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1"/>
      <c r="M403" s="158"/>
    </row>
    <row r="404" ht="8.25" hidden="1" customHeight="1">
      <c r="A404" s="193"/>
      <c r="B404" s="193"/>
      <c r="C404" s="370"/>
      <c r="D404" s="370"/>
      <c r="E404" s="369"/>
      <c r="F404" s="369"/>
      <c r="G404" s="369"/>
      <c r="H404" s="369"/>
      <c r="I404" s="369"/>
      <c r="J404" s="369"/>
      <c r="K404" s="371"/>
      <c r="L404" s="158"/>
      <c r="M404" s="158"/>
    </row>
    <row r="405" ht="15.75" hidden="1" customHeight="1">
      <c r="A405" s="193"/>
      <c r="B405" s="417" t="s">
        <v>394</v>
      </c>
      <c r="C405" s="418" t="s">
        <v>205</v>
      </c>
      <c r="D405" s="419"/>
      <c r="E405" s="420" t="s">
        <v>7</v>
      </c>
      <c r="F405" s="421"/>
      <c r="G405" s="420" t="s">
        <v>99</v>
      </c>
      <c r="H405" s="421"/>
      <c r="I405" s="420" t="s">
        <v>39</v>
      </c>
      <c r="J405" s="421"/>
      <c r="K405" s="422" t="s">
        <v>207</v>
      </c>
      <c r="L405" s="383"/>
      <c r="M405" s="384" t="s">
        <v>1122</v>
      </c>
    </row>
    <row r="406" ht="15.75" hidden="1" customHeight="1">
      <c r="A406" s="193"/>
      <c r="B406" s="423"/>
      <c r="C406" s="424" t="s">
        <v>1123</v>
      </c>
      <c r="D406" s="410"/>
      <c r="E406" s="386" t="s">
        <v>1124</v>
      </c>
      <c r="F406" s="411"/>
      <c r="G406" s="386" t="s">
        <v>1125</v>
      </c>
      <c r="H406" s="411"/>
      <c r="I406" s="386" t="s">
        <v>1126</v>
      </c>
      <c r="J406" s="411"/>
      <c r="K406" s="425" t="s">
        <v>1127</v>
      </c>
      <c r="L406" s="383"/>
      <c r="M406" s="390">
        <v>4.0</v>
      </c>
    </row>
    <row r="407" ht="15.75" hidden="1" customHeight="1">
      <c r="A407" s="193"/>
      <c r="B407" s="423"/>
      <c r="C407" s="424"/>
      <c r="D407" s="410"/>
      <c r="E407" s="386" t="s">
        <v>39</v>
      </c>
      <c r="F407" s="411"/>
      <c r="G407" s="386" t="s">
        <v>1128</v>
      </c>
      <c r="H407" s="411"/>
      <c r="I407" s="386" t="s">
        <v>99</v>
      </c>
      <c r="J407" s="411"/>
      <c r="K407" s="425" t="s">
        <v>1129</v>
      </c>
      <c r="L407" s="383"/>
      <c r="M407" s="166"/>
    </row>
    <row r="408" ht="15.75" hidden="1" customHeight="1">
      <c r="A408" s="193"/>
      <c r="B408" s="423"/>
      <c r="C408" s="424"/>
      <c r="D408" s="410"/>
      <c r="E408" s="386" t="s">
        <v>1130</v>
      </c>
      <c r="F408" s="411"/>
      <c r="G408" s="386" t="s">
        <v>1131</v>
      </c>
      <c r="H408" s="411"/>
      <c r="I408" s="386" t="s">
        <v>1132</v>
      </c>
      <c r="J408" s="411"/>
      <c r="K408" s="426"/>
      <c r="L408" s="383"/>
      <c r="M408" s="154"/>
    </row>
    <row r="409" ht="15.75" hidden="1" customHeight="1">
      <c r="A409" s="193"/>
      <c r="B409" s="423"/>
      <c r="C409" s="427" t="s">
        <v>1093</v>
      </c>
      <c r="D409" s="401"/>
      <c r="E409" s="391" t="s">
        <v>1133</v>
      </c>
      <c r="F409" s="402"/>
      <c r="G409" s="391" t="s">
        <v>1107</v>
      </c>
      <c r="H409" s="402"/>
      <c r="I409" s="391" t="s">
        <v>1107</v>
      </c>
      <c r="J409" s="402"/>
      <c r="K409" s="428" t="s">
        <v>1134</v>
      </c>
      <c r="L409" s="383"/>
      <c r="M409" s="429" t="s">
        <v>1135</v>
      </c>
    </row>
    <row r="410" ht="15.75" hidden="1" customHeight="1">
      <c r="A410" s="193"/>
      <c r="B410" s="363"/>
      <c r="C410" s="430" t="s">
        <v>1136</v>
      </c>
      <c r="D410" s="431"/>
      <c r="E410" s="432" t="s">
        <v>1137</v>
      </c>
      <c r="F410" s="433"/>
      <c r="G410" s="432" t="s">
        <v>1138</v>
      </c>
      <c r="H410" s="433"/>
      <c r="I410" s="432" t="s">
        <v>1139</v>
      </c>
      <c r="J410" s="433"/>
      <c r="K410" s="434" t="s">
        <v>1140</v>
      </c>
      <c r="L410" s="383"/>
      <c r="M410" s="435">
        <f>M386+M391+M396+M401+M406</f>
        <v>10</v>
      </c>
    </row>
    <row r="411" ht="15.75" hidden="1" customHeight="1">
      <c r="A411" s="436" t="s">
        <v>1141</v>
      </c>
      <c r="B411" s="150"/>
      <c r="C411" s="150"/>
      <c r="D411" s="150"/>
      <c r="E411" s="150"/>
      <c r="F411" s="150"/>
      <c r="G411" s="150"/>
      <c r="H411" s="151"/>
      <c r="I411" s="437" t="s">
        <v>1142</v>
      </c>
      <c r="J411" s="150"/>
      <c r="K411" s="150"/>
      <c r="L411" s="150"/>
      <c r="M411" s="151"/>
    </row>
    <row r="412" ht="15.75" hidden="1" customHeight="1">
      <c r="B412" s="268"/>
      <c r="C412" s="268"/>
      <c r="D412" s="319"/>
      <c r="E412" s="319"/>
      <c r="F412" s="268"/>
      <c r="G412" s="268"/>
      <c r="H412" s="268"/>
      <c r="I412" s="268"/>
      <c r="J412" s="268"/>
      <c r="K412" s="268"/>
    </row>
    <row r="413" ht="15.75" hidden="1" customHeight="1">
      <c r="B413" s="359"/>
      <c r="C413" s="360"/>
      <c r="D413" s="361"/>
      <c r="E413" s="362" t="s">
        <v>1078</v>
      </c>
      <c r="F413" s="360"/>
      <c r="G413" s="360"/>
      <c r="H413" s="360"/>
      <c r="I413" s="360"/>
      <c r="J413" s="360"/>
      <c r="K413" s="360"/>
      <c r="L413" s="360"/>
      <c r="M413" s="361"/>
    </row>
    <row r="414" ht="15.75" hidden="1" customHeight="1">
      <c r="B414" s="363"/>
      <c r="C414" s="364"/>
      <c r="D414" s="365"/>
      <c r="E414" s="363"/>
      <c r="F414" s="364"/>
      <c r="G414" s="364"/>
      <c r="H414" s="364"/>
      <c r="I414" s="364"/>
      <c r="J414" s="364"/>
      <c r="K414" s="364"/>
      <c r="L414" s="364"/>
      <c r="M414" s="365"/>
    </row>
    <row r="415" ht="3.0" hidden="1" customHeight="1">
      <c r="B415" s="369"/>
      <c r="C415" s="369"/>
      <c r="D415" s="370"/>
      <c r="E415" s="370"/>
      <c r="F415" s="369"/>
      <c r="G415" s="369"/>
      <c r="H415" s="369"/>
      <c r="I415" s="369"/>
      <c r="J415" s="369"/>
      <c r="K415" s="369"/>
      <c r="L415" s="371"/>
      <c r="M415" s="158"/>
    </row>
    <row r="416" ht="15.75" hidden="1" customHeight="1">
      <c r="B416" s="372"/>
      <c r="C416" s="373">
        <v>46181.0</v>
      </c>
      <c r="D416" s="373"/>
      <c r="E416" s="373">
        <v>46182.0</v>
      </c>
      <c r="F416" s="373"/>
      <c r="G416" s="373">
        <v>46183.0</v>
      </c>
      <c r="H416" s="373"/>
      <c r="I416" s="373">
        <v>46184.0</v>
      </c>
      <c r="J416" s="373"/>
      <c r="K416" s="373">
        <v>46185.0</v>
      </c>
      <c r="L416" s="374"/>
      <c r="M416" s="375" t="s">
        <v>1079</v>
      </c>
    </row>
    <row r="417" ht="15.75" hidden="1" customHeight="1">
      <c r="B417" s="376" t="s">
        <v>1143</v>
      </c>
      <c r="C417" s="150"/>
      <c r="D417" s="150"/>
      <c r="E417" s="150"/>
      <c r="F417" s="150"/>
      <c r="G417" s="150"/>
      <c r="H417" s="150"/>
      <c r="I417" s="150"/>
      <c r="J417" s="150"/>
      <c r="K417" s="150"/>
      <c r="L417" s="151"/>
      <c r="M417" s="365"/>
    </row>
    <row r="418" ht="15.75" hidden="1" customHeight="1">
      <c r="B418" s="369"/>
      <c r="C418" s="369"/>
      <c r="D418" s="370"/>
      <c r="E418" s="370"/>
      <c r="F418" s="369"/>
      <c r="G418" s="369"/>
      <c r="H418" s="369"/>
      <c r="I418" s="369"/>
      <c r="J418" s="369"/>
      <c r="K418" s="369"/>
      <c r="L418" s="158"/>
      <c r="M418" s="158"/>
    </row>
    <row r="419" ht="15.75" hidden="1" customHeight="1">
      <c r="A419" s="377"/>
      <c r="B419" s="378" t="s">
        <v>394</v>
      </c>
      <c r="C419" s="379"/>
      <c r="D419" s="380"/>
      <c r="E419" s="379" t="s">
        <v>1144</v>
      </c>
      <c r="F419" s="380"/>
      <c r="G419" s="379" t="s">
        <v>1145</v>
      </c>
      <c r="H419" s="381"/>
      <c r="I419" s="379" t="s">
        <v>66</v>
      </c>
      <c r="J419" s="381"/>
      <c r="K419" s="379" t="s">
        <v>69</v>
      </c>
      <c r="L419" s="383"/>
      <c r="M419" s="384" t="s">
        <v>1083</v>
      </c>
    </row>
    <row r="420" ht="15.75" hidden="1" customHeight="1">
      <c r="A420" s="377"/>
      <c r="B420" s="385"/>
      <c r="C420" s="386"/>
      <c r="D420" s="387"/>
      <c r="E420" s="386" t="s">
        <v>1146</v>
      </c>
      <c r="F420" s="387"/>
      <c r="G420" s="386" t="s">
        <v>1147</v>
      </c>
      <c r="H420" s="388"/>
      <c r="I420" s="386" t="s">
        <v>547</v>
      </c>
      <c r="J420" s="388"/>
      <c r="K420" s="386" t="s">
        <v>1148</v>
      </c>
      <c r="L420" s="383"/>
      <c r="M420" s="390">
        <v>1.0</v>
      </c>
    </row>
    <row r="421" ht="15.75" hidden="1" customHeight="1">
      <c r="A421" s="377"/>
      <c r="B421" s="385"/>
      <c r="C421" s="386"/>
      <c r="D421" s="387"/>
      <c r="E421" s="386" t="s">
        <v>1149</v>
      </c>
      <c r="F421" s="387"/>
      <c r="G421" s="386" t="s">
        <v>1150</v>
      </c>
      <c r="H421" s="388"/>
      <c r="I421" s="386" t="s">
        <v>1151</v>
      </c>
      <c r="J421" s="388"/>
      <c r="K421" s="386" t="s">
        <v>471</v>
      </c>
      <c r="L421" s="383"/>
      <c r="M421" s="154"/>
    </row>
    <row r="422" ht="15.75" hidden="1" customHeight="1">
      <c r="A422" s="377"/>
      <c r="B422" s="385"/>
      <c r="C422" s="391" t="s">
        <v>533</v>
      </c>
      <c r="D422" s="392"/>
      <c r="E422" s="438" t="s">
        <v>1108</v>
      </c>
      <c r="F422" s="393"/>
      <c r="G422" s="391" t="s">
        <v>1152</v>
      </c>
      <c r="H422" s="393"/>
      <c r="I422" s="391" t="s">
        <v>1152</v>
      </c>
      <c r="J422" s="393"/>
      <c r="K422" s="406" t="s">
        <v>1108</v>
      </c>
      <c r="L422" s="383"/>
      <c r="M422" s="158"/>
    </row>
    <row r="423" ht="15.75" hidden="1" customHeight="1">
      <c r="A423" s="377"/>
      <c r="B423" s="395"/>
      <c r="C423" s="439" t="s">
        <v>1138</v>
      </c>
      <c r="D423" s="440"/>
      <c r="E423" s="439" t="s">
        <v>1153</v>
      </c>
      <c r="F423" s="441"/>
      <c r="G423" s="439" t="s">
        <v>1154</v>
      </c>
      <c r="H423" s="441"/>
      <c r="I423" s="439" t="s">
        <v>1155</v>
      </c>
      <c r="J423" s="441"/>
      <c r="K423" s="442" t="s">
        <v>1154</v>
      </c>
      <c r="L423" s="383"/>
      <c r="M423" s="158"/>
    </row>
    <row r="424" ht="15.75" hidden="1" customHeight="1">
      <c r="A424" s="193"/>
      <c r="B424" s="400"/>
      <c r="C424" s="401"/>
      <c r="D424" s="401"/>
      <c r="E424" s="402"/>
      <c r="F424" s="402"/>
      <c r="G424" s="402"/>
      <c r="H424" s="402"/>
      <c r="I424" s="402"/>
      <c r="J424" s="402"/>
      <c r="K424" s="403"/>
      <c r="L424" s="383"/>
      <c r="M424" s="384" t="s">
        <v>1100</v>
      </c>
    </row>
    <row r="425" ht="15.75" hidden="1" customHeight="1">
      <c r="A425" s="377"/>
      <c r="B425" s="378" t="s">
        <v>418</v>
      </c>
      <c r="C425" s="379" t="s">
        <v>211</v>
      </c>
      <c r="D425" s="404"/>
      <c r="E425" s="379" t="s">
        <v>211</v>
      </c>
      <c r="F425" s="381"/>
      <c r="G425" s="379"/>
      <c r="H425" s="381"/>
      <c r="I425" s="379" t="s">
        <v>57</v>
      </c>
      <c r="J425" s="381"/>
      <c r="K425" s="382" t="s">
        <v>66</v>
      </c>
      <c r="L425" s="383"/>
      <c r="M425" s="390">
        <v>3.0</v>
      </c>
    </row>
    <row r="426" ht="15.75" hidden="1" customHeight="1">
      <c r="A426" s="377"/>
      <c r="B426" s="385"/>
      <c r="C426" s="386" t="s">
        <v>471</v>
      </c>
      <c r="D426" s="405"/>
      <c r="E426" s="386" t="s">
        <v>1156</v>
      </c>
      <c r="F426" s="388"/>
      <c r="G426" s="386"/>
      <c r="H426" s="388"/>
      <c r="I426" s="386" t="s">
        <v>548</v>
      </c>
      <c r="J426" s="388"/>
      <c r="K426" s="389" t="s">
        <v>1157</v>
      </c>
      <c r="L426" s="383"/>
      <c r="M426" s="154"/>
    </row>
    <row r="427" ht="15.75" hidden="1" customHeight="1">
      <c r="A427" s="377"/>
      <c r="B427" s="385"/>
      <c r="C427" s="386" t="s">
        <v>1158</v>
      </c>
      <c r="D427" s="405"/>
      <c r="E427" s="386" t="s">
        <v>1159</v>
      </c>
      <c r="F427" s="388"/>
      <c r="G427" s="386"/>
      <c r="H427" s="388"/>
      <c r="I427" s="386" t="s">
        <v>1160</v>
      </c>
      <c r="J427" s="388"/>
      <c r="K427" s="389"/>
      <c r="L427" s="383"/>
      <c r="M427" s="158"/>
    </row>
    <row r="428" ht="15.75" hidden="1" customHeight="1">
      <c r="A428" s="377"/>
      <c r="B428" s="385"/>
      <c r="C428" s="391" t="s">
        <v>1106</v>
      </c>
      <c r="D428" s="392"/>
      <c r="E428" s="391" t="s">
        <v>1107</v>
      </c>
      <c r="F428" s="393"/>
      <c r="G428" s="391" t="s">
        <v>1134</v>
      </c>
      <c r="H428" s="393"/>
      <c r="I428" s="438" t="s">
        <v>1108</v>
      </c>
      <c r="J428" s="393"/>
      <c r="K428" s="406" t="s">
        <v>1108</v>
      </c>
      <c r="L428" s="383"/>
      <c r="M428" s="158"/>
    </row>
    <row r="429" ht="15.75" hidden="1" customHeight="1">
      <c r="A429" s="377"/>
      <c r="B429" s="395"/>
      <c r="C429" s="439" t="s">
        <v>1161</v>
      </c>
      <c r="D429" s="440"/>
      <c r="E429" s="439" t="s">
        <v>1099</v>
      </c>
      <c r="F429" s="441"/>
      <c r="G429" s="396" t="s">
        <v>1162</v>
      </c>
      <c r="H429" s="441"/>
      <c r="I429" s="439" t="s">
        <v>1099</v>
      </c>
      <c r="J429" s="441"/>
      <c r="K429" s="442" t="s">
        <v>1163</v>
      </c>
      <c r="L429" s="383"/>
      <c r="M429" s="384" t="s">
        <v>1113</v>
      </c>
    </row>
    <row r="430" ht="15.75" hidden="1" customHeight="1">
      <c r="A430" s="193"/>
      <c r="B430" s="407"/>
      <c r="C430" s="401"/>
      <c r="D430" s="401"/>
      <c r="E430" s="402"/>
      <c r="F430" s="402"/>
      <c r="G430" s="402"/>
      <c r="H430" s="402"/>
      <c r="I430" s="402"/>
      <c r="J430" s="402"/>
      <c r="K430" s="403"/>
      <c r="L430" s="383"/>
      <c r="M430" s="390">
        <v>1.0</v>
      </c>
    </row>
    <row r="431" ht="15.75" hidden="1" customHeight="1">
      <c r="A431" s="377"/>
      <c r="B431" s="378" t="s">
        <v>1114</v>
      </c>
      <c r="C431" s="379" t="s">
        <v>211</v>
      </c>
      <c r="D431" s="408"/>
      <c r="E431" s="379" t="s">
        <v>211</v>
      </c>
      <c r="F431" s="409"/>
      <c r="G431" s="379" t="s">
        <v>211</v>
      </c>
      <c r="H431" s="409"/>
      <c r="I431" s="443" t="s">
        <v>211</v>
      </c>
      <c r="J431" s="409"/>
      <c r="K431" s="379" t="s">
        <v>211</v>
      </c>
      <c r="L431" s="383"/>
      <c r="M431" s="154"/>
    </row>
    <row r="432" ht="15.75" hidden="1" customHeight="1">
      <c r="A432" s="377"/>
      <c r="B432" s="385"/>
      <c r="C432" s="386" t="s">
        <v>608</v>
      </c>
      <c r="D432" s="410"/>
      <c r="E432" s="386" t="s">
        <v>608</v>
      </c>
      <c r="F432" s="411"/>
      <c r="G432" s="386" t="s">
        <v>608</v>
      </c>
      <c r="H432" s="411"/>
      <c r="I432" s="444" t="s">
        <v>479</v>
      </c>
      <c r="J432" s="411"/>
      <c r="K432" s="386" t="s">
        <v>479</v>
      </c>
      <c r="L432" s="383"/>
      <c r="M432" s="158"/>
    </row>
    <row r="433" ht="15.75" hidden="1" customHeight="1">
      <c r="A433" s="377"/>
      <c r="B433" s="385"/>
      <c r="C433" s="386" t="s">
        <v>1164</v>
      </c>
      <c r="D433" s="410"/>
      <c r="E433" s="386" t="s">
        <v>1164</v>
      </c>
      <c r="F433" s="411"/>
      <c r="G433" s="386" t="s">
        <v>1165</v>
      </c>
      <c r="H433" s="411"/>
      <c r="I433" s="444" t="s">
        <v>1166</v>
      </c>
      <c r="J433" s="411"/>
      <c r="K433" s="386" t="s">
        <v>1167</v>
      </c>
      <c r="L433" s="383"/>
      <c r="M433" s="158"/>
    </row>
    <row r="434" ht="15.75" hidden="1" customHeight="1">
      <c r="A434" s="377"/>
      <c r="B434" s="385"/>
      <c r="C434" s="445" t="s">
        <v>1108</v>
      </c>
      <c r="D434" s="401"/>
      <c r="E434" s="438" t="s">
        <v>1108</v>
      </c>
      <c r="F434" s="402"/>
      <c r="G434" s="438" t="s">
        <v>1108</v>
      </c>
      <c r="H434" s="402"/>
      <c r="I434" s="438" t="s">
        <v>1108</v>
      </c>
      <c r="J434" s="402"/>
      <c r="K434" s="412" t="s">
        <v>1108</v>
      </c>
      <c r="L434" s="383"/>
      <c r="M434" s="384" t="s">
        <v>1118</v>
      </c>
    </row>
    <row r="435" ht="15.75" hidden="1" customHeight="1">
      <c r="A435" s="377"/>
      <c r="B435" s="395"/>
      <c r="C435" s="439" t="s">
        <v>1168</v>
      </c>
      <c r="D435" s="446"/>
      <c r="E435" s="439" t="s">
        <v>1169</v>
      </c>
      <c r="F435" s="447"/>
      <c r="G435" s="439" t="s">
        <v>1154</v>
      </c>
      <c r="H435" s="447"/>
      <c r="I435" s="439" t="s">
        <v>1154</v>
      </c>
      <c r="J435" s="447"/>
      <c r="K435" s="442" t="s">
        <v>1154</v>
      </c>
      <c r="L435" s="383"/>
      <c r="M435" s="390">
        <v>1.0</v>
      </c>
    </row>
    <row r="436" ht="15.75" hidden="1" customHeight="1">
      <c r="A436" s="193"/>
      <c r="B436" s="413"/>
      <c r="C436" s="414"/>
      <c r="D436" s="414"/>
      <c r="E436" s="413"/>
      <c r="F436" s="413"/>
      <c r="G436" s="413"/>
      <c r="H436" s="413"/>
      <c r="I436" s="413"/>
      <c r="J436" s="413"/>
      <c r="K436" s="415"/>
      <c r="L436" s="158"/>
      <c r="M436" s="154"/>
    </row>
    <row r="437" ht="15.75" hidden="1" customHeight="1">
      <c r="A437" s="416" t="s">
        <v>1170</v>
      </c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1"/>
      <c r="M437" s="158"/>
    </row>
    <row r="438" ht="15.75" hidden="1" customHeight="1">
      <c r="A438" s="193"/>
      <c r="B438" s="193"/>
      <c r="C438" s="370"/>
      <c r="D438" s="370"/>
      <c r="E438" s="369"/>
      <c r="F438" s="369"/>
      <c r="G438" s="369"/>
      <c r="H438" s="369"/>
      <c r="I438" s="369"/>
      <c r="J438" s="369"/>
      <c r="K438" s="371"/>
      <c r="L438" s="158"/>
      <c r="M438" s="158"/>
    </row>
    <row r="439" ht="15.75" hidden="1" customHeight="1">
      <c r="A439" s="193"/>
      <c r="B439" s="417" t="s">
        <v>394</v>
      </c>
      <c r="C439" s="418" t="s">
        <v>210</v>
      </c>
      <c r="D439" s="419"/>
      <c r="E439" s="420" t="s">
        <v>207</v>
      </c>
      <c r="F439" s="421"/>
      <c r="G439" s="420" t="s">
        <v>207</v>
      </c>
      <c r="H439" s="421"/>
      <c r="I439" s="420" t="s">
        <v>1171</v>
      </c>
      <c r="J439" s="421"/>
      <c r="K439" s="422" t="s">
        <v>459</v>
      </c>
      <c r="L439" s="383"/>
      <c r="M439" s="384" t="s">
        <v>1122</v>
      </c>
    </row>
    <row r="440" ht="15.75" hidden="1" customHeight="1">
      <c r="A440" s="193"/>
      <c r="B440" s="423"/>
      <c r="C440" s="424" t="s">
        <v>1172</v>
      </c>
      <c r="D440" s="410"/>
      <c r="E440" s="386" t="s">
        <v>1173</v>
      </c>
      <c r="F440" s="411"/>
      <c r="G440" s="386" t="s">
        <v>1173</v>
      </c>
      <c r="H440" s="411"/>
      <c r="I440" s="386" t="s">
        <v>1174</v>
      </c>
      <c r="J440" s="411"/>
      <c r="K440" s="425" t="s">
        <v>1054</v>
      </c>
      <c r="L440" s="383"/>
      <c r="M440" s="390">
        <v>1.0</v>
      </c>
    </row>
    <row r="441" ht="15.75" hidden="1" customHeight="1">
      <c r="A441" s="193"/>
      <c r="B441" s="423"/>
      <c r="C441" s="424" t="s">
        <v>1175</v>
      </c>
      <c r="D441" s="410"/>
      <c r="E441" s="386" t="s">
        <v>1176</v>
      </c>
      <c r="F441" s="411"/>
      <c r="G441" s="386" t="s">
        <v>1176</v>
      </c>
      <c r="H441" s="411"/>
      <c r="I441" s="386" t="s">
        <v>1177</v>
      </c>
      <c r="J441" s="411"/>
      <c r="K441" s="425" t="s">
        <v>1178</v>
      </c>
      <c r="L441" s="383"/>
      <c r="M441" s="166"/>
    </row>
    <row r="442" ht="15.75" hidden="1" customHeight="1">
      <c r="A442" s="193"/>
      <c r="B442" s="423"/>
      <c r="C442" s="424" t="s">
        <v>1179</v>
      </c>
      <c r="D442" s="410"/>
      <c r="E442" s="386"/>
      <c r="F442" s="411"/>
      <c r="G442" s="386" t="s">
        <v>1180</v>
      </c>
      <c r="H442" s="411"/>
      <c r="I442" s="386" t="s">
        <v>1181</v>
      </c>
      <c r="J442" s="411"/>
      <c r="K442" s="425" t="s">
        <v>1182</v>
      </c>
      <c r="L442" s="383"/>
      <c r="M442" s="154"/>
    </row>
    <row r="443" ht="15.75" hidden="1" customHeight="1">
      <c r="A443" s="193"/>
      <c r="B443" s="423"/>
      <c r="C443" s="427" t="s">
        <v>1183</v>
      </c>
      <c r="D443" s="401"/>
      <c r="E443" s="391" t="s">
        <v>1184</v>
      </c>
      <c r="F443" s="402"/>
      <c r="G443" s="391" t="s">
        <v>533</v>
      </c>
      <c r="H443" s="402"/>
      <c r="I443" s="391" t="s">
        <v>533</v>
      </c>
      <c r="J443" s="402"/>
      <c r="K443" s="428" t="s">
        <v>533</v>
      </c>
      <c r="L443" s="383"/>
      <c r="M443" s="429" t="s">
        <v>1135</v>
      </c>
    </row>
    <row r="444" ht="15.75" hidden="1" customHeight="1">
      <c r="A444" s="193"/>
      <c r="B444" s="363"/>
      <c r="C444" s="430" t="s">
        <v>1136</v>
      </c>
      <c r="D444" s="431"/>
      <c r="E444" s="432" t="s">
        <v>1138</v>
      </c>
      <c r="F444" s="433"/>
      <c r="G444" s="432" t="s">
        <v>1139</v>
      </c>
      <c r="H444" s="433"/>
      <c r="I444" s="432" t="s">
        <v>159</v>
      </c>
      <c r="J444" s="433"/>
      <c r="K444" s="434" t="s">
        <v>1185</v>
      </c>
      <c r="L444" s="383"/>
      <c r="M444" s="435">
        <f>M420+M425+M430+M435+M440</f>
        <v>7</v>
      </c>
    </row>
    <row r="445" ht="15.75" hidden="1" customHeight="1">
      <c r="A445" s="436" t="s">
        <v>1141</v>
      </c>
      <c r="B445" s="150"/>
      <c r="C445" s="150"/>
      <c r="D445" s="150"/>
      <c r="E445" s="150"/>
      <c r="F445" s="150"/>
      <c r="G445" s="150"/>
      <c r="H445" s="151"/>
      <c r="I445" s="437" t="s">
        <v>1142</v>
      </c>
      <c r="J445" s="150"/>
      <c r="K445" s="150"/>
      <c r="L445" s="150"/>
      <c r="M445" s="151"/>
    </row>
    <row r="446" ht="15.75" hidden="1" customHeight="1">
      <c r="B446" s="268"/>
      <c r="C446" s="268"/>
      <c r="D446" s="319"/>
      <c r="E446" s="319"/>
      <c r="F446" s="268"/>
      <c r="G446" s="268"/>
      <c r="H446" s="268"/>
      <c r="I446" s="268"/>
      <c r="J446" s="268"/>
      <c r="K446" s="268"/>
    </row>
    <row r="447" ht="15.75" hidden="1" customHeight="1">
      <c r="B447" s="359"/>
      <c r="C447" s="360"/>
      <c r="D447" s="361"/>
      <c r="E447" s="362" t="s">
        <v>1078</v>
      </c>
      <c r="F447" s="360"/>
      <c r="G447" s="360"/>
      <c r="H447" s="360"/>
      <c r="I447" s="360"/>
      <c r="J447" s="360"/>
      <c r="K447" s="360"/>
      <c r="L447" s="360"/>
      <c r="M447" s="361"/>
    </row>
    <row r="448" ht="15.75" hidden="1" customHeight="1">
      <c r="B448" s="363"/>
      <c r="C448" s="364"/>
      <c r="D448" s="365"/>
      <c r="E448" s="363"/>
      <c r="F448" s="364"/>
      <c r="G448" s="364"/>
      <c r="H448" s="364"/>
      <c r="I448" s="364"/>
      <c r="J448" s="364"/>
      <c r="K448" s="364"/>
      <c r="L448" s="364"/>
      <c r="M448" s="365"/>
    </row>
    <row r="449" ht="15.75" hidden="1" customHeight="1">
      <c r="B449" s="369"/>
      <c r="C449" s="369"/>
      <c r="D449" s="370"/>
      <c r="E449" s="370"/>
      <c r="F449" s="369"/>
      <c r="G449" s="369"/>
      <c r="H449" s="369"/>
      <c r="I449" s="369"/>
      <c r="J449" s="369"/>
      <c r="K449" s="369"/>
      <c r="L449" s="371"/>
      <c r="M449" s="158"/>
    </row>
    <row r="450" ht="15.75" hidden="1" customHeight="1">
      <c r="B450" s="372"/>
      <c r="C450" s="373">
        <v>46188.0</v>
      </c>
      <c r="D450" s="373"/>
      <c r="E450" s="373">
        <v>46189.0</v>
      </c>
      <c r="F450" s="373"/>
      <c r="G450" s="373">
        <v>46190.0</v>
      </c>
      <c r="H450" s="373"/>
      <c r="I450" s="373">
        <v>46191.0</v>
      </c>
      <c r="J450" s="373"/>
      <c r="K450" s="373">
        <v>46192.0</v>
      </c>
      <c r="L450" s="374"/>
      <c r="M450" s="375" t="s">
        <v>1079</v>
      </c>
    </row>
    <row r="451" ht="15.75" hidden="1" customHeight="1">
      <c r="B451" s="376" t="s">
        <v>1186</v>
      </c>
      <c r="C451" s="150"/>
      <c r="D451" s="150"/>
      <c r="E451" s="150"/>
      <c r="F451" s="150"/>
      <c r="G451" s="150"/>
      <c r="H451" s="150"/>
      <c r="I451" s="150"/>
      <c r="J451" s="150"/>
      <c r="K451" s="150"/>
      <c r="L451" s="151"/>
      <c r="M451" s="365"/>
    </row>
    <row r="452" ht="15.75" hidden="1" customHeight="1">
      <c r="B452" s="369"/>
      <c r="C452" s="369"/>
      <c r="D452" s="370"/>
      <c r="E452" s="370"/>
      <c r="F452" s="369"/>
      <c r="G452" s="369"/>
      <c r="H452" s="369"/>
      <c r="I452" s="369"/>
      <c r="J452" s="369"/>
      <c r="K452" s="369"/>
      <c r="L452" s="158"/>
      <c r="M452" s="158"/>
    </row>
    <row r="453" ht="15.75" hidden="1" customHeight="1">
      <c r="A453" s="377"/>
      <c r="B453" s="378" t="s">
        <v>394</v>
      </c>
      <c r="C453" s="448"/>
      <c r="D453" s="380"/>
      <c r="E453" s="379" t="s">
        <v>171</v>
      </c>
      <c r="F453" s="380"/>
      <c r="G453" s="379" t="s">
        <v>171</v>
      </c>
      <c r="H453" s="381"/>
      <c r="I453" s="449"/>
      <c r="J453" s="381"/>
      <c r="K453" s="379" t="s">
        <v>125</v>
      </c>
      <c r="L453" s="383"/>
      <c r="M453" s="384" t="s">
        <v>1083</v>
      </c>
    </row>
    <row r="454" ht="15.75" hidden="1" customHeight="1">
      <c r="A454" s="377"/>
      <c r="B454" s="385"/>
      <c r="C454" s="450"/>
      <c r="D454" s="387"/>
      <c r="E454" s="386" t="s">
        <v>173</v>
      </c>
      <c r="F454" s="387"/>
      <c r="G454" s="386" t="s">
        <v>173</v>
      </c>
      <c r="H454" s="388"/>
      <c r="I454" s="451"/>
      <c r="J454" s="388"/>
      <c r="K454" s="386" t="s">
        <v>128</v>
      </c>
      <c r="L454" s="383"/>
      <c r="M454" s="390">
        <v>1.0</v>
      </c>
    </row>
    <row r="455" ht="15.75" hidden="1" customHeight="1">
      <c r="A455" s="377"/>
      <c r="B455" s="385"/>
      <c r="C455" s="450"/>
      <c r="D455" s="387"/>
      <c r="E455" s="386" t="s">
        <v>1187</v>
      </c>
      <c r="F455" s="387"/>
      <c r="G455" s="386" t="s">
        <v>1187</v>
      </c>
      <c r="H455" s="388"/>
      <c r="I455" s="451"/>
      <c r="J455" s="388"/>
      <c r="K455" s="386" t="s">
        <v>1188</v>
      </c>
      <c r="L455" s="383"/>
      <c r="M455" s="154"/>
    </row>
    <row r="456" ht="15.75" hidden="1" customHeight="1">
      <c r="A456" s="377"/>
      <c r="B456" s="385"/>
      <c r="C456" s="452"/>
      <c r="D456" s="392"/>
      <c r="E456" s="438" t="s">
        <v>1108</v>
      </c>
      <c r="F456" s="393"/>
      <c r="G456" s="391" t="s">
        <v>1152</v>
      </c>
      <c r="H456" s="393"/>
      <c r="I456" s="391" t="s">
        <v>1152</v>
      </c>
      <c r="J456" s="393"/>
      <c r="K456" s="453" t="s">
        <v>1189</v>
      </c>
      <c r="L456" s="383"/>
      <c r="M456" s="158"/>
    </row>
    <row r="457" ht="15.75" hidden="1" customHeight="1">
      <c r="A457" s="377"/>
      <c r="B457" s="395"/>
      <c r="C457" s="454"/>
      <c r="D457" s="440"/>
      <c r="E457" s="439" t="s">
        <v>1190</v>
      </c>
      <c r="F457" s="441"/>
      <c r="G457" s="439" t="s">
        <v>1099</v>
      </c>
      <c r="H457" s="441"/>
      <c r="I457" s="439" t="s">
        <v>1154</v>
      </c>
      <c r="J457" s="441"/>
      <c r="K457" s="442" t="s">
        <v>1154</v>
      </c>
      <c r="L457" s="383"/>
      <c r="M457" s="158"/>
    </row>
    <row r="458" ht="15.75" hidden="1" customHeight="1">
      <c r="A458" s="193"/>
      <c r="B458" s="400"/>
      <c r="C458" s="455"/>
      <c r="D458" s="401"/>
      <c r="E458" s="402"/>
      <c r="F458" s="402"/>
      <c r="G458" s="402"/>
      <c r="H458" s="402"/>
      <c r="I458" s="402"/>
      <c r="J458" s="402"/>
      <c r="K458" s="403"/>
      <c r="L458" s="383"/>
      <c r="M458" s="384" t="s">
        <v>1100</v>
      </c>
    </row>
    <row r="459" ht="15.75" hidden="1" customHeight="1">
      <c r="A459" s="377"/>
      <c r="B459" s="378" t="s">
        <v>418</v>
      </c>
      <c r="C459" s="448"/>
      <c r="D459" s="404"/>
      <c r="E459" s="449"/>
      <c r="F459" s="381"/>
      <c r="G459" s="379" t="s">
        <v>211</v>
      </c>
      <c r="H459" s="381"/>
      <c r="I459" s="379" t="s">
        <v>9</v>
      </c>
      <c r="J459" s="381"/>
      <c r="K459" s="382" t="s">
        <v>9</v>
      </c>
      <c r="L459" s="383"/>
      <c r="M459" s="390">
        <v>3.0</v>
      </c>
    </row>
    <row r="460" ht="15.75" hidden="1" customHeight="1">
      <c r="A460" s="377"/>
      <c r="B460" s="385"/>
      <c r="C460" s="450"/>
      <c r="D460" s="405"/>
      <c r="E460" s="451"/>
      <c r="F460" s="388"/>
      <c r="G460" s="386" t="s">
        <v>479</v>
      </c>
      <c r="H460" s="388"/>
      <c r="I460" s="386" t="s">
        <v>134</v>
      </c>
      <c r="J460" s="388"/>
      <c r="K460" s="389" t="s">
        <v>134</v>
      </c>
      <c r="L460" s="383"/>
      <c r="M460" s="154"/>
    </row>
    <row r="461" ht="15.75" hidden="1" customHeight="1">
      <c r="A461" s="377"/>
      <c r="B461" s="385"/>
      <c r="C461" s="450"/>
      <c r="D461" s="405"/>
      <c r="E461" s="451"/>
      <c r="F461" s="388"/>
      <c r="G461" s="386" t="s">
        <v>1165</v>
      </c>
      <c r="H461" s="388"/>
      <c r="I461" s="386" t="s">
        <v>1191</v>
      </c>
      <c r="J461" s="388"/>
      <c r="K461" s="389" t="s">
        <v>1191</v>
      </c>
      <c r="L461" s="383"/>
      <c r="M461" s="158"/>
    </row>
    <row r="462" ht="15.75" hidden="1" customHeight="1">
      <c r="A462" s="377"/>
      <c r="B462" s="385"/>
      <c r="C462" s="452"/>
      <c r="D462" s="392"/>
      <c r="E462" s="391" t="s">
        <v>1107</v>
      </c>
      <c r="F462" s="393"/>
      <c r="G462" s="391" t="s">
        <v>1134</v>
      </c>
      <c r="H462" s="393"/>
      <c r="I462" s="438" t="s">
        <v>1108</v>
      </c>
      <c r="J462" s="393"/>
      <c r="K462" s="406" t="s">
        <v>1108</v>
      </c>
      <c r="L462" s="383"/>
      <c r="M462" s="158"/>
    </row>
    <row r="463" ht="15.75" hidden="1" customHeight="1">
      <c r="A463" s="377"/>
      <c r="B463" s="395"/>
      <c r="C463" s="454"/>
      <c r="D463" s="440"/>
      <c r="E463" s="439" t="s">
        <v>1192</v>
      </c>
      <c r="F463" s="441"/>
      <c r="G463" s="396" t="s">
        <v>1162</v>
      </c>
      <c r="H463" s="441"/>
      <c r="I463" s="439" t="s">
        <v>1119</v>
      </c>
      <c r="J463" s="441"/>
      <c r="K463" s="442" t="s">
        <v>1193</v>
      </c>
      <c r="L463" s="383"/>
      <c r="M463" s="384" t="s">
        <v>1113</v>
      </c>
    </row>
    <row r="464" ht="15.75" hidden="1" customHeight="1">
      <c r="A464" s="193"/>
      <c r="B464" s="407"/>
      <c r="C464" s="455"/>
      <c r="D464" s="401"/>
      <c r="E464" s="402"/>
      <c r="F464" s="402"/>
      <c r="G464" s="402"/>
      <c r="H464" s="402"/>
      <c r="I464" s="402"/>
      <c r="J464" s="402"/>
      <c r="K464" s="403"/>
      <c r="L464" s="383"/>
      <c r="M464" s="390">
        <v>1.0</v>
      </c>
    </row>
    <row r="465" ht="15.75" hidden="1" customHeight="1">
      <c r="A465" s="377"/>
      <c r="B465" s="378" t="s">
        <v>1114</v>
      </c>
      <c r="C465" s="448"/>
      <c r="D465" s="408"/>
      <c r="E465" s="379" t="s">
        <v>211</v>
      </c>
      <c r="F465" s="409"/>
      <c r="G465" s="379" t="s">
        <v>211</v>
      </c>
      <c r="H465" s="409"/>
      <c r="I465" s="379" t="s">
        <v>211</v>
      </c>
      <c r="J465" s="409"/>
      <c r="K465" s="379" t="s">
        <v>211</v>
      </c>
      <c r="L465" s="383"/>
      <c r="M465" s="154"/>
    </row>
    <row r="466" ht="15.75" hidden="1" customHeight="1">
      <c r="A466" s="377"/>
      <c r="B466" s="385"/>
      <c r="C466" s="450"/>
      <c r="D466" s="410"/>
      <c r="E466" s="386" t="s">
        <v>608</v>
      </c>
      <c r="F466" s="411"/>
      <c r="G466" s="386" t="s">
        <v>471</v>
      </c>
      <c r="H466" s="411"/>
      <c r="I466" s="386" t="s">
        <v>608</v>
      </c>
      <c r="J466" s="411"/>
      <c r="K466" s="386" t="s">
        <v>471</v>
      </c>
      <c r="L466" s="383"/>
      <c r="M466" s="158"/>
    </row>
    <row r="467" ht="15.75" hidden="1" customHeight="1">
      <c r="A467" s="377"/>
      <c r="B467" s="385"/>
      <c r="C467" s="450"/>
      <c r="D467" s="410"/>
      <c r="E467" s="386" t="s">
        <v>1194</v>
      </c>
      <c r="F467" s="411"/>
      <c r="G467" s="386" t="s">
        <v>1195</v>
      </c>
      <c r="H467" s="411"/>
      <c r="I467" s="386" t="s">
        <v>1196</v>
      </c>
      <c r="J467" s="411"/>
      <c r="K467" s="386" t="s">
        <v>1197</v>
      </c>
      <c r="L467" s="383"/>
      <c r="M467" s="158"/>
    </row>
    <row r="468" ht="15.75" hidden="1" customHeight="1">
      <c r="A468" s="377"/>
      <c r="B468" s="385"/>
      <c r="C468" s="456"/>
      <c r="D468" s="401"/>
      <c r="E468" s="438" t="s">
        <v>1108</v>
      </c>
      <c r="F468" s="402"/>
      <c r="G468" s="438" t="s">
        <v>1108</v>
      </c>
      <c r="H468" s="402"/>
      <c r="I468" s="438" t="s">
        <v>1108</v>
      </c>
      <c r="J468" s="402"/>
      <c r="K468" s="412" t="s">
        <v>1108</v>
      </c>
      <c r="L468" s="383"/>
      <c r="M468" s="384" t="s">
        <v>1118</v>
      </c>
    </row>
    <row r="469" ht="15.75" hidden="1" customHeight="1">
      <c r="A469" s="377"/>
      <c r="B469" s="395"/>
      <c r="C469" s="454"/>
      <c r="D469" s="446"/>
      <c r="E469" s="439" t="s">
        <v>1099</v>
      </c>
      <c r="F469" s="447"/>
      <c r="G469" s="439" t="s">
        <v>1099</v>
      </c>
      <c r="H469" s="447"/>
      <c r="I469" s="439" t="s">
        <v>1198</v>
      </c>
      <c r="J469" s="447"/>
      <c r="K469" s="442" t="s">
        <v>1099</v>
      </c>
      <c r="L469" s="383"/>
      <c r="M469" s="390">
        <v>1.0</v>
      </c>
    </row>
    <row r="470" ht="15.75" hidden="1" customHeight="1">
      <c r="A470" s="193"/>
      <c r="B470" s="413"/>
      <c r="C470" s="457"/>
      <c r="D470" s="414"/>
      <c r="E470" s="413"/>
      <c r="F470" s="413"/>
      <c r="G470" s="413"/>
      <c r="H470" s="413"/>
      <c r="I470" s="413"/>
      <c r="J470" s="413"/>
      <c r="K470" s="415"/>
      <c r="L470" s="158"/>
      <c r="M470" s="154"/>
    </row>
    <row r="471" ht="15.75" hidden="1" customHeight="1">
      <c r="A471" s="416" t="s">
        <v>1199</v>
      </c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1"/>
      <c r="M471" s="158"/>
    </row>
    <row r="472" ht="15.75" hidden="1" customHeight="1">
      <c r="A472" s="193"/>
      <c r="B472" s="193"/>
      <c r="C472" s="458"/>
      <c r="D472" s="370"/>
      <c r="E472" s="369"/>
      <c r="F472" s="369"/>
      <c r="G472" s="369"/>
      <c r="H472" s="369"/>
      <c r="I472" s="369"/>
      <c r="J472" s="369"/>
      <c r="K472" s="371"/>
      <c r="L472" s="158"/>
      <c r="M472" s="158"/>
    </row>
    <row r="473" ht="15.75" hidden="1" customHeight="1">
      <c r="A473" s="193"/>
      <c r="B473" s="417" t="s">
        <v>394</v>
      </c>
      <c r="C473" s="459"/>
      <c r="D473" s="419"/>
      <c r="E473" s="420" t="s">
        <v>66</v>
      </c>
      <c r="F473" s="421"/>
      <c r="G473" s="420" t="s">
        <v>537</v>
      </c>
      <c r="H473" s="421"/>
      <c r="I473" s="420" t="s">
        <v>205</v>
      </c>
      <c r="J473" s="421"/>
      <c r="K473" s="422" t="s">
        <v>1200</v>
      </c>
      <c r="L473" s="383"/>
      <c r="M473" s="384" t="s">
        <v>1122</v>
      </c>
    </row>
    <row r="474" ht="15.75" hidden="1" customHeight="1">
      <c r="A474" s="193"/>
      <c r="B474" s="423"/>
      <c r="C474" s="460"/>
      <c r="D474" s="410"/>
      <c r="E474" s="386" t="s">
        <v>1201</v>
      </c>
      <c r="F474" s="411"/>
      <c r="G474" s="386" t="s">
        <v>541</v>
      </c>
      <c r="H474" s="411"/>
      <c r="I474" s="386" t="s">
        <v>1202</v>
      </c>
      <c r="J474" s="411"/>
      <c r="K474" s="425" t="s">
        <v>1203</v>
      </c>
      <c r="L474" s="383"/>
      <c r="M474" s="390">
        <v>1.0</v>
      </c>
    </row>
    <row r="475" ht="15.75" hidden="1" customHeight="1">
      <c r="A475" s="193"/>
      <c r="B475" s="423"/>
      <c r="C475" s="460"/>
      <c r="D475" s="410"/>
      <c r="E475" s="386" t="s">
        <v>1204</v>
      </c>
      <c r="F475" s="411"/>
      <c r="G475" s="386" t="s">
        <v>1205</v>
      </c>
      <c r="H475" s="411"/>
      <c r="I475" s="386" t="s">
        <v>211</v>
      </c>
      <c r="J475" s="411"/>
      <c r="K475" s="425" t="s">
        <v>563</v>
      </c>
      <c r="L475" s="383"/>
      <c r="M475" s="166"/>
    </row>
    <row r="476" ht="15.75" hidden="1" customHeight="1">
      <c r="A476" s="193"/>
      <c r="B476" s="423"/>
      <c r="C476" s="460"/>
      <c r="D476" s="410"/>
      <c r="E476" s="386"/>
      <c r="F476" s="411"/>
      <c r="G476" s="386"/>
      <c r="H476" s="411"/>
      <c r="I476" s="386" t="s">
        <v>1206</v>
      </c>
      <c r="J476" s="411"/>
      <c r="K476" s="425" t="s">
        <v>1207</v>
      </c>
      <c r="L476" s="383"/>
      <c r="M476" s="154"/>
    </row>
    <row r="477" ht="15.75" hidden="1" customHeight="1">
      <c r="A477" s="193"/>
      <c r="B477" s="423"/>
      <c r="C477" s="461"/>
      <c r="D477" s="401"/>
      <c r="E477" s="391" t="s">
        <v>1184</v>
      </c>
      <c r="F477" s="402"/>
      <c r="G477" s="391" t="s">
        <v>1208</v>
      </c>
      <c r="H477" s="402"/>
      <c r="I477" s="391" t="s">
        <v>1208</v>
      </c>
      <c r="J477" s="402"/>
      <c r="K477" s="428" t="s">
        <v>1209</v>
      </c>
      <c r="L477" s="383"/>
      <c r="M477" s="429" t="s">
        <v>1135</v>
      </c>
    </row>
    <row r="478" ht="15.75" hidden="1" customHeight="1">
      <c r="A478" s="462" t="s">
        <v>1210</v>
      </c>
      <c r="B478" s="363"/>
      <c r="C478" s="463"/>
      <c r="D478" s="431"/>
      <c r="E478" s="432" t="s">
        <v>1138</v>
      </c>
      <c r="F478" s="433"/>
      <c r="G478" s="432" t="s">
        <v>1138</v>
      </c>
      <c r="H478" s="433"/>
      <c r="I478" s="432" t="s">
        <v>1140</v>
      </c>
      <c r="J478" s="433"/>
      <c r="K478" s="434" t="s">
        <v>1140</v>
      </c>
      <c r="L478" s="383"/>
      <c r="M478" s="435">
        <f>M454+M459+M464+M469+M474</f>
        <v>7</v>
      </c>
    </row>
    <row r="479" ht="15.75" hidden="1" customHeight="1">
      <c r="A479" s="436" t="s">
        <v>1141</v>
      </c>
      <c r="B479" s="150"/>
      <c r="C479" s="150"/>
      <c r="D479" s="150"/>
      <c r="E479" s="150"/>
      <c r="F479" s="150"/>
      <c r="G479" s="150"/>
      <c r="H479" s="151"/>
      <c r="I479" s="437" t="s">
        <v>1142</v>
      </c>
      <c r="J479" s="150"/>
      <c r="K479" s="150"/>
      <c r="L479" s="150"/>
      <c r="M479" s="151"/>
    </row>
    <row r="480" ht="15.75" customHeight="1">
      <c r="B480" s="268"/>
      <c r="C480" s="268"/>
      <c r="D480" s="319"/>
      <c r="E480" s="319"/>
      <c r="F480" s="268"/>
      <c r="G480" s="268"/>
      <c r="H480" s="268"/>
      <c r="I480" s="268"/>
      <c r="J480" s="268"/>
      <c r="K480" s="268"/>
    </row>
    <row r="481" ht="15.75" customHeight="1">
      <c r="B481" s="359"/>
      <c r="C481" s="360"/>
      <c r="D481" s="361"/>
      <c r="E481" s="362" t="s">
        <v>1078</v>
      </c>
      <c r="F481" s="360"/>
      <c r="G481" s="360"/>
      <c r="H481" s="360"/>
      <c r="I481" s="360"/>
      <c r="J481" s="360"/>
      <c r="K481" s="360"/>
      <c r="L481" s="360"/>
      <c r="M481" s="361"/>
    </row>
    <row r="482" ht="15.75" customHeight="1">
      <c r="B482" s="363"/>
      <c r="C482" s="364"/>
      <c r="D482" s="365"/>
      <c r="E482" s="363"/>
      <c r="F482" s="364"/>
      <c r="G482" s="364"/>
      <c r="H482" s="364"/>
      <c r="I482" s="364"/>
      <c r="J482" s="364"/>
      <c r="K482" s="364"/>
      <c r="L482" s="364"/>
      <c r="M482" s="365"/>
    </row>
    <row r="483" ht="15.75" customHeight="1">
      <c r="B483" s="369"/>
      <c r="C483" s="369"/>
      <c r="D483" s="370"/>
      <c r="E483" s="370"/>
      <c r="F483" s="369"/>
      <c r="G483" s="369"/>
      <c r="H483" s="369"/>
      <c r="I483" s="369"/>
      <c r="J483" s="369"/>
      <c r="K483" s="369"/>
      <c r="L483" s="371"/>
      <c r="M483" s="158"/>
    </row>
    <row r="484" ht="15.75" customHeight="1">
      <c r="B484" s="372"/>
      <c r="C484" s="373">
        <v>46195.0</v>
      </c>
      <c r="D484" s="373"/>
      <c r="E484" s="373">
        <v>46196.0</v>
      </c>
      <c r="F484" s="373"/>
      <c r="G484" s="373">
        <v>46197.0</v>
      </c>
      <c r="H484" s="373"/>
      <c r="I484" s="373">
        <v>46198.0</v>
      </c>
      <c r="J484" s="373"/>
      <c r="K484" s="373">
        <v>46199.0</v>
      </c>
      <c r="L484" s="374"/>
      <c r="M484" s="375" t="s">
        <v>1079</v>
      </c>
    </row>
    <row r="485" ht="15.75" customHeight="1">
      <c r="B485" s="376" t="s">
        <v>1211</v>
      </c>
      <c r="C485" s="150"/>
      <c r="D485" s="150"/>
      <c r="E485" s="150"/>
      <c r="F485" s="150"/>
      <c r="G485" s="150"/>
      <c r="H485" s="150"/>
      <c r="I485" s="150"/>
      <c r="J485" s="150"/>
      <c r="K485" s="150"/>
      <c r="L485" s="151"/>
      <c r="M485" s="365"/>
    </row>
    <row r="486" ht="15.75" customHeight="1">
      <c r="B486" s="369"/>
      <c r="C486" s="369"/>
      <c r="D486" s="370"/>
      <c r="E486" s="370"/>
      <c r="F486" s="369"/>
      <c r="G486" s="369"/>
      <c r="H486" s="369"/>
      <c r="I486" s="369"/>
      <c r="J486" s="369"/>
      <c r="K486" s="369"/>
      <c r="L486" s="158"/>
      <c r="M486" s="158"/>
    </row>
    <row r="487" ht="15.75" customHeight="1">
      <c r="A487" s="377"/>
      <c r="B487" s="378" t="s">
        <v>394</v>
      </c>
      <c r="C487" s="379" t="s">
        <v>9</v>
      </c>
      <c r="D487" s="381"/>
      <c r="E487" s="379" t="s">
        <v>9</v>
      </c>
      <c r="F487" s="380"/>
      <c r="G487" s="379" t="s">
        <v>1212</v>
      </c>
      <c r="H487" s="381"/>
      <c r="I487" s="379" t="s">
        <v>38</v>
      </c>
      <c r="J487" s="381"/>
      <c r="K487" s="379" t="s">
        <v>38</v>
      </c>
      <c r="L487" s="383"/>
      <c r="M487" s="384" t="s">
        <v>1083</v>
      </c>
    </row>
    <row r="488" ht="15.75" customHeight="1">
      <c r="A488" s="377"/>
      <c r="B488" s="385"/>
      <c r="C488" s="386" t="s">
        <v>596</v>
      </c>
      <c r="D488" s="388"/>
      <c r="E488" s="386" t="s">
        <v>596</v>
      </c>
      <c r="F488" s="387"/>
      <c r="G488" s="386" t="s">
        <v>1213</v>
      </c>
      <c r="H488" s="388"/>
      <c r="I488" s="386" t="s">
        <v>42</v>
      </c>
      <c r="J488" s="388"/>
      <c r="K488" s="386" t="s">
        <v>42</v>
      </c>
      <c r="L488" s="383"/>
      <c r="M488" s="390"/>
    </row>
    <row r="489" ht="15.75" customHeight="1">
      <c r="A489" s="377"/>
      <c r="B489" s="385"/>
      <c r="C489" s="386" t="s">
        <v>1214</v>
      </c>
      <c r="D489" s="388"/>
      <c r="E489" s="386" t="s">
        <v>1214</v>
      </c>
      <c r="F489" s="387"/>
      <c r="G489" s="386" t="s">
        <v>1215</v>
      </c>
      <c r="H489" s="388"/>
      <c r="I489" s="386" t="s">
        <v>871</v>
      </c>
      <c r="J489" s="388"/>
      <c r="K489" s="386" t="s">
        <v>871</v>
      </c>
      <c r="L489" s="383"/>
      <c r="M489" s="154"/>
    </row>
    <row r="490" ht="15.75" customHeight="1">
      <c r="A490" s="377"/>
      <c r="B490" s="385"/>
      <c r="C490" s="391" t="s">
        <v>1216</v>
      </c>
      <c r="D490" s="392"/>
      <c r="E490" s="391" t="s">
        <v>1217</v>
      </c>
      <c r="F490" s="393"/>
      <c r="G490" s="391" t="s">
        <v>1216</v>
      </c>
      <c r="H490" s="393"/>
      <c r="I490" s="391" t="s">
        <v>1216</v>
      </c>
      <c r="J490" s="393"/>
      <c r="K490" s="406" t="s">
        <v>1108</v>
      </c>
      <c r="L490" s="383"/>
      <c r="M490" s="158"/>
    </row>
    <row r="491" ht="15.75" customHeight="1">
      <c r="A491" s="377"/>
      <c r="B491" s="395"/>
      <c r="C491" s="439" t="s">
        <v>1095</v>
      </c>
      <c r="D491" s="440"/>
      <c r="E491" s="439" t="s">
        <v>1218</v>
      </c>
      <c r="F491" s="441"/>
      <c r="G491" s="439" t="s">
        <v>1219</v>
      </c>
      <c r="H491" s="441"/>
      <c r="I491" s="439" t="s">
        <v>1155</v>
      </c>
      <c r="J491" s="441"/>
      <c r="K491" s="442" t="s">
        <v>1112</v>
      </c>
      <c r="L491" s="383"/>
      <c r="M491" s="158"/>
    </row>
    <row r="492" ht="15.75" customHeight="1">
      <c r="A492" s="193"/>
      <c r="B492" s="400"/>
      <c r="C492" s="401"/>
      <c r="D492" s="401"/>
      <c r="E492" s="402"/>
      <c r="F492" s="402"/>
      <c r="G492" s="402"/>
      <c r="H492" s="402"/>
      <c r="I492" s="402"/>
      <c r="J492" s="402"/>
      <c r="K492" s="403"/>
      <c r="L492" s="383"/>
      <c r="M492" s="384" t="s">
        <v>1100</v>
      </c>
    </row>
    <row r="493" ht="15.75" customHeight="1">
      <c r="A493" s="377"/>
      <c r="B493" s="378" t="s">
        <v>418</v>
      </c>
      <c r="C493" s="379" t="s">
        <v>9</v>
      </c>
      <c r="D493" s="404"/>
      <c r="E493" s="379" t="s">
        <v>9</v>
      </c>
      <c r="F493" s="381"/>
      <c r="G493" s="379" t="s">
        <v>595</v>
      </c>
      <c r="H493" s="381"/>
      <c r="I493" s="379" t="s">
        <v>9</v>
      </c>
      <c r="J493" s="381"/>
      <c r="K493" s="464"/>
      <c r="L493" s="383"/>
      <c r="M493" s="390">
        <v>3.0</v>
      </c>
    </row>
    <row r="494" ht="15.75" customHeight="1">
      <c r="A494" s="377"/>
      <c r="B494" s="385"/>
      <c r="C494" s="386" t="s">
        <v>134</v>
      </c>
      <c r="D494" s="405"/>
      <c r="E494" s="386" t="s">
        <v>134</v>
      </c>
      <c r="F494" s="388"/>
      <c r="G494" s="386" t="s">
        <v>599</v>
      </c>
      <c r="H494" s="388"/>
      <c r="I494" s="386" t="s">
        <v>597</v>
      </c>
      <c r="J494" s="388"/>
      <c r="K494" s="465"/>
      <c r="L494" s="383"/>
      <c r="M494" s="154"/>
    </row>
    <row r="495" ht="15.75" customHeight="1">
      <c r="A495" s="377"/>
      <c r="B495" s="385"/>
      <c r="C495" s="386" t="s">
        <v>1220</v>
      </c>
      <c r="D495" s="405"/>
      <c r="E495" s="386" t="s">
        <v>1220</v>
      </c>
      <c r="F495" s="388"/>
      <c r="G495" s="466" t="s">
        <v>1221</v>
      </c>
      <c r="H495" s="388"/>
      <c r="I495" s="386" t="s">
        <v>1222</v>
      </c>
      <c r="J495" s="388"/>
      <c r="K495" s="465"/>
      <c r="L495" s="383"/>
      <c r="M495" s="158"/>
    </row>
    <row r="496" ht="15.75" customHeight="1">
      <c r="A496" s="377"/>
      <c r="B496" s="385"/>
      <c r="C496" s="391" t="s">
        <v>1223</v>
      </c>
      <c r="D496" s="392"/>
      <c r="E496" s="391" t="s">
        <v>1223</v>
      </c>
      <c r="F496" s="393"/>
      <c r="G496" s="391" t="s">
        <v>1224</v>
      </c>
      <c r="H496" s="393"/>
      <c r="I496" s="438" t="s">
        <v>1108</v>
      </c>
      <c r="J496" s="393"/>
      <c r="K496" s="406" t="s">
        <v>1108</v>
      </c>
      <c r="L496" s="383"/>
      <c r="M496" s="158"/>
    </row>
    <row r="497" ht="15.75" customHeight="1">
      <c r="A497" s="377"/>
      <c r="B497" s="395"/>
      <c r="C497" s="439" t="s">
        <v>1225</v>
      </c>
      <c r="D497" s="440"/>
      <c r="E497" s="439" t="s">
        <v>1226</v>
      </c>
      <c r="F497" s="441"/>
      <c r="G497" s="396" t="s">
        <v>1162</v>
      </c>
      <c r="H497" s="441"/>
      <c r="I497" s="439" t="s">
        <v>1227</v>
      </c>
      <c r="J497" s="441"/>
      <c r="K497" s="442" t="s">
        <v>1228</v>
      </c>
      <c r="L497" s="383"/>
      <c r="M497" s="384" t="s">
        <v>1113</v>
      </c>
    </row>
    <row r="498" ht="15.75" customHeight="1">
      <c r="A498" s="193"/>
      <c r="B498" s="407"/>
      <c r="C498" s="401"/>
      <c r="D498" s="401"/>
      <c r="E498" s="402"/>
      <c r="F498" s="402"/>
      <c r="G498" s="402"/>
      <c r="H498" s="402"/>
      <c r="I498" s="402"/>
      <c r="J498" s="402"/>
      <c r="K498" s="403"/>
      <c r="L498" s="383"/>
      <c r="M498" s="390">
        <v>1.0</v>
      </c>
    </row>
    <row r="499" ht="15.75" customHeight="1">
      <c r="A499" s="377"/>
      <c r="B499" s="378" t="s">
        <v>1114</v>
      </c>
      <c r="C499" s="379" t="s">
        <v>211</v>
      </c>
      <c r="D499" s="408"/>
      <c r="E499" s="379" t="s">
        <v>211</v>
      </c>
      <c r="F499" s="408"/>
      <c r="G499" s="379" t="s">
        <v>211</v>
      </c>
      <c r="H499" s="409"/>
      <c r="I499" s="379" t="s">
        <v>211</v>
      </c>
      <c r="J499" s="409"/>
      <c r="K499" s="467" t="s">
        <v>211</v>
      </c>
      <c r="L499" s="383"/>
      <c r="M499" s="154"/>
    </row>
    <row r="500" ht="15.75" customHeight="1">
      <c r="A500" s="377"/>
      <c r="B500" s="385"/>
      <c r="C500" s="386" t="s">
        <v>471</v>
      </c>
      <c r="D500" s="410"/>
      <c r="E500" s="386" t="s">
        <v>608</v>
      </c>
      <c r="F500" s="410"/>
      <c r="G500" s="386" t="s">
        <v>479</v>
      </c>
      <c r="H500" s="411"/>
      <c r="I500" s="386" t="s">
        <v>608</v>
      </c>
      <c r="J500" s="411"/>
      <c r="K500" s="468" t="s">
        <v>479</v>
      </c>
      <c r="L500" s="383"/>
      <c r="M500" s="158"/>
    </row>
    <row r="501" ht="15.75" customHeight="1">
      <c r="A501" s="377"/>
      <c r="B501" s="385"/>
      <c r="C501" s="386" t="s">
        <v>1229</v>
      </c>
      <c r="D501" s="410"/>
      <c r="E501" s="386" t="s">
        <v>1229</v>
      </c>
      <c r="F501" s="410"/>
      <c r="G501" s="386" t="s">
        <v>1229</v>
      </c>
      <c r="H501" s="411"/>
      <c r="I501" s="386" t="s">
        <v>1229</v>
      </c>
      <c r="J501" s="411"/>
      <c r="K501" s="468" t="s">
        <v>1229</v>
      </c>
      <c r="L501" s="383"/>
      <c r="M501" s="158"/>
    </row>
    <row r="502" ht="15.75" customHeight="1">
      <c r="A502" s="377"/>
      <c r="B502" s="385"/>
      <c r="C502" s="445" t="s">
        <v>1108</v>
      </c>
      <c r="D502" s="401"/>
      <c r="E502" s="438" t="s">
        <v>1108</v>
      </c>
      <c r="F502" s="402"/>
      <c r="G502" s="438" t="s">
        <v>1108</v>
      </c>
      <c r="H502" s="402"/>
      <c r="I502" s="438" t="s">
        <v>1108</v>
      </c>
      <c r="J502" s="402"/>
      <c r="K502" s="412" t="s">
        <v>1108</v>
      </c>
      <c r="L502" s="383"/>
      <c r="M502" s="384" t="s">
        <v>1118</v>
      </c>
    </row>
    <row r="503" ht="15.75" customHeight="1">
      <c r="A503" s="377"/>
      <c r="B503" s="395"/>
      <c r="C503" s="439" t="s">
        <v>1230</v>
      </c>
      <c r="D503" s="446"/>
      <c r="E503" s="439" t="s">
        <v>1231</v>
      </c>
      <c r="F503" s="447"/>
      <c r="G503" s="439" t="s">
        <v>1232</v>
      </c>
      <c r="H503" s="447"/>
      <c r="I503" s="439" t="s">
        <v>1232</v>
      </c>
      <c r="J503" s="447"/>
      <c r="K503" s="442" t="s">
        <v>1232</v>
      </c>
      <c r="L503" s="383"/>
      <c r="M503" s="390">
        <v>1.0</v>
      </c>
    </row>
    <row r="504" ht="15.75" customHeight="1">
      <c r="A504" s="193"/>
      <c r="B504" s="413"/>
      <c r="C504" s="414"/>
      <c r="D504" s="414"/>
      <c r="E504" s="413"/>
      <c r="F504" s="413"/>
      <c r="G504" s="413"/>
      <c r="H504" s="413"/>
      <c r="I504" s="413"/>
      <c r="J504" s="413"/>
      <c r="K504" s="415"/>
      <c r="L504" s="158"/>
      <c r="M504" s="154"/>
    </row>
    <row r="505" ht="15.75" customHeight="1">
      <c r="A505" s="416" t="s">
        <v>1233</v>
      </c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1"/>
      <c r="M505" s="158"/>
    </row>
    <row r="506" ht="15.75" customHeight="1">
      <c r="A506" s="193"/>
      <c r="B506" s="193"/>
      <c r="C506" s="370"/>
      <c r="D506" s="370"/>
      <c r="E506" s="369"/>
      <c r="F506" s="369"/>
      <c r="G506" s="369"/>
      <c r="H506" s="369"/>
      <c r="I506" s="369"/>
      <c r="J506" s="369"/>
      <c r="K506" s="371"/>
      <c r="L506" s="158"/>
      <c r="M506" s="158"/>
    </row>
    <row r="507" ht="15.75" customHeight="1">
      <c r="A507" s="193"/>
      <c r="B507" s="417" t="s">
        <v>394</v>
      </c>
      <c r="C507" s="418" t="s">
        <v>1234</v>
      </c>
      <c r="D507" s="419"/>
      <c r="E507" s="420" t="s">
        <v>1234</v>
      </c>
      <c r="F507" s="421"/>
      <c r="G507" s="420" t="s">
        <v>275</v>
      </c>
      <c r="H507" s="421"/>
      <c r="I507" s="420" t="s">
        <v>205</v>
      </c>
      <c r="J507" s="421"/>
      <c r="K507" s="420" t="s">
        <v>166</v>
      </c>
      <c r="L507" s="383"/>
      <c r="M507" s="384" t="s">
        <v>1122</v>
      </c>
    </row>
    <row r="508" ht="15.75" customHeight="1">
      <c r="A508" s="193"/>
      <c r="B508" s="423"/>
      <c r="C508" s="424" t="s">
        <v>1235</v>
      </c>
      <c r="D508" s="410"/>
      <c r="E508" s="386" t="s">
        <v>1236</v>
      </c>
      <c r="F508" s="411"/>
      <c r="G508" s="386" t="s">
        <v>1237</v>
      </c>
      <c r="H508" s="411"/>
      <c r="I508" s="386" t="s">
        <v>1238</v>
      </c>
      <c r="J508" s="411"/>
      <c r="K508" s="425" t="s">
        <v>1239</v>
      </c>
      <c r="L508" s="383"/>
      <c r="M508" s="390">
        <v>2.0</v>
      </c>
    </row>
    <row r="509" ht="15.75" customHeight="1">
      <c r="A509" s="193"/>
      <c r="B509" s="423"/>
      <c r="C509" s="424" t="s">
        <v>1240</v>
      </c>
      <c r="D509" s="410"/>
      <c r="E509" s="386" t="s">
        <v>1241</v>
      </c>
      <c r="F509" s="411"/>
      <c r="G509" s="469"/>
      <c r="H509" s="411"/>
      <c r="I509" s="386" t="s">
        <v>1242</v>
      </c>
      <c r="J509" s="411"/>
      <c r="K509" s="425" t="s">
        <v>1243</v>
      </c>
      <c r="L509" s="383"/>
      <c r="M509" s="166"/>
    </row>
    <row r="510" ht="15.75" customHeight="1">
      <c r="A510" s="193"/>
      <c r="B510" s="423"/>
      <c r="C510" s="424" t="s">
        <v>1244</v>
      </c>
      <c r="D510" s="410"/>
      <c r="E510" s="386" t="s">
        <v>1245</v>
      </c>
      <c r="F510" s="411"/>
      <c r="G510" s="386"/>
      <c r="H510" s="411"/>
      <c r="I510" s="386" t="s">
        <v>1246</v>
      </c>
      <c r="J510" s="411"/>
      <c r="K510" s="425" t="s">
        <v>1247</v>
      </c>
      <c r="L510" s="383"/>
      <c r="M510" s="154"/>
    </row>
    <row r="511" ht="15.75" customHeight="1">
      <c r="A511" s="193"/>
      <c r="B511" s="423"/>
      <c r="C511" s="427" t="s">
        <v>1248</v>
      </c>
      <c r="D511" s="401"/>
      <c r="E511" s="391" t="s">
        <v>1249</v>
      </c>
      <c r="F511" s="402"/>
      <c r="G511" s="391" t="s">
        <v>1250</v>
      </c>
      <c r="H511" s="402"/>
      <c r="I511" s="391" t="s">
        <v>1107</v>
      </c>
      <c r="J511" s="402"/>
      <c r="K511" s="428" t="s">
        <v>1251</v>
      </c>
      <c r="L511" s="383"/>
      <c r="M511" s="429" t="s">
        <v>1135</v>
      </c>
    </row>
    <row r="512" ht="15.75" customHeight="1">
      <c r="A512" s="193"/>
      <c r="B512" s="363"/>
      <c r="C512" s="430" t="s">
        <v>1136</v>
      </c>
      <c r="D512" s="431"/>
      <c r="E512" s="432" t="s">
        <v>1138</v>
      </c>
      <c r="F512" s="433"/>
      <c r="G512" s="432" t="s">
        <v>1252</v>
      </c>
      <c r="H512" s="433"/>
      <c r="I512" s="432" t="s">
        <v>1253</v>
      </c>
      <c r="J512" s="433"/>
      <c r="K512" s="434" t="s">
        <v>1185</v>
      </c>
      <c r="L512" s="383"/>
      <c r="M512" s="435">
        <f>M488+M493+M498+M503+M508</f>
        <v>7</v>
      </c>
    </row>
    <row r="513" ht="15.75" customHeight="1">
      <c r="A513" s="436" t="s">
        <v>1141</v>
      </c>
      <c r="B513" s="150"/>
      <c r="C513" s="150"/>
      <c r="D513" s="150"/>
      <c r="E513" s="150"/>
      <c r="F513" s="150"/>
      <c r="G513" s="150"/>
      <c r="H513" s="151"/>
      <c r="I513" s="437" t="s">
        <v>1142</v>
      </c>
      <c r="J513" s="150"/>
      <c r="K513" s="150"/>
      <c r="L513" s="150"/>
      <c r="M513" s="151"/>
    </row>
    <row r="514" ht="15.75" customHeight="1">
      <c r="B514" s="268"/>
      <c r="C514" s="268"/>
      <c r="D514" s="319"/>
      <c r="E514" s="319"/>
      <c r="F514" s="268"/>
      <c r="G514" s="268"/>
      <c r="H514" s="268"/>
      <c r="I514" s="268"/>
      <c r="J514" s="268"/>
      <c r="K514" s="268"/>
    </row>
    <row r="515" ht="15.75" customHeight="1">
      <c r="B515" s="359"/>
      <c r="C515" s="360"/>
      <c r="D515" s="361"/>
      <c r="E515" s="362" t="s">
        <v>1078</v>
      </c>
      <c r="F515" s="360"/>
      <c r="G515" s="360"/>
      <c r="H515" s="360"/>
      <c r="I515" s="360"/>
      <c r="J515" s="360"/>
      <c r="K515" s="360"/>
      <c r="L515" s="360"/>
      <c r="M515" s="361"/>
    </row>
    <row r="516" ht="15.75" customHeight="1">
      <c r="B516" s="363"/>
      <c r="C516" s="364"/>
      <c r="D516" s="365"/>
      <c r="E516" s="363"/>
      <c r="F516" s="364"/>
      <c r="G516" s="364"/>
      <c r="H516" s="364"/>
      <c r="I516" s="364"/>
      <c r="J516" s="364"/>
      <c r="K516" s="364"/>
      <c r="L516" s="364"/>
      <c r="M516" s="365"/>
    </row>
    <row r="517" ht="15.75" customHeight="1">
      <c r="B517" s="369"/>
      <c r="C517" s="369"/>
      <c r="D517" s="370"/>
      <c r="E517" s="370"/>
      <c r="F517" s="369"/>
      <c r="G517" s="369"/>
      <c r="H517" s="369"/>
      <c r="I517" s="369"/>
      <c r="J517" s="369"/>
      <c r="K517" s="369"/>
      <c r="L517" s="371"/>
      <c r="M517" s="158"/>
    </row>
    <row r="518" ht="15.75" customHeight="1">
      <c r="B518" s="372"/>
      <c r="C518" s="373">
        <v>46202.0</v>
      </c>
      <c r="D518" s="373"/>
      <c r="E518" s="373">
        <v>46203.0</v>
      </c>
      <c r="F518" s="373"/>
      <c r="G518" s="373">
        <v>46204.0</v>
      </c>
      <c r="H518" s="373"/>
      <c r="I518" s="373">
        <v>46205.0</v>
      </c>
      <c r="J518" s="373"/>
      <c r="K518" s="373">
        <v>46206.0</v>
      </c>
      <c r="L518" s="374"/>
      <c r="M518" s="375" t="s">
        <v>1079</v>
      </c>
    </row>
    <row r="519" ht="15.75" customHeight="1">
      <c r="B519" s="376" t="s">
        <v>1254</v>
      </c>
      <c r="C519" s="150"/>
      <c r="D519" s="150"/>
      <c r="E519" s="150"/>
      <c r="F519" s="150"/>
      <c r="G519" s="150"/>
      <c r="H519" s="150"/>
      <c r="I519" s="150"/>
      <c r="J519" s="150"/>
      <c r="K519" s="150"/>
      <c r="L519" s="151"/>
      <c r="M519" s="365"/>
    </row>
    <row r="520" ht="15.75" customHeight="1">
      <c r="B520" s="369"/>
      <c r="C520" s="369"/>
      <c r="D520" s="370"/>
      <c r="E520" s="370"/>
      <c r="F520" s="369"/>
      <c r="G520" s="369"/>
      <c r="H520" s="369"/>
      <c r="I520" s="369"/>
      <c r="J520" s="369"/>
      <c r="K520" s="369"/>
      <c r="L520" s="158"/>
      <c r="M520" s="158"/>
    </row>
    <row r="521" ht="15.75" customHeight="1">
      <c r="A521" s="377"/>
      <c r="B521" s="378" t="s">
        <v>394</v>
      </c>
      <c r="C521" s="379" t="s">
        <v>1255</v>
      </c>
      <c r="D521" s="381"/>
      <c r="E521" s="379" t="s">
        <v>1255</v>
      </c>
      <c r="F521" s="381"/>
      <c r="G521" s="379" t="s">
        <v>40</v>
      </c>
      <c r="H521" s="381"/>
      <c r="I521" s="470"/>
      <c r="J521" s="381"/>
      <c r="K521" s="379" t="s">
        <v>40</v>
      </c>
      <c r="L521" s="383"/>
      <c r="M521" s="384" t="s">
        <v>1083</v>
      </c>
    </row>
    <row r="522" ht="15.75" customHeight="1">
      <c r="A522" s="377"/>
      <c r="B522" s="385"/>
      <c r="C522" s="386" t="s">
        <v>910</v>
      </c>
      <c r="D522" s="388"/>
      <c r="E522" s="386" t="s">
        <v>1256</v>
      </c>
      <c r="F522" s="388"/>
      <c r="G522" s="386" t="s">
        <v>1257</v>
      </c>
      <c r="H522" s="388"/>
      <c r="I522" s="471"/>
      <c r="J522" s="388"/>
      <c r="K522" s="386" t="s">
        <v>1258</v>
      </c>
      <c r="L522" s="383"/>
      <c r="M522" s="390">
        <v>2.0</v>
      </c>
    </row>
    <row r="523" ht="15.75" customHeight="1">
      <c r="A523" s="377"/>
      <c r="B523" s="385"/>
      <c r="C523" s="386" t="s">
        <v>1259</v>
      </c>
      <c r="D523" s="388"/>
      <c r="E523" s="386" t="s">
        <v>1260</v>
      </c>
      <c r="F523" s="388"/>
      <c r="G523" s="386" t="s">
        <v>1261</v>
      </c>
      <c r="H523" s="388"/>
      <c r="I523" s="471"/>
      <c r="J523" s="388"/>
      <c r="K523" s="386" t="s">
        <v>1262</v>
      </c>
      <c r="L523" s="383"/>
      <c r="M523" s="154"/>
    </row>
    <row r="524" ht="15.75" customHeight="1">
      <c r="A524" s="377"/>
      <c r="B524" s="385"/>
      <c r="C524" s="391" t="s">
        <v>658</v>
      </c>
      <c r="D524" s="392"/>
      <c r="E524" s="391" t="s">
        <v>1263</v>
      </c>
      <c r="F524" s="393"/>
      <c r="G524" s="391" t="s">
        <v>645</v>
      </c>
      <c r="H524" s="393"/>
      <c r="I524" s="391" t="s">
        <v>533</v>
      </c>
      <c r="J524" s="393"/>
      <c r="K524" s="406" t="s">
        <v>1108</v>
      </c>
      <c r="L524" s="383"/>
      <c r="M524" s="158"/>
    </row>
    <row r="525" ht="15.75" customHeight="1">
      <c r="A525" s="377"/>
      <c r="B525" s="395"/>
      <c r="C525" s="439" t="s">
        <v>1138</v>
      </c>
      <c r="D525" s="440"/>
      <c r="E525" s="439" t="s">
        <v>1153</v>
      </c>
      <c r="F525" s="441"/>
      <c r="G525" s="439" t="s">
        <v>1099</v>
      </c>
      <c r="H525" s="441"/>
      <c r="I525" s="439" t="s">
        <v>1264</v>
      </c>
      <c r="J525" s="441"/>
      <c r="K525" s="442" t="s">
        <v>1155</v>
      </c>
      <c r="L525" s="383"/>
      <c r="M525" s="158"/>
    </row>
    <row r="526" ht="15.75" customHeight="1">
      <c r="A526" s="193"/>
      <c r="B526" s="400"/>
      <c r="C526" s="401"/>
      <c r="D526" s="401"/>
      <c r="E526" s="402"/>
      <c r="F526" s="402"/>
      <c r="G526" s="402"/>
      <c r="H526" s="402"/>
      <c r="I526" s="402"/>
      <c r="J526" s="402"/>
      <c r="K526" s="403"/>
      <c r="L526" s="383"/>
      <c r="M526" s="384" t="s">
        <v>1100</v>
      </c>
    </row>
    <row r="527" ht="15.75" customHeight="1">
      <c r="A527" s="377"/>
      <c r="B527" s="378" t="s">
        <v>418</v>
      </c>
      <c r="C527" s="379" t="s">
        <v>1265</v>
      </c>
      <c r="D527" s="404"/>
      <c r="E527" s="379" t="s">
        <v>514</v>
      </c>
      <c r="F527" s="381"/>
      <c r="G527" s="379" t="s">
        <v>1266</v>
      </c>
      <c r="H527" s="381"/>
      <c r="I527" s="379" t="s">
        <v>1267</v>
      </c>
      <c r="J527" s="381"/>
      <c r="K527" s="382" t="s">
        <v>62</v>
      </c>
      <c r="L527" s="383"/>
      <c r="M527" s="390">
        <v>3.0</v>
      </c>
    </row>
    <row r="528" ht="15.75" customHeight="1">
      <c r="A528" s="377"/>
      <c r="B528" s="385"/>
      <c r="C528" s="386" t="s">
        <v>1268</v>
      </c>
      <c r="D528" s="405"/>
      <c r="E528" s="386" t="s">
        <v>1269</v>
      </c>
      <c r="F528" s="388"/>
      <c r="G528" s="386" t="s">
        <v>1270</v>
      </c>
      <c r="H528" s="388"/>
      <c r="I528" s="386" t="s">
        <v>1271</v>
      </c>
      <c r="J528" s="388"/>
      <c r="K528" s="389" t="s">
        <v>495</v>
      </c>
      <c r="L528" s="383"/>
      <c r="M528" s="154"/>
    </row>
    <row r="529" ht="15.75" customHeight="1">
      <c r="A529" s="377"/>
      <c r="B529" s="385"/>
      <c r="C529" s="386"/>
      <c r="D529" s="405"/>
      <c r="E529" s="386"/>
      <c r="F529" s="388"/>
      <c r="G529" s="386" t="s">
        <v>1272</v>
      </c>
      <c r="H529" s="388"/>
      <c r="I529" s="386" t="s">
        <v>1273</v>
      </c>
      <c r="J529" s="388"/>
      <c r="K529" s="389"/>
      <c r="L529" s="383"/>
      <c r="M529" s="158"/>
    </row>
    <row r="530" ht="15.75" customHeight="1">
      <c r="A530" s="377"/>
      <c r="B530" s="385"/>
      <c r="C530" s="391" t="s">
        <v>533</v>
      </c>
      <c r="D530" s="392"/>
      <c r="E530" s="391" t="s">
        <v>533</v>
      </c>
      <c r="F530" s="393"/>
      <c r="G530" s="391" t="s">
        <v>1274</v>
      </c>
      <c r="H530" s="393"/>
      <c r="I530" s="391" t="s">
        <v>1274</v>
      </c>
      <c r="J530" s="393"/>
      <c r="K530" s="406" t="s">
        <v>1108</v>
      </c>
      <c r="L530" s="383"/>
      <c r="M530" s="158"/>
    </row>
    <row r="531" ht="15.75" customHeight="1">
      <c r="A531" s="377"/>
      <c r="B531" s="395"/>
      <c r="C531" s="439" t="s">
        <v>1161</v>
      </c>
      <c r="D531" s="440"/>
      <c r="E531" s="439" t="s">
        <v>1099</v>
      </c>
      <c r="F531" s="441"/>
      <c r="G531" s="396" t="s">
        <v>1162</v>
      </c>
      <c r="H531" s="441"/>
      <c r="I531" s="439" t="s">
        <v>1099</v>
      </c>
      <c r="J531" s="441"/>
      <c r="K531" s="442" t="s">
        <v>1275</v>
      </c>
      <c r="L531" s="383"/>
      <c r="M531" s="384" t="s">
        <v>1113</v>
      </c>
    </row>
    <row r="532" ht="15.75" customHeight="1">
      <c r="A532" s="193"/>
      <c r="B532" s="407"/>
      <c r="C532" s="401"/>
      <c r="D532" s="401"/>
      <c r="E532" s="402"/>
      <c r="F532" s="402"/>
      <c r="G532" s="402"/>
      <c r="H532" s="402"/>
      <c r="I532" s="402"/>
      <c r="J532" s="402"/>
      <c r="K532" s="403"/>
      <c r="L532" s="383"/>
      <c r="M532" s="390">
        <v>2.0</v>
      </c>
    </row>
    <row r="533" ht="15.75" customHeight="1">
      <c r="A533" s="377"/>
      <c r="B533" s="378" t="s">
        <v>1114</v>
      </c>
      <c r="C533" s="379" t="s">
        <v>514</v>
      </c>
      <c r="D533" s="408"/>
      <c r="E533" s="379" t="s">
        <v>1265</v>
      </c>
      <c r="F533" s="409"/>
      <c r="G533" s="379" t="s">
        <v>514</v>
      </c>
      <c r="H533" s="409"/>
      <c r="I533" s="467" t="s">
        <v>514</v>
      </c>
      <c r="J533" s="409"/>
      <c r="K533" s="379" t="s">
        <v>514</v>
      </c>
      <c r="L533" s="383"/>
      <c r="M533" s="154"/>
    </row>
    <row r="534" ht="15.75" customHeight="1">
      <c r="A534" s="377"/>
      <c r="B534" s="385"/>
      <c r="C534" s="386" t="s">
        <v>1276</v>
      </c>
      <c r="D534" s="410"/>
      <c r="E534" s="386" t="s">
        <v>1277</v>
      </c>
      <c r="F534" s="411"/>
      <c r="G534" s="386" t="s">
        <v>1278</v>
      </c>
      <c r="H534" s="411"/>
      <c r="I534" s="468" t="s">
        <v>1279</v>
      </c>
      <c r="J534" s="411"/>
      <c r="K534" s="468" t="s">
        <v>1279</v>
      </c>
      <c r="L534" s="383"/>
      <c r="M534" s="158"/>
    </row>
    <row r="535" ht="15.75" customHeight="1">
      <c r="A535" s="377"/>
      <c r="B535" s="385"/>
      <c r="C535" s="386"/>
      <c r="D535" s="410"/>
      <c r="E535" s="386"/>
      <c r="F535" s="411"/>
      <c r="G535" s="386"/>
      <c r="H535" s="411"/>
      <c r="I535" s="468"/>
      <c r="J535" s="411"/>
      <c r="K535" s="386"/>
      <c r="L535" s="383"/>
      <c r="M535" s="158"/>
    </row>
    <row r="536" ht="15.75" customHeight="1">
      <c r="A536" s="377"/>
      <c r="B536" s="385"/>
      <c r="C536" s="391" t="s">
        <v>658</v>
      </c>
      <c r="D536" s="401"/>
      <c r="E536" s="391" t="s">
        <v>1280</v>
      </c>
      <c r="F536" s="402"/>
      <c r="G536" s="391" t="s">
        <v>644</v>
      </c>
      <c r="H536" s="402"/>
      <c r="I536" s="391" t="s">
        <v>645</v>
      </c>
      <c r="J536" s="402"/>
      <c r="K536" s="394" t="s">
        <v>1274</v>
      </c>
      <c r="L536" s="383"/>
      <c r="M536" s="384" t="s">
        <v>1118</v>
      </c>
    </row>
    <row r="537" ht="15.75" customHeight="1">
      <c r="A537" s="377"/>
      <c r="B537" s="395"/>
      <c r="C537" s="439" t="s">
        <v>1168</v>
      </c>
      <c r="D537" s="446"/>
      <c r="E537" s="439" t="s">
        <v>1169</v>
      </c>
      <c r="F537" s="447"/>
      <c r="G537" s="439" t="s">
        <v>1154</v>
      </c>
      <c r="H537" s="447"/>
      <c r="I537" s="439" t="s">
        <v>1154</v>
      </c>
      <c r="J537" s="447"/>
      <c r="K537" s="442" t="s">
        <v>1154</v>
      </c>
      <c r="L537" s="383"/>
      <c r="M537" s="390">
        <v>2.0</v>
      </c>
    </row>
    <row r="538" ht="15.75" customHeight="1">
      <c r="A538" s="193"/>
      <c r="B538" s="413"/>
      <c r="C538" s="414"/>
      <c r="D538" s="414"/>
      <c r="E538" s="413"/>
      <c r="F538" s="413"/>
      <c r="G538" s="413"/>
      <c r="H538" s="413"/>
      <c r="I538" s="413"/>
      <c r="J538" s="413"/>
      <c r="K538" s="415"/>
      <c r="L538" s="158"/>
      <c r="M538" s="154"/>
    </row>
    <row r="539" ht="15.75" customHeight="1">
      <c r="A539" s="416" t="s">
        <v>1281</v>
      </c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1"/>
      <c r="M539" s="158"/>
    </row>
    <row r="540" ht="15.75" customHeight="1">
      <c r="A540" s="193"/>
      <c r="B540" s="193"/>
      <c r="C540" s="370"/>
      <c r="D540" s="370"/>
      <c r="E540" s="369"/>
      <c r="F540" s="369"/>
      <c r="G540" s="369"/>
      <c r="H540" s="369"/>
      <c r="I540" s="369"/>
      <c r="J540" s="369"/>
      <c r="K540" s="371"/>
      <c r="L540" s="158"/>
      <c r="M540" s="158"/>
    </row>
    <row r="541" ht="15.75" customHeight="1">
      <c r="A541" s="193"/>
      <c r="B541" s="417" t="s">
        <v>394</v>
      </c>
      <c r="C541" s="418" t="s">
        <v>1282</v>
      </c>
      <c r="D541" s="419"/>
      <c r="E541" s="420" t="s">
        <v>1283</v>
      </c>
      <c r="F541" s="421"/>
      <c r="G541" s="420" t="s">
        <v>166</v>
      </c>
      <c r="H541" s="421"/>
      <c r="I541" s="420" t="s">
        <v>1284</v>
      </c>
      <c r="J541" s="421"/>
      <c r="K541" s="420" t="s">
        <v>40</v>
      </c>
      <c r="L541" s="383"/>
      <c r="M541" s="384" t="s">
        <v>1122</v>
      </c>
    </row>
    <row r="542" ht="15.75" customHeight="1">
      <c r="A542" s="193"/>
      <c r="B542" s="423"/>
      <c r="C542" s="424" t="s">
        <v>1285</v>
      </c>
      <c r="D542" s="410"/>
      <c r="E542" s="386" t="s">
        <v>652</v>
      </c>
      <c r="F542" s="411"/>
      <c r="G542" s="386" t="s">
        <v>1239</v>
      </c>
      <c r="H542" s="411"/>
      <c r="I542" s="386" t="s">
        <v>1286</v>
      </c>
      <c r="J542" s="411"/>
      <c r="K542" s="425" t="s">
        <v>1287</v>
      </c>
      <c r="L542" s="383"/>
      <c r="M542" s="390">
        <v>1.0</v>
      </c>
    </row>
    <row r="543" ht="15.75" customHeight="1">
      <c r="A543" s="193"/>
      <c r="B543" s="423"/>
      <c r="C543" s="424" t="s">
        <v>1288</v>
      </c>
      <c r="D543" s="410"/>
      <c r="E543" s="386" t="s">
        <v>1289</v>
      </c>
      <c r="F543" s="411"/>
      <c r="G543" s="386" t="s">
        <v>205</v>
      </c>
      <c r="H543" s="411"/>
      <c r="I543" s="386"/>
      <c r="J543" s="411"/>
      <c r="K543" s="425"/>
      <c r="L543" s="383"/>
      <c r="M543" s="166"/>
    </row>
    <row r="544" ht="15.75" customHeight="1">
      <c r="A544" s="193"/>
      <c r="B544" s="423"/>
      <c r="C544" s="424" t="s">
        <v>1246</v>
      </c>
      <c r="D544" s="410"/>
      <c r="E544" s="386" t="s">
        <v>1290</v>
      </c>
      <c r="F544" s="411"/>
      <c r="G544" s="386" t="s">
        <v>1291</v>
      </c>
      <c r="H544" s="411"/>
      <c r="I544" s="386"/>
      <c r="J544" s="411"/>
      <c r="K544" s="425"/>
      <c r="L544" s="383"/>
      <c r="M544" s="154"/>
    </row>
    <row r="545" ht="15.75" customHeight="1">
      <c r="A545" s="193"/>
      <c r="B545" s="423"/>
      <c r="C545" s="427" t="s">
        <v>1292</v>
      </c>
      <c r="D545" s="401"/>
      <c r="E545" s="391" t="s">
        <v>1293</v>
      </c>
      <c r="F545" s="402"/>
      <c r="G545" s="391" t="s">
        <v>645</v>
      </c>
      <c r="H545" s="402"/>
      <c r="I545" s="391" t="s">
        <v>1274</v>
      </c>
      <c r="J545" s="402"/>
      <c r="K545" s="428" t="s">
        <v>533</v>
      </c>
      <c r="L545" s="383"/>
      <c r="M545" s="429" t="s">
        <v>1135</v>
      </c>
    </row>
    <row r="546" ht="15.75" customHeight="1">
      <c r="A546" s="193"/>
      <c r="B546" s="363"/>
      <c r="C546" s="430" t="s">
        <v>1136</v>
      </c>
      <c r="D546" s="431"/>
      <c r="E546" s="432" t="s">
        <v>1138</v>
      </c>
      <c r="F546" s="433"/>
      <c r="G546" s="432" t="s">
        <v>1252</v>
      </c>
      <c r="H546" s="433"/>
      <c r="I546" s="432" t="s">
        <v>1294</v>
      </c>
      <c r="J546" s="433"/>
      <c r="K546" s="434" t="s">
        <v>1185</v>
      </c>
      <c r="L546" s="383"/>
      <c r="M546" s="435">
        <f>M522+M527+M532+M537+M542</f>
        <v>10</v>
      </c>
    </row>
    <row r="547" ht="15.75" customHeight="1">
      <c r="A547" s="436" t="s">
        <v>1141</v>
      </c>
      <c r="B547" s="150"/>
      <c r="C547" s="150"/>
      <c r="D547" s="150"/>
      <c r="E547" s="150"/>
      <c r="F547" s="150"/>
      <c r="G547" s="150"/>
      <c r="H547" s="151"/>
      <c r="I547" s="437" t="s">
        <v>1142</v>
      </c>
      <c r="J547" s="150"/>
      <c r="K547" s="150"/>
      <c r="L547" s="150"/>
      <c r="M547" s="151"/>
    </row>
    <row r="548" ht="15.75" customHeight="1">
      <c r="B548" s="268"/>
      <c r="C548" s="268"/>
      <c r="D548" s="319"/>
      <c r="E548" s="319"/>
      <c r="F548" s="268"/>
      <c r="G548" s="268"/>
      <c r="H548" s="268"/>
      <c r="I548" s="268"/>
      <c r="J548" s="268"/>
      <c r="K548" s="268"/>
    </row>
    <row r="549" ht="15.75" customHeight="1">
      <c r="B549" s="359"/>
      <c r="C549" s="360"/>
      <c r="D549" s="361"/>
      <c r="E549" s="362" t="s">
        <v>1078</v>
      </c>
      <c r="F549" s="360"/>
      <c r="G549" s="360"/>
      <c r="H549" s="360"/>
      <c r="I549" s="360"/>
      <c r="J549" s="360"/>
      <c r="K549" s="360"/>
      <c r="L549" s="360"/>
      <c r="M549" s="361"/>
    </row>
    <row r="550" ht="15.75" customHeight="1">
      <c r="B550" s="363"/>
      <c r="C550" s="364"/>
      <c r="D550" s="365"/>
      <c r="E550" s="363"/>
      <c r="F550" s="364"/>
      <c r="G550" s="364"/>
      <c r="H550" s="364"/>
      <c r="I550" s="364"/>
      <c r="J550" s="364"/>
      <c r="K550" s="364"/>
      <c r="L550" s="364"/>
      <c r="M550" s="365"/>
    </row>
    <row r="551" ht="15.75" customHeight="1">
      <c r="B551" s="369"/>
      <c r="C551" s="369"/>
      <c r="D551" s="370"/>
      <c r="E551" s="370"/>
      <c r="F551" s="369"/>
      <c r="G551" s="369"/>
      <c r="H551" s="369"/>
      <c r="I551" s="369"/>
      <c r="J551" s="369"/>
      <c r="K551" s="369"/>
      <c r="L551" s="371"/>
      <c r="M551" s="158"/>
    </row>
    <row r="552" ht="15.75" customHeight="1">
      <c r="B552" s="372"/>
      <c r="C552" s="373">
        <v>46209.0</v>
      </c>
      <c r="D552" s="373"/>
      <c r="E552" s="373">
        <v>46210.0</v>
      </c>
      <c r="F552" s="373"/>
      <c r="G552" s="373">
        <v>46211.0</v>
      </c>
      <c r="H552" s="373"/>
      <c r="I552" s="373">
        <v>46212.0</v>
      </c>
      <c r="J552" s="373"/>
      <c r="K552" s="373">
        <v>46213.0</v>
      </c>
      <c r="L552" s="374"/>
      <c r="M552" s="375" t="s">
        <v>1079</v>
      </c>
    </row>
    <row r="553" ht="15.75" customHeight="1">
      <c r="B553" s="376" t="s">
        <v>1295</v>
      </c>
      <c r="C553" s="150"/>
      <c r="D553" s="150"/>
      <c r="E553" s="150"/>
      <c r="F553" s="150"/>
      <c r="G553" s="150"/>
      <c r="H553" s="150"/>
      <c r="I553" s="150"/>
      <c r="J553" s="150"/>
      <c r="K553" s="150"/>
      <c r="L553" s="151"/>
      <c r="M553" s="365"/>
    </row>
    <row r="554" ht="15.75" customHeight="1">
      <c r="B554" s="369"/>
      <c r="C554" s="369"/>
      <c r="D554" s="370"/>
      <c r="E554" s="370"/>
      <c r="F554" s="369"/>
      <c r="G554" s="369"/>
      <c r="H554" s="369"/>
      <c r="I554" s="369"/>
      <c r="J554" s="369"/>
      <c r="K554" s="369"/>
      <c r="L554" s="158"/>
      <c r="M554" s="158"/>
    </row>
    <row r="555" ht="15.75" customHeight="1">
      <c r="A555" s="377"/>
      <c r="B555" s="378" t="s">
        <v>394</v>
      </c>
      <c r="C555" s="379" t="s">
        <v>171</v>
      </c>
      <c r="D555" s="381"/>
      <c r="E555" s="379" t="s">
        <v>38</v>
      </c>
      <c r="F555" s="381"/>
      <c r="G555" s="379" t="s">
        <v>38</v>
      </c>
      <c r="H555" s="381"/>
      <c r="I555" s="448"/>
      <c r="J555" s="381"/>
      <c r="K555" s="379" t="s">
        <v>38</v>
      </c>
      <c r="L555" s="383"/>
      <c r="M555" s="384" t="s">
        <v>1083</v>
      </c>
    </row>
    <row r="556" ht="15.75" customHeight="1">
      <c r="A556" s="377"/>
      <c r="B556" s="385"/>
      <c r="C556" s="386" t="s">
        <v>654</v>
      </c>
      <c r="D556" s="388"/>
      <c r="E556" s="386" t="s">
        <v>1296</v>
      </c>
      <c r="F556" s="388"/>
      <c r="G556" s="386" t="s">
        <v>1296</v>
      </c>
      <c r="H556" s="388"/>
      <c r="I556" s="450"/>
      <c r="J556" s="388"/>
      <c r="K556" s="386" t="s">
        <v>1296</v>
      </c>
      <c r="L556" s="383"/>
      <c r="M556" s="390">
        <v>2.0</v>
      </c>
    </row>
    <row r="557" ht="15.75" customHeight="1">
      <c r="A557" s="377"/>
      <c r="B557" s="385"/>
      <c r="C557" s="386" t="s">
        <v>1297</v>
      </c>
      <c r="D557" s="388"/>
      <c r="E557" s="386" t="s">
        <v>871</v>
      </c>
      <c r="F557" s="388"/>
      <c r="G557" s="386" t="s">
        <v>871</v>
      </c>
      <c r="H557" s="388"/>
      <c r="I557" s="450"/>
      <c r="J557" s="388"/>
      <c r="K557" s="386" t="s">
        <v>1298</v>
      </c>
      <c r="L557" s="383"/>
      <c r="M557" s="154"/>
    </row>
    <row r="558" ht="15.75" customHeight="1">
      <c r="A558" s="377"/>
      <c r="B558" s="385"/>
      <c r="C558" s="391" t="s">
        <v>1299</v>
      </c>
      <c r="D558" s="392"/>
      <c r="E558" s="391" t="s">
        <v>1300</v>
      </c>
      <c r="F558" s="393"/>
      <c r="G558" s="391" t="s">
        <v>533</v>
      </c>
      <c r="H558" s="393"/>
      <c r="I558" s="452"/>
      <c r="J558" s="393"/>
      <c r="K558" s="406" t="s">
        <v>1108</v>
      </c>
      <c r="L558" s="383"/>
      <c r="M558" s="158"/>
    </row>
    <row r="559" ht="15.75" customHeight="1">
      <c r="A559" s="377"/>
      <c r="B559" s="395"/>
      <c r="C559" s="439" t="s">
        <v>1301</v>
      </c>
      <c r="D559" s="440"/>
      <c r="E559" s="439" t="s">
        <v>1302</v>
      </c>
      <c r="F559" s="441"/>
      <c r="G559" s="439" t="s">
        <v>1303</v>
      </c>
      <c r="H559" s="441"/>
      <c r="I559" s="454"/>
      <c r="J559" s="441"/>
      <c r="K559" s="442" t="s">
        <v>1154</v>
      </c>
      <c r="L559" s="383"/>
      <c r="M559" s="158"/>
    </row>
    <row r="560" ht="15.75" customHeight="1">
      <c r="A560" s="193"/>
      <c r="B560" s="400"/>
      <c r="C560" s="401"/>
      <c r="D560" s="401"/>
      <c r="E560" s="402"/>
      <c r="F560" s="402"/>
      <c r="G560" s="402"/>
      <c r="H560" s="402"/>
      <c r="I560" s="472"/>
      <c r="J560" s="402"/>
      <c r="K560" s="403"/>
      <c r="L560" s="383"/>
      <c r="M560" s="384" t="s">
        <v>1100</v>
      </c>
    </row>
    <row r="561" ht="15.75" customHeight="1">
      <c r="A561" s="377"/>
      <c r="B561" s="378" t="s">
        <v>418</v>
      </c>
      <c r="C561" s="379" t="s">
        <v>1304</v>
      </c>
      <c r="D561" s="404"/>
      <c r="E561" s="379" t="s">
        <v>1173</v>
      </c>
      <c r="F561" s="381"/>
      <c r="G561" s="379" t="s">
        <v>1173</v>
      </c>
      <c r="H561" s="381"/>
      <c r="I561" s="448"/>
      <c r="J561" s="381"/>
      <c r="K561" s="382" t="s">
        <v>1173</v>
      </c>
      <c r="L561" s="383"/>
      <c r="M561" s="390">
        <v>1.0</v>
      </c>
    </row>
    <row r="562" ht="15.75" customHeight="1">
      <c r="A562" s="377"/>
      <c r="B562" s="385"/>
      <c r="C562" s="386" t="s">
        <v>1305</v>
      </c>
      <c r="D562" s="405"/>
      <c r="E562" s="386" t="s">
        <v>38</v>
      </c>
      <c r="F562" s="388"/>
      <c r="G562" s="386" t="s">
        <v>38</v>
      </c>
      <c r="H562" s="388"/>
      <c r="I562" s="450"/>
      <c r="J562" s="388"/>
      <c r="K562" s="389" t="s">
        <v>38</v>
      </c>
      <c r="L562" s="383"/>
      <c r="M562" s="154"/>
    </row>
    <row r="563" ht="15.75" customHeight="1">
      <c r="A563" s="377"/>
      <c r="B563" s="385"/>
      <c r="C563" s="386" t="s">
        <v>1306</v>
      </c>
      <c r="D563" s="405"/>
      <c r="E563" s="386" t="s">
        <v>1307</v>
      </c>
      <c r="F563" s="388"/>
      <c r="G563" s="386" t="s">
        <v>1307</v>
      </c>
      <c r="H563" s="388"/>
      <c r="I563" s="450"/>
      <c r="J563" s="388"/>
      <c r="K563" s="389" t="s">
        <v>1308</v>
      </c>
      <c r="L563" s="383"/>
      <c r="M563" s="158"/>
    </row>
    <row r="564" ht="15.75" customHeight="1">
      <c r="A564" s="377"/>
      <c r="B564" s="385"/>
      <c r="C564" s="391" t="s">
        <v>533</v>
      </c>
      <c r="D564" s="392"/>
      <c r="E564" s="391" t="s">
        <v>533</v>
      </c>
      <c r="F564" s="393"/>
      <c r="G564" s="391" t="s">
        <v>533</v>
      </c>
      <c r="H564" s="393"/>
      <c r="I564" s="473"/>
      <c r="J564" s="393"/>
      <c r="K564" s="406" t="s">
        <v>1108</v>
      </c>
      <c r="L564" s="383"/>
      <c r="M564" s="158"/>
    </row>
    <row r="565" ht="15.75" customHeight="1">
      <c r="A565" s="377"/>
      <c r="B565" s="395"/>
      <c r="C565" s="439" t="s">
        <v>1161</v>
      </c>
      <c r="D565" s="440"/>
      <c r="E565" s="439" t="s">
        <v>1099</v>
      </c>
      <c r="F565" s="441"/>
      <c r="G565" s="396" t="s">
        <v>1162</v>
      </c>
      <c r="H565" s="441"/>
      <c r="I565" s="454"/>
      <c r="J565" s="441"/>
      <c r="K565" s="442" t="s">
        <v>1163</v>
      </c>
      <c r="L565" s="383"/>
      <c r="M565" s="384" t="s">
        <v>1113</v>
      </c>
    </row>
    <row r="566" ht="15.75" customHeight="1">
      <c r="A566" s="193"/>
      <c r="B566" s="407"/>
      <c r="C566" s="401"/>
      <c r="D566" s="401"/>
      <c r="E566" s="402"/>
      <c r="F566" s="402"/>
      <c r="G566" s="402"/>
      <c r="H566" s="402"/>
      <c r="I566" s="472"/>
      <c r="J566" s="402"/>
      <c r="K566" s="403"/>
      <c r="L566" s="383"/>
      <c r="M566" s="390"/>
    </row>
    <row r="567" ht="15.75" customHeight="1">
      <c r="A567" s="377"/>
      <c r="B567" s="378" t="s">
        <v>1114</v>
      </c>
      <c r="C567" s="379" t="s">
        <v>9</v>
      </c>
      <c r="D567" s="408"/>
      <c r="E567" s="379" t="s">
        <v>9</v>
      </c>
      <c r="F567" s="409"/>
      <c r="G567" s="379" t="s">
        <v>9</v>
      </c>
      <c r="H567" s="409"/>
      <c r="I567" s="448"/>
      <c r="J567" s="409"/>
      <c r="K567" s="379"/>
      <c r="L567" s="383"/>
      <c r="M567" s="154"/>
    </row>
    <row r="568" ht="15.75" customHeight="1">
      <c r="A568" s="377"/>
      <c r="B568" s="385"/>
      <c r="C568" s="386" t="s">
        <v>1309</v>
      </c>
      <c r="D568" s="410"/>
      <c r="E568" s="386" t="s">
        <v>973</v>
      </c>
      <c r="F568" s="411"/>
      <c r="G568" s="386" t="s">
        <v>410</v>
      </c>
      <c r="H568" s="411"/>
      <c r="I568" s="450"/>
      <c r="J568" s="411"/>
      <c r="K568" s="468"/>
      <c r="L568" s="383"/>
      <c r="M568" s="158"/>
    </row>
    <row r="569" ht="15.75" customHeight="1">
      <c r="A569" s="377"/>
      <c r="B569" s="385"/>
      <c r="C569" s="386" t="s">
        <v>1310</v>
      </c>
      <c r="D569" s="410"/>
      <c r="E569" s="386" t="s">
        <v>1311</v>
      </c>
      <c r="F569" s="411"/>
      <c r="G569" s="386" t="s">
        <v>1312</v>
      </c>
      <c r="H569" s="411"/>
      <c r="I569" s="450"/>
      <c r="J569" s="411"/>
      <c r="K569" s="386"/>
      <c r="L569" s="383"/>
      <c r="M569" s="158"/>
    </row>
    <row r="570" ht="15.75" customHeight="1">
      <c r="A570" s="377"/>
      <c r="B570" s="385"/>
      <c r="C570" s="391" t="s">
        <v>533</v>
      </c>
      <c r="D570" s="401"/>
      <c r="E570" s="391" t="s">
        <v>533</v>
      </c>
      <c r="F570" s="402"/>
      <c r="G570" s="391" t="s">
        <v>533</v>
      </c>
      <c r="H570" s="402"/>
      <c r="I570" s="452"/>
      <c r="J570" s="402"/>
      <c r="K570" s="394" t="s">
        <v>533</v>
      </c>
      <c r="L570" s="383"/>
      <c r="M570" s="384" t="s">
        <v>1118</v>
      </c>
    </row>
    <row r="571" ht="15.75" customHeight="1">
      <c r="A571" s="377"/>
      <c r="B571" s="395"/>
      <c r="C571" s="439" t="s">
        <v>1168</v>
      </c>
      <c r="D571" s="446"/>
      <c r="E571" s="439" t="s">
        <v>1169</v>
      </c>
      <c r="F571" s="447"/>
      <c r="G571" s="439" t="s">
        <v>1154</v>
      </c>
      <c r="H571" s="447"/>
      <c r="I571" s="454"/>
      <c r="J571" s="447"/>
      <c r="K571" s="442" t="s">
        <v>1154</v>
      </c>
      <c r="L571" s="383"/>
      <c r="M571" s="390"/>
    </row>
    <row r="572" ht="15.75" customHeight="1">
      <c r="A572" s="193"/>
      <c r="B572" s="413"/>
      <c r="C572" s="414"/>
      <c r="D572" s="414"/>
      <c r="E572" s="413"/>
      <c r="F572" s="413"/>
      <c r="G572" s="413"/>
      <c r="H572" s="413"/>
      <c r="I572" s="413"/>
      <c r="J572" s="413"/>
      <c r="K572" s="415"/>
      <c r="L572" s="158"/>
      <c r="M572" s="154"/>
    </row>
    <row r="573" ht="15.75" customHeight="1">
      <c r="A573" s="416" t="s">
        <v>1313</v>
      </c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1"/>
      <c r="M573" s="158"/>
    </row>
    <row r="574" ht="15.75" customHeight="1">
      <c r="A574" s="193"/>
      <c r="B574" s="193"/>
      <c r="C574" s="370"/>
      <c r="D574" s="370"/>
      <c r="E574" s="369"/>
      <c r="F574" s="369"/>
      <c r="G574" s="369"/>
      <c r="H574" s="369"/>
      <c r="I574" s="474"/>
      <c r="J574" s="369"/>
      <c r="K574" s="371"/>
      <c r="L574" s="158"/>
      <c r="M574" s="158"/>
    </row>
    <row r="575" ht="15.75" customHeight="1">
      <c r="A575" s="193"/>
      <c r="B575" s="417" t="s">
        <v>394</v>
      </c>
      <c r="C575" s="418" t="s">
        <v>99</v>
      </c>
      <c r="D575" s="419"/>
      <c r="E575" s="420" t="s">
        <v>39</v>
      </c>
      <c r="F575" s="421"/>
      <c r="G575" s="420" t="s">
        <v>25</v>
      </c>
      <c r="H575" s="421"/>
      <c r="I575" s="475"/>
      <c r="J575" s="421"/>
      <c r="K575" s="420" t="s">
        <v>443</v>
      </c>
      <c r="L575" s="383"/>
      <c r="M575" s="384" t="s">
        <v>1122</v>
      </c>
    </row>
    <row r="576" ht="15.75" customHeight="1">
      <c r="A576" s="193"/>
      <c r="B576" s="423"/>
      <c r="C576" s="424" t="s">
        <v>1314</v>
      </c>
      <c r="D576" s="410"/>
      <c r="E576" s="386" t="s">
        <v>1315</v>
      </c>
      <c r="F576" s="411"/>
      <c r="G576" s="386" t="s">
        <v>783</v>
      </c>
      <c r="H576" s="411"/>
      <c r="I576" s="450"/>
      <c r="J576" s="411"/>
      <c r="K576" s="425" t="s">
        <v>1316</v>
      </c>
      <c r="L576" s="383"/>
      <c r="M576" s="390">
        <v>3.0</v>
      </c>
    </row>
    <row r="577" ht="15.75" customHeight="1">
      <c r="A577" s="193"/>
      <c r="B577" s="423"/>
      <c r="C577" s="424" t="s">
        <v>1317</v>
      </c>
      <c r="D577" s="410"/>
      <c r="E577" s="386" t="s">
        <v>646</v>
      </c>
      <c r="F577" s="411"/>
      <c r="G577" s="386" t="s">
        <v>1318</v>
      </c>
      <c r="H577" s="411"/>
      <c r="I577" s="450"/>
      <c r="J577" s="411"/>
      <c r="K577" s="425" t="s">
        <v>825</v>
      </c>
      <c r="L577" s="383"/>
      <c r="M577" s="166"/>
    </row>
    <row r="578" ht="15.75" customHeight="1">
      <c r="A578" s="193"/>
      <c r="B578" s="423"/>
      <c r="C578" s="424"/>
      <c r="D578" s="410"/>
      <c r="E578" s="386" t="s">
        <v>1319</v>
      </c>
      <c r="F578" s="411"/>
      <c r="G578" s="386" t="s">
        <v>1320</v>
      </c>
      <c r="H578" s="411"/>
      <c r="I578" s="450"/>
      <c r="J578" s="411"/>
      <c r="K578" s="426"/>
      <c r="L578" s="383"/>
      <c r="M578" s="154"/>
    </row>
    <row r="579" ht="15.75" customHeight="1">
      <c r="A579" s="193"/>
      <c r="B579" s="423"/>
      <c r="C579" s="427" t="s">
        <v>1300</v>
      </c>
      <c r="D579" s="401"/>
      <c r="E579" s="391" t="s">
        <v>1108</v>
      </c>
      <c r="F579" s="402"/>
      <c r="G579" s="391" t="s">
        <v>533</v>
      </c>
      <c r="H579" s="402"/>
      <c r="I579" s="452"/>
      <c r="J579" s="402"/>
      <c r="K579" s="428" t="s">
        <v>533</v>
      </c>
      <c r="L579" s="383"/>
      <c r="M579" s="429" t="s">
        <v>1135</v>
      </c>
    </row>
    <row r="580" ht="15.75" customHeight="1">
      <c r="A580" s="193"/>
      <c r="B580" s="363"/>
      <c r="C580" s="430" t="s">
        <v>1136</v>
      </c>
      <c r="D580" s="431"/>
      <c r="E580" s="432" t="s">
        <v>1138</v>
      </c>
      <c r="F580" s="433"/>
      <c r="G580" s="432" t="s">
        <v>1139</v>
      </c>
      <c r="H580" s="433"/>
      <c r="I580" s="476"/>
      <c r="J580" s="433"/>
      <c r="K580" s="434" t="s">
        <v>1185</v>
      </c>
      <c r="L580" s="383"/>
      <c r="M580" s="435">
        <f>M556+M561+M566+M571+M576</f>
        <v>6</v>
      </c>
    </row>
    <row r="581" ht="15.75" customHeight="1">
      <c r="A581" s="436" t="s">
        <v>1141</v>
      </c>
      <c r="B581" s="150"/>
      <c r="C581" s="150"/>
      <c r="D581" s="150"/>
      <c r="E581" s="150"/>
      <c r="F581" s="150"/>
      <c r="G581" s="150"/>
      <c r="H581" s="151"/>
      <c r="I581" s="437" t="s">
        <v>1142</v>
      </c>
      <c r="J581" s="150"/>
      <c r="K581" s="150"/>
      <c r="L581" s="150"/>
      <c r="M581" s="151"/>
    </row>
    <row r="582" ht="15.75" customHeight="1">
      <c r="B582" s="268"/>
      <c r="C582" s="268"/>
      <c r="D582" s="319"/>
      <c r="E582" s="319"/>
      <c r="F582" s="268"/>
      <c r="G582" s="268"/>
      <c r="H582" s="268"/>
      <c r="I582" s="268"/>
      <c r="J582" s="268"/>
      <c r="K582" s="268"/>
    </row>
    <row r="583" ht="15.75" customHeight="1">
      <c r="B583" s="268"/>
      <c r="C583" s="268"/>
      <c r="D583" s="319"/>
      <c r="E583" s="319"/>
      <c r="F583" s="268"/>
      <c r="G583" s="268"/>
      <c r="H583" s="268"/>
      <c r="I583" s="268"/>
      <c r="J583" s="268"/>
      <c r="K583" s="268"/>
    </row>
    <row r="584" ht="15.75" customHeight="1">
      <c r="B584" s="268"/>
      <c r="C584" s="268"/>
      <c r="D584" s="319"/>
      <c r="E584" s="319"/>
      <c r="F584" s="268"/>
      <c r="G584" s="268"/>
      <c r="H584" s="268"/>
      <c r="I584" s="268"/>
      <c r="J584" s="268"/>
      <c r="K584" s="268"/>
    </row>
    <row r="585" ht="15.75" customHeight="1">
      <c r="B585" s="268"/>
      <c r="C585" s="268"/>
      <c r="D585" s="319"/>
      <c r="E585" s="319"/>
      <c r="F585" s="268"/>
      <c r="G585" s="268"/>
      <c r="H585" s="268"/>
      <c r="I585" s="268"/>
      <c r="J585" s="268"/>
      <c r="K585" s="268"/>
    </row>
    <row r="586" ht="15.75" customHeight="1">
      <c r="B586" s="268"/>
      <c r="C586" s="268"/>
      <c r="D586" s="319"/>
      <c r="E586" s="319"/>
      <c r="F586" s="268"/>
      <c r="G586" s="268"/>
      <c r="H586" s="268"/>
      <c r="I586" s="268"/>
      <c r="J586" s="268"/>
      <c r="K586" s="268"/>
    </row>
    <row r="587" ht="15.75" customHeight="1">
      <c r="B587" s="268"/>
      <c r="C587" s="268"/>
      <c r="D587" s="319"/>
      <c r="E587" s="319"/>
      <c r="F587" s="268"/>
      <c r="G587" s="268"/>
      <c r="H587" s="268"/>
      <c r="I587" s="268"/>
      <c r="J587" s="268"/>
      <c r="K587" s="268"/>
    </row>
    <row r="588" ht="15.75" customHeight="1">
      <c r="B588" s="268"/>
      <c r="C588" s="268"/>
      <c r="D588" s="319"/>
      <c r="E588" s="319"/>
      <c r="F588" s="268"/>
      <c r="G588" s="268"/>
      <c r="H588" s="268"/>
      <c r="I588" s="268"/>
      <c r="J588" s="268"/>
      <c r="K588" s="268"/>
    </row>
    <row r="589" ht="15.75" customHeight="1">
      <c r="B589" s="268"/>
      <c r="C589" s="268"/>
      <c r="D589" s="319"/>
      <c r="E589" s="319"/>
      <c r="F589" s="268"/>
      <c r="G589" s="268"/>
      <c r="H589" s="268"/>
      <c r="I589" s="268"/>
      <c r="J589" s="268"/>
      <c r="K589" s="268"/>
    </row>
    <row r="590" ht="15.75" customHeight="1">
      <c r="B590" s="268"/>
      <c r="C590" s="268"/>
      <c r="D590" s="319"/>
      <c r="E590" s="319"/>
      <c r="F590" s="268"/>
      <c r="G590" s="268"/>
      <c r="H590" s="268"/>
      <c r="I590" s="268"/>
      <c r="J590" s="268"/>
      <c r="K590" s="268"/>
    </row>
    <row r="591" ht="15.75" customHeight="1">
      <c r="B591" s="268"/>
      <c r="C591" s="268"/>
      <c r="D591" s="319"/>
      <c r="E591" s="319"/>
      <c r="F591" s="268"/>
      <c r="G591" s="268"/>
      <c r="H591" s="268"/>
      <c r="I591" s="268"/>
      <c r="J591" s="268"/>
      <c r="K591" s="268"/>
    </row>
    <row r="592" ht="15.75" customHeight="1">
      <c r="B592" s="268"/>
      <c r="C592" s="268"/>
      <c r="D592" s="319"/>
      <c r="E592" s="319"/>
      <c r="F592" s="268"/>
      <c r="G592" s="268"/>
      <c r="H592" s="268"/>
      <c r="I592" s="268"/>
      <c r="J592" s="268"/>
      <c r="K592" s="268"/>
    </row>
    <row r="593" ht="15.75" customHeight="1">
      <c r="B593" s="268"/>
      <c r="C593" s="268"/>
      <c r="D593" s="319"/>
      <c r="E593" s="319"/>
      <c r="F593" s="268"/>
      <c r="G593" s="268"/>
      <c r="H593" s="268"/>
      <c r="I593" s="268"/>
      <c r="J593" s="268"/>
      <c r="K593" s="268"/>
    </row>
    <row r="594" ht="15.75" customHeight="1">
      <c r="B594" s="268"/>
      <c r="C594" s="268"/>
      <c r="D594" s="319"/>
      <c r="E594" s="319"/>
      <c r="F594" s="268"/>
      <c r="G594" s="268"/>
      <c r="H594" s="268"/>
      <c r="I594" s="268"/>
      <c r="J594" s="268"/>
      <c r="K594" s="268"/>
    </row>
    <row r="595" ht="15.75" customHeight="1">
      <c r="B595" s="268"/>
      <c r="C595" s="268"/>
      <c r="D595" s="319"/>
      <c r="E595" s="319"/>
      <c r="F595" s="268"/>
      <c r="G595" s="268"/>
      <c r="H595" s="268"/>
      <c r="I595" s="268"/>
      <c r="J595" s="268"/>
      <c r="K595" s="268"/>
    </row>
    <row r="596" ht="15.75" customHeight="1">
      <c r="B596" s="268"/>
      <c r="C596" s="268"/>
      <c r="D596" s="319"/>
      <c r="E596" s="319"/>
      <c r="F596" s="268"/>
      <c r="G596" s="268"/>
      <c r="H596" s="268"/>
      <c r="I596" s="268"/>
      <c r="J596" s="268"/>
      <c r="K596" s="268"/>
    </row>
    <row r="597" ht="15.75" customHeight="1">
      <c r="B597" s="268"/>
      <c r="C597" s="268"/>
      <c r="D597" s="319"/>
      <c r="E597" s="319"/>
      <c r="F597" s="268"/>
      <c r="G597" s="268"/>
      <c r="H597" s="268"/>
      <c r="I597" s="268"/>
      <c r="J597" s="268"/>
      <c r="K597" s="268"/>
    </row>
    <row r="598" ht="15.75" customHeight="1">
      <c r="B598" s="268"/>
      <c r="C598" s="268"/>
      <c r="D598" s="319"/>
      <c r="E598" s="319"/>
      <c r="F598" s="268"/>
      <c r="G598" s="268"/>
      <c r="H598" s="268"/>
      <c r="I598" s="268"/>
      <c r="J598" s="268"/>
      <c r="K598" s="268"/>
    </row>
    <row r="599" ht="15.75" customHeight="1">
      <c r="B599" s="268"/>
      <c r="C599" s="268"/>
      <c r="D599" s="319"/>
      <c r="E599" s="319"/>
      <c r="F599" s="268"/>
      <c r="G599" s="268"/>
      <c r="H599" s="268"/>
      <c r="I599" s="268"/>
      <c r="J599" s="268"/>
      <c r="K599" s="268"/>
    </row>
    <row r="600" ht="15.75" customHeight="1">
      <c r="B600" s="268"/>
      <c r="C600" s="268"/>
      <c r="D600" s="319"/>
      <c r="E600" s="319"/>
      <c r="F600" s="268"/>
      <c r="G600" s="268"/>
      <c r="H600" s="268"/>
      <c r="I600" s="268"/>
      <c r="J600" s="268"/>
      <c r="K600" s="268"/>
    </row>
    <row r="601" ht="15.75" customHeight="1">
      <c r="B601" s="268"/>
      <c r="C601" s="268"/>
      <c r="D601" s="319"/>
      <c r="E601" s="319"/>
      <c r="F601" s="268"/>
      <c r="G601" s="268"/>
      <c r="H601" s="268"/>
      <c r="I601" s="268"/>
      <c r="J601" s="268"/>
      <c r="K601" s="268"/>
    </row>
    <row r="602" ht="15.75" customHeight="1">
      <c r="B602" s="268"/>
      <c r="C602" s="268"/>
      <c r="D602" s="319"/>
      <c r="E602" s="319"/>
      <c r="F602" s="268"/>
      <c r="G602" s="268"/>
      <c r="H602" s="268"/>
      <c r="I602" s="268"/>
      <c r="J602" s="268"/>
      <c r="K602" s="268"/>
    </row>
    <row r="603" ht="15.75" customHeight="1">
      <c r="B603" s="268"/>
      <c r="C603" s="268"/>
      <c r="D603" s="319"/>
      <c r="E603" s="319"/>
      <c r="F603" s="268"/>
      <c r="G603" s="268"/>
      <c r="H603" s="268"/>
      <c r="I603" s="268"/>
      <c r="J603" s="268"/>
      <c r="K603" s="268"/>
    </row>
    <row r="604" ht="15.75" customHeight="1">
      <c r="B604" s="268"/>
      <c r="C604" s="268"/>
      <c r="D604" s="319"/>
      <c r="E604" s="319"/>
      <c r="F604" s="268"/>
      <c r="G604" s="268"/>
      <c r="H604" s="268"/>
      <c r="I604" s="268"/>
      <c r="J604" s="268"/>
      <c r="K604" s="268"/>
    </row>
    <row r="605" ht="15.75" customHeight="1">
      <c r="B605" s="268"/>
      <c r="C605" s="268"/>
      <c r="D605" s="319"/>
      <c r="E605" s="319"/>
      <c r="F605" s="268"/>
      <c r="G605" s="268"/>
      <c r="H605" s="268"/>
      <c r="I605" s="268"/>
      <c r="J605" s="268"/>
      <c r="K605" s="268"/>
    </row>
    <row r="606" ht="15.75" customHeight="1">
      <c r="B606" s="268"/>
      <c r="C606" s="268"/>
      <c r="D606" s="319"/>
      <c r="E606" s="319"/>
      <c r="F606" s="268"/>
      <c r="G606" s="268"/>
      <c r="H606" s="268"/>
      <c r="I606" s="268"/>
      <c r="J606" s="268"/>
      <c r="K606" s="268"/>
    </row>
    <row r="607" ht="15.75" customHeight="1">
      <c r="B607" s="268"/>
      <c r="C607" s="268"/>
      <c r="D607" s="319"/>
      <c r="E607" s="319"/>
      <c r="F607" s="268"/>
      <c r="G607" s="268"/>
      <c r="H607" s="268"/>
      <c r="I607" s="268"/>
      <c r="J607" s="268"/>
      <c r="K607" s="268"/>
    </row>
    <row r="608" ht="15.75" customHeight="1">
      <c r="B608" s="268"/>
      <c r="C608" s="268"/>
      <c r="D608" s="319"/>
      <c r="E608" s="319"/>
      <c r="F608" s="268"/>
      <c r="G608" s="268"/>
      <c r="H608" s="268"/>
      <c r="I608" s="268"/>
      <c r="J608" s="268"/>
      <c r="K608" s="268"/>
    </row>
    <row r="609" ht="15.75" customHeight="1">
      <c r="B609" s="268"/>
      <c r="C609" s="268"/>
      <c r="D609" s="319"/>
      <c r="E609" s="319"/>
      <c r="F609" s="268"/>
      <c r="G609" s="268"/>
      <c r="H609" s="268"/>
      <c r="I609" s="268"/>
      <c r="J609" s="268"/>
      <c r="K609" s="268"/>
    </row>
    <row r="610" ht="15.75" customHeight="1">
      <c r="B610" s="268"/>
      <c r="C610" s="268"/>
      <c r="D610" s="319"/>
      <c r="E610" s="319"/>
      <c r="F610" s="268"/>
      <c r="G610" s="268"/>
      <c r="H610" s="268"/>
      <c r="I610" s="268"/>
      <c r="J610" s="268"/>
      <c r="K610" s="268"/>
    </row>
    <row r="611" ht="15.75" customHeight="1">
      <c r="B611" s="268"/>
      <c r="C611" s="268"/>
      <c r="D611" s="319"/>
      <c r="E611" s="319"/>
      <c r="F611" s="268"/>
      <c r="G611" s="268"/>
      <c r="H611" s="268"/>
      <c r="I611" s="268"/>
      <c r="J611" s="268"/>
      <c r="K611" s="268"/>
    </row>
    <row r="612" ht="15.75" customHeight="1">
      <c r="B612" s="268"/>
      <c r="C612" s="268"/>
      <c r="D612" s="319"/>
      <c r="E612" s="319"/>
      <c r="F612" s="268"/>
      <c r="G612" s="268"/>
      <c r="H612" s="268"/>
      <c r="I612" s="268"/>
      <c r="J612" s="268"/>
      <c r="K612" s="268"/>
    </row>
    <row r="613" ht="15.75" customHeight="1">
      <c r="B613" s="268"/>
      <c r="C613" s="268"/>
      <c r="D613" s="319"/>
      <c r="E613" s="319"/>
      <c r="F613" s="268"/>
      <c r="G613" s="268"/>
      <c r="H613" s="268"/>
      <c r="I613" s="268"/>
      <c r="J613" s="268"/>
      <c r="K613" s="268"/>
    </row>
    <row r="614" ht="15.75" customHeight="1">
      <c r="B614" s="268"/>
      <c r="C614" s="268"/>
      <c r="D614" s="319"/>
      <c r="E614" s="319"/>
      <c r="F614" s="268"/>
      <c r="G614" s="268"/>
      <c r="H614" s="268"/>
      <c r="I614" s="268"/>
      <c r="J614" s="268"/>
      <c r="K614" s="268"/>
    </row>
    <row r="615" ht="15.75" customHeight="1">
      <c r="B615" s="268"/>
      <c r="C615" s="268"/>
      <c r="D615" s="319"/>
      <c r="E615" s="319"/>
      <c r="F615" s="268"/>
      <c r="G615" s="268"/>
      <c r="H615" s="268"/>
      <c r="I615" s="268"/>
      <c r="J615" s="268"/>
      <c r="K615" s="268"/>
    </row>
    <row r="616" ht="15.75" customHeight="1">
      <c r="B616" s="268"/>
      <c r="C616" s="268"/>
      <c r="D616" s="319"/>
      <c r="E616" s="319"/>
      <c r="F616" s="268"/>
      <c r="G616" s="268"/>
      <c r="H616" s="268"/>
      <c r="I616" s="268"/>
      <c r="J616" s="268"/>
      <c r="K616" s="268"/>
    </row>
    <row r="617" ht="15.75" customHeight="1">
      <c r="B617" s="268"/>
      <c r="C617" s="268"/>
      <c r="D617" s="319"/>
      <c r="E617" s="319"/>
      <c r="F617" s="268"/>
      <c r="G617" s="268"/>
      <c r="H617" s="268"/>
      <c r="I617" s="268"/>
      <c r="J617" s="268"/>
      <c r="K617" s="268"/>
    </row>
    <row r="618" ht="15.75" customHeight="1">
      <c r="B618" s="268"/>
      <c r="C618" s="268"/>
      <c r="D618" s="319"/>
      <c r="E618" s="319"/>
      <c r="F618" s="268"/>
      <c r="G618" s="268"/>
      <c r="H618" s="268"/>
      <c r="I618" s="268"/>
      <c r="J618" s="268"/>
      <c r="K618" s="268"/>
    </row>
    <row r="619" ht="15.75" customHeight="1">
      <c r="B619" s="268"/>
      <c r="C619" s="268"/>
      <c r="D619" s="319"/>
      <c r="E619" s="319"/>
      <c r="F619" s="268"/>
      <c r="G619" s="268"/>
      <c r="H619" s="268"/>
      <c r="I619" s="268"/>
      <c r="J619" s="268"/>
      <c r="K619" s="268"/>
    </row>
    <row r="620" ht="15.75" customHeight="1">
      <c r="B620" s="268"/>
      <c r="C620" s="268"/>
      <c r="D620" s="319"/>
      <c r="E620" s="319"/>
      <c r="F620" s="268"/>
      <c r="G620" s="268"/>
      <c r="H620" s="268"/>
      <c r="I620" s="268"/>
      <c r="J620" s="268"/>
      <c r="K620" s="268"/>
    </row>
    <row r="621" ht="15.75" customHeight="1">
      <c r="B621" s="268"/>
      <c r="C621" s="268"/>
      <c r="D621" s="319"/>
      <c r="E621" s="319"/>
      <c r="F621" s="268"/>
      <c r="G621" s="268"/>
      <c r="H621" s="268"/>
      <c r="I621" s="268"/>
      <c r="J621" s="268"/>
      <c r="K621" s="268"/>
    </row>
    <row r="622" ht="15.75" customHeight="1">
      <c r="B622" s="268"/>
      <c r="C622" s="268"/>
      <c r="D622" s="319"/>
      <c r="E622" s="319"/>
      <c r="F622" s="268"/>
      <c r="G622" s="268"/>
      <c r="H622" s="268"/>
      <c r="I622" s="268"/>
      <c r="J622" s="268"/>
      <c r="K622" s="268"/>
    </row>
    <row r="623" ht="15.75" customHeight="1">
      <c r="B623" s="268"/>
      <c r="C623" s="268"/>
      <c r="D623" s="319"/>
      <c r="E623" s="319"/>
      <c r="F623" s="268"/>
      <c r="G623" s="268"/>
      <c r="H623" s="268"/>
      <c r="I623" s="268"/>
      <c r="J623" s="268"/>
      <c r="K623" s="268"/>
    </row>
    <row r="624" ht="15.75" customHeight="1">
      <c r="B624" s="268"/>
      <c r="C624" s="268"/>
      <c r="D624" s="319"/>
      <c r="E624" s="319"/>
      <c r="F624" s="268"/>
      <c r="G624" s="268"/>
      <c r="H624" s="268"/>
      <c r="I624" s="268"/>
      <c r="J624" s="268"/>
      <c r="K624" s="268"/>
    </row>
    <row r="625" ht="15.75" customHeight="1">
      <c r="B625" s="268"/>
      <c r="C625" s="268"/>
      <c r="D625" s="319"/>
      <c r="E625" s="319"/>
      <c r="F625" s="268"/>
      <c r="G625" s="268"/>
      <c r="H625" s="268"/>
      <c r="I625" s="268"/>
      <c r="J625" s="268"/>
      <c r="K625" s="268"/>
    </row>
    <row r="626" ht="15.75" customHeight="1">
      <c r="B626" s="268"/>
      <c r="C626" s="268"/>
      <c r="D626" s="319"/>
      <c r="E626" s="319"/>
      <c r="F626" s="268"/>
      <c r="G626" s="268"/>
      <c r="H626" s="268"/>
      <c r="I626" s="268"/>
      <c r="J626" s="268"/>
      <c r="K626" s="268"/>
    </row>
    <row r="627" ht="15.75" customHeight="1">
      <c r="B627" s="268"/>
      <c r="C627" s="268"/>
      <c r="D627" s="319"/>
      <c r="E627" s="319"/>
      <c r="F627" s="268"/>
      <c r="G627" s="268"/>
      <c r="H627" s="268"/>
      <c r="I627" s="268"/>
      <c r="J627" s="268"/>
      <c r="K627" s="268"/>
    </row>
    <row r="628" ht="15.75" customHeight="1">
      <c r="B628" s="268"/>
      <c r="C628" s="268"/>
      <c r="D628" s="319"/>
      <c r="E628" s="319"/>
      <c r="F628" s="268"/>
      <c r="G628" s="268"/>
      <c r="H628" s="268"/>
      <c r="I628" s="268"/>
      <c r="J628" s="268"/>
      <c r="K628" s="268"/>
    </row>
    <row r="629" ht="15.75" customHeight="1">
      <c r="B629" s="268"/>
      <c r="C629" s="268"/>
      <c r="D629" s="319"/>
      <c r="E629" s="319"/>
      <c r="F629" s="268"/>
      <c r="G629" s="268"/>
      <c r="H629" s="268"/>
      <c r="I629" s="268"/>
      <c r="J629" s="268"/>
      <c r="K629" s="268"/>
    </row>
    <row r="630" ht="15.75" customHeight="1">
      <c r="B630" s="268"/>
      <c r="C630" s="268"/>
      <c r="D630" s="319"/>
      <c r="E630" s="319"/>
      <c r="F630" s="268"/>
      <c r="G630" s="268"/>
      <c r="H630" s="268"/>
      <c r="I630" s="268"/>
      <c r="J630" s="268"/>
      <c r="K630" s="268"/>
    </row>
    <row r="631" ht="15.75" customHeight="1">
      <c r="B631" s="268"/>
      <c r="C631" s="268"/>
      <c r="D631" s="319"/>
      <c r="E631" s="319"/>
      <c r="F631" s="268"/>
      <c r="G631" s="268"/>
      <c r="H631" s="268"/>
      <c r="I631" s="268"/>
      <c r="J631" s="268"/>
      <c r="K631" s="268"/>
    </row>
    <row r="632" ht="15.75" customHeight="1">
      <c r="B632" s="268"/>
      <c r="C632" s="268"/>
      <c r="D632" s="319"/>
      <c r="E632" s="319"/>
      <c r="F632" s="268"/>
      <c r="G632" s="268"/>
      <c r="H632" s="268"/>
      <c r="I632" s="268"/>
      <c r="J632" s="268"/>
      <c r="K632" s="268"/>
    </row>
    <row r="633" ht="15.75" customHeight="1">
      <c r="B633" s="268"/>
      <c r="C633" s="268"/>
      <c r="D633" s="319"/>
      <c r="E633" s="319"/>
      <c r="F633" s="268"/>
      <c r="G633" s="268"/>
      <c r="H633" s="268"/>
      <c r="I633" s="268"/>
      <c r="J633" s="268"/>
      <c r="K633" s="268"/>
    </row>
    <row r="634" ht="15.75" customHeight="1">
      <c r="B634" s="268"/>
      <c r="C634" s="268"/>
      <c r="D634" s="319"/>
      <c r="E634" s="319"/>
      <c r="F634" s="268"/>
      <c r="G634" s="268"/>
      <c r="H634" s="268"/>
      <c r="I634" s="268"/>
      <c r="J634" s="268"/>
      <c r="K634" s="268"/>
    </row>
    <row r="635" ht="15.75" customHeight="1">
      <c r="B635" s="268"/>
      <c r="C635" s="268"/>
      <c r="D635" s="319"/>
      <c r="E635" s="319"/>
      <c r="F635" s="268"/>
      <c r="G635" s="268"/>
      <c r="H635" s="268"/>
      <c r="I635" s="268"/>
      <c r="J635" s="268"/>
      <c r="K635" s="268"/>
    </row>
    <row r="636" ht="15.75" customHeight="1">
      <c r="B636" s="268"/>
      <c r="C636" s="268"/>
      <c r="D636" s="319"/>
      <c r="E636" s="319"/>
      <c r="F636" s="268"/>
      <c r="G636" s="268"/>
      <c r="H636" s="268"/>
      <c r="I636" s="268"/>
      <c r="J636" s="268"/>
      <c r="K636" s="268"/>
    </row>
    <row r="637" ht="15.75" customHeight="1">
      <c r="B637" s="268"/>
      <c r="C637" s="268"/>
      <c r="D637" s="319"/>
      <c r="E637" s="319"/>
      <c r="F637" s="268"/>
      <c r="G637" s="268"/>
      <c r="H637" s="268"/>
      <c r="I637" s="268"/>
      <c r="J637" s="268"/>
      <c r="K637" s="268"/>
    </row>
    <row r="638" ht="15.75" customHeight="1">
      <c r="B638" s="268"/>
      <c r="C638" s="268"/>
      <c r="D638" s="319"/>
      <c r="E638" s="319"/>
      <c r="F638" s="268"/>
      <c r="G638" s="268"/>
      <c r="H638" s="268"/>
      <c r="I638" s="268"/>
      <c r="J638" s="268"/>
      <c r="K638" s="268"/>
    </row>
    <row r="639" ht="15.75" customHeight="1">
      <c r="B639" s="268"/>
      <c r="C639" s="268"/>
      <c r="D639" s="319"/>
      <c r="E639" s="319"/>
      <c r="F639" s="268"/>
      <c r="G639" s="268"/>
      <c r="H639" s="268"/>
      <c r="I639" s="268"/>
      <c r="J639" s="268"/>
      <c r="K639" s="268"/>
    </row>
    <row r="640" ht="15.75" customHeight="1">
      <c r="B640" s="268"/>
      <c r="C640" s="268"/>
      <c r="D640" s="319"/>
      <c r="E640" s="319"/>
      <c r="F640" s="268"/>
      <c r="G640" s="268"/>
      <c r="H640" s="268"/>
      <c r="I640" s="268"/>
      <c r="J640" s="268"/>
      <c r="K640" s="268"/>
    </row>
    <row r="641" ht="15.75" customHeight="1">
      <c r="B641" s="268"/>
      <c r="C641" s="268"/>
      <c r="D641" s="319"/>
      <c r="E641" s="319"/>
      <c r="F641" s="268"/>
      <c r="G641" s="268"/>
      <c r="H641" s="268"/>
      <c r="I641" s="268"/>
      <c r="J641" s="268"/>
      <c r="K641" s="268"/>
    </row>
    <row r="642" ht="15.75" customHeight="1">
      <c r="B642" s="268"/>
      <c r="C642" s="268"/>
      <c r="D642" s="319"/>
      <c r="E642" s="319"/>
      <c r="F642" s="268"/>
      <c r="G642" s="268"/>
      <c r="H642" s="268"/>
      <c r="I642" s="268"/>
      <c r="J642" s="268"/>
      <c r="K642" s="268"/>
    </row>
    <row r="643" ht="15.75" customHeight="1">
      <c r="B643" s="268"/>
      <c r="C643" s="268"/>
      <c r="D643" s="319"/>
      <c r="E643" s="319"/>
      <c r="F643" s="268"/>
      <c r="G643" s="268"/>
      <c r="H643" s="268"/>
      <c r="I643" s="268"/>
      <c r="J643" s="268"/>
      <c r="K643" s="268"/>
    </row>
    <row r="644" ht="15.75" customHeight="1">
      <c r="B644" s="268"/>
      <c r="C644" s="268"/>
      <c r="D644" s="319"/>
      <c r="E644" s="319"/>
      <c r="F644" s="268"/>
      <c r="G644" s="268"/>
      <c r="H644" s="268"/>
      <c r="I644" s="268"/>
      <c r="J644" s="268"/>
      <c r="K644" s="268"/>
    </row>
    <row r="645" ht="15.75" customHeight="1">
      <c r="B645" s="268"/>
      <c r="C645" s="268"/>
      <c r="D645" s="319"/>
      <c r="E645" s="319"/>
      <c r="F645" s="268"/>
      <c r="G645" s="268"/>
      <c r="H645" s="268"/>
      <c r="I645" s="268"/>
      <c r="J645" s="268"/>
      <c r="K645" s="268"/>
    </row>
    <row r="646" ht="15.75" customHeight="1">
      <c r="B646" s="268"/>
      <c r="C646" s="268"/>
      <c r="D646" s="319"/>
      <c r="E646" s="319"/>
      <c r="F646" s="268"/>
      <c r="G646" s="268"/>
      <c r="H646" s="268"/>
      <c r="I646" s="268"/>
      <c r="J646" s="268"/>
      <c r="K646" s="268"/>
    </row>
    <row r="647" ht="15.75" customHeight="1">
      <c r="B647" s="268"/>
      <c r="C647" s="268"/>
      <c r="D647" s="319"/>
      <c r="E647" s="319"/>
      <c r="F647" s="268"/>
      <c r="G647" s="268"/>
      <c r="H647" s="268"/>
      <c r="I647" s="268"/>
      <c r="J647" s="268"/>
      <c r="K647" s="268"/>
    </row>
    <row r="648" ht="15.75" customHeight="1">
      <c r="B648" s="268"/>
      <c r="C648" s="268"/>
      <c r="D648" s="319"/>
      <c r="E648" s="319"/>
      <c r="F648" s="268"/>
      <c r="G648" s="268"/>
      <c r="H648" s="268"/>
      <c r="I648" s="268"/>
      <c r="J648" s="268"/>
      <c r="K648" s="268"/>
    </row>
    <row r="649" ht="15.75" customHeight="1">
      <c r="B649" s="268"/>
      <c r="C649" s="268"/>
      <c r="D649" s="319"/>
      <c r="E649" s="319"/>
      <c r="F649" s="268"/>
      <c r="G649" s="268"/>
      <c r="H649" s="268"/>
      <c r="I649" s="268"/>
      <c r="J649" s="268"/>
      <c r="K649" s="268"/>
    </row>
    <row r="650" ht="15.75" customHeight="1">
      <c r="B650" s="268"/>
      <c r="C650" s="268"/>
      <c r="D650" s="319"/>
      <c r="E650" s="319"/>
      <c r="F650" s="268"/>
      <c r="G650" s="268"/>
      <c r="H650" s="268"/>
      <c r="I650" s="268"/>
      <c r="J650" s="268"/>
      <c r="K650" s="268"/>
    </row>
    <row r="651" ht="15.75" customHeight="1">
      <c r="B651" s="268"/>
      <c r="C651" s="268"/>
      <c r="D651" s="319"/>
      <c r="E651" s="319"/>
      <c r="F651" s="268"/>
      <c r="G651" s="268"/>
      <c r="H651" s="268"/>
      <c r="I651" s="268"/>
      <c r="J651" s="268"/>
      <c r="K651" s="268"/>
    </row>
    <row r="652" ht="15.75" customHeight="1">
      <c r="B652" s="268"/>
      <c r="C652" s="268"/>
      <c r="D652" s="319"/>
      <c r="E652" s="319"/>
      <c r="F652" s="268"/>
      <c r="G652" s="268"/>
      <c r="H652" s="268"/>
      <c r="I652" s="268"/>
      <c r="J652" s="268"/>
      <c r="K652" s="268"/>
    </row>
    <row r="653" ht="15.75" customHeight="1">
      <c r="B653" s="268"/>
      <c r="C653" s="268"/>
      <c r="D653" s="319"/>
      <c r="E653" s="319"/>
      <c r="F653" s="268"/>
      <c r="G653" s="268"/>
      <c r="H653" s="268"/>
      <c r="I653" s="268"/>
      <c r="J653" s="268"/>
      <c r="K653" s="268"/>
    </row>
    <row r="654" ht="15.75" customHeight="1">
      <c r="B654" s="268"/>
      <c r="C654" s="268"/>
      <c r="D654" s="319"/>
      <c r="E654" s="319"/>
      <c r="F654" s="268"/>
      <c r="G654" s="268"/>
      <c r="H654" s="268"/>
      <c r="I654" s="268"/>
      <c r="J654" s="268"/>
      <c r="K654" s="268"/>
    </row>
    <row r="655" ht="15.75" customHeight="1">
      <c r="B655" s="268"/>
      <c r="C655" s="268"/>
      <c r="D655" s="319"/>
      <c r="E655" s="319"/>
      <c r="F655" s="268"/>
      <c r="G655" s="268"/>
      <c r="H655" s="268"/>
      <c r="I655" s="268"/>
      <c r="J655" s="268"/>
      <c r="K655" s="268"/>
    </row>
    <row r="656" ht="15.75" customHeight="1">
      <c r="B656" s="268"/>
      <c r="C656" s="268"/>
      <c r="D656" s="319"/>
      <c r="E656" s="319"/>
      <c r="F656" s="268"/>
      <c r="G656" s="268"/>
      <c r="H656" s="268"/>
      <c r="I656" s="268"/>
      <c r="J656" s="268"/>
      <c r="K656" s="268"/>
    </row>
    <row r="657" ht="15.75" customHeight="1">
      <c r="B657" s="268"/>
      <c r="C657" s="268"/>
      <c r="D657" s="319"/>
      <c r="E657" s="319"/>
      <c r="F657" s="268"/>
      <c r="G657" s="268"/>
      <c r="H657" s="268"/>
      <c r="I657" s="268"/>
      <c r="J657" s="268"/>
      <c r="K657" s="268"/>
    </row>
    <row r="658" ht="15.75" customHeight="1">
      <c r="B658" s="268"/>
      <c r="C658" s="268"/>
      <c r="D658" s="319"/>
      <c r="E658" s="319"/>
      <c r="F658" s="268"/>
      <c r="G658" s="268"/>
      <c r="H658" s="268"/>
      <c r="I658" s="268"/>
      <c r="J658" s="268"/>
      <c r="K658" s="268"/>
    </row>
    <row r="659" ht="15.75" customHeight="1">
      <c r="B659" s="268"/>
      <c r="C659" s="268"/>
      <c r="D659" s="319"/>
      <c r="E659" s="319"/>
      <c r="F659" s="268"/>
      <c r="G659" s="268"/>
      <c r="H659" s="268"/>
      <c r="I659" s="268"/>
      <c r="J659" s="268"/>
      <c r="K659" s="268"/>
    </row>
    <row r="660" ht="15.75" customHeight="1">
      <c r="B660" s="268"/>
      <c r="C660" s="268"/>
      <c r="D660" s="319"/>
      <c r="E660" s="319"/>
      <c r="F660" s="268"/>
      <c r="G660" s="268"/>
      <c r="H660" s="268"/>
      <c r="I660" s="268"/>
      <c r="J660" s="268"/>
      <c r="K660" s="268"/>
    </row>
    <row r="661" ht="15.75" customHeight="1">
      <c r="B661" s="268"/>
      <c r="C661" s="268"/>
      <c r="D661" s="319"/>
      <c r="E661" s="319"/>
      <c r="F661" s="268"/>
      <c r="G661" s="268"/>
      <c r="H661" s="268"/>
      <c r="I661" s="268"/>
      <c r="J661" s="268"/>
      <c r="K661" s="268"/>
    </row>
    <row r="662" ht="15.75" customHeight="1">
      <c r="B662" s="268"/>
      <c r="C662" s="268"/>
      <c r="D662" s="319"/>
      <c r="E662" s="319"/>
      <c r="F662" s="268"/>
      <c r="G662" s="268"/>
      <c r="H662" s="268"/>
      <c r="I662" s="268"/>
      <c r="J662" s="268"/>
      <c r="K662" s="268"/>
    </row>
    <row r="663" ht="15.75" customHeight="1">
      <c r="B663" s="268"/>
      <c r="C663" s="268"/>
      <c r="D663" s="319"/>
      <c r="E663" s="319"/>
      <c r="F663" s="268"/>
      <c r="G663" s="268"/>
      <c r="H663" s="268"/>
      <c r="I663" s="268"/>
      <c r="J663" s="268"/>
      <c r="K663" s="268"/>
    </row>
    <row r="664" ht="15.75" customHeight="1">
      <c r="B664" s="268"/>
      <c r="C664" s="268"/>
      <c r="D664" s="319"/>
      <c r="E664" s="319"/>
      <c r="F664" s="268"/>
      <c r="G664" s="268"/>
      <c r="H664" s="268"/>
      <c r="I664" s="268"/>
      <c r="J664" s="268"/>
      <c r="K664" s="268"/>
    </row>
    <row r="665" ht="15.75" customHeight="1">
      <c r="B665" s="268"/>
      <c r="C665" s="268"/>
      <c r="D665" s="319"/>
      <c r="E665" s="319"/>
      <c r="F665" s="268"/>
      <c r="G665" s="268"/>
      <c r="H665" s="268"/>
      <c r="I665" s="268"/>
      <c r="J665" s="268"/>
      <c r="K665" s="268"/>
    </row>
    <row r="666" ht="15.75" customHeight="1">
      <c r="B666" s="268"/>
      <c r="C666" s="268"/>
      <c r="D666" s="319"/>
      <c r="E666" s="319"/>
      <c r="F666" s="268"/>
      <c r="G666" s="268"/>
      <c r="H666" s="268"/>
      <c r="I666" s="268"/>
      <c r="J666" s="268"/>
      <c r="K666" s="268"/>
    </row>
    <row r="667" ht="15.75" customHeight="1">
      <c r="B667" s="268"/>
      <c r="C667" s="268"/>
      <c r="D667" s="319"/>
      <c r="E667" s="319"/>
      <c r="F667" s="268"/>
      <c r="G667" s="268"/>
      <c r="H667" s="268"/>
      <c r="I667" s="268"/>
      <c r="J667" s="268"/>
      <c r="K667" s="268"/>
    </row>
    <row r="668" ht="15.75" customHeight="1">
      <c r="B668" s="268"/>
      <c r="C668" s="268"/>
      <c r="D668" s="319"/>
      <c r="E668" s="319"/>
      <c r="F668" s="268"/>
      <c r="G668" s="268"/>
      <c r="H668" s="268"/>
      <c r="I668" s="268"/>
      <c r="J668" s="268"/>
      <c r="K668" s="268"/>
    </row>
    <row r="669" ht="15.75" customHeight="1">
      <c r="B669" s="268"/>
      <c r="C669" s="268"/>
      <c r="D669" s="319"/>
      <c r="E669" s="319"/>
      <c r="F669" s="268"/>
      <c r="G669" s="268"/>
      <c r="H669" s="268"/>
      <c r="I669" s="268"/>
      <c r="J669" s="268"/>
      <c r="K669" s="268"/>
    </row>
    <row r="670" ht="15.75" customHeight="1">
      <c r="B670" s="268"/>
      <c r="C670" s="268"/>
      <c r="D670" s="319"/>
      <c r="E670" s="319"/>
      <c r="F670" s="268"/>
      <c r="G670" s="268"/>
      <c r="H670" s="268"/>
      <c r="I670" s="268"/>
      <c r="J670" s="268"/>
      <c r="K670" s="268"/>
    </row>
    <row r="671" ht="15.75" customHeight="1">
      <c r="B671" s="268"/>
      <c r="C671" s="268"/>
      <c r="D671" s="319"/>
      <c r="E671" s="319"/>
      <c r="F671" s="268"/>
      <c r="G671" s="268"/>
      <c r="H671" s="268"/>
      <c r="I671" s="268"/>
      <c r="J671" s="268"/>
      <c r="K671" s="268"/>
    </row>
    <row r="672" ht="15.75" customHeight="1">
      <c r="B672" s="268"/>
      <c r="C672" s="268"/>
      <c r="D672" s="319"/>
      <c r="E672" s="319"/>
      <c r="F672" s="268"/>
      <c r="G672" s="268"/>
      <c r="H672" s="268"/>
      <c r="I672" s="268"/>
      <c r="J672" s="268"/>
      <c r="K672" s="268"/>
    </row>
    <row r="673" ht="15.75" customHeight="1">
      <c r="B673" s="268"/>
      <c r="C673" s="268"/>
      <c r="D673" s="319"/>
      <c r="E673" s="319"/>
      <c r="F673" s="268"/>
      <c r="G673" s="268"/>
      <c r="H673" s="268"/>
      <c r="I673" s="268"/>
      <c r="J673" s="268"/>
      <c r="K673" s="268"/>
    </row>
    <row r="674" ht="15.75" customHeight="1">
      <c r="B674" s="268"/>
      <c r="C674" s="268"/>
      <c r="D674" s="319"/>
      <c r="E674" s="319"/>
      <c r="F674" s="268"/>
      <c r="G674" s="268"/>
      <c r="H674" s="268"/>
      <c r="I674" s="268"/>
      <c r="J674" s="268"/>
      <c r="K674" s="268"/>
    </row>
    <row r="675" ht="15.75" customHeight="1">
      <c r="B675" s="268"/>
      <c r="C675" s="268"/>
      <c r="D675" s="319"/>
      <c r="E675" s="319"/>
      <c r="F675" s="268"/>
      <c r="G675" s="268"/>
      <c r="H675" s="268"/>
      <c r="I675" s="268"/>
      <c r="J675" s="268"/>
      <c r="K675" s="268"/>
    </row>
    <row r="676" ht="15.75" customHeight="1">
      <c r="B676" s="268"/>
      <c r="C676" s="268"/>
      <c r="D676" s="319"/>
      <c r="E676" s="319"/>
      <c r="F676" s="268"/>
      <c r="G676" s="268"/>
      <c r="H676" s="268"/>
      <c r="I676" s="268"/>
      <c r="J676" s="268"/>
      <c r="K676" s="268"/>
    </row>
    <row r="677" ht="15.75" customHeight="1">
      <c r="B677" s="268"/>
      <c r="C677" s="268"/>
      <c r="D677" s="319"/>
      <c r="E677" s="319"/>
      <c r="F677" s="268"/>
      <c r="G677" s="268"/>
      <c r="H677" s="268"/>
      <c r="I677" s="268"/>
      <c r="J677" s="268"/>
      <c r="K677" s="268"/>
    </row>
    <row r="678" ht="15.75" customHeight="1">
      <c r="B678" s="268"/>
      <c r="C678" s="268"/>
      <c r="D678" s="319"/>
      <c r="E678" s="319"/>
      <c r="F678" s="268"/>
      <c r="G678" s="268"/>
      <c r="H678" s="268"/>
      <c r="I678" s="268"/>
      <c r="J678" s="268"/>
      <c r="K678" s="268"/>
    </row>
    <row r="679" ht="15.75" customHeight="1">
      <c r="B679" s="268"/>
      <c r="C679" s="268"/>
      <c r="D679" s="319"/>
      <c r="E679" s="319"/>
      <c r="F679" s="268"/>
      <c r="G679" s="268"/>
      <c r="H679" s="268"/>
      <c r="I679" s="268"/>
      <c r="J679" s="268"/>
      <c r="K679" s="268"/>
    </row>
    <row r="680" ht="15.75" customHeight="1">
      <c r="B680" s="268"/>
      <c r="C680" s="268"/>
      <c r="D680" s="319"/>
      <c r="E680" s="319"/>
      <c r="F680" s="268"/>
      <c r="G680" s="268"/>
      <c r="H680" s="268"/>
      <c r="I680" s="268"/>
      <c r="J680" s="268"/>
      <c r="K680" s="268"/>
    </row>
    <row r="681" ht="15.75" customHeight="1">
      <c r="B681" s="268"/>
      <c r="C681" s="268"/>
      <c r="D681" s="319"/>
      <c r="E681" s="319"/>
      <c r="F681" s="268"/>
      <c r="G681" s="268"/>
      <c r="H681" s="268"/>
      <c r="I681" s="268"/>
      <c r="J681" s="268"/>
      <c r="K681" s="268"/>
    </row>
    <row r="682" ht="15.75" customHeight="1">
      <c r="B682" s="268"/>
      <c r="C682" s="268"/>
      <c r="D682" s="319"/>
      <c r="E682" s="319"/>
      <c r="F682" s="268"/>
      <c r="G682" s="268"/>
      <c r="H682" s="268"/>
      <c r="I682" s="268"/>
      <c r="J682" s="268"/>
      <c r="K682" s="268"/>
    </row>
    <row r="683" ht="15.75" customHeight="1">
      <c r="B683" s="268"/>
      <c r="C683" s="268"/>
      <c r="D683" s="319"/>
      <c r="E683" s="319"/>
      <c r="F683" s="268"/>
      <c r="G683" s="268"/>
      <c r="H683" s="268"/>
      <c r="I683" s="268"/>
      <c r="J683" s="268"/>
      <c r="K683" s="268"/>
    </row>
    <row r="684" ht="15.75" customHeight="1">
      <c r="B684" s="268"/>
      <c r="C684" s="268"/>
      <c r="D684" s="319"/>
      <c r="E684" s="319"/>
      <c r="F684" s="268"/>
      <c r="G684" s="268"/>
      <c r="H684" s="268"/>
      <c r="I684" s="268"/>
      <c r="J684" s="268"/>
      <c r="K684" s="268"/>
    </row>
    <row r="685" ht="15.75" customHeight="1">
      <c r="B685" s="268"/>
      <c r="C685" s="268"/>
      <c r="D685" s="319"/>
      <c r="E685" s="319"/>
      <c r="F685" s="268"/>
      <c r="G685" s="268"/>
      <c r="H685" s="268"/>
      <c r="I685" s="268"/>
      <c r="J685" s="268"/>
      <c r="K685" s="268"/>
    </row>
    <row r="686" ht="15.75" customHeight="1">
      <c r="B686" s="268"/>
      <c r="C686" s="268"/>
      <c r="D686" s="319"/>
      <c r="E686" s="319"/>
      <c r="F686" s="268"/>
      <c r="G686" s="268"/>
      <c r="H686" s="268"/>
      <c r="I686" s="268"/>
      <c r="J686" s="268"/>
      <c r="K686" s="268"/>
    </row>
    <row r="687" ht="15.75" customHeight="1">
      <c r="B687" s="268"/>
      <c r="C687" s="268"/>
      <c r="D687" s="319"/>
      <c r="E687" s="319"/>
      <c r="F687" s="268"/>
      <c r="G687" s="268"/>
      <c r="H687" s="268"/>
      <c r="I687" s="268"/>
      <c r="J687" s="268"/>
      <c r="K687" s="268"/>
    </row>
    <row r="688" ht="15.75" customHeight="1">
      <c r="B688" s="268"/>
      <c r="C688" s="268"/>
      <c r="D688" s="319"/>
      <c r="E688" s="319"/>
      <c r="F688" s="268"/>
      <c r="G688" s="268"/>
      <c r="H688" s="268"/>
      <c r="I688" s="268"/>
      <c r="J688" s="268"/>
      <c r="K688" s="268"/>
    </row>
    <row r="689" ht="15.75" customHeight="1">
      <c r="B689" s="268"/>
      <c r="C689" s="268"/>
      <c r="D689" s="319"/>
      <c r="E689" s="319"/>
      <c r="F689" s="268"/>
      <c r="G689" s="268"/>
      <c r="H689" s="268"/>
      <c r="I689" s="268"/>
      <c r="J689" s="268"/>
      <c r="K689" s="268"/>
    </row>
    <row r="690" ht="15.75" customHeight="1">
      <c r="B690" s="268"/>
      <c r="C690" s="268"/>
      <c r="D690" s="319"/>
      <c r="E690" s="319"/>
      <c r="F690" s="268"/>
      <c r="G690" s="268"/>
      <c r="H690" s="268"/>
      <c r="I690" s="268"/>
      <c r="J690" s="268"/>
      <c r="K690" s="268"/>
    </row>
    <row r="691" ht="15.75" customHeight="1">
      <c r="B691" s="268"/>
      <c r="C691" s="268"/>
      <c r="D691" s="319"/>
      <c r="E691" s="319"/>
      <c r="F691" s="268"/>
      <c r="G691" s="268"/>
      <c r="H691" s="268"/>
      <c r="I691" s="268"/>
      <c r="J691" s="268"/>
      <c r="K691" s="268"/>
    </row>
    <row r="692" ht="15.75" customHeight="1">
      <c r="B692" s="268"/>
      <c r="C692" s="268"/>
      <c r="D692" s="319"/>
      <c r="E692" s="319"/>
      <c r="F692" s="268"/>
      <c r="G692" s="268"/>
      <c r="H692" s="268"/>
      <c r="I692" s="268"/>
      <c r="J692" s="268"/>
      <c r="K692" s="268"/>
    </row>
    <row r="693" ht="15.75" customHeight="1">
      <c r="B693" s="268"/>
      <c r="C693" s="268"/>
      <c r="D693" s="319"/>
      <c r="E693" s="319"/>
      <c r="F693" s="268"/>
      <c r="G693" s="268"/>
      <c r="H693" s="268"/>
      <c r="I693" s="268"/>
      <c r="J693" s="268"/>
      <c r="K693" s="268"/>
    </row>
    <row r="694" ht="15.75" customHeight="1">
      <c r="B694" s="268"/>
      <c r="C694" s="268"/>
      <c r="D694" s="319"/>
      <c r="E694" s="319"/>
      <c r="F694" s="268"/>
      <c r="G694" s="268"/>
      <c r="H694" s="268"/>
      <c r="I694" s="268"/>
      <c r="J694" s="268"/>
      <c r="K694" s="268"/>
    </row>
    <row r="695" ht="15.75" customHeight="1">
      <c r="B695" s="268"/>
      <c r="C695" s="268"/>
      <c r="D695" s="319"/>
      <c r="E695" s="319"/>
      <c r="F695" s="268"/>
      <c r="G695" s="268"/>
      <c r="H695" s="268"/>
      <c r="I695" s="268"/>
      <c r="J695" s="268"/>
      <c r="K695" s="268"/>
    </row>
    <row r="696" ht="15.75" customHeight="1">
      <c r="B696" s="268"/>
      <c r="C696" s="268"/>
      <c r="D696" s="319"/>
      <c r="E696" s="319"/>
      <c r="F696" s="268"/>
      <c r="G696" s="268"/>
      <c r="H696" s="268"/>
      <c r="I696" s="268"/>
      <c r="J696" s="268"/>
      <c r="K696" s="268"/>
    </row>
    <row r="697" ht="15.75" customHeight="1">
      <c r="B697" s="268"/>
      <c r="C697" s="268"/>
      <c r="D697" s="319"/>
      <c r="E697" s="319"/>
      <c r="F697" s="268"/>
      <c r="G697" s="268"/>
      <c r="H697" s="268"/>
      <c r="I697" s="268"/>
      <c r="J697" s="268"/>
      <c r="K697" s="268"/>
    </row>
    <row r="698" ht="15.75" customHeight="1">
      <c r="B698" s="268"/>
      <c r="C698" s="268"/>
      <c r="D698" s="319"/>
      <c r="E698" s="319"/>
      <c r="F698" s="268"/>
      <c r="G698" s="268"/>
      <c r="H698" s="268"/>
      <c r="I698" s="268"/>
      <c r="J698" s="268"/>
      <c r="K698" s="268"/>
    </row>
    <row r="699" ht="15.75" customHeight="1">
      <c r="B699" s="268"/>
      <c r="C699" s="268"/>
      <c r="D699" s="319"/>
      <c r="E699" s="319"/>
      <c r="F699" s="268"/>
      <c r="G699" s="268"/>
      <c r="H699" s="268"/>
      <c r="I699" s="268"/>
      <c r="J699" s="268"/>
      <c r="K699" s="268"/>
    </row>
    <row r="700" ht="15.75" customHeight="1">
      <c r="B700" s="268"/>
      <c r="C700" s="268"/>
      <c r="D700" s="319"/>
      <c r="E700" s="319"/>
      <c r="F700" s="268"/>
      <c r="G700" s="268"/>
      <c r="H700" s="268"/>
      <c r="I700" s="268"/>
      <c r="J700" s="268"/>
      <c r="K700" s="268"/>
    </row>
    <row r="701" ht="15.75" customHeight="1">
      <c r="B701" s="268"/>
      <c r="C701" s="268"/>
      <c r="D701" s="319"/>
      <c r="E701" s="319"/>
      <c r="F701" s="268"/>
      <c r="G701" s="268"/>
      <c r="H701" s="268"/>
      <c r="I701" s="268"/>
      <c r="J701" s="268"/>
      <c r="K701" s="268"/>
    </row>
    <row r="702" ht="15.75" customHeight="1">
      <c r="B702" s="268"/>
      <c r="C702" s="268"/>
      <c r="D702" s="319"/>
      <c r="E702" s="319"/>
      <c r="F702" s="268"/>
      <c r="G702" s="268"/>
      <c r="H702" s="268"/>
      <c r="I702" s="268"/>
      <c r="J702" s="268"/>
      <c r="K702" s="268"/>
    </row>
    <row r="703" ht="15.75" customHeight="1">
      <c r="B703" s="268"/>
      <c r="C703" s="268"/>
      <c r="D703" s="319"/>
      <c r="E703" s="319"/>
      <c r="F703" s="268"/>
      <c r="G703" s="268"/>
      <c r="H703" s="268"/>
      <c r="I703" s="268"/>
      <c r="J703" s="268"/>
      <c r="K703" s="268"/>
    </row>
    <row r="704" ht="15.75" customHeight="1">
      <c r="B704" s="268"/>
      <c r="C704" s="268"/>
      <c r="D704" s="319"/>
      <c r="E704" s="319"/>
      <c r="F704" s="268"/>
      <c r="G704" s="268"/>
      <c r="H704" s="268"/>
      <c r="I704" s="268"/>
      <c r="J704" s="268"/>
      <c r="K704" s="268"/>
    </row>
    <row r="705" ht="15.75" customHeight="1">
      <c r="B705" s="268"/>
      <c r="C705" s="268"/>
      <c r="D705" s="319"/>
      <c r="E705" s="319"/>
      <c r="F705" s="268"/>
      <c r="G705" s="268"/>
      <c r="H705" s="268"/>
      <c r="I705" s="268"/>
      <c r="J705" s="268"/>
      <c r="K705" s="268"/>
    </row>
    <row r="706" ht="15.75" customHeight="1">
      <c r="B706" s="268"/>
      <c r="C706" s="268"/>
      <c r="D706" s="319"/>
      <c r="E706" s="319"/>
      <c r="F706" s="268"/>
      <c r="G706" s="268"/>
      <c r="H706" s="268"/>
      <c r="I706" s="268"/>
      <c r="J706" s="268"/>
      <c r="K706" s="268"/>
    </row>
    <row r="707" ht="15.75" customHeight="1">
      <c r="B707" s="268"/>
      <c r="C707" s="268"/>
      <c r="D707" s="319"/>
      <c r="E707" s="319"/>
      <c r="F707" s="268"/>
      <c r="G707" s="268"/>
      <c r="H707" s="268"/>
      <c r="I707" s="268"/>
      <c r="J707" s="268"/>
      <c r="K707" s="268"/>
    </row>
    <row r="708" ht="15.75" customHeight="1">
      <c r="B708" s="268"/>
      <c r="C708" s="268"/>
      <c r="D708" s="319"/>
      <c r="E708" s="319"/>
      <c r="F708" s="268"/>
      <c r="G708" s="268"/>
      <c r="H708" s="268"/>
      <c r="I708" s="268"/>
      <c r="J708" s="268"/>
      <c r="K708" s="268"/>
    </row>
    <row r="709" ht="15.75" customHeight="1">
      <c r="B709" s="268"/>
      <c r="C709" s="268"/>
      <c r="D709" s="319"/>
      <c r="E709" s="319"/>
      <c r="F709" s="268"/>
      <c r="G709" s="268"/>
      <c r="H709" s="268"/>
      <c r="I709" s="268"/>
      <c r="J709" s="268"/>
      <c r="K709" s="268"/>
    </row>
    <row r="710" ht="15.75" customHeight="1">
      <c r="B710" s="268"/>
      <c r="C710" s="268"/>
      <c r="D710" s="319"/>
      <c r="E710" s="319"/>
      <c r="F710" s="268"/>
      <c r="G710" s="268"/>
      <c r="H710" s="268"/>
      <c r="I710" s="268"/>
      <c r="J710" s="268"/>
      <c r="K710" s="268"/>
    </row>
    <row r="711" ht="15.75" customHeight="1">
      <c r="B711" s="268"/>
      <c r="C711" s="268"/>
      <c r="D711" s="319"/>
      <c r="E711" s="319"/>
      <c r="F711" s="268"/>
      <c r="G711" s="268"/>
      <c r="H711" s="268"/>
      <c r="I711" s="268"/>
      <c r="J711" s="268"/>
      <c r="K711" s="268"/>
    </row>
    <row r="712" ht="15.75" customHeight="1">
      <c r="B712" s="268"/>
      <c r="C712" s="268"/>
      <c r="D712" s="319"/>
      <c r="E712" s="319"/>
      <c r="F712" s="268"/>
      <c r="G712" s="268"/>
      <c r="H712" s="268"/>
      <c r="I712" s="268"/>
      <c r="J712" s="268"/>
      <c r="K712" s="268"/>
    </row>
    <row r="713" ht="15.75" customHeight="1">
      <c r="B713" s="268"/>
      <c r="C713" s="268"/>
      <c r="D713" s="319"/>
      <c r="E713" s="319"/>
      <c r="F713" s="268"/>
      <c r="G713" s="268"/>
      <c r="H713" s="268"/>
      <c r="I713" s="268"/>
      <c r="J713" s="268"/>
      <c r="K713" s="268"/>
    </row>
    <row r="714" ht="15.75" customHeight="1">
      <c r="B714" s="268"/>
      <c r="C714" s="268"/>
      <c r="D714" s="319"/>
      <c r="E714" s="319"/>
      <c r="F714" s="268"/>
      <c r="G714" s="268"/>
      <c r="H714" s="268"/>
      <c r="I714" s="268"/>
      <c r="J714" s="268"/>
      <c r="K714" s="268"/>
    </row>
    <row r="715" ht="15.75" customHeight="1">
      <c r="B715" s="268"/>
      <c r="C715" s="268"/>
      <c r="D715" s="319"/>
      <c r="E715" s="319"/>
      <c r="F715" s="268"/>
      <c r="G715" s="268"/>
      <c r="H715" s="268"/>
      <c r="I715" s="268"/>
      <c r="J715" s="268"/>
      <c r="K715" s="268"/>
    </row>
    <row r="716" ht="15.75" customHeight="1">
      <c r="B716" s="268"/>
      <c r="C716" s="268"/>
      <c r="D716" s="319"/>
      <c r="E716" s="319"/>
      <c r="F716" s="268"/>
      <c r="G716" s="268"/>
      <c r="H716" s="268"/>
      <c r="I716" s="268"/>
      <c r="J716" s="268"/>
      <c r="K716" s="268"/>
    </row>
    <row r="717" ht="15.75" customHeight="1">
      <c r="B717" s="268"/>
      <c r="C717" s="268"/>
      <c r="D717" s="319"/>
      <c r="E717" s="319"/>
      <c r="F717" s="268"/>
      <c r="G717" s="268"/>
      <c r="H717" s="268"/>
      <c r="I717" s="268"/>
      <c r="J717" s="268"/>
      <c r="K717" s="268"/>
    </row>
    <row r="718" ht="15.75" customHeight="1">
      <c r="B718" s="268"/>
      <c r="C718" s="268"/>
      <c r="D718" s="319"/>
      <c r="E718" s="319"/>
      <c r="F718" s="268"/>
      <c r="G718" s="268"/>
      <c r="H718" s="268"/>
      <c r="I718" s="268"/>
      <c r="J718" s="268"/>
      <c r="K718" s="268"/>
    </row>
    <row r="719" ht="15.75" customHeight="1">
      <c r="B719" s="268"/>
      <c r="C719" s="268"/>
      <c r="D719" s="319"/>
      <c r="E719" s="319"/>
      <c r="F719" s="268"/>
      <c r="G719" s="268"/>
      <c r="H719" s="268"/>
      <c r="I719" s="268"/>
      <c r="J719" s="268"/>
      <c r="K719" s="268"/>
    </row>
    <row r="720" ht="15.75" customHeight="1">
      <c r="B720" s="268"/>
      <c r="C720" s="268"/>
      <c r="D720" s="319"/>
      <c r="E720" s="319"/>
      <c r="F720" s="268"/>
      <c r="G720" s="268"/>
      <c r="H720" s="268"/>
      <c r="I720" s="268"/>
      <c r="J720" s="268"/>
      <c r="K720" s="268"/>
    </row>
    <row r="721" ht="15.75" customHeight="1">
      <c r="B721" s="268"/>
      <c r="C721" s="268"/>
      <c r="D721" s="319"/>
      <c r="E721" s="319"/>
      <c r="F721" s="268"/>
      <c r="G721" s="268"/>
      <c r="H721" s="268"/>
      <c r="I721" s="268"/>
      <c r="J721" s="268"/>
      <c r="K721" s="268"/>
    </row>
    <row r="722" ht="15.75" customHeight="1">
      <c r="B722" s="268"/>
      <c r="C722" s="268"/>
      <c r="D722" s="319"/>
      <c r="E722" s="319"/>
      <c r="F722" s="268"/>
      <c r="G722" s="268"/>
      <c r="H722" s="268"/>
      <c r="I722" s="268"/>
      <c r="J722" s="268"/>
      <c r="K722" s="268"/>
    </row>
    <row r="723" ht="15.75" customHeight="1">
      <c r="B723" s="268"/>
      <c r="C723" s="268"/>
      <c r="D723" s="319"/>
      <c r="E723" s="319"/>
      <c r="F723" s="268"/>
      <c r="G723" s="268"/>
      <c r="H723" s="268"/>
      <c r="I723" s="268"/>
      <c r="J723" s="268"/>
      <c r="K723" s="268"/>
    </row>
    <row r="724" ht="15.75" customHeight="1">
      <c r="B724" s="268"/>
      <c r="C724" s="268"/>
      <c r="D724" s="319"/>
      <c r="E724" s="319"/>
      <c r="F724" s="268"/>
      <c r="G724" s="268"/>
      <c r="H724" s="268"/>
      <c r="I724" s="268"/>
      <c r="J724" s="268"/>
      <c r="K724" s="268"/>
    </row>
    <row r="725" ht="15.75" customHeight="1">
      <c r="B725" s="268"/>
      <c r="C725" s="268"/>
      <c r="D725" s="319"/>
      <c r="E725" s="319"/>
      <c r="F725" s="268"/>
      <c r="G725" s="268"/>
      <c r="H725" s="268"/>
      <c r="I725" s="268"/>
      <c r="J725" s="268"/>
      <c r="K725" s="268"/>
    </row>
    <row r="726" ht="15.75" customHeight="1">
      <c r="B726" s="268"/>
      <c r="C726" s="268"/>
      <c r="D726" s="319"/>
      <c r="E726" s="319"/>
      <c r="F726" s="268"/>
      <c r="G726" s="268"/>
      <c r="H726" s="268"/>
      <c r="I726" s="268"/>
      <c r="J726" s="268"/>
      <c r="K726" s="268"/>
    </row>
    <row r="727" ht="15.75" customHeight="1">
      <c r="B727" s="268"/>
      <c r="C727" s="268"/>
      <c r="D727" s="319"/>
      <c r="E727" s="319"/>
      <c r="F727" s="268"/>
      <c r="G727" s="268"/>
      <c r="H727" s="268"/>
      <c r="I727" s="268"/>
      <c r="J727" s="268"/>
      <c r="K727" s="268"/>
    </row>
    <row r="728" ht="15.75" customHeight="1">
      <c r="B728" s="268"/>
      <c r="C728" s="268"/>
      <c r="D728" s="319"/>
      <c r="E728" s="319"/>
      <c r="F728" s="268"/>
      <c r="G728" s="268"/>
      <c r="H728" s="268"/>
      <c r="I728" s="268"/>
      <c r="J728" s="268"/>
      <c r="K728" s="268"/>
    </row>
    <row r="729" ht="15.75" customHeight="1">
      <c r="B729" s="268"/>
      <c r="C729" s="268"/>
      <c r="D729" s="319"/>
      <c r="E729" s="319"/>
      <c r="F729" s="268"/>
      <c r="G729" s="268"/>
      <c r="H729" s="268"/>
      <c r="I729" s="268"/>
      <c r="J729" s="268"/>
      <c r="K729" s="268"/>
    </row>
    <row r="730" ht="15.75" customHeight="1">
      <c r="B730" s="268"/>
      <c r="C730" s="268"/>
      <c r="D730" s="319"/>
      <c r="E730" s="319"/>
      <c r="F730" s="268"/>
      <c r="G730" s="268"/>
      <c r="H730" s="268"/>
      <c r="I730" s="268"/>
      <c r="J730" s="268"/>
      <c r="K730" s="268"/>
    </row>
    <row r="731" ht="15.75" customHeight="1">
      <c r="B731" s="268"/>
      <c r="C731" s="268"/>
      <c r="D731" s="319"/>
      <c r="E731" s="319"/>
      <c r="F731" s="268"/>
      <c r="G731" s="268"/>
      <c r="H731" s="268"/>
      <c r="I731" s="268"/>
      <c r="J731" s="268"/>
      <c r="K731" s="268"/>
    </row>
    <row r="732" ht="15.75" customHeight="1">
      <c r="B732" s="268"/>
      <c r="C732" s="268"/>
      <c r="D732" s="319"/>
      <c r="E732" s="319"/>
      <c r="F732" s="268"/>
      <c r="G732" s="268"/>
      <c r="H732" s="268"/>
      <c r="I732" s="268"/>
      <c r="J732" s="268"/>
      <c r="K732" s="268"/>
    </row>
    <row r="733" ht="15.75" customHeight="1">
      <c r="B733" s="268"/>
      <c r="C733" s="268"/>
      <c r="D733" s="319"/>
      <c r="E733" s="319"/>
      <c r="F733" s="268"/>
      <c r="G733" s="268"/>
      <c r="H733" s="268"/>
      <c r="I733" s="268"/>
      <c r="J733" s="268"/>
      <c r="K733" s="268"/>
    </row>
    <row r="734" ht="15.75" customHeight="1">
      <c r="B734" s="268"/>
      <c r="C734" s="268"/>
      <c r="D734" s="319"/>
      <c r="E734" s="319"/>
      <c r="F734" s="268"/>
      <c r="G734" s="268"/>
      <c r="H734" s="268"/>
      <c r="I734" s="268"/>
      <c r="J734" s="268"/>
      <c r="K734" s="268"/>
    </row>
    <row r="735" ht="15.75" customHeight="1">
      <c r="B735" s="268"/>
      <c r="C735" s="268"/>
      <c r="D735" s="319"/>
      <c r="E735" s="319"/>
      <c r="F735" s="268"/>
      <c r="G735" s="268"/>
      <c r="H735" s="268"/>
      <c r="I735" s="268"/>
      <c r="J735" s="268"/>
      <c r="K735" s="268"/>
    </row>
    <row r="736" ht="15.75" customHeight="1">
      <c r="B736" s="268"/>
      <c r="C736" s="268"/>
      <c r="D736" s="319"/>
      <c r="E736" s="319"/>
      <c r="F736" s="268"/>
      <c r="G736" s="268"/>
      <c r="H736" s="268"/>
      <c r="I736" s="268"/>
      <c r="J736" s="268"/>
      <c r="K736" s="268"/>
    </row>
    <row r="737" ht="15.75" customHeight="1">
      <c r="B737" s="268"/>
      <c r="C737" s="268"/>
      <c r="D737" s="319"/>
      <c r="E737" s="319"/>
      <c r="F737" s="268"/>
      <c r="G737" s="268"/>
      <c r="H737" s="268"/>
      <c r="I737" s="268"/>
      <c r="J737" s="268"/>
      <c r="K737" s="268"/>
    </row>
    <row r="738" ht="15.75" customHeight="1">
      <c r="B738" s="268"/>
      <c r="C738" s="268"/>
      <c r="D738" s="319"/>
      <c r="E738" s="319"/>
      <c r="F738" s="268"/>
      <c r="G738" s="268"/>
      <c r="H738" s="268"/>
      <c r="I738" s="268"/>
      <c r="J738" s="268"/>
      <c r="K738" s="268"/>
    </row>
    <row r="739" ht="15.75" customHeight="1">
      <c r="B739" s="268"/>
      <c r="C739" s="268"/>
      <c r="D739" s="319"/>
      <c r="E739" s="319"/>
      <c r="F739" s="268"/>
      <c r="G739" s="268"/>
      <c r="H739" s="268"/>
      <c r="I739" s="268"/>
      <c r="J739" s="268"/>
      <c r="K739" s="268"/>
    </row>
    <row r="740" ht="15.75" customHeight="1">
      <c r="B740" s="268"/>
      <c r="C740" s="268"/>
      <c r="D740" s="319"/>
      <c r="E740" s="319"/>
      <c r="F740" s="268"/>
      <c r="G740" s="268"/>
      <c r="H740" s="268"/>
      <c r="I740" s="268"/>
      <c r="J740" s="268"/>
      <c r="K740" s="268"/>
    </row>
    <row r="741" ht="15.75" customHeight="1">
      <c r="B741" s="268"/>
      <c r="C741" s="268"/>
      <c r="D741" s="319"/>
      <c r="E741" s="319"/>
      <c r="F741" s="268"/>
      <c r="G741" s="268"/>
      <c r="H741" s="268"/>
      <c r="I741" s="268"/>
      <c r="J741" s="268"/>
      <c r="K741" s="268"/>
    </row>
    <row r="742" ht="15.75" customHeight="1">
      <c r="B742" s="268"/>
      <c r="C742" s="268"/>
      <c r="D742" s="319"/>
      <c r="E742" s="319"/>
      <c r="F742" s="268"/>
      <c r="G742" s="268"/>
      <c r="H742" s="268"/>
      <c r="I742" s="268"/>
      <c r="J742" s="268"/>
      <c r="K742" s="268"/>
    </row>
    <row r="743" ht="15.75" customHeight="1">
      <c r="B743" s="268"/>
      <c r="C743" s="268"/>
      <c r="D743" s="319"/>
      <c r="E743" s="319"/>
      <c r="F743" s="268"/>
      <c r="G743" s="268"/>
      <c r="H743" s="268"/>
      <c r="I743" s="268"/>
      <c r="J743" s="268"/>
      <c r="K743" s="268"/>
    </row>
    <row r="744" ht="15.75" customHeight="1">
      <c r="B744" s="268"/>
      <c r="C744" s="268"/>
      <c r="D744" s="319"/>
      <c r="E744" s="319"/>
      <c r="F744" s="268"/>
      <c r="G744" s="268"/>
      <c r="H744" s="268"/>
      <c r="I744" s="268"/>
      <c r="J744" s="268"/>
      <c r="K744" s="268"/>
    </row>
    <row r="745" ht="15.75" customHeight="1">
      <c r="B745" s="268"/>
      <c r="C745" s="268"/>
      <c r="D745" s="319"/>
      <c r="E745" s="319"/>
      <c r="F745" s="268"/>
      <c r="G745" s="268"/>
      <c r="H745" s="268"/>
      <c r="I745" s="268"/>
      <c r="J745" s="268"/>
      <c r="K745" s="268"/>
    </row>
    <row r="746" ht="15.75" customHeight="1">
      <c r="B746" s="268"/>
      <c r="C746" s="268"/>
      <c r="D746" s="319"/>
      <c r="E746" s="319"/>
      <c r="F746" s="268"/>
      <c r="G746" s="268"/>
      <c r="H746" s="268"/>
      <c r="I746" s="268"/>
      <c r="J746" s="268"/>
      <c r="K746" s="268"/>
    </row>
    <row r="747" ht="15.75" customHeight="1">
      <c r="B747" s="268"/>
      <c r="C747" s="268"/>
      <c r="D747" s="319"/>
      <c r="E747" s="319"/>
      <c r="F747" s="268"/>
      <c r="G747" s="268"/>
      <c r="H747" s="268"/>
      <c r="I747" s="268"/>
      <c r="J747" s="268"/>
      <c r="K747" s="268"/>
    </row>
    <row r="748" ht="15.75" customHeight="1">
      <c r="B748" s="268"/>
      <c r="C748" s="268"/>
      <c r="D748" s="319"/>
      <c r="E748" s="319"/>
      <c r="F748" s="268"/>
      <c r="G748" s="268"/>
      <c r="H748" s="268"/>
      <c r="I748" s="268"/>
      <c r="J748" s="268"/>
      <c r="K748" s="268"/>
    </row>
    <row r="749" ht="15.75" customHeight="1">
      <c r="B749" s="268"/>
      <c r="C749" s="268"/>
      <c r="D749" s="319"/>
      <c r="E749" s="319"/>
      <c r="F749" s="268"/>
      <c r="G749" s="268"/>
      <c r="H749" s="268"/>
      <c r="I749" s="268"/>
      <c r="J749" s="268"/>
      <c r="K749" s="268"/>
    </row>
    <row r="750" ht="15.75" customHeight="1">
      <c r="B750" s="268"/>
      <c r="C750" s="268"/>
      <c r="D750" s="319"/>
      <c r="E750" s="319"/>
      <c r="F750" s="268"/>
      <c r="G750" s="268"/>
      <c r="H750" s="268"/>
      <c r="I750" s="268"/>
      <c r="J750" s="268"/>
      <c r="K750" s="268"/>
    </row>
    <row r="751" ht="15.75" customHeight="1">
      <c r="B751" s="268"/>
      <c r="C751" s="268"/>
      <c r="D751" s="319"/>
      <c r="E751" s="319"/>
      <c r="F751" s="268"/>
      <c r="G751" s="268"/>
      <c r="H751" s="268"/>
      <c r="I751" s="268"/>
      <c r="J751" s="268"/>
      <c r="K751" s="268"/>
    </row>
    <row r="752" ht="15.75" customHeight="1">
      <c r="B752" s="268"/>
      <c r="C752" s="268"/>
      <c r="D752" s="319"/>
      <c r="E752" s="319"/>
      <c r="F752" s="268"/>
      <c r="G752" s="268"/>
      <c r="H752" s="268"/>
      <c r="I752" s="268"/>
      <c r="J752" s="268"/>
      <c r="K752" s="268"/>
    </row>
    <row r="753" ht="15.75" customHeight="1">
      <c r="B753" s="268"/>
      <c r="C753" s="268"/>
      <c r="D753" s="319"/>
      <c r="E753" s="319"/>
      <c r="F753" s="268"/>
      <c r="G753" s="268"/>
      <c r="H753" s="268"/>
      <c r="I753" s="268"/>
      <c r="J753" s="268"/>
      <c r="K753" s="268"/>
    </row>
    <row r="754" ht="15.75" customHeight="1">
      <c r="B754" s="268"/>
      <c r="C754" s="268"/>
      <c r="D754" s="319"/>
      <c r="E754" s="319"/>
      <c r="F754" s="268"/>
      <c r="G754" s="268"/>
      <c r="H754" s="268"/>
      <c r="I754" s="268"/>
      <c r="J754" s="268"/>
      <c r="K754" s="268"/>
    </row>
    <row r="755" ht="15.75" customHeight="1">
      <c r="B755" s="268"/>
      <c r="C755" s="268"/>
      <c r="D755" s="319"/>
      <c r="E755" s="319"/>
      <c r="F755" s="268"/>
      <c r="G755" s="268"/>
      <c r="H755" s="268"/>
      <c r="I755" s="268"/>
      <c r="J755" s="268"/>
      <c r="K755" s="268"/>
    </row>
    <row r="756" ht="15.75" customHeight="1">
      <c r="B756" s="268"/>
      <c r="C756" s="268"/>
      <c r="D756" s="319"/>
      <c r="E756" s="319"/>
      <c r="F756" s="268"/>
      <c r="G756" s="268"/>
      <c r="H756" s="268"/>
      <c r="I756" s="268"/>
      <c r="J756" s="268"/>
      <c r="K756" s="268"/>
    </row>
    <row r="757" ht="15.75" customHeight="1">
      <c r="B757" s="268"/>
      <c r="C757" s="268"/>
      <c r="D757" s="319"/>
      <c r="E757" s="319"/>
      <c r="F757" s="268"/>
      <c r="G757" s="268"/>
      <c r="H757" s="268"/>
      <c r="I757" s="268"/>
      <c r="J757" s="268"/>
      <c r="K757" s="268"/>
    </row>
    <row r="758" ht="15.75" customHeight="1">
      <c r="B758" s="268"/>
      <c r="C758" s="268"/>
      <c r="D758" s="319"/>
      <c r="E758" s="319"/>
      <c r="F758" s="268"/>
      <c r="G758" s="268"/>
      <c r="H758" s="268"/>
      <c r="I758" s="268"/>
      <c r="J758" s="268"/>
      <c r="K758" s="268"/>
    </row>
    <row r="759" ht="15.75" customHeight="1">
      <c r="B759" s="268"/>
      <c r="C759" s="268"/>
      <c r="D759" s="319"/>
      <c r="E759" s="319"/>
      <c r="F759" s="268"/>
      <c r="G759" s="268"/>
      <c r="H759" s="268"/>
      <c r="I759" s="268"/>
      <c r="J759" s="268"/>
      <c r="K759" s="268"/>
    </row>
    <row r="760" ht="15.75" customHeight="1">
      <c r="B760" s="268"/>
      <c r="C760" s="268"/>
      <c r="D760" s="319"/>
      <c r="E760" s="319"/>
      <c r="F760" s="268"/>
      <c r="G760" s="268"/>
      <c r="H760" s="268"/>
      <c r="I760" s="268"/>
      <c r="J760" s="268"/>
      <c r="K760" s="268"/>
    </row>
    <row r="761" ht="15.75" customHeight="1">
      <c r="B761" s="268"/>
      <c r="C761" s="268"/>
      <c r="D761" s="319"/>
      <c r="E761" s="319"/>
      <c r="F761" s="268"/>
      <c r="G761" s="268"/>
      <c r="H761" s="268"/>
      <c r="I761" s="268"/>
      <c r="J761" s="268"/>
      <c r="K761" s="268"/>
    </row>
    <row r="762" ht="15.75" customHeight="1">
      <c r="B762" s="268"/>
      <c r="C762" s="268"/>
      <c r="D762" s="319"/>
      <c r="E762" s="319"/>
      <c r="F762" s="268"/>
      <c r="G762" s="268"/>
      <c r="H762" s="268"/>
      <c r="I762" s="268"/>
      <c r="J762" s="268"/>
      <c r="K762" s="268"/>
    </row>
    <row r="763" ht="15.75" customHeight="1">
      <c r="B763" s="268"/>
      <c r="C763" s="268"/>
      <c r="D763" s="319"/>
      <c r="E763" s="319"/>
      <c r="F763" s="268"/>
      <c r="G763" s="268"/>
      <c r="H763" s="268"/>
      <c r="I763" s="268"/>
      <c r="J763" s="268"/>
      <c r="K763" s="268"/>
    </row>
    <row r="764" ht="15.75" customHeight="1">
      <c r="B764" s="268"/>
      <c r="C764" s="268"/>
      <c r="D764" s="319"/>
      <c r="E764" s="319"/>
      <c r="F764" s="268"/>
      <c r="G764" s="268"/>
      <c r="H764" s="268"/>
      <c r="I764" s="268"/>
      <c r="J764" s="268"/>
      <c r="K764" s="268"/>
    </row>
    <row r="765" ht="15.75" customHeight="1">
      <c r="B765" s="268"/>
      <c r="C765" s="268"/>
      <c r="D765" s="319"/>
      <c r="E765" s="319"/>
      <c r="F765" s="268"/>
      <c r="G765" s="268"/>
      <c r="H765" s="268"/>
      <c r="I765" s="268"/>
      <c r="J765" s="268"/>
      <c r="K765" s="268"/>
    </row>
    <row r="766" ht="15.75" customHeight="1">
      <c r="B766" s="268"/>
      <c r="C766" s="268"/>
      <c r="D766" s="319"/>
      <c r="E766" s="319"/>
      <c r="F766" s="268"/>
      <c r="G766" s="268"/>
      <c r="H766" s="268"/>
      <c r="I766" s="268"/>
      <c r="J766" s="268"/>
      <c r="K766" s="268"/>
    </row>
    <row r="767" ht="15.75" customHeight="1">
      <c r="B767" s="268"/>
      <c r="C767" s="268"/>
      <c r="D767" s="319"/>
      <c r="E767" s="319"/>
      <c r="F767" s="268"/>
      <c r="G767" s="268"/>
      <c r="H767" s="268"/>
      <c r="I767" s="268"/>
      <c r="J767" s="268"/>
      <c r="K767" s="268"/>
    </row>
    <row r="768" ht="15.75" customHeight="1">
      <c r="B768" s="268"/>
      <c r="C768" s="268"/>
      <c r="D768" s="319"/>
      <c r="E768" s="319"/>
      <c r="F768" s="268"/>
      <c r="G768" s="268"/>
      <c r="H768" s="268"/>
      <c r="I768" s="268"/>
      <c r="J768" s="268"/>
      <c r="K768" s="268"/>
    </row>
    <row r="769" ht="15.75" customHeight="1">
      <c r="B769" s="268"/>
      <c r="C769" s="268"/>
      <c r="D769" s="319"/>
      <c r="E769" s="319"/>
      <c r="F769" s="268"/>
      <c r="G769" s="268"/>
      <c r="H769" s="268"/>
      <c r="I769" s="268"/>
      <c r="J769" s="268"/>
      <c r="K769" s="268"/>
    </row>
    <row r="770" ht="15.75" customHeight="1">
      <c r="B770" s="268"/>
      <c r="C770" s="268"/>
      <c r="D770" s="319"/>
      <c r="E770" s="319"/>
      <c r="F770" s="268"/>
      <c r="G770" s="268"/>
      <c r="H770" s="268"/>
      <c r="I770" s="268"/>
      <c r="J770" s="268"/>
      <c r="K770" s="268"/>
    </row>
    <row r="771" ht="15.75" customHeight="1">
      <c r="B771" s="268"/>
      <c r="C771" s="268"/>
      <c r="D771" s="319"/>
      <c r="E771" s="319"/>
      <c r="F771" s="268"/>
      <c r="G771" s="268"/>
      <c r="H771" s="268"/>
      <c r="I771" s="268"/>
      <c r="J771" s="268"/>
      <c r="K771" s="268"/>
    </row>
    <row r="772" ht="15.75" customHeight="1">
      <c r="B772" s="268"/>
      <c r="C772" s="268"/>
      <c r="D772" s="319"/>
      <c r="E772" s="319"/>
      <c r="F772" s="268"/>
      <c r="G772" s="268"/>
      <c r="H772" s="268"/>
      <c r="I772" s="268"/>
      <c r="J772" s="268"/>
      <c r="K772" s="268"/>
    </row>
    <row r="773" ht="15.75" customHeight="1">
      <c r="B773" s="268"/>
      <c r="C773" s="268"/>
      <c r="D773" s="319"/>
      <c r="E773" s="319"/>
      <c r="F773" s="268"/>
      <c r="G773" s="268"/>
      <c r="H773" s="268"/>
      <c r="I773" s="268"/>
      <c r="J773" s="268"/>
      <c r="K773" s="268"/>
    </row>
    <row r="774" ht="15.75" customHeight="1">
      <c r="B774" s="268"/>
      <c r="C774" s="268"/>
      <c r="D774" s="319"/>
      <c r="E774" s="319"/>
      <c r="F774" s="268"/>
      <c r="G774" s="268"/>
      <c r="H774" s="268"/>
      <c r="I774" s="268"/>
      <c r="J774" s="268"/>
      <c r="K774" s="268"/>
    </row>
    <row r="775" ht="15.75" customHeight="1">
      <c r="B775" s="268"/>
      <c r="C775" s="268"/>
      <c r="D775" s="319"/>
      <c r="E775" s="319"/>
      <c r="F775" s="268"/>
      <c r="G775" s="268"/>
      <c r="H775" s="268"/>
      <c r="I775" s="268"/>
      <c r="J775" s="268"/>
      <c r="K775" s="268"/>
    </row>
    <row r="776" ht="15.75" customHeight="1">
      <c r="B776" s="268"/>
      <c r="C776" s="268"/>
      <c r="D776" s="319"/>
      <c r="E776" s="319"/>
      <c r="F776" s="268"/>
      <c r="G776" s="268"/>
      <c r="H776" s="268"/>
      <c r="I776" s="268"/>
      <c r="J776" s="268"/>
      <c r="K776" s="268"/>
    </row>
    <row r="777" ht="15.75" customHeight="1">
      <c r="B777" s="268"/>
      <c r="C777" s="268"/>
      <c r="D777" s="319"/>
      <c r="E777" s="319"/>
      <c r="F777" s="268"/>
      <c r="G777" s="268"/>
      <c r="H777" s="268"/>
      <c r="I777" s="268"/>
      <c r="J777" s="268"/>
      <c r="K777" s="268"/>
    </row>
    <row r="778" ht="15.75" customHeight="1">
      <c r="B778" s="268"/>
      <c r="C778" s="268"/>
      <c r="D778" s="319"/>
      <c r="E778" s="319"/>
      <c r="F778" s="268"/>
      <c r="G778" s="268"/>
      <c r="H778" s="268"/>
      <c r="I778" s="268"/>
      <c r="J778" s="268"/>
      <c r="K778" s="268"/>
    </row>
    <row r="779" ht="15.75" customHeight="1">
      <c r="B779" s="268"/>
      <c r="C779" s="268"/>
      <c r="D779" s="319"/>
      <c r="E779" s="319"/>
      <c r="F779" s="268"/>
      <c r="G779" s="268"/>
      <c r="H779" s="268"/>
      <c r="I779" s="268"/>
      <c r="J779" s="268"/>
      <c r="K779" s="268"/>
    </row>
    <row r="780" ht="15.75" customHeight="1">
      <c r="B780" s="268"/>
      <c r="C780" s="268"/>
      <c r="D780" s="319"/>
      <c r="E780" s="319"/>
      <c r="F780" s="268"/>
      <c r="G780" s="268"/>
      <c r="H780" s="268"/>
      <c r="I780" s="268"/>
      <c r="J780" s="268"/>
      <c r="K780" s="268"/>
    </row>
    <row r="781" ht="15.75" customHeight="1">
      <c r="B781" s="268"/>
      <c r="C781" s="268"/>
      <c r="D781" s="319"/>
      <c r="E781" s="319"/>
      <c r="F781" s="268"/>
      <c r="G781" s="268"/>
      <c r="H781" s="268"/>
      <c r="I781" s="268"/>
      <c r="J781" s="268"/>
      <c r="K781" s="268"/>
    </row>
    <row r="782" ht="15.75" customHeight="1">
      <c r="B782" s="268"/>
      <c r="C782" s="268"/>
      <c r="D782" s="319"/>
      <c r="E782" s="319"/>
      <c r="F782" s="268"/>
      <c r="G782" s="268"/>
      <c r="H782" s="268"/>
      <c r="I782" s="268"/>
      <c r="J782" s="268"/>
      <c r="K782" s="268"/>
    </row>
    <row r="783" ht="15.75" customHeight="1">
      <c r="B783" s="268"/>
      <c r="C783" s="268"/>
      <c r="D783" s="319"/>
      <c r="E783" s="319"/>
      <c r="F783" s="268"/>
      <c r="G783" s="268"/>
      <c r="H783" s="268"/>
      <c r="I783" s="268"/>
      <c r="J783" s="268"/>
      <c r="K783" s="268"/>
    </row>
    <row r="784" ht="15.75" customHeight="1">
      <c r="B784" s="268"/>
      <c r="C784" s="268"/>
      <c r="D784" s="319"/>
      <c r="E784" s="319"/>
      <c r="F784" s="268"/>
      <c r="G784" s="268"/>
      <c r="H784" s="268"/>
      <c r="I784" s="268"/>
      <c r="J784" s="268"/>
      <c r="K784" s="268"/>
    </row>
    <row r="785" ht="15.75" customHeight="1">
      <c r="B785" s="268"/>
      <c r="C785" s="268"/>
      <c r="D785" s="319"/>
      <c r="E785" s="319"/>
      <c r="F785" s="268"/>
      <c r="G785" s="268"/>
      <c r="H785" s="268"/>
      <c r="I785" s="268"/>
      <c r="J785" s="268"/>
      <c r="K785" s="268"/>
    </row>
    <row r="786" ht="15.75" customHeight="1">
      <c r="B786" s="268"/>
      <c r="C786" s="268"/>
      <c r="D786" s="319"/>
      <c r="E786" s="319"/>
      <c r="F786" s="268"/>
      <c r="G786" s="268"/>
      <c r="H786" s="268"/>
      <c r="I786" s="268"/>
      <c r="J786" s="268"/>
      <c r="K786" s="268"/>
    </row>
    <row r="787" ht="15.75" customHeight="1">
      <c r="B787" s="268"/>
      <c r="C787" s="268"/>
      <c r="D787" s="319"/>
      <c r="E787" s="319"/>
      <c r="F787" s="268"/>
      <c r="G787" s="268"/>
      <c r="H787" s="268"/>
      <c r="I787" s="268"/>
      <c r="J787" s="268"/>
      <c r="K787" s="268"/>
    </row>
    <row r="788" ht="15.75" customHeight="1">
      <c r="B788" s="268"/>
      <c r="C788" s="268"/>
      <c r="D788" s="319"/>
      <c r="E788" s="319"/>
      <c r="F788" s="268"/>
      <c r="G788" s="268"/>
      <c r="H788" s="268"/>
      <c r="I788" s="268"/>
      <c r="J788" s="268"/>
      <c r="K788" s="268"/>
    </row>
    <row r="789" ht="15.75" customHeight="1">
      <c r="B789" s="268"/>
      <c r="C789" s="268"/>
      <c r="D789" s="319"/>
      <c r="E789" s="319"/>
      <c r="F789" s="268"/>
      <c r="G789" s="268"/>
      <c r="H789" s="268"/>
      <c r="I789" s="268"/>
      <c r="J789" s="268"/>
      <c r="K789" s="268"/>
    </row>
    <row r="790" ht="15.75" customHeight="1">
      <c r="B790" s="268"/>
      <c r="C790" s="268"/>
      <c r="D790" s="319"/>
      <c r="E790" s="319"/>
      <c r="F790" s="268"/>
      <c r="G790" s="268"/>
      <c r="H790" s="268"/>
      <c r="I790" s="268"/>
      <c r="J790" s="268"/>
      <c r="K790" s="268"/>
    </row>
    <row r="791" ht="15.75" customHeight="1">
      <c r="B791" s="268"/>
      <c r="C791" s="268"/>
      <c r="D791" s="319"/>
      <c r="E791" s="319"/>
      <c r="F791" s="268"/>
      <c r="G791" s="268"/>
      <c r="H791" s="268"/>
      <c r="I791" s="268"/>
      <c r="J791" s="268"/>
      <c r="K791" s="268"/>
    </row>
    <row r="792" ht="15.75" customHeight="1">
      <c r="B792" s="268"/>
      <c r="C792" s="268"/>
      <c r="D792" s="319"/>
      <c r="E792" s="319"/>
      <c r="F792" s="268"/>
      <c r="G792" s="268"/>
      <c r="H792" s="268"/>
      <c r="I792" s="268"/>
      <c r="J792" s="268"/>
      <c r="K792" s="268"/>
    </row>
    <row r="793" ht="15.75" customHeight="1">
      <c r="B793" s="268"/>
      <c r="C793" s="268"/>
      <c r="D793" s="319"/>
      <c r="E793" s="319"/>
      <c r="F793" s="268"/>
      <c r="G793" s="268"/>
      <c r="H793" s="268"/>
      <c r="I793" s="268"/>
      <c r="J793" s="268"/>
      <c r="K793" s="268"/>
    </row>
    <row r="794" ht="15.75" customHeight="1">
      <c r="B794" s="268"/>
      <c r="C794" s="268"/>
      <c r="D794" s="319"/>
      <c r="E794" s="319"/>
      <c r="F794" s="268"/>
      <c r="G794" s="268"/>
      <c r="H794" s="268"/>
      <c r="I794" s="268"/>
      <c r="J794" s="268"/>
      <c r="K794" s="268"/>
    </row>
    <row r="795" ht="15.75" customHeight="1">
      <c r="B795" s="268"/>
      <c r="C795" s="268"/>
      <c r="D795" s="319"/>
      <c r="E795" s="319"/>
      <c r="F795" s="268"/>
      <c r="G795" s="268"/>
      <c r="H795" s="268"/>
      <c r="I795" s="268"/>
      <c r="J795" s="268"/>
      <c r="K795" s="268"/>
    </row>
    <row r="796" ht="15.75" customHeight="1">
      <c r="B796" s="268"/>
      <c r="C796" s="268"/>
      <c r="D796" s="319"/>
      <c r="E796" s="319"/>
      <c r="F796" s="268"/>
      <c r="G796" s="268"/>
      <c r="H796" s="268"/>
      <c r="I796" s="268"/>
      <c r="J796" s="268"/>
      <c r="K796" s="268"/>
    </row>
    <row r="797" ht="15.75" customHeight="1">
      <c r="B797" s="268"/>
      <c r="C797" s="268"/>
      <c r="D797" s="319"/>
      <c r="E797" s="319"/>
      <c r="F797" s="268"/>
      <c r="G797" s="268"/>
      <c r="H797" s="268"/>
      <c r="I797" s="268"/>
      <c r="J797" s="268"/>
      <c r="K797" s="268"/>
    </row>
    <row r="798" ht="15.75" customHeight="1">
      <c r="B798" s="268"/>
      <c r="C798" s="268"/>
      <c r="D798" s="319"/>
      <c r="E798" s="319"/>
      <c r="F798" s="268"/>
      <c r="G798" s="268"/>
      <c r="H798" s="268"/>
      <c r="I798" s="268"/>
      <c r="J798" s="268"/>
      <c r="K798" s="268"/>
    </row>
    <row r="799" ht="15.75" customHeight="1">
      <c r="B799" s="268"/>
      <c r="C799" s="268"/>
      <c r="D799" s="319"/>
      <c r="E799" s="319"/>
      <c r="F799" s="268"/>
      <c r="G799" s="268"/>
      <c r="H799" s="268"/>
      <c r="I799" s="268"/>
      <c r="J799" s="268"/>
      <c r="K799" s="268"/>
    </row>
    <row r="800" ht="15.75" customHeight="1">
      <c r="B800" s="268"/>
      <c r="C800" s="268"/>
      <c r="D800" s="319"/>
      <c r="E800" s="319"/>
      <c r="F800" s="268"/>
      <c r="G800" s="268"/>
      <c r="H800" s="268"/>
      <c r="I800" s="268"/>
      <c r="J800" s="268"/>
      <c r="K800" s="268"/>
    </row>
    <row r="801" ht="15.75" customHeight="1">
      <c r="B801" s="268"/>
      <c r="C801" s="268"/>
      <c r="D801" s="319"/>
      <c r="E801" s="319"/>
      <c r="F801" s="268"/>
      <c r="G801" s="268"/>
      <c r="H801" s="268"/>
      <c r="I801" s="268"/>
      <c r="J801" s="268"/>
      <c r="K801" s="268"/>
    </row>
    <row r="802" ht="15.75" customHeight="1">
      <c r="B802" s="268"/>
      <c r="C802" s="268"/>
      <c r="D802" s="319"/>
      <c r="E802" s="319"/>
      <c r="F802" s="268"/>
      <c r="G802" s="268"/>
      <c r="H802" s="268"/>
      <c r="I802" s="268"/>
      <c r="J802" s="268"/>
      <c r="K802" s="268"/>
    </row>
    <row r="803" ht="15.75" customHeight="1">
      <c r="B803" s="268"/>
      <c r="C803" s="268"/>
      <c r="D803" s="319"/>
      <c r="E803" s="319"/>
      <c r="F803" s="268"/>
      <c r="G803" s="268"/>
      <c r="H803" s="268"/>
      <c r="I803" s="268"/>
      <c r="J803" s="268"/>
      <c r="K803" s="268"/>
    </row>
    <row r="804" ht="15.75" customHeight="1">
      <c r="B804" s="268"/>
      <c r="C804" s="268"/>
      <c r="D804" s="319"/>
      <c r="E804" s="319"/>
      <c r="F804" s="268"/>
      <c r="G804" s="268"/>
      <c r="H804" s="268"/>
      <c r="I804" s="268"/>
      <c r="J804" s="268"/>
      <c r="K804" s="268"/>
    </row>
    <row r="805" ht="15.75" customHeight="1">
      <c r="B805" s="268"/>
      <c r="C805" s="268"/>
      <c r="D805" s="319"/>
      <c r="E805" s="319"/>
      <c r="F805" s="268"/>
      <c r="G805" s="268"/>
      <c r="H805" s="268"/>
      <c r="I805" s="268"/>
      <c r="J805" s="268"/>
      <c r="K805" s="268"/>
    </row>
    <row r="806" ht="15.75" customHeight="1">
      <c r="B806" s="268"/>
      <c r="C806" s="268"/>
      <c r="D806" s="319"/>
      <c r="E806" s="319"/>
      <c r="F806" s="268"/>
      <c r="G806" s="268"/>
      <c r="H806" s="268"/>
      <c r="I806" s="268"/>
      <c r="J806" s="268"/>
      <c r="K806" s="268"/>
    </row>
    <row r="807" ht="15.75" customHeight="1">
      <c r="B807" s="268"/>
      <c r="C807" s="268"/>
      <c r="D807" s="319"/>
      <c r="E807" s="319"/>
      <c r="F807" s="268"/>
      <c r="G807" s="268"/>
      <c r="H807" s="268"/>
      <c r="I807" s="268"/>
      <c r="J807" s="268"/>
      <c r="K807" s="268"/>
    </row>
    <row r="808" ht="15.75" customHeight="1">
      <c r="B808" s="268"/>
      <c r="C808" s="268"/>
      <c r="D808" s="319"/>
      <c r="E808" s="319"/>
      <c r="F808" s="268"/>
      <c r="G808" s="268"/>
      <c r="H808" s="268"/>
      <c r="I808" s="268"/>
      <c r="J808" s="268"/>
      <c r="K808" s="268"/>
    </row>
    <row r="809" ht="15.75" customHeight="1">
      <c r="B809" s="268"/>
      <c r="C809" s="268"/>
      <c r="D809" s="319"/>
      <c r="E809" s="319"/>
      <c r="F809" s="268"/>
      <c r="G809" s="268"/>
      <c r="H809" s="268"/>
      <c r="I809" s="268"/>
      <c r="J809" s="268"/>
      <c r="K809" s="268"/>
    </row>
    <row r="810" ht="15.75" customHeight="1">
      <c r="B810" s="268"/>
      <c r="C810" s="268"/>
      <c r="D810" s="319"/>
      <c r="E810" s="319"/>
      <c r="F810" s="268"/>
      <c r="G810" s="268"/>
      <c r="H810" s="268"/>
      <c r="I810" s="268"/>
      <c r="J810" s="268"/>
      <c r="K810" s="268"/>
    </row>
    <row r="811" ht="15.75" customHeight="1">
      <c r="B811" s="268"/>
      <c r="C811" s="268"/>
      <c r="D811" s="319"/>
      <c r="E811" s="319"/>
      <c r="F811" s="268"/>
      <c r="G811" s="268"/>
      <c r="H811" s="268"/>
      <c r="I811" s="268"/>
      <c r="J811" s="268"/>
      <c r="K811" s="268"/>
    </row>
    <row r="812" ht="15.75" customHeight="1">
      <c r="B812" s="268"/>
      <c r="C812" s="268"/>
      <c r="D812" s="319"/>
      <c r="E812" s="319"/>
      <c r="F812" s="268"/>
      <c r="G812" s="268"/>
      <c r="H812" s="268"/>
      <c r="I812" s="268"/>
      <c r="J812" s="268"/>
      <c r="K812" s="268"/>
    </row>
    <row r="813" ht="15.75" customHeight="1">
      <c r="B813" s="268"/>
      <c r="C813" s="268"/>
      <c r="D813" s="319"/>
      <c r="E813" s="319"/>
      <c r="F813" s="268"/>
      <c r="G813" s="268"/>
      <c r="H813" s="268"/>
      <c r="I813" s="268"/>
      <c r="J813" s="268"/>
      <c r="K813" s="268"/>
    </row>
    <row r="814" ht="15.75" customHeight="1">
      <c r="B814" s="268"/>
      <c r="C814" s="268"/>
      <c r="D814" s="319"/>
      <c r="E814" s="319"/>
      <c r="F814" s="268"/>
      <c r="G814" s="268"/>
      <c r="H814" s="268"/>
      <c r="I814" s="268"/>
      <c r="J814" s="268"/>
      <c r="K814" s="268"/>
    </row>
    <row r="815" ht="15.75" customHeight="1">
      <c r="B815" s="268"/>
      <c r="C815" s="268"/>
      <c r="D815" s="319"/>
      <c r="E815" s="319"/>
      <c r="F815" s="268"/>
      <c r="G815" s="268"/>
      <c r="H815" s="268"/>
      <c r="I815" s="268"/>
      <c r="J815" s="268"/>
      <c r="K815" s="268"/>
    </row>
    <row r="816" ht="15.75" customHeight="1">
      <c r="B816" s="268"/>
      <c r="C816" s="268"/>
      <c r="D816" s="319"/>
      <c r="E816" s="319"/>
      <c r="F816" s="268"/>
      <c r="G816" s="268"/>
      <c r="H816" s="268"/>
      <c r="I816" s="268"/>
      <c r="J816" s="268"/>
      <c r="K816" s="268"/>
    </row>
    <row r="817" ht="15.75" customHeight="1">
      <c r="B817" s="268"/>
      <c r="C817" s="268"/>
      <c r="D817" s="319"/>
      <c r="E817" s="319"/>
      <c r="F817" s="268"/>
      <c r="G817" s="268"/>
      <c r="H817" s="268"/>
      <c r="I817" s="268"/>
      <c r="J817" s="268"/>
      <c r="K817" s="268"/>
    </row>
    <row r="818" ht="15.75" customHeight="1">
      <c r="B818" s="268"/>
      <c r="C818" s="268"/>
      <c r="D818" s="319"/>
      <c r="E818" s="319"/>
      <c r="F818" s="268"/>
      <c r="G818" s="268"/>
      <c r="H818" s="268"/>
      <c r="I818" s="268"/>
      <c r="J818" s="268"/>
      <c r="K818" s="268"/>
    </row>
    <row r="819" ht="15.75" customHeight="1">
      <c r="B819" s="268"/>
      <c r="C819" s="268"/>
      <c r="D819" s="319"/>
      <c r="E819" s="319"/>
      <c r="F819" s="268"/>
      <c r="G819" s="268"/>
      <c r="H819" s="268"/>
      <c r="I819" s="268"/>
      <c r="J819" s="268"/>
      <c r="K819" s="268"/>
    </row>
    <row r="820" ht="15.75" customHeight="1">
      <c r="B820" s="268"/>
      <c r="C820" s="268"/>
      <c r="D820" s="319"/>
      <c r="E820" s="319"/>
      <c r="F820" s="268"/>
      <c r="G820" s="268"/>
      <c r="H820" s="268"/>
      <c r="I820" s="268"/>
      <c r="J820" s="268"/>
      <c r="K820" s="268"/>
    </row>
    <row r="821" ht="15.75" customHeight="1">
      <c r="B821" s="268"/>
      <c r="C821" s="268"/>
      <c r="D821" s="319"/>
      <c r="E821" s="319"/>
      <c r="F821" s="268"/>
      <c r="G821" s="268"/>
      <c r="H821" s="268"/>
      <c r="I821" s="268"/>
      <c r="J821" s="268"/>
      <c r="K821" s="268"/>
    </row>
    <row r="822" ht="15.75" customHeight="1">
      <c r="B822" s="268"/>
      <c r="C822" s="268"/>
      <c r="D822" s="319"/>
      <c r="E822" s="319"/>
      <c r="F822" s="268"/>
      <c r="G822" s="268"/>
      <c r="H822" s="268"/>
      <c r="I822" s="268"/>
      <c r="J822" s="268"/>
      <c r="K822" s="268"/>
    </row>
    <row r="823" ht="15.75" customHeight="1">
      <c r="B823" s="268"/>
      <c r="C823" s="268"/>
      <c r="D823" s="319"/>
      <c r="E823" s="319"/>
      <c r="F823" s="268"/>
      <c r="G823" s="268"/>
      <c r="H823" s="268"/>
      <c r="I823" s="268"/>
      <c r="J823" s="268"/>
      <c r="K823" s="268"/>
    </row>
    <row r="824" ht="15.75" customHeight="1">
      <c r="B824" s="268"/>
      <c r="C824" s="268"/>
      <c r="D824" s="319"/>
      <c r="E824" s="319"/>
      <c r="F824" s="268"/>
      <c r="G824" s="268"/>
      <c r="H824" s="268"/>
      <c r="I824" s="268"/>
      <c r="J824" s="268"/>
      <c r="K824" s="268"/>
    </row>
    <row r="825" ht="15.75" customHeight="1">
      <c r="B825" s="268"/>
      <c r="C825" s="268"/>
      <c r="D825" s="319"/>
      <c r="E825" s="319"/>
      <c r="F825" s="268"/>
      <c r="G825" s="268"/>
      <c r="H825" s="268"/>
      <c r="I825" s="268"/>
      <c r="J825" s="268"/>
      <c r="K825" s="268"/>
    </row>
    <row r="826" ht="15.75" customHeight="1">
      <c r="B826" s="268"/>
      <c r="C826" s="268"/>
      <c r="D826" s="319"/>
      <c r="E826" s="319"/>
      <c r="F826" s="268"/>
      <c r="G826" s="268"/>
      <c r="H826" s="268"/>
      <c r="I826" s="268"/>
      <c r="J826" s="268"/>
      <c r="K826" s="268"/>
    </row>
    <row r="827" ht="15.75" customHeight="1">
      <c r="B827" s="268"/>
      <c r="C827" s="268"/>
      <c r="D827" s="319"/>
      <c r="E827" s="319"/>
      <c r="F827" s="268"/>
      <c r="G827" s="268"/>
      <c r="H827" s="268"/>
      <c r="I827" s="268"/>
      <c r="J827" s="268"/>
      <c r="K827" s="268"/>
    </row>
    <row r="828" ht="15.75" customHeight="1">
      <c r="B828" s="268"/>
      <c r="C828" s="268"/>
      <c r="D828" s="319"/>
      <c r="E828" s="319"/>
      <c r="F828" s="268"/>
      <c r="G828" s="268"/>
      <c r="H828" s="268"/>
      <c r="I828" s="268"/>
      <c r="J828" s="268"/>
      <c r="K828" s="268"/>
    </row>
    <row r="829" ht="15.75" customHeight="1">
      <c r="B829" s="268"/>
      <c r="C829" s="268"/>
      <c r="D829" s="319"/>
      <c r="E829" s="319"/>
      <c r="F829" s="268"/>
      <c r="G829" s="268"/>
      <c r="H829" s="268"/>
      <c r="I829" s="268"/>
      <c r="J829" s="268"/>
      <c r="K829" s="268"/>
    </row>
    <row r="830" ht="15.75" customHeight="1">
      <c r="B830" s="268"/>
      <c r="C830" s="268"/>
      <c r="D830" s="319"/>
      <c r="E830" s="319"/>
      <c r="F830" s="268"/>
      <c r="G830" s="268"/>
      <c r="H830" s="268"/>
      <c r="I830" s="268"/>
      <c r="J830" s="268"/>
      <c r="K830" s="268"/>
    </row>
    <row r="831" ht="15.75" customHeight="1">
      <c r="B831" s="268"/>
      <c r="C831" s="268"/>
      <c r="D831" s="319"/>
      <c r="E831" s="319"/>
      <c r="F831" s="268"/>
      <c r="G831" s="268"/>
      <c r="H831" s="268"/>
      <c r="I831" s="268"/>
      <c r="J831" s="268"/>
      <c r="K831" s="268"/>
    </row>
    <row r="832" ht="15.75" customHeight="1">
      <c r="B832" s="268"/>
      <c r="C832" s="268"/>
      <c r="D832" s="319"/>
      <c r="E832" s="319"/>
      <c r="F832" s="268"/>
      <c r="G832" s="268"/>
      <c r="H832" s="268"/>
      <c r="I832" s="268"/>
      <c r="J832" s="268"/>
      <c r="K832" s="268"/>
    </row>
    <row r="833" ht="15.75" customHeight="1">
      <c r="B833" s="268"/>
      <c r="C833" s="268"/>
      <c r="D833" s="319"/>
      <c r="E833" s="319"/>
      <c r="F833" s="268"/>
      <c r="G833" s="268"/>
      <c r="H833" s="268"/>
      <c r="I833" s="268"/>
      <c r="J833" s="268"/>
      <c r="K833" s="268"/>
    </row>
    <row r="834" ht="15.75" customHeight="1">
      <c r="B834" s="268"/>
      <c r="C834" s="268"/>
      <c r="D834" s="319"/>
      <c r="E834" s="319"/>
      <c r="F834" s="268"/>
      <c r="G834" s="268"/>
      <c r="H834" s="268"/>
      <c r="I834" s="268"/>
      <c r="J834" s="268"/>
      <c r="K834" s="268"/>
    </row>
    <row r="835" ht="15.75" customHeight="1">
      <c r="B835" s="268"/>
      <c r="C835" s="268"/>
      <c r="D835" s="319"/>
      <c r="E835" s="319"/>
      <c r="F835" s="268"/>
      <c r="G835" s="268"/>
      <c r="H835" s="268"/>
      <c r="I835" s="268"/>
      <c r="J835" s="268"/>
      <c r="K835" s="268"/>
    </row>
    <row r="836" ht="15.75" customHeight="1">
      <c r="B836" s="268"/>
      <c r="C836" s="268"/>
      <c r="D836" s="319"/>
      <c r="E836" s="319"/>
      <c r="F836" s="268"/>
      <c r="G836" s="268"/>
      <c r="H836" s="268"/>
      <c r="I836" s="268"/>
      <c r="J836" s="268"/>
      <c r="K836" s="268"/>
    </row>
    <row r="837" ht="15.75" customHeight="1">
      <c r="B837" s="268"/>
      <c r="C837" s="268"/>
      <c r="D837" s="319"/>
      <c r="E837" s="319"/>
      <c r="F837" s="268"/>
      <c r="G837" s="268"/>
      <c r="H837" s="268"/>
      <c r="I837" s="268"/>
      <c r="J837" s="268"/>
      <c r="K837" s="268"/>
    </row>
    <row r="838" ht="15.75" customHeight="1">
      <c r="B838" s="268"/>
      <c r="C838" s="268"/>
      <c r="D838" s="319"/>
      <c r="E838" s="319"/>
      <c r="F838" s="268"/>
      <c r="G838" s="268"/>
      <c r="H838" s="268"/>
      <c r="I838" s="268"/>
      <c r="J838" s="268"/>
      <c r="K838" s="268"/>
    </row>
    <row r="839" ht="15.75" customHeight="1">
      <c r="B839" s="268"/>
      <c r="C839" s="268"/>
      <c r="D839" s="319"/>
      <c r="E839" s="319"/>
      <c r="F839" s="268"/>
      <c r="G839" s="268"/>
      <c r="H839" s="268"/>
      <c r="I839" s="268"/>
      <c r="J839" s="268"/>
      <c r="K839" s="268"/>
    </row>
    <row r="840" ht="15.75" customHeight="1">
      <c r="B840" s="268"/>
      <c r="C840" s="268"/>
      <c r="D840" s="319"/>
      <c r="E840" s="319"/>
      <c r="F840" s="268"/>
      <c r="G840" s="268"/>
      <c r="H840" s="268"/>
      <c r="I840" s="268"/>
      <c r="J840" s="268"/>
      <c r="K840" s="268"/>
    </row>
    <row r="841" ht="15.75" customHeight="1">
      <c r="B841" s="268"/>
      <c r="C841" s="268"/>
      <c r="D841" s="319"/>
      <c r="E841" s="319"/>
      <c r="F841" s="268"/>
      <c r="G841" s="268"/>
      <c r="H841" s="268"/>
      <c r="I841" s="268"/>
      <c r="J841" s="268"/>
      <c r="K841" s="268"/>
    </row>
    <row r="842" ht="15.75" customHeight="1">
      <c r="B842" s="268"/>
      <c r="C842" s="268"/>
      <c r="D842" s="319"/>
      <c r="E842" s="319"/>
      <c r="F842" s="268"/>
      <c r="G842" s="268"/>
      <c r="H842" s="268"/>
      <c r="I842" s="268"/>
      <c r="J842" s="268"/>
      <c r="K842" s="268"/>
    </row>
    <row r="843" ht="15.75" customHeight="1">
      <c r="B843" s="268"/>
      <c r="C843" s="268"/>
      <c r="D843" s="319"/>
      <c r="E843" s="319"/>
      <c r="F843" s="268"/>
      <c r="G843" s="268"/>
      <c r="H843" s="268"/>
      <c r="I843" s="268"/>
      <c r="J843" s="268"/>
      <c r="K843" s="268"/>
    </row>
    <row r="844" ht="15.75" customHeight="1">
      <c r="B844" s="268"/>
      <c r="C844" s="268"/>
      <c r="D844" s="319"/>
      <c r="E844" s="319"/>
      <c r="F844" s="268"/>
      <c r="G844" s="268"/>
      <c r="H844" s="268"/>
      <c r="I844" s="268"/>
      <c r="J844" s="268"/>
      <c r="K844" s="268"/>
    </row>
    <row r="845" ht="15.75" customHeight="1">
      <c r="B845" s="268"/>
      <c r="C845" s="268"/>
      <c r="D845" s="319"/>
      <c r="E845" s="319"/>
      <c r="F845" s="268"/>
      <c r="G845" s="268"/>
      <c r="H845" s="268"/>
      <c r="I845" s="268"/>
      <c r="J845" s="268"/>
      <c r="K845" s="268"/>
    </row>
    <row r="846" ht="15.75" customHeight="1">
      <c r="B846" s="268"/>
      <c r="C846" s="268"/>
      <c r="D846" s="319"/>
      <c r="E846" s="319"/>
      <c r="F846" s="268"/>
      <c r="G846" s="268"/>
      <c r="H846" s="268"/>
      <c r="I846" s="268"/>
      <c r="J846" s="268"/>
      <c r="K846" s="268"/>
    </row>
    <row r="847" ht="15.75" customHeight="1">
      <c r="B847" s="268"/>
      <c r="C847" s="268"/>
      <c r="D847" s="319"/>
      <c r="E847" s="319"/>
      <c r="F847" s="268"/>
      <c r="G847" s="268"/>
      <c r="H847" s="268"/>
      <c r="I847" s="268"/>
      <c r="J847" s="268"/>
      <c r="K847" s="268"/>
    </row>
    <row r="848" ht="15.75" customHeight="1">
      <c r="B848" s="268"/>
      <c r="C848" s="268"/>
      <c r="D848" s="319"/>
      <c r="E848" s="319"/>
      <c r="F848" s="268"/>
      <c r="G848" s="268"/>
      <c r="H848" s="268"/>
      <c r="I848" s="268"/>
      <c r="J848" s="268"/>
      <c r="K848" s="268"/>
    </row>
    <row r="849" ht="15.75" customHeight="1">
      <c r="B849" s="268"/>
      <c r="C849" s="268"/>
      <c r="D849" s="319"/>
      <c r="E849" s="319"/>
      <c r="F849" s="268"/>
      <c r="G849" s="268"/>
      <c r="H849" s="268"/>
      <c r="I849" s="268"/>
      <c r="J849" s="268"/>
      <c r="K849" s="268"/>
    </row>
    <row r="850" ht="15.75" customHeight="1">
      <c r="B850" s="268"/>
      <c r="C850" s="268"/>
      <c r="D850" s="319"/>
      <c r="E850" s="319"/>
      <c r="F850" s="268"/>
      <c r="G850" s="268"/>
      <c r="H850" s="268"/>
      <c r="I850" s="268"/>
      <c r="J850" s="268"/>
      <c r="K850" s="268"/>
    </row>
    <row r="851" ht="15.75" customHeight="1">
      <c r="B851" s="268"/>
      <c r="C851" s="268"/>
      <c r="D851" s="319"/>
      <c r="E851" s="319"/>
      <c r="F851" s="268"/>
      <c r="G851" s="268"/>
      <c r="H851" s="268"/>
      <c r="I851" s="268"/>
      <c r="J851" s="268"/>
      <c r="K851" s="268"/>
    </row>
    <row r="852" ht="15.75" customHeight="1">
      <c r="B852" s="268"/>
      <c r="C852" s="268"/>
      <c r="D852" s="319"/>
      <c r="E852" s="319"/>
      <c r="F852" s="268"/>
      <c r="G852" s="268"/>
      <c r="H852" s="268"/>
      <c r="I852" s="268"/>
      <c r="J852" s="268"/>
      <c r="K852" s="268"/>
    </row>
    <row r="853" ht="15.75" customHeight="1">
      <c r="B853" s="268"/>
      <c r="C853" s="268"/>
      <c r="D853" s="319"/>
      <c r="E853" s="319"/>
      <c r="F853" s="268"/>
      <c r="G853" s="268"/>
      <c r="H853" s="268"/>
      <c r="I853" s="268"/>
      <c r="J853" s="268"/>
      <c r="K853" s="268"/>
    </row>
    <row r="854" ht="15.75" customHeight="1">
      <c r="B854" s="268"/>
      <c r="C854" s="268"/>
      <c r="D854" s="319"/>
      <c r="E854" s="319"/>
      <c r="F854" s="268"/>
      <c r="G854" s="268"/>
      <c r="H854" s="268"/>
      <c r="I854" s="268"/>
      <c r="J854" s="268"/>
      <c r="K854" s="268"/>
    </row>
    <row r="855" ht="15.75" customHeight="1">
      <c r="B855" s="268"/>
      <c r="C855" s="268"/>
      <c r="D855" s="319"/>
      <c r="E855" s="319"/>
      <c r="F855" s="268"/>
      <c r="G855" s="268"/>
      <c r="H855" s="268"/>
      <c r="I855" s="268"/>
      <c r="J855" s="268"/>
      <c r="K855" s="268"/>
    </row>
    <row r="856" ht="15.75" customHeight="1">
      <c r="B856" s="268"/>
      <c r="C856" s="268"/>
      <c r="D856" s="319"/>
      <c r="E856" s="319"/>
      <c r="F856" s="268"/>
      <c r="G856" s="268"/>
      <c r="H856" s="268"/>
      <c r="I856" s="268"/>
      <c r="J856" s="268"/>
      <c r="K856" s="268"/>
    </row>
    <row r="857" ht="15.75" customHeight="1">
      <c r="B857" s="268"/>
      <c r="C857" s="268"/>
      <c r="D857" s="319"/>
      <c r="E857" s="319"/>
      <c r="F857" s="268"/>
      <c r="G857" s="268"/>
      <c r="H857" s="268"/>
      <c r="I857" s="268"/>
      <c r="J857" s="268"/>
      <c r="K857" s="268"/>
    </row>
    <row r="858" ht="15.75" customHeight="1">
      <c r="B858" s="268"/>
      <c r="C858" s="268"/>
      <c r="D858" s="319"/>
      <c r="E858" s="319"/>
      <c r="F858" s="268"/>
      <c r="G858" s="268"/>
      <c r="H858" s="268"/>
      <c r="I858" s="268"/>
      <c r="J858" s="268"/>
      <c r="K858" s="268"/>
    </row>
    <row r="859" ht="15.75" customHeight="1">
      <c r="B859" s="268"/>
      <c r="C859" s="268"/>
      <c r="D859" s="319"/>
      <c r="E859" s="319"/>
      <c r="F859" s="268"/>
      <c r="G859" s="268"/>
      <c r="H859" s="268"/>
      <c r="I859" s="268"/>
      <c r="J859" s="268"/>
      <c r="K859" s="268"/>
    </row>
    <row r="860" ht="15.75" customHeight="1">
      <c r="B860" s="268"/>
      <c r="C860" s="268"/>
      <c r="D860" s="319"/>
      <c r="E860" s="319"/>
      <c r="F860" s="268"/>
      <c r="G860" s="268"/>
      <c r="H860" s="268"/>
      <c r="I860" s="268"/>
      <c r="J860" s="268"/>
      <c r="K860" s="268"/>
    </row>
    <row r="861" ht="15.75" customHeight="1">
      <c r="B861" s="268"/>
      <c r="C861" s="268"/>
      <c r="D861" s="319"/>
      <c r="E861" s="319"/>
      <c r="F861" s="268"/>
      <c r="G861" s="268"/>
      <c r="H861" s="268"/>
      <c r="I861" s="268"/>
      <c r="J861" s="268"/>
      <c r="K861" s="268"/>
    </row>
    <row r="862" ht="15.75" customHeight="1">
      <c r="B862" s="268"/>
      <c r="C862" s="268"/>
      <c r="D862" s="319"/>
      <c r="E862" s="319"/>
      <c r="F862" s="268"/>
      <c r="G862" s="268"/>
      <c r="H862" s="268"/>
      <c r="I862" s="268"/>
      <c r="J862" s="268"/>
      <c r="K862" s="268"/>
    </row>
    <row r="863" ht="15.75" customHeight="1">
      <c r="B863" s="268"/>
      <c r="C863" s="268"/>
      <c r="D863" s="319"/>
      <c r="E863" s="319"/>
      <c r="F863" s="268"/>
      <c r="G863" s="268"/>
      <c r="H863" s="268"/>
      <c r="I863" s="268"/>
      <c r="J863" s="268"/>
      <c r="K863" s="268"/>
    </row>
    <row r="864" ht="15.75" customHeight="1">
      <c r="B864" s="268"/>
      <c r="C864" s="268"/>
      <c r="D864" s="319"/>
      <c r="E864" s="319"/>
      <c r="F864" s="268"/>
      <c r="G864" s="268"/>
      <c r="H864" s="268"/>
      <c r="I864" s="268"/>
      <c r="J864" s="268"/>
      <c r="K864" s="268"/>
    </row>
    <row r="865" ht="15.75" customHeight="1">
      <c r="B865" s="268"/>
      <c r="C865" s="268"/>
      <c r="D865" s="319"/>
      <c r="E865" s="319"/>
      <c r="F865" s="268"/>
      <c r="G865" s="268"/>
      <c r="H865" s="268"/>
      <c r="I865" s="268"/>
      <c r="J865" s="268"/>
      <c r="K865" s="268"/>
    </row>
    <row r="866" ht="15.75" customHeight="1">
      <c r="B866" s="268"/>
      <c r="C866" s="268"/>
      <c r="D866" s="319"/>
      <c r="E866" s="319"/>
      <c r="F866" s="268"/>
      <c r="G866" s="268"/>
      <c r="H866" s="268"/>
      <c r="I866" s="268"/>
      <c r="J866" s="268"/>
      <c r="K866" s="268"/>
    </row>
    <row r="867" ht="15.75" customHeight="1">
      <c r="B867" s="268"/>
      <c r="C867" s="268"/>
      <c r="D867" s="319"/>
      <c r="E867" s="319"/>
      <c r="F867" s="268"/>
      <c r="G867" s="268"/>
      <c r="H867" s="268"/>
      <c r="I867" s="268"/>
      <c r="J867" s="268"/>
      <c r="K867" s="268"/>
    </row>
    <row r="868" ht="15.75" customHeight="1">
      <c r="B868" s="268"/>
      <c r="C868" s="268"/>
      <c r="D868" s="319"/>
      <c r="E868" s="319"/>
      <c r="F868" s="268"/>
      <c r="G868" s="268"/>
      <c r="H868" s="268"/>
      <c r="I868" s="268"/>
      <c r="J868" s="268"/>
      <c r="K868" s="268"/>
    </row>
    <row r="869" ht="15.75" customHeight="1">
      <c r="B869" s="268"/>
      <c r="C869" s="268"/>
      <c r="D869" s="319"/>
      <c r="E869" s="319"/>
      <c r="F869" s="268"/>
      <c r="G869" s="268"/>
      <c r="H869" s="268"/>
      <c r="I869" s="268"/>
      <c r="J869" s="268"/>
      <c r="K869" s="268"/>
    </row>
    <row r="870" ht="15.75" customHeight="1">
      <c r="B870" s="268"/>
      <c r="C870" s="268"/>
      <c r="D870" s="319"/>
      <c r="E870" s="319"/>
      <c r="F870" s="268"/>
      <c r="G870" s="268"/>
      <c r="H870" s="268"/>
      <c r="I870" s="268"/>
      <c r="J870" s="268"/>
      <c r="K870" s="268"/>
    </row>
    <row r="871" ht="15.75" customHeight="1">
      <c r="B871" s="268"/>
      <c r="C871" s="268"/>
      <c r="D871" s="319"/>
      <c r="E871" s="319"/>
      <c r="F871" s="268"/>
      <c r="G871" s="268"/>
      <c r="H871" s="268"/>
      <c r="I871" s="268"/>
      <c r="J871" s="268"/>
      <c r="K871" s="268"/>
    </row>
    <row r="872" ht="15.75" customHeight="1">
      <c r="B872" s="268"/>
      <c r="C872" s="268"/>
      <c r="D872" s="319"/>
      <c r="E872" s="319"/>
      <c r="F872" s="268"/>
      <c r="G872" s="268"/>
      <c r="H872" s="268"/>
      <c r="I872" s="268"/>
      <c r="J872" s="268"/>
      <c r="K872" s="268"/>
    </row>
    <row r="873" ht="15.75" customHeight="1">
      <c r="B873" s="268"/>
      <c r="C873" s="268"/>
      <c r="D873" s="319"/>
      <c r="E873" s="319"/>
      <c r="F873" s="268"/>
      <c r="G873" s="268"/>
      <c r="H873" s="268"/>
      <c r="I873" s="268"/>
      <c r="J873" s="268"/>
      <c r="K873" s="268"/>
    </row>
    <row r="874" ht="15.75" customHeight="1">
      <c r="B874" s="268"/>
      <c r="C874" s="268"/>
      <c r="D874" s="319"/>
      <c r="E874" s="319"/>
      <c r="F874" s="268"/>
      <c r="G874" s="268"/>
      <c r="H874" s="268"/>
      <c r="I874" s="268"/>
      <c r="J874" s="268"/>
      <c r="K874" s="268"/>
    </row>
    <row r="875" ht="15.75" customHeight="1">
      <c r="B875" s="268"/>
      <c r="C875" s="268"/>
      <c r="D875" s="319"/>
      <c r="E875" s="319"/>
      <c r="F875" s="268"/>
      <c r="G875" s="268"/>
      <c r="H875" s="268"/>
      <c r="I875" s="268"/>
      <c r="J875" s="268"/>
      <c r="K875" s="268"/>
    </row>
    <row r="876" ht="15.75" customHeight="1">
      <c r="B876" s="268"/>
      <c r="C876" s="268"/>
      <c r="D876" s="319"/>
      <c r="E876" s="319"/>
      <c r="F876" s="268"/>
      <c r="G876" s="268"/>
      <c r="H876" s="268"/>
      <c r="I876" s="268"/>
      <c r="J876" s="268"/>
      <c r="K876" s="268"/>
    </row>
    <row r="877" ht="15.75" customHeight="1">
      <c r="B877" s="268"/>
      <c r="C877" s="268"/>
      <c r="D877" s="319"/>
      <c r="E877" s="319"/>
      <c r="F877" s="268"/>
      <c r="G877" s="268"/>
      <c r="H877" s="268"/>
      <c r="I877" s="268"/>
      <c r="J877" s="268"/>
      <c r="K877" s="268"/>
    </row>
    <row r="878" ht="15.75" customHeight="1">
      <c r="B878" s="268"/>
      <c r="C878" s="268"/>
      <c r="D878" s="319"/>
      <c r="E878" s="319"/>
      <c r="F878" s="268"/>
      <c r="G878" s="268"/>
      <c r="H878" s="268"/>
      <c r="I878" s="268"/>
      <c r="J878" s="268"/>
      <c r="K878" s="268"/>
    </row>
    <row r="879" ht="15.75" customHeight="1">
      <c r="B879" s="268"/>
      <c r="C879" s="268"/>
      <c r="D879" s="319"/>
      <c r="E879" s="319"/>
      <c r="F879" s="268"/>
      <c r="G879" s="268"/>
      <c r="H879" s="268"/>
      <c r="I879" s="268"/>
      <c r="J879" s="268"/>
      <c r="K879" s="268"/>
    </row>
    <row r="880" ht="15.75" customHeight="1">
      <c r="B880" s="268"/>
      <c r="C880" s="268"/>
      <c r="D880" s="319"/>
      <c r="E880" s="319"/>
      <c r="F880" s="268"/>
      <c r="G880" s="268"/>
      <c r="H880" s="268"/>
      <c r="I880" s="268"/>
      <c r="J880" s="268"/>
      <c r="K880" s="268"/>
    </row>
    <row r="881" ht="15.75" customHeight="1">
      <c r="B881" s="268"/>
      <c r="C881" s="268"/>
      <c r="D881" s="319"/>
      <c r="E881" s="319"/>
      <c r="F881" s="268"/>
      <c r="G881" s="268"/>
      <c r="H881" s="268"/>
      <c r="I881" s="268"/>
      <c r="J881" s="268"/>
      <c r="K881" s="268"/>
    </row>
    <row r="882" ht="15.75" customHeight="1">
      <c r="B882" s="268"/>
      <c r="C882" s="268"/>
      <c r="D882" s="319"/>
      <c r="E882" s="319"/>
      <c r="F882" s="268"/>
      <c r="G882" s="268"/>
      <c r="H882" s="268"/>
      <c r="I882" s="268"/>
      <c r="J882" s="268"/>
      <c r="K882" s="268"/>
    </row>
    <row r="883" ht="15.75" customHeight="1">
      <c r="B883" s="268"/>
      <c r="C883" s="268"/>
      <c r="D883" s="319"/>
      <c r="E883" s="319"/>
      <c r="F883" s="268"/>
      <c r="G883" s="268"/>
      <c r="H883" s="268"/>
      <c r="I883" s="268"/>
      <c r="J883" s="268"/>
      <c r="K883" s="268"/>
    </row>
    <row r="884" ht="15.75" customHeight="1">
      <c r="B884" s="268"/>
      <c r="C884" s="268"/>
      <c r="D884" s="319"/>
      <c r="E884" s="319"/>
      <c r="F884" s="268"/>
      <c r="G884" s="268"/>
      <c r="H884" s="268"/>
      <c r="I884" s="268"/>
      <c r="J884" s="268"/>
      <c r="K884" s="268"/>
    </row>
    <row r="885" ht="15.75" customHeight="1">
      <c r="B885" s="268"/>
      <c r="C885" s="268"/>
      <c r="D885" s="319"/>
      <c r="E885" s="319"/>
      <c r="F885" s="268"/>
      <c r="G885" s="268"/>
      <c r="H885" s="268"/>
      <c r="I885" s="268"/>
      <c r="J885" s="268"/>
      <c r="K885" s="268"/>
    </row>
    <row r="886" ht="15.75" customHeight="1">
      <c r="B886" s="268"/>
      <c r="C886" s="268"/>
      <c r="D886" s="319"/>
      <c r="E886" s="319"/>
      <c r="F886" s="268"/>
      <c r="G886" s="268"/>
      <c r="H886" s="268"/>
      <c r="I886" s="268"/>
      <c r="J886" s="268"/>
      <c r="K886" s="268"/>
    </row>
    <row r="887" ht="15.75" customHeight="1">
      <c r="B887" s="268"/>
      <c r="C887" s="268"/>
      <c r="D887" s="319"/>
      <c r="E887" s="319"/>
      <c r="F887" s="268"/>
      <c r="G887" s="268"/>
      <c r="H887" s="268"/>
      <c r="I887" s="268"/>
      <c r="J887" s="268"/>
      <c r="K887" s="268"/>
    </row>
    <row r="888" ht="15.75" customHeight="1">
      <c r="B888" s="268"/>
      <c r="C888" s="268"/>
      <c r="D888" s="319"/>
      <c r="E888" s="319"/>
      <c r="F888" s="268"/>
      <c r="G888" s="268"/>
      <c r="H888" s="268"/>
      <c r="I888" s="268"/>
      <c r="J888" s="268"/>
      <c r="K888" s="268"/>
    </row>
    <row r="889" ht="15.75" customHeight="1">
      <c r="B889" s="268"/>
      <c r="C889" s="268"/>
      <c r="D889" s="319"/>
      <c r="E889" s="319"/>
      <c r="F889" s="268"/>
      <c r="G889" s="268"/>
      <c r="H889" s="268"/>
      <c r="I889" s="268"/>
      <c r="J889" s="268"/>
      <c r="K889" s="268"/>
    </row>
    <row r="890" ht="15.75" customHeight="1">
      <c r="B890" s="268"/>
      <c r="C890" s="268"/>
      <c r="D890" s="319"/>
      <c r="E890" s="319"/>
      <c r="F890" s="268"/>
      <c r="G890" s="268"/>
      <c r="H890" s="268"/>
      <c r="I890" s="268"/>
      <c r="J890" s="268"/>
      <c r="K890" s="268"/>
    </row>
    <row r="891" ht="15.75" customHeight="1">
      <c r="B891" s="268"/>
      <c r="C891" s="268"/>
      <c r="D891" s="319"/>
      <c r="E891" s="319"/>
      <c r="F891" s="268"/>
      <c r="G891" s="268"/>
      <c r="H891" s="268"/>
      <c r="I891" s="268"/>
      <c r="J891" s="268"/>
      <c r="K891" s="268"/>
    </row>
    <row r="892" ht="15.75" customHeight="1">
      <c r="B892" s="268"/>
      <c r="C892" s="268"/>
      <c r="D892" s="319"/>
      <c r="E892" s="319"/>
      <c r="F892" s="268"/>
      <c r="G892" s="268"/>
      <c r="H892" s="268"/>
      <c r="I892" s="268"/>
      <c r="J892" s="268"/>
      <c r="K892" s="268"/>
    </row>
    <row r="893" ht="15.75" customHeight="1">
      <c r="B893" s="268"/>
      <c r="C893" s="268"/>
      <c r="D893" s="319"/>
      <c r="E893" s="319"/>
      <c r="F893" s="268"/>
      <c r="G893" s="268"/>
      <c r="H893" s="268"/>
      <c r="I893" s="268"/>
      <c r="J893" s="268"/>
      <c r="K893" s="268"/>
    </row>
    <row r="894" ht="15.75" customHeight="1">
      <c r="B894" s="268"/>
      <c r="C894" s="268"/>
      <c r="D894" s="319"/>
      <c r="E894" s="319"/>
      <c r="F894" s="268"/>
      <c r="G894" s="268"/>
      <c r="H894" s="268"/>
      <c r="I894" s="268"/>
      <c r="J894" s="268"/>
      <c r="K894" s="268"/>
    </row>
    <row r="895" ht="15.75" customHeight="1">
      <c r="B895" s="268"/>
      <c r="C895" s="268"/>
      <c r="D895" s="319"/>
      <c r="E895" s="319"/>
      <c r="F895" s="268"/>
      <c r="G895" s="268"/>
      <c r="H895" s="268"/>
      <c r="I895" s="268"/>
      <c r="J895" s="268"/>
      <c r="K895" s="268"/>
    </row>
    <row r="896" ht="15.75" customHeight="1">
      <c r="B896" s="268"/>
      <c r="C896" s="268"/>
      <c r="D896" s="319"/>
      <c r="E896" s="319"/>
      <c r="F896" s="268"/>
      <c r="G896" s="268"/>
      <c r="H896" s="268"/>
      <c r="I896" s="268"/>
      <c r="J896" s="268"/>
      <c r="K896" s="268"/>
    </row>
    <row r="897" ht="15.75" customHeight="1">
      <c r="B897" s="268"/>
      <c r="C897" s="268"/>
      <c r="D897" s="319"/>
      <c r="E897" s="319"/>
      <c r="F897" s="268"/>
      <c r="G897" s="268"/>
      <c r="H897" s="268"/>
      <c r="I897" s="268"/>
      <c r="J897" s="268"/>
      <c r="K897" s="268"/>
    </row>
    <row r="898" ht="15.75" customHeight="1">
      <c r="B898" s="268"/>
      <c r="C898" s="268"/>
      <c r="D898" s="319"/>
      <c r="E898" s="319"/>
      <c r="F898" s="268"/>
      <c r="G898" s="268"/>
      <c r="H898" s="268"/>
      <c r="I898" s="268"/>
      <c r="J898" s="268"/>
      <c r="K898" s="268"/>
    </row>
    <row r="899" ht="15.75" customHeight="1">
      <c r="B899" s="268"/>
      <c r="C899" s="268"/>
      <c r="D899" s="319"/>
      <c r="E899" s="319"/>
      <c r="F899" s="268"/>
      <c r="G899" s="268"/>
      <c r="H899" s="268"/>
      <c r="I899" s="268"/>
      <c r="J899" s="268"/>
      <c r="K899" s="268"/>
    </row>
    <row r="900" ht="15.75" customHeight="1">
      <c r="B900" s="268"/>
      <c r="C900" s="268"/>
      <c r="D900" s="319"/>
      <c r="E900" s="319"/>
      <c r="F900" s="268"/>
      <c r="G900" s="268"/>
      <c r="H900" s="268"/>
      <c r="I900" s="268"/>
      <c r="J900" s="268"/>
      <c r="K900" s="268"/>
    </row>
    <row r="901" ht="15.75" customHeight="1">
      <c r="B901" s="268"/>
      <c r="C901" s="268"/>
      <c r="D901" s="319"/>
      <c r="E901" s="319"/>
      <c r="F901" s="268"/>
      <c r="G901" s="268"/>
      <c r="H901" s="268"/>
      <c r="I901" s="268"/>
      <c r="J901" s="268"/>
      <c r="K901" s="268"/>
    </row>
    <row r="902" ht="15.75" customHeight="1">
      <c r="B902" s="268"/>
      <c r="C902" s="268"/>
      <c r="D902" s="319"/>
      <c r="E902" s="319"/>
      <c r="F902" s="268"/>
      <c r="G902" s="268"/>
      <c r="H902" s="268"/>
      <c r="I902" s="268"/>
      <c r="J902" s="268"/>
      <c r="K902" s="268"/>
    </row>
    <row r="903" ht="15.75" customHeight="1">
      <c r="B903" s="268"/>
      <c r="C903" s="268"/>
      <c r="D903" s="319"/>
      <c r="E903" s="319"/>
      <c r="F903" s="268"/>
      <c r="G903" s="268"/>
      <c r="H903" s="268"/>
      <c r="I903" s="268"/>
      <c r="J903" s="268"/>
      <c r="K903" s="268"/>
    </row>
    <row r="904" ht="15.75" customHeight="1">
      <c r="B904" s="268"/>
      <c r="C904" s="268"/>
      <c r="D904" s="319"/>
      <c r="E904" s="319"/>
      <c r="F904" s="268"/>
      <c r="G904" s="268"/>
      <c r="H904" s="268"/>
      <c r="I904" s="268"/>
      <c r="J904" s="268"/>
      <c r="K904" s="268"/>
    </row>
    <row r="905" ht="15.75" customHeight="1">
      <c r="B905" s="268"/>
      <c r="C905" s="268"/>
      <c r="D905" s="319"/>
      <c r="E905" s="319"/>
      <c r="F905" s="268"/>
      <c r="G905" s="268"/>
      <c r="H905" s="268"/>
      <c r="I905" s="268"/>
      <c r="J905" s="268"/>
      <c r="K905" s="268"/>
    </row>
    <row r="906" ht="15.75" customHeight="1">
      <c r="B906" s="268"/>
      <c r="C906" s="268"/>
      <c r="D906" s="319"/>
      <c r="E906" s="319"/>
      <c r="F906" s="268"/>
      <c r="G906" s="268"/>
      <c r="H906" s="268"/>
      <c r="I906" s="268"/>
      <c r="J906" s="268"/>
      <c r="K906" s="268"/>
    </row>
    <row r="907" ht="15.75" customHeight="1">
      <c r="B907" s="268"/>
      <c r="C907" s="268"/>
      <c r="D907" s="319"/>
      <c r="E907" s="319"/>
      <c r="F907" s="268"/>
      <c r="G907" s="268"/>
      <c r="H907" s="268"/>
      <c r="I907" s="268"/>
      <c r="J907" s="268"/>
      <c r="K907" s="268"/>
    </row>
    <row r="908" ht="15.75" customHeight="1">
      <c r="B908" s="268"/>
      <c r="C908" s="268"/>
      <c r="D908" s="319"/>
      <c r="E908" s="319"/>
      <c r="F908" s="268"/>
      <c r="G908" s="268"/>
      <c r="H908" s="268"/>
      <c r="I908" s="268"/>
      <c r="J908" s="268"/>
      <c r="K908" s="268"/>
    </row>
    <row r="909" ht="15.75" customHeight="1">
      <c r="B909" s="268"/>
      <c r="C909" s="268"/>
      <c r="D909" s="319"/>
      <c r="E909" s="319"/>
      <c r="F909" s="268"/>
      <c r="G909" s="268"/>
      <c r="H909" s="268"/>
      <c r="I909" s="268"/>
      <c r="J909" s="268"/>
      <c r="K909" s="268"/>
    </row>
    <row r="910" ht="15.75" customHeight="1">
      <c r="B910" s="268"/>
      <c r="C910" s="268"/>
      <c r="D910" s="319"/>
      <c r="E910" s="319"/>
      <c r="F910" s="268"/>
      <c r="G910" s="268"/>
      <c r="H910" s="268"/>
      <c r="I910" s="268"/>
      <c r="J910" s="268"/>
      <c r="K910" s="268"/>
    </row>
    <row r="911" ht="15.75" customHeight="1">
      <c r="B911" s="268"/>
      <c r="C911" s="268"/>
      <c r="D911" s="319"/>
      <c r="E911" s="319"/>
      <c r="F911" s="268"/>
      <c r="G911" s="268"/>
      <c r="H911" s="268"/>
      <c r="I911" s="268"/>
      <c r="J911" s="268"/>
      <c r="K911" s="268"/>
    </row>
    <row r="912" ht="15.75" customHeight="1">
      <c r="B912" s="268"/>
      <c r="C912" s="268"/>
      <c r="D912" s="319"/>
      <c r="E912" s="319"/>
      <c r="F912" s="268"/>
      <c r="G912" s="268"/>
      <c r="H912" s="268"/>
      <c r="I912" s="268"/>
      <c r="J912" s="268"/>
      <c r="K912" s="268"/>
    </row>
    <row r="913" ht="15.75" customHeight="1">
      <c r="B913" s="268"/>
      <c r="C913" s="268"/>
      <c r="D913" s="319"/>
      <c r="E913" s="319"/>
      <c r="F913" s="268"/>
      <c r="G913" s="268"/>
      <c r="H913" s="268"/>
      <c r="I913" s="268"/>
      <c r="J913" s="268"/>
      <c r="K913" s="268"/>
    </row>
    <row r="914" ht="15.75" customHeight="1">
      <c r="B914" s="268"/>
      <c r="C914" s="268"/>
      <c r="D914" s="319"/>
      <c r="E914" s="319"/>
      <c r="F914" s="268"/>
      <c r="G914" s="268"/>
      <c r="H914" s="268"/>
      <c r="I914" s="268"/>
      <c r="J914" s="268"/>
      <c r="K914" s="268"/>
    </row>
    <row r="915" ht="15.75" customHeight="1">
      <c r="B915" s="268"/>
      <c r="C915" s="268"/>
      <c r="D915" s="319"/>
      <c r="E915" s="319"/>
      <c r="F915" s="268"/>
      <c r="G915" s="268"/>
      <c r="H915" s="268"/>
      <c r="I915" s="268"/>
      <c r="J915" s="268"/>
      <c r="K915" s="268"/>
    </row>
    <row r="916" ht="15.75" customHeight="1">
      <c r="B916" s="268"/>
      <c r="C916" s="268"/>
      <c r="D916" s="319"/>
      <c r="E916" s="319"/>
      <c r="F916" s="268"/>
      <c r="G916" s="268"/>
      <c r="H916" s="268"/>
      <c r="I916" s="268"/>
      <c r="J916" s="268"/>
      <c r="K916" s="268"/>
    </row>
    <row r="917" ht="15.75" customHeight="1">
      <c r="B917" s="268"/>
      <c r="C917" s="268"/>
      <c r="D917" s="319"/>
      <c r="E917" s="319"/>
      <c r="F917" s="268"/>
      <c r="G917" s="268"/>
      <c r="H917" s="268"/>
      <c r="I917" s="268"/>
      <c r="J917" s="268"/>
      <c r="K917" s="268"/>
    </row>
    <row r="918" ht="15.75" customHeight="1">
      <c r="B918" s="268"/>
      <c r="C918" s="268"/>
      <c r="D918" s="319"/>
      <c r="E918" s="319"/>
      <c r="F918" s="268"/>
      <c r="G918" s="268"/>
      <c r="H918" s="268"/>
      <c r="I918" s="268"/>
      <c r="J918" s="268"/>
      <c r="K918" s="268"/>
    </row>
    <row r="919" ht="15.75" customHeight="1">
      <c r="B919" s="268"/>
      <c r="C919" s="268"/>
      <c r="D919" s="319"/>
      <c r="E919" s="319"/>
      <c r="F919" s="268"/>
      <c r="G919" s="268"/>
      <c r="H919" s="268"/>
      <c r="I919" s="268"/>
      <c r="J919" s="268"/>
      <c r="K919" s="268"/>
    </row>
    <row r="920" ht="15.75" customHeight="1">
      <c r="B920" s="268"/>
      <c r="C920" s="268"/>
      <c r="D920" s="319"/>
      <c r="E920" s="319"/>
      <c r="F920" s="268"/>
      <c r="G920" s="268"/>
      <c r="H920" s="268"/>
      <c r="I920" s="268"/>
      <c r="J920" s="268"/>
      <c r="K920" s="268"/>
    </row>
    <row r="921" ht="15.75" customHeight="1">
      <c r="B921" s="268"/>
      <c r="C921" s="268"/>
      <c r="D921" s="319"/>
      <c r="E921" s="319"/>
      <c r="F921" s="268"/>
      <c r="G921" s="268"/>
      <c r="H921" s="268"/>
      <c r="I921" s="268"/>
      <c r="J921" s="268"/>
      <c r="K921" s="268"/>
    </row>
    <row r="922" ht="15.75" customHeight="1">
      <c r="B922" s="268"/>
      <c r="C922" s="268"/>
      <c r="D922" s="319"/>
      <c r="E922" s="319"/>
      <c r="F922" s="268"/>
      <c r="G922" s="268"/>
      <c r="H922" s="268"/>
      <c r="I922" s="268"/>
      <c r="J922" s="268"/>
      <c r="K922" s="268"/>
    </row>
    <row r="923" ht="15.75" customHeight="1">
      <c r="B923" s="268"/>
      <c r="C923" s="268"/>
      <c r="D923" s="319"/>
      <c r="E923" s="319"/>
      <c r="F923" s="268"/>
      <c r="G923" s="268"/>
      <c r="H923" s="268"/>
      <c r="I923" s="268"/>
      <c r="J923" s="268"/>
      <c r="K923" s="268"/>
    </row>
    <row r="924" ht="15.75" customHeight="1">
      <c r="B924" s="268"/>
      <c r="C924" s="268"/>
      <c r="D924" s="319"/>
      <c r="E924" s="319"/>
      <c r="F924" s="268"/>
      <c r="G924" s="268"/>
      <c r="H924" s="268"/>
      <c r="I924" s="268"/>
      <c r="J924" s="268"/>
      <c r="K924" s="268"/>
    </row>
    <row r="925" ht="15.75" customHeight="1">
      <c r="B925" s="268"/>
      <c r="C925" s="268"/>
      <c r="D925" s="319"/>
      <c r="E925" s="319"/>
      <c r="F925" s="268"/>
      <c r="G925" s="268"/>
      <c r="H925" s="268"/>
      <c r="I925" s="268"/>
      <c r="J925" s="268"/>
      <c r="K925" s="268"/>
    </row>
    <row r="926" ht="15.75" customHeight="1">
      <c r="B926" s="268"/>
      <c r="C926" s="268"/>
      <c r="D926" s="319"/>
      <c r="E926" s="319"/>
      <c r="F926" s="268"/>
      <c r="G926" s="268"/>
      <c r="H926" s="268"/>
      <c r="I926" s="268"/>
      <c r="J926" s="268"/>
      <c r="K926" s="268"/>
    </row>
    <row r="927" ht="15.75" customHeight="1">
      <c r="B927" s="268"/>
      <c r="C927" s="268"/>
      <c r="D927" s="319"/>
      <c r="E927" s="319"/>
      <c r="F927" s="268"/>
      <c r="G927" s="268"/>
      <c r="H927" s="268"/>
      <c r="I927" s="268"/>
      <c r="J927" s="268"/>
      <c r="K927" s="268"/>
    </row>
    <row r="928" ht="15.75" customHeight="1">
      <c r="B928" s="268"/>
      <c r="C928" s="268"/>
      <c r="D928" s="319"/>
      <c r="E928" s="319"/>
      <c r="F928" s="268"/>
      <c r="G928" s="268"/>
      <c r="H928" s="268"/>
      <c r="I928" s="268"/>
      <c r="J928" s="268"/>
      <c r="K928" s="268"/>
    </row>
    <row r="929" ht="15.75" customHeight="1">
      <c r="B929" s="268"/>
      <c r="C929" s="268"/>
      <c r="D929" s="319"/>
      <c r="E929" s="319"/>
      <c r="F929" s="268"/>
      <c r="G929" s="268"/>
      <c r="H929" s="268"/>
      <c r="I929" s="268"/>
      <c r="J929" s="268"/>
      <c r="K929" s="268"/>
    </row>
    <row r="930" ht="15.75" customHeight="1">
      <c r="B930" s="268"/>
      <c r="C930" s="268"/>
      <c r="D930" s="319"/>
      <c r="E930" s="319"/>
      <c r="F930" s="268"/>
      <c r="G930" s="268"/>
      <c r="H930" s="268"/>
      <c r="I930" s="268"/>
      <c r="J930" s="268"/>
      <c r="K930" s="268"/>
    </row>
    <row r="931" ht="15.75" customHeight="1">
      <c r="B931" s="268"/>
      <c r="C931" s="268"/>
      <c r="D931" s="319"/>
      <c r="E931" s="319"/>
      <c r="F931" s="268"/>
      <c r="G931" s="268"/>
      <c r="H931" s="268"/>
      <c r="I931" s="268"/>
      <c r="J931" s="268"/>
      <c r="K931" s="268"/>
    </row>
    <row r="932" ht="15.75" customHeight="1">
      <c r="B932" s="268"/>
      <c r="C932" s="268"/>
      <c r="D932" s="319"/>
      <c r="E932" s="319"/>
      <c r="F932" s="268"/>
      <c r="G932" s="268"/>
      <c r="H932" s="268"/>
      <c r="I932" s="268"/>
      <c r="J932" s="268"/>
      <c r="K932" s="268"/>
    </row>
    <row r="933" ht="15.75" customHeight="1">
      <c r="B933" s="268"/>
      <c r="C933" s="268"/>
      <c r="D933" s="319"/>
      <c r="E933" s="319"/>
      <c r="F933" s="268"/>
      <c r="G933" s="268"/>
      <c r="H933" s="268"/>
      <c r="I933" s="268"/>
      <c r="J933" s="268"/>
      <c r="K933" s="268"/>
    </row>
    <row r="934" ht="15.75" customHeight="1">
      <c r="B934" s="268"/>
      <c r="C934" s="268"/>
      <c r="D934" s="319"/>
      <c r="E934" s="319"/>
      <c r="F934" s="268"/>
      <c r="G934" s="268"/>
      <c r="H934" s="268"/>
      <c r="I934" s="268"/>
      <c r="J934" s="268"/>
      <c r="K934" s="268"/>
    </row>
    <row r="935" ht="15.75" customHeight="1">
      <c r="B935" s="268"/>
      <c r="C935" s="268"/>
      <c r="D935" s="319"/>
      <c r="E935" s="319"/>
      <c r="F935" s="268"/>
      <c r="G935" s="268"/>
      <c r="H935" s="268"/>
      <c r="I935" s="268"/>
      <c r="J935" s="268"/>
      <c r="K935" s="268"/>
    </row>
    <row r="936" ht="15.75" customHeight="1">
      <c r="B936" s="268"/>
      <c r="C936" s="268"/>
      <c r="D936" s="319"/>
      <c r="E936" s="319"/>
      <c r="F936" s="268"/>
      <c r="G936" s="268"/>
      <c r="H936" s="268"/>
      <c r="I936" s="268"/>
      <c r="J936" s="268"/>
      <c r="K936" s="268"/>
    </row>
    <row r="937" ht="15.75" customHeight="1">
      <c r="B937" s="268"/>
      <c r="C937" s="268"/>
      <c r="D937" s="319"/>
      <c r="E937" s="319"/>
      <c r="F937" s="268"/>
      <c r="G937" s="268"/>
      <c r="H937" s="268"/>
      <c r="I937" s="268"/>
      <c r="J937" s="268"/>
      <c r="K937" s="268"/>
    </row>
    <row r="938" ht="15.75" customHeight="1">
      <c r="B938" s="268"/>
      <c r="C938" s="268"/>
      <c r="D938" s="319"/>
      <c r="E938" s="319"/>
      <c r="F938" s="268"/>
      <c r="G938" s="268"/>
      <c r="H938" s="268"/>
      <c r="I938" s="268"/>
      <c r="J938" s="268"/>
      <c r="K938" s="268"/>
    </row>
    <row r="939" ht="15.75" customHeight="1">
      <c r="B939" s="268"/>
      <c r="C939" s="268"/>
      <c r="D939" s="319"/>
      <c r="E939" s="319"/>
      <c r="F939" s="268"/>
      <c r="G939" s="268"/>
      <c r="H939" s="268"/>
      <c r="I939" s="268"/>
      <c r="J939" s="268"/>
      <c r="K939" s="268"/>
    </row>
    <row r="940" ht="15.75" customHeight="1">
      <c r="B940" s="268"/>
      <c r="C940" s="268"/>
      <c r="D940" s="319"/>
      <c r="E940" s="319"/>
      <c r="F940" s="268"/>
      <c r="G940" s="268"/>
      <c r="H940" s="268"/>
      <c r="I940" s="268"/>
      <c r="J940" s="268"/>
      <c r="K940" s="268"/>
    </row>
    <row r="941" ht="15.75" customHeight="1">
      <c r="B941" s="268"/>
      <c r="C941" s="268"/>
      <c r="D941" s="319"/>
      <c r="E941" s="319"/>
      <c r="F941" s="268"/>
      <c r="G941" s="268"/>
      <c r="H941" s="268"/>
      <c r="I941" s="268"/>
      <c r="J941" s="268"/>
      <c r="K941" s="268"/>
    </row>
    <row r="942" ht="15.75" customHeight="1">
      <c r="B942" s="268"/>
      <c r="C942" s="268"/>
      <c r="D942" s="319"/>
      <c r="E942" s="319"/>
      <c r="F942" s="268"/>
      <c r="G942" s="268"/>
      <c r="H942" s="268"/>
      <c r="I942" s="268"/>
      <c r="J942" s="268"/>
      <c r="K942" s="268"/>
    </row>
    <row r="943" ht="15.75" customHeight="1">
      <c r="B943" s="268"/>
      <c r="C943" s="268"/>
      <c r="D943" s="319"/>
      <c r="E943" s="319"/>
      <c r="F943" s="268"/>
      <c r="G943" s="268"/>
      <c r="H943" s="268"/>
      <c r="I943" s="268"/>
      <c r="J943" s="268"/>
      <c r="K943" s="268"/>
    </row>
    <row r="944" ht="15.75" customHeight="1">
      <c r="B944" s="268"/>
      <c r="C944" s="268"/>
      <c r="D944" s="319"/>
      <c r="E944" s="319"/>
      <c r="F944" s="268"/>
      <c r="G944" s="268"/>
      <c r="H944" s="268"/>
      <c r="I944" s="268"/>
      <c r="J944" s="268"/>
      <c r="K944" s="268"/>
    </row>
    <row r="945" ht="15.75" customHeight="1">
      <c r="B945" s="268"/>
      <c r="C945" s="268"/>
      <c r="D945" s="319"/>
      <c r="E945" s="319"/>
      <c r="F945" s="268"/>
      <c r="G945" s="268"/>
      <c r="H945" s="268"/>
      <c r="I945" s="268"/>
      <c r="J945" s="268"/>
      <c r="K945" s="268"/>
    </row>
    <row r="946" ht="15.75" customHeight="1">
      <c r="B946" s="268"/>
      <c r="C946" s="268"/>
      <c r="D946" s="319"/>
      <c r="E946" s="319"/>
      <c r="F946" s="268"/>
      <c r="G946" s="268"/>
      <c r="H946" s="268"/>
      <c r="I946" s="268"/>
      <c r="J946" s="268"/>
      <c r="K946" s="268"/>
    </row>
    <row r="947" ht="15.75" customHeight="1">
      <c r="B947" s="268"/>
      <c r="C947" s="268"/>
      <c r="D947" s="319"/>
      <c r="E947" s="319"/>
      <c r="F947" s="268"/>
      <c r="G947" s="268"/>
      <c r="H947" s="268"/>
      <c r="I947" s="268"/>
      <c r="J947" s="268"/>
      <c r="K947" s="268"/>
    </row>
    <row r="948" ht="15.75" customHeight="1">
      <c r="B948" s="268"/>
      <c r="C948" s="268"/>
      <c r="D948" s="319"/>
      <c r="E948" s="319"/>
      <c r="F948" s="268"/>
      <c r="G948" s="268"/>
      <c r="H948" s="268"/>
      <c r="I948" s="268"/>
      <c r="J948" s="268"/>
      <c r="K948" s="268"/>
    </row>
    <row r="949" ht="15.75" customHeight="1">
      <c r="B949" s="268"/>
      <c r="C949" s="268"/>
      <c r="D949" s="319"/>
      <c r="E949" s="319"/>
      <c r="F949" s="268"/>
      <c r="G949" s="268"/>
      <c r="H949" s="268"/>
      <c r="I949" s="268"/>
      <c r="J949" s="268"/>
      <c r="K949" s="268"/>
    </row>
    <row r="950" ht="15.75" customHeight="1">
      <c r="B950" s="268"/>
      <c r="C950" s="268"/>
      <c r="D950" s="319"/>
      <c r="E950" s="319"/>
      <c r="F950" s="268"/>
      <c r="G950" s="268"/>
      <c r="H950" s="268"/>
      <c r="I950" s="268"/>
      <c r="J950" s="268"/>
      <c r="K950" s="268"/>
    </row>
    <row r="951" ht="15.75" customHeight="1">
      <c r="B951" s="268"/>
      <c r="C951" s="268"/>
      <c r="D951" s="319"/>
      <c r="E951" s="319"/>
      <c r="F951" s="268"/>
      <c r="G951" s="268"/>
      <c r="H951" s="268"/>
      <c r="I951" s="268"/>
      <c r="J951" s="268"/>
      <c r="K951" s="268"/>
    </row>
    <row r="952" ht="15.75" customHeight="1">
      <c r="B952" s="268"/>
      <c r="C952" s="268"/>
      <c r="D952" s="319"/>
      <c r="E952" s="319"/>
      <c r="F952" s="268"/>
      <c r="G952" s="268"/>
      <c r="H952" s="268"/>
      <c r="I952" s="268"/>
      <c r="J952" s="268"/>
      <c r="K952" s="268"/>
    </row>
    <row r="953" ht="15.75" customHeight="1">
      <c r="B953" s="268"/>
      <c r="C953" s="268"/>
      <c r="D953" s="319"/>
      <c r="E953" s="319"/>
      <c r="F953" s="268"/>
      <c r="G953" s="268"/>
      <c r="H953" s="268"/>
      <c r="I953" s="268"/>
      <c r="J953" s="268"/>
      <c r="K953" s="268"/>
    </row>
    <row r="954" ht="15.75" customHeight="1">
      <c r="B954" s="268"/>
      <c r="C954" s="268"/>
      <c r="D954" s="319"/>
      <c r="E954" s="319"/>
      <c r="F954" s="268"/>
      <c r="G954" s="268"/>
      <c r="H954" s="268"/>
      <c r="I954" s="268"/>
      <c r="J954" s="268"/>
      <c r="K954" s="268"/>
    </row>
    <row r="955" ht="15.75" customHeight="1">
      <c r="B955" s="268"/>
      <c r="C955" s="268"/>
      <c r="D955" s="319"/>
      <c r="E955" s="319"/>
      <c r="F955" s="268"/>
      <c r="G955" s="268"/>
      <c r="H955" s="268"/>
      <c r="I955" s="268"/>
      <c r="J955" s="268"/>
      <c r="K955" s="268"/>
    </row>
    <row r="956" ht="15.75" customHeight="1">
      <c r="B956" s="268"/>
      <c r="C956" s="268"/>
      <c r="D956" s="319"/>
      <c r="E956" s="319"/>
      <c r="F956" s="268"/>
      <c r="G956" s="268"/>
      <c r="H956" s="268"/>
      <c r="I956" s="268"/>
      <c r="J956" s="268"/>
      <c r="K956" s="268"/>
    </row>
    <row r="957" ht="15.75" customHeight="1">
      <c r="B957" s="268"/>
      <c r="C957" s="268"/>
      <c r="D957" s="319"/>
      <c r="E957" s="319"/>
      <c r="F957" s="268"/>
      <c r="G957" s="268"/>
      <c r="H957" s="268"/>
      <c r="I957" s="268"/>
      <c r="J957" s="268"/>
      <c r="K957" s="268"/>
    </row>
    <row r="958" ht="15.75" customHeight="1">
      <c r="B958" s="268"/>
      <c r="C958" s="268"/>
      <c r="D958" s="319"/>
      <c r="E958" s="319"/>
      <c r="F958" s="268"/>
      <c r="G958" s="268"/>
      <c r="H958" s="268"/>
      <c r="I958" s="268"/>
      <c r="J958" s="268"/>
      <c r="K958" s="268"/>
    </row>
    <row r="959" ht="15.75" customHeight="1">
      <c r="B959" s="268"/>
      <c r="C959" s="268"/>
      <c r="D959" s="319"/>
      <c r="E959" s="319"/>
      <c r="F959" s="268"/>
      <c r="G959" s="268"/>
      <c r="H959" s="268"/>
      <c r="I959" s="268"/>
      <c r="J959" s="268"/>
      <c r="K959" s="268"/>
    </row>
    <row r="960" ht="15.75" customHeight="1">
      <c r="B960" s="268"/>
      <c r="C960" s="268"/>
      <c r="D960" s="319"/>
      <c r="E960" s="319"/>
      <c r="F960" s="268"/>
      <c r="G960" s="268"/>
      <c r="H960" s="268"/>
      <c r="I960" s="268"/>
      <c r="J960" s="268"/>
      <c r="K960" s="268"/>
    </row>
    <row r="961" ht="15.75" customHeight="1">
      <c r="B961" s="268"/>
      <c r="C961" s="268"/>
      <c r="D961" s="319"/>
      <c r="E961" s="319"/>
      <c r="F961" s="268"/>
      <c r="G961" s="268"/>
      <c r="H961" s="268"/>
      <c r="I961" s="268"/>
      <c r="J961" s="268"/>
      <c r="K961" s="268"/>
    </row>
    <row r="962" ht="15.75" customHeight="1">
      <c r="B962" s="268"/>
      <c r="C962" s="268"/>
      <c r="D962" s="319"/>
      <c r="E962" s="319"/>
      <c r="F962" s="268"/>
      <c r="G962" s="268"/>
      <c r="H962" s="268"/>
      <c r="I962" s="268"/>
      <c r="J962" s="268"/>
      <c r="K962" s="268"/>
    </row>
    <row r="963" ht="15.75" customHeight="1">
      <c r="B963" s="268"/>
      <c r="C963" s="268"/>
      <c r="D963" s="319"/>
      <c r="E963" s="319"/>
      <c r="F963" s="268"/>
      <c r="G963" s="268"/>
      <c r="H963" s="268"/>
      <c r="I963" s="268"/>
      <c r="J963" s="268"/>
      <c r="K963" s="268"/>
    </row>
    <row r="964" ht="15.75" customHeight="1">
      <c r="B964" s="268"/>
      <c r="C964" s="268"/>
      <c r="D964" s="319"/>
      <c r="E964" s="319"/>
      <c r="F964" s="268"/>
      <c r="G964" s="268"/>
      <c r="H964" s="268"/>
      <c r="I964" s="268"/>
      <c r="J964" s="268"/>
      <c r="K964" s="268"/>
    </row>
    <row r="965" ht="15.75" customHeight="1">
      <c r="B965" s="268"/>
      <c r="C965" s="268"/>
      <c r="D965" s="319"/>
      <c r="E965" s="319"/>
      <c r="F965" s="268"/>
      <c r="G965" s="268"/>
      <c r="H965" s="268"/>
      <c r="I965" s="268"/>
      <c r="J965" s="268"/>
      <c r="K965" s="268"/>
    </row>
    <row r="966" ht="15.75" customHeight="1">
      <c r="B966" s="268"/>
      <c r="C966" s="268"/>
      <c r="D966" s="319"/>
      <c r="E966" s="319"/>
      <c r="F966" s="268"/>
      <c r="G966" s="268"/>
      <c r="H966" s="268"/>
      <c r="I966" s="268"/>
      <c r="J966" s="268"/>
      <c r="K966" s="268"/>
    </row>
    <row r="967" ht="15.75" customHeight="1">
      <c r="B967" s="268"/>
      <c r="C967" s="268"/>
      <c r="D967" s="319"/>
      <c r="E967" s="319"/>
      <c r="F967" s="268"/>
      <c r="G967" s="268"/>
      <c r="H967" s="268"/>
      <c r="I967" s="268"/>
      <c r="J967" s="268"/>
      <c r="K967" s="268"/>
    </row>
    <row r="968" ht="15.75" customHeight="1">
      <c r="B968" s="268"/>
      <c r="C968" s="268"/>
      <c r="D968" s="319"/>
      <c r="E968" s="319"/>
      <c r="F968" s="268"/>
      <c r="G968" s="268"/>
      <c r="H968" s="268"/>
      <c r="I968" s="268"/>
      <c r="J968" s="268"/>
      <c r="K968" s="268"/>
    </row>
    <row r="969" ht="15.75" customHeight="1">
      <c r="B969" s="268"/>
      <c r="C969" s="268"/>
      <c r="D969" s="319"/>
      <c r="E969" s="319"/>
      <c r="F969" s="268"/>
      <c r="G969" s="268"/>
      <c r="H969" s="268"/>
      <c r="I969" s="268"/>
      <c r="J969" s="268"/>
      <c r="K969" s="268"/>
    </row>
    <row r="970" ht="15.75" customHeight="1">
      <c r="B970" s="268"/>
      <c r="C970" s="268"/>
      <c r="D970" s="319"/>
      <c r="E970" s="319"/>
      <c r="F970" s="268"/>
      <c r="G970" s="268"/>
      <c r="H970" s="268"/>
      <c r="I970" s="268"/>
      <c r="J970" s="268"/>
      <c r="K970" s="268"/>
    </row>
    <row r="971" ht="15.75" customHeight="1">
      <c r="B971" s="268"/>
      <c r="C971" s="268"/>
      <c r="D971" s="319"/>
      <c r="E971" s="319"/>
      <c r="F971" s="268"/>
      <c r="G971" s="268"/>
      <c r="H971" s="268"/>
      <c r="I971" s="268"/>
      <c r="J971" s="268"/>
      <c r="K971" s="268"/>
    </row>
    <row r="972" ht="15.75" customHeight="1">
      <c r="B972" s="268"/>
      <c r="C972" s="268"/>
      <c r="D972" s="319"/>
      <c r="E972" s="319"/>
      <c r="F972" s="268"/>
      <c r="G972" s="268"/>
      <c r="H972" s="268"/>
      <c r="I972" s="268"/>
      <c r="J972" s="268"/>
      <c r="K972" s="268"/>
    </row>
    <row r="973" ht="15.75" customHeight="1">
      <c r="B973" s="268"/>
      <c r="C973" s="268"/>
      <c r="D973" s="319"/>
      <c r="E973" s="319"/>
      <c r="F973" s="268"/>
      <c r="G973" s="268"/>
      <c r="H973" s="268"/>
      <c r="I973" s="268"/>
      <c r="J973" s="268"/>
      <c r="K973" s="268"/>
    </row>
    <row r="974" ht="15.75" customHeight="1">
      <c r="B974" s="268"/>
      <c r="C974" s="268"/>
      <c r="D974" s="319"/>
      <c r="E974" s="319"/>
      <c r="F974" s="268"/>
      <c r="G974" s="268"/>
      <c r="H974" s="268"/>
      <c r="I974" s="268"/>
      <c r="J974" s="268"/>
      <c r="K974" s="268"/>
    </row>
    <row r="975" ht="15.75" customHeight="1">
      <c r="B975" s="268"/>
      <c r="C975" s="268"/>
      <c r="D975" s="319"/>
      <c r="E975" s="319"/>
      <c r="F975" s="268"/>
      <c r="G975" s="268"/>
      <c r="H975" s="268"/>
      <c r="I975" s="268"/>
      <c r="J975" s="268"/>
      <c r="K975" s="268"/>
    </row>
    <row r="976" ht="15.75" customHeight="1">
      <c r="B976" s="268"/>
      <c r="C976" s="268"/>
      <c r="D976" s="319"/>
      <c r="E976" s="319"/>
      <c r="F976" s="268"/>
      <c r="G976" s="268"/>
      <c r="H976" s="268"/>
      <c r="I976" s="268"/>
      <c r="J976" s="268"/>
      <c r="K976" s="268"/>
    </row>
    <row r="977" ht="15.75" customHeight="1">
      <c r="B977" s="268"/>
      <c r="C977" s="268"/>
      <c r="D977" s="319"/>
      <c r="E977" s="319"/>
      <c r="F977" s="268"/>
      <c r="G977" s="268"/>
      <c r="H977" s="268"/>
      <c r="I977" s="268"/>
      <c r="J977" s="268"/>
      <c r="K977" s="268"/>
    </row>
    <row r="978" ht="15.75" customHeight="1">
      <c r="B978" s="268"/>
      <c r="C978" s="268"/>
      <c r="D978" s="319"/>
      <c r="E978" s="319"/>
      <c r="F978" s="268"/>
      <c r="G978" s="268"/>
      <c r="H978" s="268"/>
      <c r="I978" s="268"/>
      <c r="J978" s="268"/>
      <c r="K978" s="268"/>
    </row>
    <row r="979" ht="15.75" customHeight="1">
      <c r="B979" s="268"/>
      <c r="C979" s="268"/>
      <c r="D979" s="319"/>
      <c r="E979" s="319"/>
      <c r="F979" s="268"/>
      <c r="G979" s="268"/>
      <c r="H979" s="268"/>
      <c r="I979" s="268"/>
      <c r="J979" s="268"/>
      <c r="K979" s="268"/>
    </row>
    <row r="980" ht="15.75" customHeight="1">
      <c r="B980" s="268"/>
      <c r="C980" s="268"/>
      <c r="D980" s="319"/>
      <c r="E980" s="319"/>
      <c r="F980" s="268"/>
      <c r="G980" s="268"/>
      <c r="H980" s="268"/>
      <c r="I980" s="268"/>
      <c r="J980" s="268"/>
      <c r="K980" s="268"/>
    </row>
    <row r="981" ht="15.75" customHeight="1">
      <c r="B981" s="268"/>
      <c r="C981" s="268"/>
      <c r="D981" s="319"/>
      <c r="E981" s="319"/>
      <c r="F981" s="268"/>
      <c r="G981" s="268"/>
      <c r="H981" s="268"/>
      <c r="I981" s="268"/>
      <c r="J981" s="268"/>
      <c r="K981" s="268"/>
    </row>
    <row r="982" ht="15.75" customHeight="1">
      <c r="B982" s="268"/>
      <c r="C982" s="268"/>
      <c r="D982" s="319"/>
      <c r="E982" s="319"/>
      <c r="F982" s="268"/>
      <c r="G982" s="268"/>
      <c r="H982" s="268"/>
      <c r="I982" s="268"/>
      <c r="J982" s="268"/>
      <c r="K982" s="268"/>
    </row>
    <row r="983" ht="15.75" customHeight="1">
      <c r="B983" s="268"/>
      <c r="C983" s="268"/>
      <c r="D983" s="319"/>
      <c r="E983" s="319"/>
      <c r="F983" s="268"/>
      <c r="G983" s="268"/>
      <c r="H983" s="268"/>
      <c r="I983" s="268"/>
      <c r="J983" s="268"/>
      <c r="K983" s="268"/>
    </row>
    <row r="984" ht="15.75" customHeight="1">
      <c r="B984" s="268"/>
      <c r="C984" s="268"/>
      <c r="D984" s="319"/>
      <c r="E984" s="319"/>
      <c r="F984" s="268"/>
      <c r="G984" s="268"/>
      <c r="H984" s="268"/>
      <c r="I984" s="268"/>
      <c r="J984" s="268"/>
      <c r="K984" s="268"/>
    </row>
    <row r="985" ht="15.75" customHeight="1">
      <c r="B985" s="268"/>
      <c r="C985" s="268"/>
      <c r="D985" s="319"/>
      <c r="E985" s="319"/>
      <c r="F985" s="268"/>
      <c r="G985" s="268"/>
      <c r="H985" s="268"/>
      <c r="I985" s="268"/>
      <c r="J985" s="268"/>
      <c r="K985" s="268"/>
    </row>
    <row r="986" ht="15.75" customHeight="1">
      <c r="B986" s="268"/>
      <c r="C986" s="268"/>
      <c r="D986" s="319"/>
      <c r="E986" s="319"/>
      <c r="F986" s="268"/>
      <c r="G986" s="268"/>
      <c r="H986" s="268"/>
      <c r="I986" s="268"/>
      <c r="J986" s="268"/>
      <c r="K986" s="268"/>
    </row>
    <row r="987" ht="15.75" customHeight="1">
      <c r="B987" s="268"/>
      <c r="C987" s="268"/>
      <c r="D987" s="319"/>
      <c r="E987" s="319"/>
      <c r="F987" s="268"/>
      <c r="G987" s="268"/>
      <c r="H987" s="268"/>
      <c r="I987" s="268"/>
      <c r="J987" s="268"/>
      <c r="K987" s="268"/>
    </row>
    <row r="988" ht="15.75" customHeight="1">
      <c r="B988" s="268"/>
      <c r="C988" s="268"/>
      <c r="D988" s="319"/>
      <c r="E988" s="319"/>
      <c r="F988" s="268"/>
      <c r="G988" s="268"/>
      <c r="H988" s="268"/>
      <c r="I988" s="268"/>
      <c r="J988" s="268"/>
      <c r="K988" s="268"/>
    </row>
    <row r="989" ht="15.75" customHeight="1">
      <c r="B989" s="268"/>
      <c r="C989" s="268"/>
      <c r="D989" s="319"/>
      <c r="E989" s="319"/>
      <c r="F989" s="268"/>
      <c r="G989" s="268"/>
      <c r="H989" s="268"/>
      <c r="I989" s="268"/>
      <c r="J989" s="268"/>
      <c r="K989" s="268"/>
    </row>
    <row r="990" ht="15.75" customHeight="1">
      <c r="B990" s="268"/>
      <c r="C990" s="268"/>
      <c r="D990" s="319"/>
      <c r="E990" s="319"/>
      <c r="F990" s="268"/>
      <c r="G990" s="268"/>
      <c r="H990" s="268"/>
      <c r="I990" s="268"/>
      <c r="J990" s="268"/>
      <c r="K990" s="268"/>
    </row>
    <row r="991" ht="15.75" customHeight="1">
      <c r="B991" s="268"/>
      <c r="C991" s="268"/>
      <c r="D991" s="319"/>
      <c r="E991" s="319"/>
      <c r="F991" s="268"/>
      <c r="G991" s="268"/>
      <c r="H991" s="268"/>
      <c r="I991" s="268"/>
      <c r="J991" s="268"/>
      <c r="K991" s="268"/>
    </row>
    <row r="992" ht="15.75" customHeight="1">
      <c r="B992" s="268"/>
      <c r="C992" s="268"/>
      <c r="D992" s="319"/>
      <c r="E992" s="319"/>
      <c r="F992" s="268"/>
      <c r="G992" s="268"/>
      <c r="H992" s="268"/>
      <c r="I992" s="268"/>
      <c r="J992" s="268"/>
      <c r="K992" s="268"/>
    </row>
    <row r="993" ht="15.75" customHeight="1">
      <c r="B993" s="268"/>
      <c r="C993" s="268"/>
      <c r="D993" s="319"/>
      <c r="E993" s="319"/>
      <c r="F993" s="268"/>
      <c r="G993" s="268"/>
      <c r="H993" s="268"/>
      <c r="I993" s="268"/>
      <c r="J993" s="268"/>
      <c r="K993" s="268"/>
    </row>
    <row r="994" ht="15.75" customHeight="1">
      <c r="B994" s="268"/>
      <c r="C994" s="268"/>
      <c r="D994" s="319"/>
      <c r="E994" s="319"/>
      <c r="F994" s="268"/>
      <c r="G994" s="268"/>
      <c r="H994" s="268"/>
      <c r="I994" s="268"/>
      <c r="J994" s="268"/>
      <c r="K994" s="268"/>
    </row>
    <row r="995" ht="15.75" customHeight="1">
      <c r="B995" s="268"/>
      <c r="C995" s="268"/>
      <c r="D995" s="319"/>
      <c r="E995" s="319"/>
      <c r="F995" s="268"/>
      <c r="G995" s="268"/>
      <c r="H995" s="268"/>
      <c r="I995" s="268"/>
      <c r="J995" s="268"/>
      <c r="K995" s="268"/>
    </row>
    <row r="996" ht="15.75" customHeight="1">
      <c r="B996" s="268"/>
      <c r="C996" s="268"/>
      <c r="D996" s="319"/>
      <c r="E996" s="319"/>
      <c r="F996" s="268"/>
      <c r="G996" s="268"/>
      <c r="H996" s="268"/>
      <c r="I996" s="268"/>
      <c r="J996" s="268"/>
      <c r="K996" s="268"/>
    </row>
    <row r="997" ht="15.75" customHeight="1">
      <c r="B997" s="268"/>
      <c r="C997" s="268"/>
      <c r="D997" s="319"/>
      <c r="E997" s="319"/>
      <c r="F997" s="268"/>
      <c r="G997" s="268"/>
      <c r="H997" s="268"/>
      <c r="I997" s="268"/>
      <c r="J997" s="268"/>
      <c r="K997" s="268"/>
    </row>
    <row r="998" ht="15.75" customHeight="1">
      <c r="B998" s="268"/>
      <c r="C998" s="268"/>
      <c r="D998" s="319"/>
      <c r="E998" s="319"/>
      <c r="F998" s="268"/>
      <c r="G998" s="268"/>
      <c r="H998" s="268"/>
      <c r="I998" s="268"/>
      <c r="J998" s="268"/>
      <c r="K998" s="268"/>
    </row>
    <row r="999" ht="15.75" customHeight="1">
      <c r="B999" s="268"/>
      <c r="C999" s="268"/>
      <c r="D999" s="319"/>
      <c r="E999" s="319"/>
      <c r="F999" s="268"/>
      <c r="G999" s="268"/>
      <c r="H999" s="268"/>
      <c r="I999" s="268"/>
      <c r="J999" s="268"/>
      <c r="K999" s="268"/>
    </row>
    <row r="1000" ht="15.75" customHeight="1">
      <c r="B1000" s="268"/>
      <c r="C1000" s="268"/>
      <c r="D1000" s="319"/>
      <c r="E1000" s="319"/>
      <c r="F1000" s="268"/>
      <c r="G1000" s="268"/>
      <c r="H1000" s="268"/>
      <c r="I1000" s="268"/>
      <c r="J1000" s="268"/>
      <c r="K1000" s="268"/>
    </row>
    <row r="1001" ht="15.75" customHeight="1">
      <c r="B1001" s="268"/>
      <c r="C1001" s="268"/>
      <c r="D1001" s="319"/>
      <c r="E1001" s="319"/>
      <c r="F1001" s="268"/>
      <c r="G1001" s="268"/>
      <c r="H1001" s="268"/>
      <c r="I1001" s="268"/>
      <c r="J1001" s="268"/>
      <c r="K1001" s="268"/>
    </row>
    <row r="1002" ht="15.75" customHeight="1">
      <c r="B1002" s="268"/>
      <c r="C1002" s="268"/>
      <c r="D1002" s="319"/>
      <c r="E1002" s="319"/>
      <c r="F1002" s="268"/>
      <c r="G1002" s="268"/>
      <c r="H1002" s="268"/>
      <c r="I1002" s="268"/>
      <c r="J1002" s="268"/>
      <c r="K1002" s="268"/>
    </row>
    <row r="1003" ht="15.75" customHeight="1">
      <c r="B1003" s="268"/>
      <c r="C1003" s="268"/>
      <c r="D1003" s="319"/>
      <c r="E1003" s="319"/>
      <c r="F1003" s="268"/>
      <c r="G1003" s="268"/>
      <c r="H1003" s="268"/>
      <c r="I1003" s="268"/>
      <c r="J1003" s="268"/>
      <c r="K1003" s="268"/>
    </row>
    <row r="1004" ht="15.75" customHeight="1">
      <c r="B1004" s="268"/>
      <c r="C1004" s="268"/>
      <c r="D1004" s="319"/>
      <c r="E1004" s="319"/>
      <c r="F1004" s="268"/>
      <c r="G1004" s="268"/>
      <c r="H1004" s="268"/>
      <c r="I1004" s="268"/>
      <c r="J1004" s="268"/>
      <c r="K1004" s="268"/>
    </row>
    <row r="1005" ht="15.75" customHeight="1">
      <c r="B1005" s="268"/>
      <c r="C1005" s="268"/>
      <c r="D1005" s="319"/>
      <c r="E1005" s="319"/>
      <c r="F1005" s="268"/>
      <c r="G1005" s="268"/>
      <c r="H1005" s="268"/>
      <c r="I1005" s="268"/>
      <c r="J1005" s="268"/>
      <c r="K1005" s="268"/>
    </row>
    <row r="1006" ht="15.75" customHeight="1">
      <c r="B1006" s="268"/>
      <c r="C1006" s="268"/>
      <c r="D1006" s="319"/>
      <c r="E1006" s="319"/>
      <c r="F1006" s="268"/>
      <c r="G1006" s="268"/>
      <c r="H1006" s="268"/>
      <c r="I1006" s="268"/>
      <c r="J1006" s="268"/>
      <c r="K1006" s="268"/>
    </row>
    <row r="1007" ht="15.75" customHeight="1">
      <c r="B1007" s="268"/>
      <c r="C1007" s="268"/>
      <c r="D1007" s="319"/>
      <c r="E1007" s="319"/>
      <c r="F1007" s="268"/>
      <c r="G1007" s="268"/>
      <c r="H1007" s="268"/>
      <c r="I1007" s="268"/>
      <c r="J1007" s="268"/>
      <c r="K1007" s="268"/>
    </row>
    <row r="1008" ht="15.75" customHeight="1">
      <c r="B1008" s="268"/>
      <c r="C1008" s="268"/>
      <c r="D1008" s="319"/>
      <c r="E1008" s="319"/>
      <c r="F1008" s="268"/>
      <c r="G1008" s="268"/>
      <c r="H1008" s="268"/>
      <c r="I1008" s="268"/>
      <c r="J1008" s="268"/>
      <c r="K1008" s="268"/>
    </row>
    <row r="1009" ht="15.75" customHeight="1">
      <c r="B1009" s="268"/>
      <c r="C1009" s="268"/>
      <c r="D1009" s="319"/>
      <c r="E1009" s="319"/>
      <c r="F1009" s="268"/>
      <c r="G1009" s="268"/>
      <c r="H1009" s="268"/>
      <c r="I1009" s="268"/>
      <c r="J1009" s="268"/>
      <c r="K1009" s="268"/>
    </row>
    <row r="1010" ht="15.75" customHeight="1">
      <c r="B1010" s="268"/>
      <c r="C1010" s="268"/>
      <c r="D1010" s="319"/>
      <c r="E1010" s="319"/>
      <c r="F1010" s="268"/>
      <c r="G1010" s="268"/>
      <c r="H1010" s="268"/>
      <c r="I1010" s="268"/>
      <c r="J1010" s="268"/>
      <c r="K1010" s="268"/>
    </row>
    <row r="1011" ht="15.75" customHeight="1">
      <c r="B1011" s="268"/>
      <c r="C1011" s="268"/>
      <c r="D1011" s="319"/>
      <c r="E1011" s="319"/>
      <c r="F1011" s="268"/>
      <c r="G1011" s="268"/>
      <c r="H1011" s="268"/>
      <c r="I1011" s="268"/>
      <c r="J1011" s="268"/>
      <c r="K1011" s="268"/>
    </row>
    <row r="1012" ht="15.75" customHeight="1">
      <c r="B1012" s="268"/>
      <c r="C1012" s="268"/>
      <c r="D1012" s="319"/>
      <c r="E1012" s="319"/>
      <c r="F1012" s="268"/>
      <c r="G1012" s="268"/>
      <c r="H1012" s="268"/>
      <c r="I1012" s="268"/>
      <c r="J1012" s="268"/>
      <c r="K1012" s="268"/>
    </row>
    <row r="1013" ht="15.75" customHeight="1">
      <c r="B1013" s="268"/>
      <c r="C1013" s="268"/>
      <c r="D1013" s="319"/>
      <c r="E1013" s="319"/>
      <c r="F1013" s="268"/>
      <c r="G1013" s="268"/>
      <c r="H1013" s="268"/>
      <c r="I1013" s="268"/>
      <c r="J1013" s="268"/>
      <c r="K1013" s="268"/>
    </row>
    <row r="1014" ht="15.75" customHeight="1">
      <c r="B1014" s="268"/>
      <c r="C1014" s="268"/>
      <c r="D1014" s="319"/>
      <c r="E1014" s="319"/>
      <c r="F1014" s="268"/>
      <c r="G1014" s="268"/>
      <c r="H1014" s="268"/>
      <c r="I1014" s="268"/>
      <c r="J1014" s="268"/>
      <c r="K1014" s="268"/>
    </row>
    <row r="1015" ht="15.75" customHeight="1">
      <c r="B1015" s="268"/>
      <c r="C1015" s="268"/>
      <c r="D1015" s="319"/>
      <c r="E1015" s="319"/>
      <c r="F1015" s="268"/>
      <c r="G1015" s="268"/>
      <c r="H1015" s="268"/>
      <c r="I1015" s="268"/>
      <c r="J1015" s="268"/>
      <c r="K1015" s="268"/>
    </row>
    <row r="1016" ht="15.75" customHeight="1">
      <c r="B1016" s="268"/>
      <c r="C1016" s="268"/>
      <c r="D1016" s="319"/>
      <c r="E1016" s="319"/>
      <c r="F1016" s="268"/>
      <c r="G1016" s="268"/>
      <c r="H1016" s="268"/>
      <c r="I1016" s="268"/>
      <c r="J1016" s="268"/>
      <c r="K1016" s="268"/>
    </row>
    <row r="1017" ht="15.75" customHeight="1">
      <c r="B1017" s="268"/>
      <c r="C1017" s="268"/>
      <c r="D1017" s="319"/>
      <c r="E1017" s="319"/>
      <c r="F1017" s="268"/>
      <c r="G1017" s="268"/>
      <c r="H1017" s="268"/>
      <c r="I1017" s="268"/>
      <c r="J1017" s="268"/>
      <c r="K1017" s="268"/>
    </row>
    <row r="1018" ht="15.75" customHeight="1">
      <c r="B1018" s="268"/>
      <c r="C1018" s="268"/>
      <c r="D1018" s="319"/>
      <c r="E1018" s="319"/>
      <c r="F1018" s="268"/>
      <c r="G1018" s="268"/>
      <c r="H1018" s="268"/>
      <c r="I1018" s="268"/>
      <c r="J1018" s="268"/>
      <c r="K1018" s="268"/>
    </row>
    <row r="1019" ht="15.75" customHeight="1">
      <c r="B1019" s="268"/>
      <c r="C1019" s="268"/>
      <c r="D1019" s="319"/>
      <c r="E1019" s="319"/>
      <c r="F1019" s="268"/>
      <c r="G1019" s="268"/>
      <c r="H1019" s="268"/>
      <c r="I1019" s="268"/>
      <c r="J1019" s="268"/>
      <c r="K1019" s="268"/>
    </row>
    <row r="1020" ht="15.75" customHeight="1">
      <c r="B1020" s="268"/>
      <c r="C1020" s="268"/>
      <c r="D1020" s="319"/>
      <c r="E1020" s="319"/>
      <c r="F1020" s="268"/>
      <c r="G1020" s="268"/>
      <c r="H1020" s="268"/>
      <c r="I1020" s="268"/>
      <c r="J1020" s="268"/>
      <c r="K1020" s="268"/>
    </row>
    <row r="1021" ht="15.75" customHeight="1">
      <c r="B1021" s="268"/>
      <c r="C1021" s="268"/>
      <c r="D1021" s="319"/>
      <c r="E1021" s="319"/>
      <c r="F1021" s="268"/>
      <c r="G1021" s="268"/>
      <c r="H1021" s="268"/>
      <c r="I1021" s="268"/>
      <c r="J1021" s="268"/>
      <c r="K1021" s="268"/>
    </row>
    <row r="1022" ht="15.75" customHeight="1">
      <c r="B1022" s="268"/>
      <c r="C1022" s="268"/>
      <c r="D1022" s="319"/>
      <c r="E1022" s="319"/>
      <c r="F1022" s="268"/>
      <c r="G1022" s="268"/>
      <c r="H1022" s="268"/>
      <c r="I1022" s="268"/>
      <c r="J1022" s="268"/>
      <c r="K1022" s="268"/>
    </row>
    <row r="1023" ht="15.75" customHeight="1">
      <c r="B1023" s="268"/>
      <c r="C1023" s="268"/>
      <c r="D1023" s="319"/>
      <c r="E1023" s="319"/>
      <c r="F1023" s="268"/>
      <c r="G1023" s="268"/>
      <c r="H1023" s="268"/>
      <c r="I1023" s="268"/>
      <c r="J1023" s="268"/>
      <c r="K1023" s="268"/>
    </row>
    <row r="1024" ht="15.75" customHeight="1">
      <c r="B1024" s="268"/>
      <c r="C1024" s="268"/>
      <c r="D1024" s="319"/>
      <c r="E1024" s="319"/>
      <c r="F1024" s="268"/>
      <c r="G1024" s="268"/>
      <c r="H1024" s="268"/>
      <c r="I1024" s="268"/>
      <c r="J1024" s="268"/>
      <c r="K1024" s="268"/>
    </row>
    <row r="1025" ht="15.75" customHeight="1">
      <c r="B1025" s="268"/>
      <c r="C1025" s="268"/>
      <c r="D1025" s="319"/>
      <c r="E1025" s="319"/>
      <c r="F1025" s="268"/>
      <c r="G1025" s="268"/>
      <c r="H1025" s="268"/>
      <c r="I1025" s="268"/>
      <c r="J1025" s="268"/>
      <c r="K1025" s="268"/>
    </row>
    <row r="1026" ht="15.75" customHeight="1">
      <c r="B1026" s="268"/>
      <c r="C1026" s="268"/>
      <c r="D1026" s="319"/>
      <c r="E1026" s="319"/>
      <c r="F1026" s="268"/>
      <c r="G1026" s="268"/>
      <c r="H1026" s="268"/>
      <c r="I1026" s="268"/>
      <c r="J1026" s="268"/>
      <c r="K1026" s="268"/>
    </row>
    <row r="1027" ht="15.75" customHeight="1">
      <c r="B1027" s="268"/>
      <c r="C1027" s="268"/>
      <c r="D1027" s="319"/>
      <c r="E1027" s="319"/>
      <c r="F1027" s="268"/>
      <c r="G1027" s="268"/>
      <c r="H1027" s="268"/>
      <c r="I1027" s="268"/>
      <c r="J1027" s="268"/>
      <c r="K1027" s="268"/>
    </row>
    <row r="1028" ht="15.75" customHeight="1">
      <c r="B1028" s="268"/>
      <c r="C1028" s="268"/>
      <c r="D1028" s="319"/>
      <c r="E1028" s="319"/>
      <c r="F1028" s="268"/>
      <c r="G1028" s="268"/>
      <c r="H1028" s="268"/>
      <c r="I1028" s="268"/>
      <c r="J1028" s="268"/>
      <c r="K1028" s="268"/>
    </row>
    <row r="1029" ht="15.75" customHeight="1">
      <c r="B1029" s="268"/>
      <c r="C1029" s="268"/>
      <c r="D1029" s="319"/>
      <c r="E1029" s="319"/>
      <c r="F1029" s="268"/>
      <c r="G1029" s="268"/>
      <c r="H1029" s="268"/>
      <c r="I1029" s="268"/>
      <c r="J1029" s="268"/>
      <c r="K1029" s="268"/>
    </row>
    <row r="1030" ht="15.75" customHeight="1">
      <c r="B1030" s="268"/>
      <c r="C1030" s="268"/>
      <c r="D1030" s="319"/>
      <c r="E1030" s="319"/>
      <c r="F1030" s="268"/>
      <c r="G1030" s="268"/>
      <c r="H1030" s="268"/>
      <c r="I1030" s="268"/>
      <c r="J1030" s="268"/>
      <c r="K1030" s="268"/>
    </row>
    <row r="1031" ht="15.75" customHeight="1">
      <c r="B1031" s="268"/>
      <c r="C1031" s="268"/>
      <c r="D1031" s="319"/>
      <c r="E1031" s="319"/>
      <c r="F1031" s="268"/>
      <c r="G1031" s="268"/>
      <c r="H1031" s="268"/>
      <c r="I1031" s="268"/>
      <c r="J1031" s="268"/>
      <c r="K1031" s="268"/>
    </row>
    <row r="1032" ht="15.75" customHeight="1">
      <c r="B1032" s="268"/>
      <c r="C1032" s="268"/>
      <c r="D1032" s="319"/>
      <c r="E1032" s="319"/>
      <c r="F1032" s="268"/>
      <c r="G1032" s="268"/>
      <c r="H1032" s="268"/>
      <c r="I1032" s="268"/>
      <c r="J1032" s="268"/>
      <c r="K1032" s="268"/>
    </row>
    <row r="1033" ht="15.75" customHeight="1">
      <c r="B1033" s="268"/>
      <c r="C1033" s="268"/>
      <c r="D1033" s="319"/>
      <c r="E1033" s="319"/>
      <c r="F1033" s="268"/>
      <c r="G1033" s="268"/>
      <c r="H1033" s="268"/>
      <c r="I1033" s="268"/>
      <c r="J1033" s="268"/>
      <c r="K1033" s="268"/>
    </row>
    <row r="1034" ht="15.75" customHeight="1">
      <c r="B1034" s="268"/>
      <c r="C1034" s="268"/>
      <c r="D1034" s="319"/>
      <c r="E1034" s="319"/>
      <c r="F1034" s="268"/>
      <c r="G1034" s="268"/>
      <c r="H1034" s="268"/>
      <c r="I1034" s="268"/>
      <c r="J1034" s="268"/>
      <c r="K1034" s="268"/>
    </row>
    <row r="1035" ht="15.75" customHeight="1">
      <c r="B1035" s="268"/>
      <c r="C1035" s="268"/>
      <c r="D1035" s="319"/>
      <c r="E1035" s="319"/>
      <c r="F1035" s="268"/>
      <c r="G1035" s="268"/>
      <c r="H1035" s="268"/>
      <c r="I1035" s="268"/>
      <c r="J1035" s="268"/>
      <c r="K1035" s="268"/>
    </row>
    <row r="1036" ht="15.75" customHeight="1">
      <c r="B1036" s="268"/>
      <c r="C1036" s="268"/>
      <c r="D1036" s="319"/>
      <c r="E1036" s="319"/>
      <c r="F1036" s="268"/>
      <c r="G1036" s="268"/>
      <c r="H1036" s="268"/>
      <c r="I1036" s="268"/>
      <c r="J1036" s="268"/>
      <c r="K1036" s="268"/>
    </row>
    <row r="1037" ht="15.75" customHeight="1">
      <c r="B1037" s="268"/>
      <c r="C1037" s="268"/>
      <c r="D1037" s="319"/>
      <c r="E1037" s="319"/>
      <c r="F1037" s="268"/>
      <c r="G1037" s="268"/>
      <c r="H1037" s="268"/>
      <c r="I1037" s="268"/>
      <c r="J1037" s="268"/>
      <c r="K1037" s="268"/>
    </row>
    <row r="1038" ht="15.75" customHeight="1">
      <c r="B1038" s="268"/>
      <c r="C1038" s="268"/>
      <c r="D1038" s="319"/>
      <c r="E1038" s="319"/>
      <c r="F1038" s="268"/>
      <c r="G1038" s="268"/>
      <c r="H1038" s="268"/>
      <c r="I1038" s="268"/>
      <c r="J1038" s="268"/>
      <c r="K1038" s="268"/>
    </row>
    <row r="1039" ht="15.75" customHeight="1">
      <c r="B1039" s="268"/>
      <c r="C1039" s="268"/>
      <c r="D1039" s="319"/>
      <c r="E1039" s="319"/>
      <c r="F1039" s="268"/>
      <c r="G1039" s="268"/>
      <c r="H1039" s="268"/>
      <c r="I1039" s="268"/>
      <c r="J1039" s="268"/>
      <c r="K1039" s="268"/>
    </row>
    <row r="1040" ht="15.75" customHeight="1">
      <c r="B1040" s="268"/>
      <c r="C1040" s="268"/>
      <c r="D1040" s="319"/>
      <c r="E1040" s="319"/>
      <c r="F1040" s="268"/>
      <c r="G1040" s="268"/>
      <c r="H1040" s="268"/>
      <c r="I1040" s="268"/>
      <c r="J1040" s="268"/>
      <c r="K1040" s="268"/>
    </row>
    <row r="1041" ht="15.75" customHeight="1">
      <c r="B1041" s="268"/>
      <c r="C1041" s="268"/>
      <c r="D1041" s="319"/>
      <c r="E1041" s="319"/>
      <c r="F1041" s="268"/>
      <c r="G1041" s="268"/>
      <c r="H1041" s="268"/>
      <c r="I1041" s="268"/>
      <c r="J1041" s="268"/>
      <c r="K1041" s="268"/>
    </row>
    <row r="1042" ht="15.75" customHeight="1">
      <c r="B1042" s="268"/>
      <c r="C1042" s="268"/>
      <c r="D1042" s="319"/>
      <c r="E1042" s="319"/>
      <c r="F1042" s="268"/>
      <c r="G1042" s="268"/>
      <c r="H1042" s="268"/>
      <c r="I1042" s="268"/>
      <c r="J1042" s="268"/>
      <c r="K1042" s="268"/>
    </row>
    <row r="1043" ht="15.75" customHeight="1">
      <c r="B1043" s="268"/>
      <c r="C1043" s="268"/>
      <c r="D1043" s="319"/>
      <c r="E1043" s="319"/>
      <c r="F1043" s="268"/>
      <c r="G1043" s="268"/>
      <c r="H1043" s="268"/>
      <c r="I1043" s="268"/>
      <c r="J1043" s="268"/>
      <c r="K1043" s="268"/>
    </row>
    <row r="1044" ht="15.75" customHeight="1">
      <c r="B1044" s="268"/>
      <c r="C1044" s="268"/>
      <c r="D1044" s="319"/>
      <c r="E1044" s="319"/>
      <c r="F1044" s="268"/>
      <c r="G1044" s="268"/>
      <c r="H1044" s="268"/>
      <c r="I1044" s="268"/>
      <c r="J1044" s="268"/>
      <c r="K1044" s="268"/>
    </row>
    <row r="1045" ht="15.75" customHeight="1">
      <c r="B1045" s="268"/>
      <c r="C1045" s="268"/>
      <c r="D1045" s="319"/>
      <c r="E1045" s="319"/>
      <c r="F1045" s="268"/>
      <c r="G1045" s="268"/>
      <c r="H1045" s="268"/>
      <c r="I1045" s="268"/>
      <c r="J1045" s="268"/>
      <c r="K1045" s="268"/>
    </row>
    <row r="1046" ht="15.75" customHeight="1">
      <c r="B1046" s="268"/>
      <c r="C1046" s="268"/>
      <c r="D1046" s="319"/>
      <c r="E1046" s="319"/>
      <c r="F1046" s="268"/>
      <c r="G1046" s="268"/>
      <c r="H1046" s="268"/>
      <c r="I1046" s="268"/>
      <c r="J1046" s="268"/>
      <c r="K1046" s="268"/>
    </row>
    <row r="1047" ht="15.75" customHeight="1">
      <c r="B1047" s="268"/>
      <c r="C1047" s="268"/>
      <c r="D1047" s="319"/>
      <c r="E1047" s="319"/>
      <c r="F1047" s="268"/>
      <c r="G1047" s="268"/>
      <c r="H1047" s="268"/>
      <c r="I1047" s="268"/>
      <c r="J1047" s="268"/>
      <c r="K1047" s="268"/>
    </row>
    <row r="1048" ht="15.75" customHeight="1">
      <c r="B1048" s="268"/>
      <c r="C1048" s="268"/>
      <c r="D1048" s="319"/>
      <c r="E1048" s="319"/>
      <c r="F1048" s="268"/>
      <c r="G1048" s="268"/>
      <c r="H1048" s="268"/>
      <c r="I1048" s="268"/>
      <c r="J1048" s="268"/>
      <c r="K1048" s="268"/>
    </row>
    <row r="1049" ht="15.75" customHeight="1">
      <c r="B1049" s="268"/>
      <c r="C1049" s="268"/>
      <c r="D1049" s="319"/>
      <c r="E1049" s="319"/>
      <c r="F1049" s="268"/>
      <c r="G1049" s="268"/>
      <c r="H1049" s="268"/>
      <c r="I1049" s="268"/>
      <c r="J1049" s="268"/>
      <c r="K1049" s="268"/>
    </row>
    <row r="1050" ht="15.75" customHeight="1">
      <c r="B1050" s="268"/>
      <c r="C1050" s="268"/>
      <c r="D1050" s="319"/>
      <c r="E1050" s="319"/>
      <c r="F1050" s="268"/>
      <c r="G1050" s="268"/>
      <c r="H1050" s="268"/>
      <c r="I1050" s="268"/>
      <c r="J1050" s="268"/>
      <c r="K1050" s="268"/>
    </row>
    <row r="1051" ht="15.75" customHeight="1">
      <c r="B1051" s="268"/>
      <c r="C1051" s="268"/>
      <c r="D1051" s="319"/>
      <c r="E1051" s="319"/>
      <c r="F1051" s="268"/>
      <c r="G1051" s="268"/>
      <c r="H1051" s="268"/>
      <c r="I1051" s="268"/>
      <c r="J1051" s="268"/>
      <c r="K1051" s="268"/>
    </row>
    <row r="1052" ht="15.75" customHeight="1">
      <c r="B1052" s="268"/>
      <c r="C1052" s="268"/>
      <c r="D1052" s="319"/>
      <c r="E1052" s="319"/>
      <c r="F1052" s="268"/>
      <c r="G1052" s="268"/>
      <c r="H1052" s="268"/>
      <c r="I1052" s="268"/>
      <c r="J1052" s="268"/>
      <c r="K1052" s="268"/>
    </row>
    <row r="1053" ht="15.75" customHeight="1">
      <c r="B1053" s="268"/>
      <c r="C1053" s="268"/>
      <c r="D1053" s="319"/>
      <c r="E1053" s="319"/>
      <c r="F1053" s="268"/>
      <c r="G1053" s="268"/>
      <c r="H1053" s="268"/>
      <c r="I1053" s="268"/>
      <c r="J1053" s="268"/>
      <c r="K1053" s="268"/>
    </row>
    <row r="1054" ht="15.75" customHeight="1">
      <c r="B1054" s="268"/>
      <c r="C1054" s="268"/>
      <c r="D1054" s="319"/>
      <c r="E1054" s="319"/>
      <c r="F1054" s="268"/>
      <c r="G1054" s="268"/>
      <c r="H1054" s="268"/>
      <c r="I1054" s="268"/>
      <c r="J1054" s="268"/>
      <c r="K1054" s="268"/>
    </row>
    <row r="1055" ht="15.75" customHeight="1">
      <c r="B1055" s="268"/>
      <c r="C1055" s="268"/>
      <c r="D1055" s="319"/>
      <c r="E1055" s="319"/>
      <c r="F1055" s="268"/>
      <c r="G1055" s="268"/>
      <c r="H1055" s="268"/>
      <c r="I1055" s="268"/>
      <c r="J1055" s="268"/>
      <c r="K1055" s="268"/>
    </row>
    <row r="1056" ht="15.75" customHeight="1">
      <c r="B1056" s="268"/>
      <c r="C1056" s="268"/>
      <c r="D1056" s="319"/>
      <c r="E1056" s="319"/>
      <c r="F1056" s="268"/>
      <c r="G1056" s="268"/>
      <c r="H1056" s="268"/>
      <c r="I1056" s="268"/>
      <c r="J1056" s="268"/>
      <c r="K1056" s="268"/>
    </row>
    <row r="1057" ht="15.75" customHeight="1">
      <c r="B1057" s="268"/>
      <c r="C1057" s="268"/>
      <c r="D1057" s="319"/>
      <c r="E1057" s="319"/>
      <c r="F1057" s="268"/>
      <c r="G1057" s="268"/>
      <c r="H1057" s="268"/>
      <c r="I1057" s="268"/>
      <c r="J1057" s="268"/>
      <c r="K1057" s="268"/>
    </row>
    <row r="1058" ht="15.75" customHeight="1">
      <c r="B1058" s="268"/>
      <c r="C1058" s="268"/>
      <c r="D1058" s="319"/>
      <c r="E1058" s="319"/>
      <c r="F1058" s="268"/>
      <c r="G1058" s="268"/>
      <c r="H1058" s="268"/>
      <c r="I1058" s="268"/>
      <c r="J1058" s="268"/>
      <c r="K1058" s="268"/>
    </row>
    <row r="1059" ht="15.75" customHeight="1">
      <c r="B1059" s="268"/>
      <c r="C1059" s="268"/>
      <c r="D1059" s="319"/>
      <c r="E1059" s="319"/>
      <c r="F1059" s="268"/>
      <c r="G1059" s="268"/>
      <c r="H1059" s="268"/>
      <c r="I1059" s="268"/>
      <c r="J1059" s="268"/>
      <c r="K1059" s="268"/>
    </row>
    <row r="1060" ht="15.75" customHeight="1">
      <c r="B1060" s="268"/>
      <c r="C1060" s="268"/>
      <c r="D1060" s="319"/>
      <c r="E1060" s="319"/>
      <c r="F1060" s="268"/>
      <c r="G1060" s="268"/>
      <c r="H1060" s="268"/>
      <c r="I1060" s="268"/>
      <c r="J1060" s="268"/>
      <c r="K1060" s="268"/>
    </row>
    <row r="1061" ht="15.75" customHeight="1">
      <c r="B1061" s="268"/>
      <c r="C1061" s="268"/>
      <c r="D1061" s="319"/>
      <c r="E1061" s="319"/>
      <c r="F1061" s="268"/>
      <c r="G1061" s="268"/>
      <c r="H1061" s="268"/>
      <c r="I1061" s="268"/>
      <c r="J1061" s="268"/>
      <c r="K1061" s="268"/>
    </row>
    <row r="1062" ht="15.75" customHeight="1">
      <c r="B1062" s="268"/>
      <c r="C1062" s="268"/>
      <c r="D1062" s="319"/>
      <c r="E1062" s="319"/>
      <c r="F1062" s="268"/>
      <c r="G1062" s="268"/>
      <c r="H1062" s="268"/>
      <c r="I1062" s="268"/>
      <c r="J1062" s="268"/>
      <c r="K1062" s="268"/>
    </row>
    <row r="1063" ht="15.75" customHeight="1">
      <c r="B1063" s="268"/>
      <c r="C1063" s="268"/>
      <c r="D1063" s="319"/>
      <c r="E1063" s="319"/>
      <c r="F1063" s="268"/>
      <c r="G1063" s="268"/>
      <c r="H1063" s="268"/>
      <c r="I1063" s="268"/>
      <c r="J1063" s="268"/>
      <c r="K1063" s="268"/>
    </row>
    <row r="1064" ht="15.75" customHeight="1">
      <c r="B1064" s="268"/>
      <c r="C1064" s="268"/>
      <c r="D1064" s="319"/>
      <c r="E1064" s="319"/>
      <c r="F1064" s="268"/>
      <c r="G1064" s="268"/>
      <c r="H1064" s="268"/>
      <c r="I1064" s="268"/>
      <c r="J1064" s="268"/>
      <c r="K1064" s="268"/>
    </row>
    <row r="1065" ht="15.75" customHeight="1">
      <c r="B1065" s="268"/>
      <c r="C1065" s="268"/>
      <c r="D1065" s="319"/>
      <c r="E1065" s="319"/>
      <c r="F1065" s="268"/>
      <c r="G1065" s="268"/>
      <c r="H1065" s="268"/>
      <c r="I1065" s="268"/>
      <c r="J1065" s="268"/>
      <c r="K1065" s="268"/>
    </row>
    <row r="1066" ht="15.75" customHeight="1">
      <c r="B1066" s="268"/>
      <c r="C1066" s="268"/>
      <c r="D1066" s="319"/>
      <c r="E1066" s="319"/>
      <c r="F1066" s="268"/>
      <c r="G1066" s="268"/>
      <c r="H1066" s="268"/>
      <c r="I1066" s="268"/>
      <c r="J1066" s="268"/>
      <c r="K1066" s="268"/>
    </row>
    <row r="1067" ht="15.75" customHeight="1">
      <c r="B1067" s="268"/>
      <c r="C1067" s="268"/>
      <c r="D1067" s="319"/>
      <c r="E1067" s="319"/>
      <c r="F1067" s="268"/>
      <c r="G1067" s="268"/>
      <c r="H1067" s="268"/>
      <c r="I1067" s="268"/>
      <c r="J1067" s="268"/>
      <c r="K1067" s="268"/>
    </row>
    <row r="1068" ht="15.75" customHeight="1">
      <c r="B1068" s="268"/>
      <c r="C1068" s="268"/>
      <c r="D1068" s="319"/>
      <c r="E1068" s="319"/>
      <c r="F1068" s="268"/>
      <c r="G1068" s="268"/>
      <c r="H1068" s="268"/>
      <c r="I1068" s="268"/>
      <c r="J1068" s="268"/>
      <c r="K1068" s="268"/>
    </row>
    <row r="1069" ht="15.75" customHeight="1">
      <c r="B1069" s="268"/>
      <c r="C1069" s="268"/>
      <c r="D1069" s="319"/>
      <c r="E1069" s="319"/>
      <c r="F1069" s="268"/>
      <c r="G1069" s="268"/>
      <c r="H1069" s="268"/>
      <c r="I1069" s="268"/>
      <c r="J1069" s="268"/>
      <c r="K1069" s="268"/>
    </row>
    <row r="1070" ht="15.75" customHeight="1">
      <c r="B1070" s="268"/>
      <c r="C1070" s="268"/>
      <c r="D1070" s="319"/>
      <c r="E1070" s="319"/>
      <c r="F1070" s="268"/>
      <c r="G1070" s="268"/>
      <c r="H1070" s="268"/>
      <c r="I1070" s="268"/>
      <c r="J1070" s="268"/>
      <c r="K1070" s="268"/>
    </row>
    <row r="1071" ht="15.75" customHeight="1">
      <c r="B1071" s="268"/>
      <c r="C1071" s="268"/>
      <c r="D1071" s="319"/>
      <c r="E1071" s="319"/>
      <c r="F1071" s="268"/>
      <c r="G1071" s="268"/>
      <c r="H1071" s="268"/>
      <c r="I1071" s="268"/>
      <c r="J1071" s="268"/>
      <c r="K1071" s="268"/>
    </row>
    <row r="1072" ht="15.75" customHeight="1">
      <c r="B1072" s="268"/>
      <c r="C1072" s="268"/>
      <c r="D1072" s="319"/>
      <c r="E1072" s="319"/>
      <c r="F1072" s="268"/>
      <c r="G1072" s="268"/>
      <c r="H1072" s="268"/>
      <c r="I1072" s="268"/>
      <c r="J1072" s="268"/>
      <c r="K1072" s="268"/>
    </row>
    <row r="1073" ht="15.75" customHeight="1">
      <c r="B1073" s="268"/>
      <c r="C1073" s="268"/>
      <c r="D1073" s="319"/>
      <c r="E1073" s="319"/>
      <c r="F1073" s="268"/>
      <c r="G1073" s="268"/>
      <c r="H1073" s="268"/>
      <c r="I1073" s="268"/>
      <c r="J1073" s="268"/>
      <c r="K1073" s="268"/>
    </row>
    <row r="1074" ht="15.75" customHeight="1">
      <c r="B1074" s="268"/>
      <c r="C1074" s="268"/>
      <c r="D1074" s="319"/>
      <c r="E1074" s="319"/>
      <c r="F1074" s="268"/>
      <c r="G1074" s="268"/>
      <c r="H1074" s="268"/>
      <c r="I1074" s="268"/>
      <c r="J1074" s="268"/>
      <c r="K1074" s="268"/>
    </row>
    <row r="1075" ht="15.75" customHeight="1">
      <c r="B1075" s="268"/>
      <c r="C1075" s="268"/>
      <c r="D1075" s="319"/>
      <c r="E1075" s="319"/>
      <c r="F1075" s="268"/>
      <c r="G1075" s="268"/>
      <c r="H1075" s="268"/>
      <c r="I1075" s="268"/>
      <c r="J1075" s="268"/>
      <c r="K1075" s="268"/>
    </row>
    <row r="1076" ht="15.75" customHeight="1">
      <c r="B1076" s="268"/>
      <c r="C1076" s="268"/>
      <c r="D1076" s="319"/>
      <c r="E1076" s="319"/>
      <c r="F1076" s="268"/>
      <c r="G1076" s="268"/>
      <c r="H1076" s="268"/>
      <c r="I1076" s="268"/>
      <c r="J1076" s="268"/>
      <c r="K1076" s="268"/>
    </row>
    <row r="1077" ht="15.75" customHeight="1">
      <c r="B1077" s="268"/>
      <c r="C1077" s="268"/>
      <c r="D1077" s="319"/>
      <c r="E1077" s="319"/>
      <c r="F1077" s="268"/>
      <c r="G1077" s="268"/>
      <c r="H1077" s="268"/>
      <c r="I1077" s="268"/>
      <c r="J1077" s="268"/>
      <c r="K1077" s="268"/>
    </row>
    <row r="1078" ht="15.75" customHeight="1">
      <c r="B1078" s="268"/>
      <c r="C1078" s="268"/>
      <c r="D1078" s="319"/>
      <c r="E1078" s="319"/>
      <c r="F1078" s="268"/>
      <c r="G1078" s="268"/>
      <c r="H1078" s="268"/>
      <c r="I1078" s="268"/>
      <c r="J1078" s="268"/>
      <c r="K1078" s="268"/>
    </row>
    <row r="1079" ht="15.75" customHeight="1">
      <c r="B1079" s="268"/>
      <c r="C1079" s="268"/>
      <c r="D1079" s="319"/>
      <c r="E1079" s="319"/>
      <c r="F1079" s="268"/>
      <c r="G1079" s="268"/>
      <c r="H1079" s="268"/>
      <c r="I1079" s="268"/>
      <c r="J1079" s="268"/>
      <c r="K1079" s="268"/>
    </row>
    <row r="1080" ht="15.75" customHeight="1">
      <c r="B1080" s="268"/>
      <c r="C1080" s="268"/>
      <c r="D1080" s="319"/>
      <c r="E1080" s="319"/>
      <c r="F1080" s="268"/>
      <c r="G1080" s="268"/>
      <c r="H1080" s="268"/>
      <c r="I1080" s="268"/>
      <c r="J1080" s="268"/>
      <c r="K1080" s="268"/>
    </row>
    <row r="1081" ht="15.75" customHeight="1">
      <c r="B1081" s="268"/>
      <c r="C1081" s="268"/>
      <c r="D1081" s="319"/>
      <c r="E1081" s="319"/>
      <c r="F1081" s="268"/>
      <c r="G1081" s="268"/>
      <c r="H1081" s="268"/>
      <c r="I1081" s="268"/>
      <c r="J1081" s="268"/>
      <c r="K1081" s="268"/>
    </row>
    <row r="1082" ht="15.75" customHeight="1">
      <c r="B1082" s="268"/>
      <c r="C1082" s="268"/>
      <c r="D1082" s="319"/>
      <c r="E1082" s="319"/>
      <c r="F1082" s="268"/>
      <c r="G1082" s="268"/>
      <c r="H1082" s="268"/>
      <c r="I1082" s="268"/>
      <c r="J1082" s="268"/>
      <c r="K1082" s="268"/>
    </row>
    <row r="1083" ht="15.75" customHeight="1">
      <c r="B1083" s="268"/>
      <c r="C1083" s="268"/>
      <c r="D1083" s="319"/>
      <c r="E1083" s="319"/>
      <c r="F1083" s="268"/>
      <c r="G1083" s="268"/>
      <c r="H1083" s="268"/>
      <c r="I1083" s="268"/>
      <c r="J1083" s="268"/>
      <c r="K1083" s="268"/>
    </row>
    <row r="1084" ht="15.75" customHeight="1">
      <c r="B1084" s="268"/>
      <c r="C1084" s="268"/>
      <c r="D1084" s="319"/>
      <c r="E1084" s="319"/>
      <c r="F1084" s="268"/>
      <c r="G1084" s="268"/>
      <c r="H1084" s="268"/>
      <c r="I1084" s="268"/>
      <c r="J1084" s="268"/>
      <c r="K1084" s="268"/>
    </row>
    <row r="1085" ht="15.75" customHeight="1">
      <c r="B1085" s="268"/>
      <c r="C1085" s="268"/>
      <c r="D1085" s="319"/>
      <c r="E1085" s="319"/>
      <c r="F1085" s="268"/>
      <c r="G1085" s="268"/>
      <c r="H1085" s="268"/>
      <c r="I1085" s="268"/>
      <c r="J1085" s="268"/>
      <c r="K1085" s="268"/>
    </row>
    <row r="1086" ht="15.75" customHeight="1">
      <c r="B1086" s="268"/>
      <c r="C1086" s="268"/>
      <c r="D1086" s="319"/>
      <c r="E1086" s="319"/>
      <c r="F1086" s="268"/>
      <c r="G1086" s="268"/>
      <c r="H1086" s="268"/>
      <c r="I1086" s="268"/>
      <c r="J1086" s="268"/>
      <c r="K1086" s="268"/>
    </row>
    <row r="1087" ht="15.75" customHeight="1">
      <c r="B1087" s="268"/>
      <c r="C1087" s="268"/>
      <c r="D1087" s="319"/>
      <c r="E1087" s="319"/>
      <c r="F1087" s="268"/>
      <c r="G1087" s="268"/>
      <c r="H1087" s="268"/>
      <c r="I1087" s="268"/>
      <c r="J1087" s="268"/>
      <c r="K1087" s="268"/>
    </row>
    <row r="1088" ht="15.75" customHeight="1">
      <c r="B1088" s="268"/>
      <c r="C1088" s="268"/>
      <c r="D1088" s="319"/>
      <c r="E1088" s="319"/>
      <c r="F1088" s="268"/>
      <c r="G1088" s="268"/>
      <c r="H1088" s="268"/>
      <c r="I1088" s="268"/>
      <c r="J1088" s="268"/>
      <c r="K1088" s="268"/>
    </row>
    <row r="1089" ht="15.75" customHeight="1">
      <c r="B1089" s="268"/>
      <c r="C1089" s="268"/>
      <c r="D1089" s="319"/>
      <c r="E1089" s="319"/>
      <c r="F1089" s="268"/>
      <c r="G1089" s="268"/>
      <c r="H1089" s="268"/>
      <c r="I1089" s="268"/>
      <c r="J1089" s="268"/>
      <c r="K1089" s="268"/>
    </row>
    <row r="1090" ht="15.75" customHeight="1">
      <c r="B1090" s="268"/>
      <c r="C1090" s="268"/>
      <c r="D1090" s="319"/>
      <c r="E1090" s="319"/>
      <c r="F1090" s="268"/>
      <c r="G1090" s="268"/>
      <c r="H1090" s="268"/>
      <c r="I1090" s="268"/>
      <c r="J1090" s="268"/>
      <c r="K1090" s="268"/>
    </row>
    <row r="1091" ht="15.75" customHeight="1">
      <c r="B1091" s="268"/>
      <c r="C1091" s="268"/>
      <c r="D1091" s="319"/>
      <c r="E1091" s="319"/>
      <c r="F1091" s="268"/>
      <c r="G1091" s="268"/>
      <c r="H1091" s="268"/>
      <c r="I1091" s="268"/>
      <c r="J1091" s="268"/>
      <c r="K1091" s="268"/>
    </row>
    <row r="1092" ht="15.75" customHeight="1">
      <c r="B1092" s="268"/>
      <c r="C1092" s="268"/>
      <c r="D1092" s="319"/>
      <c r="E1092" s="319"/>
      <c r="F1092" s="268"/>
      <c r="G1092" s="268"/>
      <c r="H1092" s="268"/>
      <c r="I1092" s="268"/>
      <c r="J1092" s="268"/>
      <c r="K1092" s="268"/>
    </row>
    <row r="1093" ht="15.75" customHeight="1">
      <c r="B1093" s="268"/>
      <c r="C1093" s="268"/>
      <c r="D1093" s="319"/>
      <c r="E1093" s="319"/>
      <c r="F1093" s="268"/>
      <c r="G1093" s="268"/>
      <c r="H1093" s="268"/>
      <c r="I1093" s="268"/>
      <c r="J1093" s="268"/>
      <c r="K1093" s="268"/>
    </row>
    <row r="1094" ht="15.75" customHeight="1">
      <c r="B1094" s="268"/>
      <c r="C1094" s="268"/>
      <c r="D1094" s="319"/>
      <c r="E1094" s="319"/>
      <c r="F1094" s="268"/>
      <c r="G1094" s="268"/>
      <c r="H1094" s="268"/>
      <c r="I1094" s="268"/>
      <c r="J1094" s="268"/>
      <c r="K1094" s="268"/>
    </row>
    <row r="1095" ht="15.75" customHeight="1">
      <c r="B1095" s="268"/>
      <c r="C1095" s="268"/>
      <c r="D1095" s="319"/>
      <c r="E1095" s="319"/>
      <c r="F1095" s="268"/>
      <c r="G1095" s="268"/>
      <c r="H1095" s="268"/>
      <c r="I1095" s="268"/>
      <c r="J1095" s="268"/>
      <c r="K1095" s="268"/>
    </row>
    <row r="1096" ht="15.75" customHeight="1">
      <c r="B1096" s="268"/>
      <c r="C1096" s="268"/>
      <c r="D1096" s="319"/>
      <c r="E1096" s="319"/>
      <c r="F1096" s="268"/>
      <c r="G1096" s="268"/>
      <c r="H1096" s="268"/>
      <c r="I1096" s="268"/>
      <c r="J1096" s="268"/>
      <c r="K1096" s="268"/>
    </row>
    <row r="1097" ht="15.75" customHeight="1">
      <c r="B1097" s="268"/>
      <c r="C1097" s="268"/>
      <c r="D1097" s="319"/>
      <c r="E1097" s="319"/>
      <c r="F1097" s="268"/>
      <c r="G1097" s="268"/>
      <c r="H1097" s="268"/>
      <c r="I1097" s="268"/>
      <c r="J1097" s="268"/>
      <c r="K1097" s="268"/>
    </row>
    <row r="1098" ht="15.75" customHeight="1">
      <c r="B1098" s="268"/>
      <c r="C1098" s="268"/>
      <c r="D1098" s="319"/>
      <c r="E1098" s="319"/>
      <c r="F1098" s="268"/>
      <c r="G1098" s="268"/>
      <c r="H1098" s="268"/>
      <c r="I1098" s="268"/>
      <c r="J1098" s="268"/>
      <c r="K1098" s="268"/>
    </row>
    <row r="1099" ht="15.75" customHeight="1">
      <c r="B1099" s="268"/>
      <c r="C1099" s="268"/>
      <c r="D1099" s="319"/>
      <c r="E1099" s="319"/>
      <c r="F1099" s="268"/>
      <c r="G1099" s="268"/>
      <c r="H1099" s="268"/>
      <c r="I1099" s="268"/>
      <c r="J1099" s="268"/>
      <c r="K1099" s="268"/>
    </row>
    <row r="1100" ht="15.75" customHeight="1">
      <c r="B1100" s="268"/>
      <c r="C1100" s="268"/>
      <c r="D1100" s="319"/>
      <c r="E1100" s="319"/>
      <c r="F1100" s="268"/>
      <c r="G1100" s="268"/>
      <c r="H1100" s="268"/>
      <c r="I1100" s="268"/>
      <c r="J1100" s="268"/>
      <c r="K1100" s="268"/>
    </row>
    <row r="1101" ht="15.75" customHeight="1">
      <c r="B1101" s="268"/>
      <c r="C1101" s="268"/>
      <c r="D1101" s="319"/>
      <c r="E1101" s="319"/>
      <c r="F1101" s="268"/>
      <c r="G1101" s="268"/>
      <c r="H1101" s="268"/>
      <c r="I1101" s="268"/>
      <c r="J1101" s="268"/>
      <c r="K1101" s="268"/>
    </row>
    <row r="1102" ht="15.75" customHeight="1">
      <c r="B1102" s="268"/>
      <c r="C1102" s="268"/>
      <c r="D1102" s="319"/>
      <c r="E1102" s="319"/>
      <c r="F1102" s="268"/>
      <c r="G1102" s="268"/>
      <c r="H1102" s="268"/>
      <c r="I1102" s="268"/>
      <c r="J1102" s="268"/>
      <c r="K1102" s="268"/>
    </row>
    <row r="1103" ht="15.75" customHeight="1">
      <c r="B1103" s="268"/>
      <c r="C1103" s="268"/>
      <c r="D1103" s="319"/>
      <c r="E1103" s="319"/>
      <c r="F1103" s="268"/>
      <c r="G1103" s="268"/>
      <c r="H1103" s="268"/>
      <c r="I1103" s="268"/>
      <c r="J1103" s="268"/>
      <c r="K1103" s="268"/>
    </row>
    <row r="1104" ht="15.75" customHeight="1">
      <c r="B1104" s="268"/>
      <c r="C1104" s="268"/>
      <c r="D1104" s="319"/>
      <c r="E1104" s="319"/>
      <c r="F1104" s="268"/>
      <c r="G1104" s="268"/>
      <c r="H1104" s="268"/>
      <c r="I1104" s="268"/>
      <c r="J1104" s="268"/>
      <c r="K1104" s="268"/>
    </row>
    <row r="1105" ht="15.75" customHeight="1">
      <c r="B1105" s="268"/>
      <c r="C1105" s="268"/>
      <c r="D1105" s="319"/>
      <c r="E1105" s="319"/>
      <c r="F1105" s="268"/>
      <c r="G1105" s="268"/>
      <c r="H1105" s="268"/>
      <c r="I1105" s="268"/>
      <c r="J1105" s="268"/>
      <c r="K1105" s="268"/>
    </row>
    <row r="1106" ht="15.75" customHeight="1">
      <c r="B1106" s="268"/>
      <c r="C1106" s="268"/>
      <c r="D1106" s="319"/>
      <c r="E1106" s="319"/>
      <c r="F1106" s="268"/>
      <c r="G1106" s="268"/>
      <c r="H1106" s="268"/>
      <c r="I1106" s="268"/>
      <c r="J1106" s="268"/>
      <c r="K1106" s="268"/>
    </row>
    <row r="1107" ht="15.75" customHeight="1">
      <c r="B1107" s="268"/>
      <c r="C1107" s="268"/>
      <c r="D1107" s="319"/>
      <c r="E1107" s="319"/>
      <c r="F1107" s="268"/>
      <c r="G1107" s="268"/>
      <c r="H1107" s="268"/>
      <c r="I1107" s="268"/>
      <c r="J1107" s="268"/>
      <c r="K1107" s="268"/>
    </row>
    <row r="1108" ht="15.75" customHeight="1">
      <c r="B1108" s="268"/>
      <c r="C1108" s="268"/>
      <c r="D1108" s="319"/>
      <c r="E1108" s="319"/>
      <c r="F1108" s="268"/>
      <c r="G1108" s="268"/>
      <c r="H1108" s="268"/>
      <c r="I1108" s="268"/>
      <c r="J1108" s="268"/>
      <c r="K1108" s="268"/>
    </row>
    <row r="1109" ht="15.75" customHeight="1">
      <c r="B1109" s="268"/>
      <c r="C1109" s="268"/>
      <c r="D1109" s="319"/>
      <c r="E1109" s="319"/>
      <c r="F1109" s="268"/>
      <c r="G1109" s="268"/>
      <c r="H1109" s="268"/>
      <c r="I1109" s="268"/>
      <c r="J1109" s="268"/>
      <c r="K1109" s="268"/>
    </row>
    <row r="1110" ht="15.75" customHeight="1">
      <c r="B1110" s="268"/>
      <c r="C1110" s="268"/>
      <c r="D1110" s="319"/>
      <c r="E1110" s="319"/>
      <c r="F1110" s="268"/>
      <c r="G1110" s="268"/>
      <c r="H1110" s="268"/>
      <c r="I1110" s="268"/>
      <c r="J1110" s="268"/>
      <c r="K1110" s="268"/>
    </row>
    <row r="1111" ht="15.75" customHeight="1">
      <c r="B1111" s="268"/>
      <c r="C1111" s="268"/>
      <c r="D1111" s="319"/>
      <c r="E1111" s="319"/>
      <c r="F1111" s="268"/>
      <c r="G1111" s="268"/>
      <c r="H1111" s="268"/>
      <c r="I1111" s="268"/>
      <c r="J1111" s="268"/>
      <c r="K1111" s="268"/>
    </row>
    <row r="1112" ht="15.75" customHeight="1">
      <c r="B1112" s="268"/>
      <c r="C1112" s="268"/>
      <c r="D1112" s="319"/>
      <c r="E1112" s="319"/>
      <c r="F1112" s="268"/>
      <c r="G1112" s="268"/>
      <c r="H1112" s="268"/>
      <c r="I1112" s="268"/>
      <c r="J1112" s="268"/>
      <c r="K1112" s="268"/>
    </row>
    <row r="1113" ht="15.75" customHeight="1">
      <c r="B1113" s="268"/>
      <c r="C1113" s="268"/>
      <c r="D1113" s="319"/>
      <c r="E1113" s="319"/>
      <c r="F1113" s="268"/>
      <c r="G1113" s="268"/>
      <c r="H1113" s="268"/>
      <c r="I1113" s="268"/>
      <c r="J1113" s="268"/>
      <c r="K1113" s="268"/>
    </row>
    <row r="1114" ht="15.75" customHeight="1">
      <c r="B1114" s="268"/>
      <c r="C1114" s="268"/>
      <c r="D1114" s="319"/>
      <c r="E1114" s="319"/>
      <c r="F1114" s="268"/>
      <c r="G1114" s="268"/>
      <c r="H1114" s="268"/>
      <c r="I1114" s="268"/>
      <c r="J1114" s="268"/>
      <c r="K1114" s="268"/>
    </row>
    <row r="1115" ht="15.75" customHeight="1">
      <c r="B1115" s="268"/>
      <c r="C1115" s="268"/>
      <c r="D1115" s="319"/>
      <c r="E1115" s="319"/>
      <c r="F1115" s="268"/>
      <c r="G1115" s="268"/>
      <c r="H1115" s="268"/>
      <c r="I1115" s="268"/>
      <c r="J1115" s="268"/>
      <c r="K1115" s="268"/>
    </row>
    <row r="1116" ht="15.75" customHeight="1">
      <c r="B1116" s="268"/>
      <c r="C1116" s="268"/>
      <c r="D1116" s="319"/>
      <c r="E1116" s="319"/>
      <c r="F1116" s="268"/>
      <c r="G1116" s="268"/>
      <c r="H1116" s="268"/>
      <c r="I1116" s="268"/>
      <c r="J1116" s="268"/>
      <c r="K1116" s="268"/>
    </row>
    <row r="1117" ht="15.75" customHeight="1">
      <c r="B1117" s="268"/>
      <c r="C1117" s="268"/>
      <c r="D1117" s="319"/>
      <c r="E1117" s="319"/>
      <c r="F1117" s="268"/>
      <c r="G1117" s="268"/>
      <c r="H1117" s="268"/>
      <c r="I1117" s="268"/>
      <c r="J1117" s="268"/>
      <c r="K1117" s="268"/>
    </row>
    <row r="1118" ht="15.75" customHeight="1">
      <c r="B1118" s="268"/>
      <c r="C1118" s="268"/>
      <c r="D1118" s="319"/>
      <c r="E1118" s="319"/>
      <c r="F1118" s="268"/>
      <c r="G1118" s="268"/>
      <c r="H1118" s="268"/>
      <c r="I1118" s="268"/>
      <c r="J1118" s="268"/>
      <c r="K1118" s="268"/>
    </row>
    <row r="1119" ht="15.75" customHeight="1">
      <c r="B1119" s="268"/>
      <c r="C1119" s="268"/>
      <c r="D1119" s="319"/>
      <c r="E1119" s="319"/>
      <c r="F1119" s="268"/>
      <c r="G1119" s="268"/>
      <c r="H1119" s="268"/>
      <c r="I1119" s="268"/>
      <c r="J1119" s="268"/>
      <c r="K1119" s="268"/>
    </row>
    <row r="1120" ht="15.75" customHeight="1">
      <c r="B1120" s="268"/>
      <c r="C1120" s="268"/>
      <c r="D1120" s="319"/>
      <c r="E1120" s="319"/>
      <c r="F1120" s="268"/>
      <c r="G1120" s="268"/>
      <c r="H1120" s="268"/>
      <c r="I1120" s="268"/>
      <c r="J1120" s="268"/>
      <c r="K1120" s="268"/>
    </row>
    <row r="1121" ht="15.75" customHeight="1">
      <c r="B1121" s="268"/>
      <c r="C1121" s="268"/>
      <c r="D1121" s="319"/>
      <c r="E1121" s="319"/>
      <c r="F1121" s="268"/>
      <c r="G1121" s="268"/>
      <c r="H1121" s="268"/>
      <c r="I1121" s="268"/>
      <c r="J1121" s="268"/>
      <c r="K1121" s="268"/>
    </row>
    <row r="1122" ht="15.75" customHeight="1">
      <c r="B1122" s="268"/>
      <c r="C1122" s="268"/>
      <c r="D1122" s="319"/>
      <c r="E1122" s="319"/>
      <c r="F1122" s="268"/>
      <c r="G1122" s="268"/>
      <c r="H1122" s="268"/>
      <c r="I1122" s="268"/>
      <c r="J1122" s="268"/>
      <c r="K1122" s="268"/>
    </row>
    <row r="1123" ht="15.75" customHeight="1">
      <c r="B1123" s="268"/>
      <c r="C1123" s="268"/>
      <c r="D1123" s="319"/>
      <c r="E1123" s="319"/>
      <c r="F1123" s="268"/>
      <c r="G1123" s="268"/>
      <c r="H1123" s="268"/>
      <c r="I1123" s="268"/>
      <c r="J1123" s="268"/>
      <c r="K1123" s="268"/>
    </row>
    <row r="1124" ht="15.75" customHeight="1">
      <c r="B1124" s="268"/>
      <c r="C1124" s="268"/>
      <c r="D1124" s="319"/>
      <c r="E1124" s="319"/>
      <c r="F1124" s="268"/>
      <c r="G1124" s="268"/>
      <c r="H1124" s="268"/>
      <c r="I1124" s="268"/>
      <c r="J1124" s="268"/>
      <c r="K1124" s="268"/>
    </row>
    <row r="1125" ht="15.75" customHeight="1">
      <c r="B1125" s="268"/>
      <c r="C1125" s="268"/>
      <c r="D1125" s="319"/>
      <c r="E1125" s="319"/>
      <c r="F1125" s="268"/>
      <c r="G1125" s="268"/>
      <c r="H1125" s="268"/>
      <c r="I1125" s="268"/>
      <c r="J1125" s="268"/>
      <c r="K1125" s="268"/>
    </row>
    <row r="1126" ht="15.75" customHeight="1">
      <c r="B1126" s="268"/>
      <c r="C1126" s="268"/>
      <c r="D1126" s="319"/>
      <c r="E1126" s="319"/>
      <c r="F1126" s="268"/>
      <c r="G1126" s="268"/>
      <c r="H1126" s="268"/>
      <c r="I1126" s="268"/>
      <c r="J1126" s="268"/>
      <c r="K1126" s="268"/>
    </row>
    <row r="1127" ht="15.75" customHeight="1">
      <c r="B1127" s="268"/>
      <c r="C1127" s="268"/>
      <c r="D1127" s="319"/>
      <c r="E1127" s="319"/>
      <c r="F1127" s="268"/>
      <c r="G1127" s="268"/>
      <c r="H1127" s="268"/>
      <c r="I1127" s="268"/>
      <c r="J1127" s="268"/>
      <c r="K1127" s="268"/>
    </row>
    <row r="1128" ht="15.75" customHeight="1">
      <c r="B1128" s="268"/>
      <c r="C1128" s="268"/>
      <c r="D1128" s="319"/>
      <c r="E1128" s="319"/>
      <c r="F1128" s="268"/>
      <c r="G1128" s="268"/>
      <c r="H1128" s="268"/>
      <c r="I1128" s="268"/>
      <c r="J1128" s="268"/>
      <c r="K1128" s="268"/>
    </row>
    <row r="1129" ht="15.75" customHeight="1">
      <c r="B1129" s="268"/>
      <c r="C1129" s="268"/>
      <c r="D1129" s="319"/>
      <c r="E1129" s="319"/>
      <c r="F1129" s="268"/>
      <c r="G1129" s="268"/>
      <c r="H1129" s="268"/>
      <c r="I1129" s="268"/>
      <c r="J1129" s="268"/>
      <c r="K1129" s="268"/>
    </row>
    <row r="1130" ht="15.75" customHeight="1">
      <c r="B1130" s="268"/>
      <c r="C1130" s="268"/>
      <c r="D1130" s="319"/>
      <c r="E1130" s="319"/>
      <c r="F1130" s="268"/>
      <c r="G1130" s="268"/>
      <c r="H1130" s="268"/>
      <c r="I1130" s="268"/>
      <c r="J1130" s="268"/>
      <c r="K1130" s="268"/>
    </row>
    <row r="1131" ht="15.75" customHeight="1">
      <c r="B1131" s="268"/>
      <c r="C1131" s="268"/>
      <c r="D1131" s="319"/>
      <c r="E1131" s="319"/>
      <c r="F1131" s="268"/>
      <c r="G1131" s="268"/>
      <c r="H1131" s="268"/>
      <c r="I1131" s="268"/>
      <c r="J1131" s="268"/>
      <c r="K1131" s="268"/>
    </row>
    <row r="1132" ht="15.75" customHeight="1">
      <c r="B1132" s="268"/>
      <c r="C1132" s="268"/>
      <c r="D1132" s="319"/>
      <c r="E1132" s="319"/>
      <c r="F1132" s="268"/>
      <c r="G1132" s="268"/>
      <c r="H1132" s="268"/>
      <c r="I1132" s="268"/>
      <c r="J1132" s="268"/>
      <c r="K1132" s="268"/>
    </row>
    <row r="1133" ht="15.75" customHeight="1">
      <c r="B1133" s="268"/>
      <c r="C1133" s="268"/>
      <c r="D1133" s="319"/>
      <c r="E1133" s="319"/>
      <c r="F1133" s="268"/>
      <c r="G1133" s="268"/>
      <c r="H1133" s="268"/>
      <c r="I1133" s="268"/>
      <c r="J1133" s="268"/>
      <c r="K1133" s="268"/>
    </row>
    <row r="1134" ht="15.75" customHeight="1">
      <c r="B1134" s="268"/>
      <c r="C1134" s="268"/>
      <c r="D1134" s="319"/>
      <c r="E1134" s="319"/>
      <c r="F1134" s="268"/>
      <c r="G1134" s="268"/>
      <c r="H1134" s="268"/>
      <c r="I1134" s="268"/>
      <c r="J1134" s="268"/>
      <c r="K1134" s="268"/>
    </row>
    <row r="1135" ht="15.75" customHeight="1">
      <c r="B1135" s="268"/>
      <c r="C1135" s="268"/>
      <c r="D1135" s="319"/>
      <c r="E1135" s="319"/>
      <c r="F1135" s="268"/>
      <c r="G1135" s="268"/>
      <c r="H1135" s="268"/>
      <c r="I1135" s="268"/>
      <c r="J1135" s="268"/>
      <c r="K1135" s="268"/>
    </row>
    <row r="1136" ht="15.75" customHeight="1">
      <c r="B1136" s="268"/>
      <c r="C1136" s="268"/>
      <c r="D1136" s="319"/>
      <c r="E1136" s="319"/>
      <c r="F1136" s="268"/>
      <c r="G1136" s="268"/>
      <c r="H1136" s="268"/>
      <c r="I1136" s="268"/>
      <c r="J1136" s="268"/>
      <c r="K1136" s="268"/>
    </row>
    <row r="1137" ht="15.75" customHeight="1">
      <c r="B1137" s="268"/>
      <c r="C1137" s="268"/>
      <c r="D1137" s="319"/>
      <c r="E1137" s="319"/>
      <c r="F1137" s="268"/>
      <c r="G1137" s="268"/>
      <c r="H1137" s="268"/>
      <c r="I1137" s="268"/>
      <c r="J1137" s="268"/>
      <c r="K1137" s="268"/>
    </row>
    <row r="1138" ht="15.75" customHeight="1">
      <c r="B1138" s="268"/>
      <c r="C1138" s="268"/>
      <c r="D1138" s="319"/>
      <c r="E1138" s="319"/>
      <c r="F1138" s="268"/>
      <c r="G1138" s="268"/>
      <c r="H1138" s="268"/>
      <c r="I1138" s="268"/>
      <c r="J1138" s="268"/>
      <c r="K1138" s="268"/>
    </row>
    <row r="1139" ht="15.75" customHeight="1">
      <c r="B1139" s="268"/>
      <c r="C1139" s="268"/>
      <c r="D1139" s="319"/>
      <c r="E1139" s="319"/>
      <c r="F1139" s="268"/>
      <c r="G1139" s="268"/>
      <c r="H1139" s="268"/>
      <c r="I1139" s="268"/>
      <c r="J1139" s="268"/>
      <c r="K1139" s="268"/>
    </row>
    <row r="1140" ht="15.75" customHeight="1">
      <c r="B1140" s="268"/>
      <c r="C1140" s="268"/>
      <c r="D1140" s="319"/>
      <c r="E1140" s="319"/>
      <c r="F1140" s="268"/>
      <c r="G1140" s="268"/>
      <c r="H1140" s="268"/>
      <c r="I1140" s="268"/>
      <c r="J1140" s="268"/>
      <c r="K1140" s="268"/>
    </row>
    <row r="1141" ht="15.75" customHeight="1">
      <c r="B1141" s="268"/>
      <c r="C1141" s="268"/>
      <c r="D1141" s="319"/>
      <c r="E1141" s="319"/>
      <c r="F1141" s="268"/>
      <c r="G1141" s="268"/>
      <c r="H1141" s="268"/>
      <c r="I1141" s="268"/>
      <c r="J1141" s="268"/>
      <c r="K1141" s="268"/>
    </row>
    <row r="1142" ht="15.75" customHeight="1">
      <c r="B1142" s="268"/>
      <c r="C1142" s="268"/>
      <c r="D1142" s="319"/>
      <c r="E1142" s="319"/>
      <c r="F1142" s="268"/>
      <c r="G1142" s="268"/>
      <c r="H1142" s="268"/>
      <c r="I1142" s="268"/>
      <c r="J1142" s="268"/>
      <c r="K1142" s="268"/>
    </row>
    <row r="1143" ht="15.75" customHeight="1">
      <c r="B1143" s="268"/>
      <c r="C1143" s="268"/>
      <c r="D1143" s="319"/>
      <c r="E1143" s="319"/>
      <c r="F1143" s="268"/>
      <c r="G1143" s="268"/>
      <c r="H1143" s="268"/>
      <c r="I1143" s="268"/>
      <c r="J1143" s="268"/>
      <c r="K1143" s="268"/>
    </row>
    <row r="1144" ht="15.75" customHeight="1">
      <c r="B1144" s="268"/>
      <c r="C1144" s="268"/>
      <c r="D1144" s="319"/>
      <c r="E1144" s="319"/>
      <c r="F1144" s="268"/>
      <c r="G1144" s="268"/>
      <c r="H1144" s="268"/>
      <c r="I1144" s="268"/>
      <c r="J1144" s="268"/>
      <c r="K1144" s="268"/>
    </row>
    <row r="1145" ht="15.75" customHeight="1">
      <c r="B1145" s="268"/>
      <c r="C1145" s="268"/>
      <c r="D1145" s="319"/>
      <c r="E1145" s="319"/>
      <c r="F1145" s="268"/>
      <c r="G1145" s="268"/>
      <c r="H1145" s="268"/>
      <c r="I1145" s="268"/>
      <c r="J1145" s="268"/>
      <c r="K1145" s="268"/>
    </row>
    <row r="1146" ht="15.75" customHeight="1">
      <c r="B1146" s="268"/>
      <c r="C1146" s="268"/>
      <c r="D1146" s="319"/>
      <c r="E1146" s="319"/>
      <c r="F1146" s="268"/>
      <c r="G1146" s="268"/>
      <c r="H1146" s="268"/>
      <c r="I1146" s="268"/>
      <c r="J1146" s="268"/>
      <c r="K1146" s="268"/>
    </row>
    <row r="1147" ht="15.75" customHeight="1">
      <c r="B1147" s="268"/>
      <c r="C1147" s="268"/>
      <c r="D1147" s="319"/>
      <c r="E1147" s="319"/>
      <c r="F1147" s="268"/>
      <c r="G1147" s="268"/>
      <c r="H1147" s="268"/>
      <c r="I1147" s="268"/>
      <c r="J1147" s="268"/>
      <c r="K1147" s="268"/>
    </row>
    <row r="1148" ht="15.75" customHeight="1">
      <c r="B1148" s="268"/>
      <c r="C1148" s="268"/>
      <c r="D1148" s="319"/>
      <c r="E1148" s="319"/>
      <c r="F1148" s="268"/>
      <c r="G1148" s="268"/>
      <c r="H1148" s="268"/>
      <c r="I1148" s="268"/>
      <c r="J1148" s="268"/>
      <c r="K1148" s="268"/>
    </row>
    <row r="1149" ht="15.75" customHeight="1">
      <c r="B1149" s="268"/>
      <c r="C1149" s="268"/>
      <c r="D1149" s="319"/>
      <c r="E1149" s="319"/>
      <c r="F1149" s="268"/>
      <c r="G1149" s="268"/>
      <c r="H1149" s="268"/>
      <c r="I1149" s="268"/>
      <c r="J1149" s="268"/>
      <c r="K1149" s="268"/>
    </row>
    <row r="1150" ht="15.75" customHeight="1">
      <c r="B1150" s="268"/>
      <c r="C1150" s="268"/>
      <c r="D1150" s="319"/>
      <c r="E1150" s="319"/>
      <c r="F1150" s="268"/>
      <c r="G1150" s="268"/>
      <c r="H1150" s="268"/>
      <c r="I1150" s="268"/>
      <c r="J1150" s="268"/>
      <c r="K1150" s="268"/>
    </row>
    <row r="1151" ht="15.75" customHeight="1">
      <c r="B1151" s="268"/>
      <c r="C1151" s="268"/>
      <c r="D1151" s="319"/>
      <c r="E1151" s="319"/>
      <c r="F1151" s="268"/>
      <c r="G1151" s="268"/>
      <c r="H1151" s="268"/>
      <c r="I1151" s="268"/>
      <c r="J1151" s="268"/>
      <c r="K1151" s="268"/>
    </row>
    <row r="1152" ht="15.75" customHeight="1">
      <c r="B1152" s="268"/>
      <c r="C1152" s="268"/>
      <c r="D1152" s="319"/>
      <c r="E1152" s="319"/>
      <c r="F1152" s="268"/>
      <c r="G1152" s="268"/>
      <c r="H1152" s="268"/>
      <c r="I1152" s="268"/>
      <c r="J1152" s="268"/>
      <c r="K1152" s="268"/>
    </row>
    <row r="1153" ht="15.75" customHeight="1">
      <c r="B1153" s="268"/>
      <c r="C1153" s="268"/>
      <c r="D1153" s="319"/>
      <c r="E1153" s="319"/>
      <c r="F1153" s="268"/>
      <c r="G1153" s="268"/>
      <c r="H1153" s="268"/>
      <c r="I1153" s="268"/>
      <c r="J1153" s="268"/>
      <c r="K1153" s="268"/>
    </row>
    <row r="1154" ht="15.75" customHeight="1">
      <c r="B1154" s="268"/>
      <c r="C1154" s="268"/>
      <c r="D1154" s="319"/>
      <c r="E1154" s="319"/>
      <c r="F1154" s="268"/>
      <c r="G1154" s="268"/>
      <c r="H1154" s="268"/>
      <c r="I1154" s="268"/>
      <c r="J1154" s="268"/>
      <c r="K1154" s="268"/>
    </row>
    <row r="1155" ht="15.75" customHeight="1">
      <c r="B1155" s="268"/>
      <c r="C1155" s="268"/>
      <c r="D1155" s="319"/>
      <c r="E1155" s="319"/>
      <c r="F1155" s="268"/>
      <c r="G1155" s="268"/>
      <c r="H1155" s="268"/>
      <c r="I1155" s="268"/>
      <c r="J1155" s="268"/>
      <c r="K1155" s="268"/>
    </row>
    <row r="1156" ht="15.75" customHeight="1">
      <c r="B1156" s="268"/>
      <c r="C1156" s="268"/>
      <c r="D1156" s="319"/>
      <c r="E1156" s="319"/>
      <c r="F1156" s="268"/>
      <c r="G1156" s="268"/>
      <c r="H1156" s="268"/>
      <c r="I1156" s="268"/>
      <c r="J1156" s="268"/>
      <c r="K1156" s="268"/>
    </row>
    <row r="1157" ht="15.75" customHeight="1">
      <c r="B1157" s="268"/>
      <c r="C1157" s="268"/>
      <c r="D1157" s="319"/>
      <c r="E1157" s="319"/>
      <c r="F1157" s="268"/>
      <c r="G1157" s="268"/>
      <c r="H1157" s="268"/>
      <c r="I1157" s="268"/>
      <c r="J1157" s="268"/>
      <c r="K1157" s="268"/>
    </row>
    <row r="1158" ht="15.75" customHeight="1">
      <c r="B1158" s="268"/>
      <c r="C1158" s="268"/>
      <c r="D1158" s="319"/>
      <c r="E1158" s="319"/>
      <c r="F1158" s="268"/>
      <c r="G1158" s="268"/>
      <c r="H1158" s="268"/>
      <c r="I1158" s="268"/>
      <c r="J1158" s="268"/>
      <c r="K1158" s="268"/>
    </row>
    <row r="1159" ht="15.75" customHeight="1">
      <c r="B1159" s="268"/>
      <c r="C1159" s="268"/>
      <c r="D1159" s="319"/>
      <c r="E1159" s="319"/>
      <c r="F1159" s="268"/>
      <c r="G1159" s="268"/>
      <c r="H1159" s="268"/>
      <c r="I1159" s="268"/>
      <c r="J1159" s="268"/>
      <c r="K1159" s="268"/>
    </row>
    <row r="1160" ht="15.75" customHeight="1">
      <c r="B1160" s="268"/>
      <c r="C1160" s="268"/>
      <c r="D1160" s="319"/>
      <c r="E1160" s="319"/>
      <c r="F1160" s="268"/>
      <c r="G1160" s="268"/>
      <c r="H1160" s="268"/>
      <c r="I1160" s="268"/>
      <c r="J1160" s="268"/>
      <c r="K1160" s="268"/>
    </row>
    <row r="1161" ht="15.75" customHeight="1">
      <c r="B1161" s="268"/>
      <c r="C1161" s="268"/>
      <c r="D1161" s="319"/>
      <c r="E1161" s="319"/>
      <c r="F1161" s="268"/>
      <c r="G1161" s="268"/>
      <c r="H1161" s="268"/>
      <c r="I1161" s="268"/>
      <c r="J1161" s="268"/>
      <c r="K1161" s="268"/>
    </row>
    <row r="1162" ht="15.75" customHeight="1">
      <c r="B1162" s="268"/>
      <c r="C1162" s="268"/>
      <c r="D1162" s="319"/>
      <c r="E1162" s="319"/>
      <c r="F1162" s="268"/>
      <c r="G1162" s="268"/>
      <c r="H1162" s="268"/>
      <c r="I1162" s="268"/>
      <c r="J1162" s="268"/>
      <c r="K1162" s="268"/>
    </row>
    <row r="1163" ht="15.75" customHeight="1">
      <c r="B1163" s="268"/>
      <c r="C1163" s="268"/>
      <c r="D1163" s="319"/>
      <c r="E1163" s="319"/>
      <c r="F1163" s="268"/>
      <c r="G1163" s="268"/>
      <c r="H1163" s="268"/>
      <c r="I1163" s="268"/>
      <c r="J1163" s="268"/>
      <c r="K1163" s="268"/>
    </row>
    <row r="1164" ht="15.75" customHeight="1">
      <c r="B1164" s="268"/>
      <c r="C1164" s="268"/>
      <c r="D1164" s="319"/>
      <c r="E1164" s="319"/>
      <c r="F1164" s="268"/>
      <c r="G1164" s="268"/>
      <c r="H1164" s="268"/>
      <c r="I1164" s="268"/>
      <c r="J1164" s="268"/>
      <c r="K1164" s="268"/>
    </row>
    <row r="1165" ht="15.75" customHeight="1">
      <c r="B1165" s="268"/>
      <c r="C1165" s="268"/>
      <c r="D1165" s="319"/>
      <c r="E1165" s="319"/>
      <c r="F1165" s="268"/>
      <c r="G1165" s="268"/>
      <c r="H1165" s="268"/>
      <c r="I1165" s="268"/>
      <c r="J1165" s="268"/>
      <c r="K1165" s="268"/>
    </row>
    <row r="1166" ht="15.75" customHeight="1">
      <c r="B1166" s="268"/>
      <c r="C1166" s="268"/>
      <c r="D1166" s="319"/>
      <c r="E1166" s="319"/>
      <c r="F1166" s="268"/>
      <c r="G1166" s="268"/>
      <c r="H1166" s="268"/>
      <c r="I1166" s="268"/>
      <c r="J1166" s="268"/>
      <c r="K1166" s="268"/>
    </row>
    <row r="1167" ht="15.75" customHeight="1">
      <c r="B1167" s="268"/>
      <c r="C1167" s="268"/>
      <c r="D1167" s="319"/>
      <c r="E1167" s="319"/>
      <c r="F1167" s="268"/>
      <c r="G1167" s="268"/>
      <c r="H1167" s="268"/>
      <c r="I1167" s="268"/>
      <c r="J1167" s="268"/>
      <c r="K1167" s="268"/>
    </row>
    <row r="1168" ht="15.75" customHeight="1">
      <c r="B1168" s="268"/>
      <c r="C1168" s="268"/>
      <c r="D1168" s="319"/>
      <c r="E1168" s="319"/>
      <c r="F1168" s="268"/>
      <c r="G1168" s="268"/>
      <c r="H1168" s="268"/>
      <c r="I1168" s="268"/>
      <c r="J1168" s="268"/>
      <c r="K1168" s="268"/>
    </row>
    <row r="1169" ht="15.75" customHeight="1">
      <c r="B1169" s="268"/>
      <c r="C1169" s="268"/>
      <c r="D1169" s="319"/>
      <c r="E1169" s="319"/>
      <c r="F1169" s="268"/>
      <c r="G1169" s="268"/>
      <c r="H1169" s="268"/>
      <c r="I1169" s="268"/>
      <c r="J1169" s="268"/>
      <c r="K1169" s="268"/>
    </row>
    <row r="1170" ht="15.75" customHeight="1">
      <c r="B1170" s="268"/>
      <c r="C1170" s="268"/>
      <c r="D1170" s="319"/>
      <c r="E1170" s="319"/>
      <c r="F1170" s="268"/>
      <c r="G1170" s="268"/>
      <c r="H1170" s="268"/>
      <c r="I1170" s="268"/>
      <c r="J1170" s="268"/>
      <c r="K1170" s="268"/>
    </row>
    <row r="1171" ht="15.75" customHeight="1">
      <c r="B1171" s="268"/>
      <c r="C1171" s="268"/>
      <c r="D1171" s="319"/>
      <c r="E1171" s="319"/>
      <c r="F1171" s="268"/>
      <c r="G1171" s="268"/>
      <c r="H1171" s="268"/>
      <c r="I1171" s="268"/>
      <c r="J1171" s="268"/>
      <c r="K1171" s="268"/>
    </row>
    <row r="1172" ht="15.75" customHeight="1">
      <c r="B1172" s="268"/>
      <c r="C1172" s="268"/>
      <c r="D1172" s="319"/>
      <c r="E1172" s="319"/>
      <c r="F1172" s="268"/>
      <c r="G1172" s="268"/>
      <c r="H1172" s="268"/>
      <c r="I1172" s="268"/>
      <c r="J1172" s="268"/>
      <c r="K1172" s="268"/>
    </row>
    <row r="1173" ht="15.75" customHeight="1">
      <c r="B1173" s="268"/>
      <c r="C1173" s="268"/>
      <c r="D1173" s="319"/>
      <c r="E1173" s="319"/>
      <c r="F1173" s="268"/>
      <c r="G1173" s="268"/>
      <c r="H1173" s="268"/>
      <c r="I1173" s="268"/>
      <c r="J1173" s="268"/>
      <c r="K1173" s="268"/>
    </row>
    <row r="1174" ht="15.75" customHeight="1">
      <c r="B1174" s="268"/>
      <c r="C1174" s="268"/>
      <c r="D1174" s="319"/>
      <c r="E1174" s="319"/>
      <c r="F1174" s="268"/>
      <c r="G1174" s="268"/>
      <c r="H1174" s="268"/>
      <c r="I1174" s="268"/>
      <c r="J1174" s="268"/>
      <c r="K1174" s="268"/>
    </row>
    <row r="1175" ht="15.75" customHeight="1">
      <c r="B1175" s="268"/>
      <c r="C1175" s="268"/>
      <c r="D1175" s="319"/>
      <c r="E1175" s="319"/>
      <c r="F1175" s="268"/>
      <c r="G1175" s="268"/>
      <c r="H1175" s="268"/>
      <c r="I1175" s="268"/>
      <c r="J1175" s="268"/>
      <c r="K1175" s="268"/>
    </row>
    <row r="1176" ht="15.75" customHeight="1">
      <c r="B1176" s="268"/>
      <c r="C1176" s="268"/>
      <c r="D1176" s="319"/>
      <c r="E1176" s="319"/>
      <c r="F1176" s="268"/>
      <c r="G1176" s="268"/>
      <c r="H1176" s="268"/>
      <c r="I1176" s="268"/>
      <c r="J1176" s="268"/>
      <c r="K1176" s="268"/>
    </row>
    <row r="1177" ht="15.75" customHeight="1">
      <c r="B1177" s="268"/>
      <c r="C1177" s="268"/>
      <c r="D1177" s="319"/>
      <c r="E1177" s="319"/>
      <c r="F1177" s="268"/>
      <c r="G1177" s="268"/>
      <c r="H1177" s="268"/>
      <c r="I1177" s="268"/>
      <c r="J1177" s="268"/>
      <c r="K1177" s="268"/>
    </row>
    <row r="1178" ht="15.75" customHeight="1">
      <c r="B1178" s="268"/>
      <c r="C1178" s="268"/>
      <c r="D1178" s="319"/>
      <c r="E1178" s="319"/>
      <c r="F1178" s="268"/>
      <c r="G1178" s="268"/>
      <c r="H1178" s="268"/>
      <c r="I1178" s="268"/>
      <c r="J1178" s="268"/>
      <c r="K1178" s="268"/>
    </row>
    <row r="1179" ht="15.75" customHeight="1">
      <c r="B1179" s="268"/>
      <c r="C1179" s="268"/>
      <c r="D1179" s="319"/>
      <c r="E1179" s="319"/>
      <c r="F1179" s="268"/>
      <c r="G1179" s="268"/>
      <c r="H1179" s="268"/>
      <c r="I1179" s="268"/>
      <c r="J1179" s="268"/>
      <c r="K1179" s="268"/>
    </row>
    <row r="1180" ht="15.75" customHeight="1">
      <c r="B1180" s="268"/>
      <c r="C1180" s="268"/>
      <c r="D1180" s="319"/>
      <c r="E1180" s="319"/>
      <c r="F1180" s="268"/>
      <c r="G1180" s="268"/>
      <c r="H1180" s="268"/>
      <c r="I1180" s="268"/>
      <c r="J1180" s="268"/>
      <c r="K1180" s="268"/>
    </row>
    <row r="1181" ht="15.75" customHeight="1">
      <c r="B1181" s="268"/>
      <c r="C1181" s="268"/>
      <c r="D1181" s="319"/>
      <c r="E1181" s="319"/>
      <c r="F1181" s="268"/>
      <c r="G1181" s="268"/>
      <c r="H1181" s="268"/>
      <c r="I1181" s="268"/>
      <c r="J1181" s="268"/>
      <c r="K1181" s="268"/>
    </row>
    <row r="1182" ht="15.75" customHeight="1">
      <c r="B1182" s="268"/>
      <c r="C1182" s="268"/>
      <c r="D1182" s="319"/>
      <c r="E1182" s="319"/>
      <c r="F1182" s="268"/>
      <c r="G1182" s="268"/>
      <c r="H1182" s="268"/>
      <c r="I1182" s="268"/>
      <c r="J1182" s="268"/>
      <c r="K1182" s="268"/>
    </row>
    <row r="1183" ht="15.75" customHeight="1">
      <c r="B1183" s="268"/>
      <c r="C1183" s="268"/>
      <c r="D1183" s="319"/>
      <c r="E1183" s="319"/>
      <c r="F1183" s="268"/>
      <c r="G1183" s="268"/>
      <c r="H1183" s="268"/>
      <c r="I1183" s="268"/>
      <c r="J1183" s="268"/>
      <c r="K1183" s="268"/>
    </row>
    <row r="1184" ht="15.75" customHeight="1">
      <c r="B1184" s="268"/>
      <c r="C1184" s="268"/>
      <c r="D1184" s="319"/>
      <c r="E1184" s="319"/>
      <c r="F1184" s="268"/>
      <c r="G1184" s="268"/>
      <c r="H1184" s="268"/>
      <c r="I1184" s="268"/>
      <c r="J1184" s="268"/>
      <c r="K1184" s="268"/>
    </row>
    <row r="1185" ht="15.75" customHeight="1">
      <c r="B1185" s="268"/>
      <c r="C1185" s="268"/>
      <c r="D1185" s="319"/>
      <c r="E1185" s="319"/>
      <c r="F1185" s="268"/>
      <c r="G1185" s="268"/>
      <c r="H1185" s="268"/>
      <c r="I1185" s="268"/>
      <c r="J1185" s="268"/>
      <c r="K1185" s="268"/>
    </row>
    <row r="1186" ht="15.75" customHeight="1">
      <c r="B1186" s="268"/>
      <c r="C1186" s="268"/>
      <c r="D1186" s="319"/>
      <c r="E1186" s="319"/>
      <c r="F1186" s="268"/>
      <c r="G1186" s="268"/>
      <c r="H1186" s="268"/>
      <c r="I1186" s="268"/>
      <c r="J1186" s="268"/>
      <c r="K1186" s="268"/>
    </row>
    <row r="1187" ht="15.75" customHeight="1">
      <c r="B1187" s="268"/>
      <c r="C1187" s="268"/>
      <c r="D1187" s="319"/>
      <c r="E1187" s="319"/>
      <c r="F1187" s="268"/>
      <c r="G1187" s="268"/>
      <c r="H1187" s="268"/>
      <c r="I1187" s="268"/>
      <c r="J1187" s="268"/>
      <c r="K1187" s="268"/>
    </row>
    <row r="1188" ht="15.75" customHeight="1">
      <c r="B1188" s="268"/>
      <c r="C1188" s="268"/>
      <c r="D1188" s="319"/>
      <c r="E1188" s="319"/>
      <c r="F1188" s="268"/>
      <c r="G1188" s="268"/>
      <c r="H1188" s="268"/>
      <c r="I1188" s="268"/>
      <c r="J1188" s="268"/>
      <c r="K1188" s="268"/>
    </row>
    <row r="1189" ht="15.75" customHeight="1">
      <c r="B1189" s="268"/>
      <c r="C1189" s="268"/>
      <c r="D1189" s="319"/>
      <c r="E1189" s="319"/>
      <c r="F1189" s="268"/>
      <c r="G1189" s="268"/>
      <c r="H1189" s="268"/>
      <c r="I1189" s="268"/>
      <c r="J1189" s="268"/>
      <c r="K1189" s="268"/>
    </row>
    <row r="1190" ht="15.75" customHeight="1">
      <c r="B1190" s="268"/>
      <c r="C1190" s="268"/>
      <c r="D1190" s="319"/>
      <c r="E1190" s="319"/>
      <c r="F1190" s="268"/>
      <c r="G1190" s="268"/>
      <c r="H1190" s="268"/>
      <c r="I1190" s="268"/>
      <c r="J1190" s="268"/>
      <c r="K1190" s="268"/>
    </row>
    <row r="1191" ht="15.75" customHeight="1">
      <c r="B1191" s="268"/>
      <c r="C1191" s="268"/>
      <c r="D1191" s="319"/>
      <c r="E1191" s="319"/>
      <c r="F1191" s="268"/>
      <c r="G1191" s="268"/>
      <c r="H1191" s="268"/>
      <c r="I1191" s="268"/>
      <c r="J1191" s="268"/>
      <c r="K1191" s="268"/>
    </row>
    <row r="1192" ht="15.75" customHeight="1">
      <c r="B1192" s="268"/>
      <c r="C1192" s="268"/>
      <c r="D1192" s="319"/>
      <c r="E1192" s="319"/>
      <c r="F1192" s="268"/>
      <c r="G1192" s="268"/>
      <c r="H1192" s="268"/>
      <c r="I1192" s="268"/>
      <c r="J1192" s="268"/>
      <c r="K1192" s="268"/>
    </row>
    <row r="1193" ht="15.75" customHeight="1">
      <c r="B1193" s="268"/>
      <c r="C1193" s="268"/>
      <c r="D1193" s="319"/>
      <c r="E1193" s="319"/>
      <c r="F1193" s="268"/>
      <c r="G1193" s="268"/>
      <c r="H1193" s="268"/>
      <c r="I1193" s="268"/>
      <c r="J1193" s="268"/>
      <c r="K1193" s="268"/>
    </row>
    <row r="1194" ht="15.75" customHeight="1">
      <c r="B1194" s="268"/>
      <c r="C1194" s="268"/>
      <c r="D1194" s="319"/>
      <c r="E1194" s="319"/>
      <c r="F1194" s="268"/>
      <c r="G1194" s="268"/>
      <c r="H1194" s="268"/>
      <c r="I1194" s="268"/>
      <c r="J1194" s="268"/>
      <c r="K1194" s="268"/>
    </row>
    <row r="1195" ht="15.75" customHeight="1">
      <c r="B1195" s="268"/>
      <c r="C1195" s="268"/>
      <c r="D1195" s="319"/>
      <c r="E1195" s="319"/>
      <c r="F1195" s="268"/>
      <c r="G1195" s="268"/>
      <c r="H1195" s="268"/>
      <c r="I1195" s="268"/>
      <c r="J1195" s="268"/>
      <c r="K1195" s="268"/>
    </row>
    <row r="1196" ht="15.75" customHeight="1">
      <c r="B1196" s="268"/>
      <c r="C1196" s="268"/>
      <c r="D1196" s="319"/>
      <c r="E1196" s="319"/>
      <c r="F1196" s="268"/>
      <c r="G1196" s="268"/>
      <c r="H1196" s="268"/>
      <c r="I1196" s="268"/>
      <c r="J1196" s="268"/>
      <c r="K1196" s="268"/>
    </row>
    <row r="1197" ht="15.75" customHeight="1">
      <c r="B1197" s="268"/>
      <c r="C1197" s="268"/>
      <c r="D1197" s="319"/>
      <c r="E1197" s="319"/>
      <c r="F1197" s="268"/>
      <c r="G1197" s="268"/>
      <c r="H1197" s="268"/>
      <c r="I1197" s="268"/>
      <c r="J1197" s="268"/>
      <c r="K1197" s="268"/>
    </row>
    <row r="1198" ht="15.75" customHeight="1">
      <c r="B1198" s="268"/>
      <c r="C1198" s="268"/>
      <c r="D1198" s="319"/>
      <c r="E1198" s="319"/>
      <c r="F1198" s="268"/>
      <c r="G1198" s="268"/>
      <c r="H1198" s="268"/>
      <c r="I1198" s="268"/>
      <c r="J1198" s="268"/>
      <c r="K1198" s="268"/>
    </row>
    <row r="1199" ht="15.75" customHeight="1">
      <c r="B1199" s="268"/>
      <c r="C1199" s="268"/>
      <c r="D1199" s="319"/>
      <c r="E1199" s="319"/>
      <c r="F1199" s="268"/>
      <c r="G1199" s="268"/>
      <c r="H1199" s="268"/>
      <c r="I1199" s="268"/>
      <c r="J1199" s="268"/>
      <c r="K1199" s="268"/>
    </row>
    <row r="1200" ht="15.75" customHeight="1">
      <c r="B1200" s="268"/>
      <c r="C1200" s="268"/>
      <c r="D1200" s="319"/>
      <c r="E1200" s="319"/>
      <c r="F1200" s="268"/>
      <c r="G1200" s="268"/>
      <c r="H1200" s="268"/>
      <c r="I1200" s="268"/>
      <c r="J1200" s="268"/>
      <c r="K1200" s="268"/>
    </row>
    <row r="1201" ht="15.75" customHeight="1">
      <c r="B1201" s="268"/>
      <c r="C1201" s="268"/>
      <c r="D1201" s="319"/>
      <c r="E1201" s="319"/>
      <c r="F1201" s="268"/>
      <c r="G1201" s="268"/>
      <c r="H1201" s="268"/>
      <c r="I1201" s="268"/>
      <c r="J1201" s="268"/>
      <c r="K1201" s="268"/>
    </row>
    <row r="1202" ht="15.75" customHeight="1">
      <c r="B1202" s="268"/>
      <c r="C1202" s="268"/>
      <c r="D1202" s="319"/>
      <c r="E1202" s="319"/>
      <c r="F1202" s="268"/>
      <c r="G1202" s="268"/>
      <c r="H1202" s="268"/>
      <c r="I1202" s="268"/>
      <c r="J1202" s="268"/>
      <c r="K1202" s="268"/>
    </row>
    <row r="1203" ht="15.75" customHeight="1">
      <c r="B1203" s="268"/>
      <c r="C1203" s="268"/>
      <c r="D1203" s="319"/>
      <c r="E1203" s="319"/>
      <c r="F1203" s="268"/>
      <c r="G1203" s="268"/>
      <c r="H1203" s="268"/>
      <c r="I1203" s="268"/>
      <c r="J1203" s="268"/>
      <c r="K1203" s="268"/>
    </row>
    <row r="1204" ht="15.75" customHeight="1">
      <c r="B1204" s="268"/>
      <c r="C1204" s="268"/>
      <c r="D1204" s="319"/>
      <c r="E1204" s="319"/>
      <c r="F1204" s="268"/>
      <c r="G1204" s="268"/>
      <c r="H1204" s="268"/>
      <c r="I1204" s="268"/>
      <c r="J1204" s="268"/>
      <c r="K1204" s="268"/>
    </row>
    <row r="1205" ht="15.75" customHeight="1">
      <c r="B1205" s="268"/>
      <c r="C1205" s="268"/>
      <c r="D1205" s="319"/>
      <c r="E1205" s="319"/>
      <c r="F1205" s="268"/>
      <c r="G1205" s="268"/>
      <c r="H1205" s="268"/>
      <c r="I1205" s="268"/>
      <c r="J1205" s="268"/>
      <c r="K1205" s="268"/>
    </row>
    <row r="1206" ht="15.75" customHeight="1">
      <c r="B1206" s="268"/>
      <c r="C1206" s="268"/>
      <c r="D1206" s="319"/>
      <c r="E1206" s="319"/>
      <c r="F1206" s="268"/>
      <c r="G1206" s="268"/>
      <c r="H1206" s="268"/>
      <c r="I1206" s="268"/>
      <c r="J1206" s="268"/>
      <c r="K1206" s="268"/>
    </row>
    <row r="1207" ht="15.75" customHeight="1">
      <c r="B1207" s="268"/>
      <c r="C1207" s="268"/>
      <c r="D1207" s="319"/>
      <c r="E1207" s="319"/>
      <c r="F1207" s="268"/>
      <c r="G1207" s="268"/>
      <c r="H1207" s="268"/>
      <c r="I1207" s="268"/>
      <c r="J1207" s="268"/>
      <c r="K1207" s="268"/>
    </row>
    <row r="1208" ht="15.75" customHeight="1">
      <c r="B1208" s="268"/>
      <c r="C1208" s="268"/>
      <c r="D1208" s="319"/>
      <c r="E1208" s="319"/>
      <c r="F1208" s="268"/>
      <c r="G1208" s="268"/>
      <c r="H1208" s="268"/>
      <c r="I1208" s="268"/>
      <c r="J1208" s="268"/>
      <c r="K1208" s="268"/>
    </row>
    <row r="1209" ht="15.75" customHeight="1">
      <c r="B1209" s="268"/>
      <c r="C1209" s="268"/>
      <c r="D1209" s="319"/>
      <c r="E1209" s="319"/>
      <c r="F1209" s="268"/>
      <c r="G1209" s="268"/>
      <c r="H1209" s="268"/>
      <c r="I1209" s="268"/>
      <c r="J1209" s="268"/>
      <c r="K1209" s="268"/>
    </row>
    <row r="1210" ht="15.75" customHeight="1">
      <c r="B1210" s="268"/>
      <c r="C1210" s="268"/>
      <c r="D1210" s="319"/>
      <c r="E1210" s="319"/>
      <c r="F1210" s="268"/>
      <c r="G1210" s="268"/>
      <c r="H1210" s="268"/>
      <c r="I1210" s="268"/>
      <c r="J1210" s="268"/>
      <c r="K1210" s="268"/>
    </row>
    <row r="1211" ht="15.75" customHeight="1">
      <c r="B1211" s="268"/>
      <c r="C1211" s="268"/>
      <c r="D1211" s="319"/>
      <c r="E1211" s="319"/>
      <c r="F1211" s="268"/>
      <c r="G1211" s="268"/>
      <c r="H1211" s="268"/>
      <c r="I1211" s="268"/>
      <c r="J1211" s="268"/>
      <c r="K1211" s="268"/>
    </row>
    <row r="1212" ht="15.75" customHeight="1">
      <c r="B1212" s="268"/>
      <c r="C1212" s="268"/>
      <c r="D1212" s="319"/>
      <c r="E1212" s="319"/>
      <c r="F1212" s="268"/>
      <c r="G1212" s="268"/>
      <c r="H1212" s="268"/>
      <c r="I1212" s="268"/>
      <c r="J1212" s="268"/>
      <c r="K1212" s="268"/>
    </row>
    <row r="1213" ht="15.75" customHeight="1">
      <c r="B1213" s="268"/>
      <c r="C1213" s="268"/>
      <c r="D1213" s="319"/>
      <c r="E1213" s="319"/>
      <c r="F1213" s="268"/>
      <c r="G1213" s="268"/>
      <c r="H1213" s="268"/>
      <c r="I1213" s="268"/>
      <c r="J1213" s="268"/>
      <c r="K1213" s="268"/>
    </row>
    <row r="1214" ht="15.75" customHeight="1">
      <c r="B1214" s="268"/>
      <c r="C1214" s="268"/>
      <c r="D1214" s="319"/>
      <c r="E1214" s="319"/>
      <c r="F1214" s="268"/>
      <c r="G1214" s="268"/>
      <c r="H1214" s="268"/>
      <c r="I1214" s="268"/>
      <c r="J1214" s="268"/>
      <c r="K1214" s="268"/>
    </row>
    <row r="1215" ht="15.75" customHeight="1">
      <c r="B1215" s="268"/>
      <c r="C1215" s="268"/>
      <c r="D1215" s="319"/>
      <c r="E1215" s="319"/>
      <c r="F1215" s="268"/>
      <c r="G1215" s="268"/>
      <c r="H1215" s="268"/>
      <c r="I1215" s="268"/>
      <c r="J1215" s="268"/>
      <c r="K1215" s="268"/>
    </row>
    <row r="1216" ht="15.75" customHeight="1">
      <c r="B1216" s="268"/>
      <c r="C1216" s="268"/>
      <c r="D1216" s="319"/>
      <c r="E1216" s="319"/>
      <c r="F1216" s="268"/>
      <c r="G1216" s="268"/>
      <c r="H1216" s="268"/>
      <c r="I1216" s="268"/>
      <c r="J1216" s="268"/>
      <c r="K1216" s="268"/>
    </row>
    <row r="1217" ht="15.75" customHeight="1">
      <c r="B1217" s="268"/>
      <c r="C1217" s="268"/>
      <c r="D1217" s="319"/>
      <c r="E1217" s="319"/>
      <c r="F1217" s="268"/>
      <c r="G1217" s="268"/>
      <c r="H1217" s="268"/>
      <c r="I1217" s="268"/>
      <c r="J1217" s="268"/>
      <c r="K1217" s="268"/>
    </row>
    <row r="1218" ht="15.75" customHeight="1">
      <c r="B1218" s="268"/>
      <c r="C1218" s="268"/>
      <c r="D1218" s="319"/>
      <c r="E1218" s="319"/>
      <c r="F1218" s="268"/>
      <c r="G1218" s="268"/>
      <c r="H1218" s="268"/>
      <c r="I1218" s="268"/>
      <c r="J1218" s="268"/>
      <c r="K1218" s="268"/>
    </row>
    <row r="1219" ht="15.75" customHeight="1">
      <c r="B1219" s="268"/>
      <c r="C1219" s="268"/>
      <c r="D1219" s="319"/>
      <c r="E1219" s="319"/>
      <c r="F1219" s="268"/>
      <c r="G1219" s="268"/>
      <c r="H1219" s="268"/>
      <c r="I1219" s="268"/>
      <c r="J1219" s="268"/>
      <c r="K1219" s="268"/>
    </row>
    <row r="1220" ht="15.75" customHeight="1">
      <c r="B1220" s="268"/>
      <c r="C1220" s="268"/>
      <c r="D1220" s="319"/>
      <c r="E1220" s="319"/>
      <c r="F1220" s="268"/>
      <c r="G1220" s="268"/>
      <c r="H1220" s="268"/>
      <c r="I1220" s="268"/>
      <c r="J1220" s="268"/>
      <c r="K1220" s="268"/>
    </row>
    <row r="1221" ht="15.75" customHeight="1">
      <c r="B1221" s="268"/>
      <c r="C1221" s="268"/>
      <c r="D1221" s="319"/>
      <c r="E1221" s="319"/>
      <c r="F1221" s="268"/>
      <c r="G1221" s="268"/>
      <c r="H1221" s="268"/>
      <c r="I1221" s="268"/>
      <c r="J1221" s="268"/>
      <c r="K1221" s="268"/>
    </row>
    <row r="1222" ht="15.75" customHeight="1">
      <c r="B1222" s="268"/>
      <c r="C1222" s="268"/>
      <c r="D1222" s="319"/>
      <c r="E1222" s="319"/>
      <c r="F1222" s="268"/>
      <c r="G1222" s="268"/>
      <c r="H1222" s="268"/>
      <c r="I1222" s="268"/>
      <c r="J1222" s="268"/>
      <c r="K1222" s="268"/>
    </row>
    <row r="1223" ht="15.75" customHeight="1">
      <c r="B1223" s="268"/>
      <c r="C1223" s="268"/>
      <c r="D1223" s="319"/>
      <c r="E1223" s="319"/>
      <c r="F1223" s="268"/>
      <c r="G1223" s="268"/>
      <c r="H1223" s="268"/>
      <c r="I1223" s="268"/>
      <c r="J1223" s="268"/>
      <c r="K1223" s="268"/>
    </row>
    <row r="1224" ht="15.75" customHeight="1">
      <c r="B1224" s="268"/>
      <c r="C1224" s="268"/>
      <c r="D1224" s="319"/>
      <c r="E1224" s="319"/>
      <c r="F1224" s="268"/>
      <c r="G1224" s="268"/>
      <c r="H1224" s="268"/>
      <c r="I1224" s="268"/>
      <c r="J1224" s="268"/>
      <c r="K1224" s="268"/>
    </row>
    <row r="1225" ht="15.75" customHeight="1">
      <c r="B1225" s="268"/>
      <c r="C1225" s="268"/>
      <c r="D1225" s="319"/>
      <c r="E1225" s="319"/>
      <c r="F1225" s="268"/>
      <c r="G1225" s="268"/>
      <c r="H1225" s="268"/>
      <c r="I1225" s="268"/>
      <c r="J1225" s="268"/>
      <c r="K1225" s="268"/>
    </row>
    <row r="1226" ht="15.75" customHeight="1">
      <c r="B1226" s="268"/>
      <c r="C1226" s="268"/>
      <c r="D1226" s="319"/>
      <c r="E1226" s="319"/>
      <c r="F1226" s="268"/>
      <c r="G1226" s="268"/>
      <c r="H1226" s="268"/>
      <c r="I1226" s="268"/>
      <c r="J1226" s="268"/>
      <c r="K1226" s="268"/>
    </row>
    <row r="1227" ht="15.75" customHeight="1">
      <c r="B1227" s="268"/>
      <c r="C1227" s="268"/>
      <c r="D1227" s="319"/>
      <c r="E1227" s="319"/>
      <c r="F1227" s="268"/>
      <c r="G1227" s="268"/>
      <c r="H1227" s="268"/>
      <c r="I1227" s="268"/>
      <c r="J1227" s="268"/>
      <c r="K1227" s="268"/>
    </row>
    <row r="1228" ht="15.75" customHeight="1">
      <c r="B1228" s="268"/>
      <c r="C1228" s="268"/>
      <c r="D1228" s="319"/>
      <c r="E1228" s="319"/>
      <c r="F1228" s="268"/>
      <c r="G1228" s="268"/>
      <c r="H1228" s="268"/>
      <c r="I1228" s="268"/>
      <c r="J1228" s="268"/>
      <c r="K1228" s="268"/>
    </row>
    <row r="1229" ht="15.75" customHeight="1">
      <c r="B1229" s="268"/>
      <c r="C1229" s="268"/>
      <c r="D1229" s="319"/>
      <c r="E1229" s="319"/>
      <c r="F1229" s="268"/>
      <c r="G1229" s="268"/>
      <c r="H1229" s="268"/>
      <c r="I1229" s="268"/>
      <c r="J1229" s="268"/>
      <c r="K1229" s="268"/>
    </row>
    <row r="1230" ht="15.75" customHeight="1">
      <c r="B1230" s="268"/>
      <c r="C1230" s="268"/>
      <c r="D1230" s="319"/>
      <c r="E1230" s="319"/>
      <c r="F1230" s="268"/>
      <c r="G1230" s="268"/>
      <c r="H1230" s="268"/>
      <c r="I1230" s="268"/>
      <c r="J1230" s="268"/>
      <c r="K1230" s="268"/>
    </row>
    <row r="1231" ht="15.75" customHeight="1">
      <c r="B1231" s="268"/>
      <c r="C1231" s="268"/>
      <c r="D1231" s="319"/>
      <c r="E1231" s="319"/>
      <c r="F1231" s="268"/>
      <c r="G1231" s="268"/>
      <c r="H1231" s="268"/>
      <c r="I1231" s="268"/>
      <c r="J1231" s="268"/>
      <c r="K1231" s="268"/>
    </row>
    <row r="1232" ht="15.75" customHeight="1">
      <c r="B1232" s="268"/>
      <c r="C1232" s="268"/>
      <c r="D1232" s="319"/>
      <c r="E1232" s="319"/>
      <c r="F1232" s="268"/>
      <c r="G1232" s="268"/>
      <c r="H1232" s="268"/>
      <c r="I1232" s="268"/>
      <c r="J1232" s="268"/>
      <c r="K1232" s="268"/>
    </row>
    <row r="1233" ht="15.75" customHeight="1">
      <c r="B1233" s="268"/>
      <c r="C1233" s="268"/>
      <c r="D1233" s="319"/>
      <c r="E1233" s="319"/>
      <c r="F1233" s="268"/>
      <c r="G1233" s="268"/>
      <c r="H1233" s="268"/>
      <c r="I1233" s="268"/>
      <c r="J1233" s="268"/>
      <c r="K1233" s="268"/>
    </row>
    <row r="1234" ht="15.75" customHeight="1">
      <c r="B1234" s="268"/>
      <c r="C1234" s="268"/>
      <c r="D1234" s="319"/>
      <c r="E1234" s="319"/>
      <c r="F1234" s="268"/>
      <c r="G1234" s="268"/>
      <c r="H1234" s="268"/>
      <c r="I1234" s="268"/>
      <c r="J1234" s="268"/>
      <c r="K1234" s="268"/>
    </row>
    <row r="1235" ht="15.75" customHeight="1">
      <c r="B1235" s="268"/>
      <c r="C1235" s="268"/>
      <c r="D1235" s="319"/>
      <c r="E1235" s="319"/>
      <c r="F1235" s="268"/>
      <c r="G1235" s="268"/>
      <c r="H1235" s="268"/>
      <c r="I1235" s="268"/>
      <c r="J1235" s="268"/>
      <c r="K1235" s="268"/>
    </row>
    <row r="1236" ht="15.75" customHeight="1">
      <c r="B1236" s="268"/>
      <c r="C1236" s="268"/>
      <c r="D1236" s="319"/>
      <c r="E1236" s="319"/>
      <c r="F1236" s="268"/>
      <c r="G1236" s="268"/>
      <c r="H1236" s="268"/>
      <c r="I1236" s="268"/>
      <c r="J1236" s="268"/>
      <c r="K1236" s="268"/>
    </row>
    <row r="1237" ht="15.75" customHeight="1">
      <c r="B1237" s="268"/>
      <c r="C1237" s="268"/>
      <c r="D1237" s="319"/>
      <c r="E1237" s="319"/>
      <c r="F1237" s="268"/>
      <c r="G1237" s="268"/>
      <c r="H1237" s="268"/>
      <c r="I1237" s="268"/>
      <c r="J1237" s="268"/>
      <c r="K1237" s="268"/>
    </row>
    <row r="1238" ht="15.75" customHeight="1">
      <c r="B1238" s="268"/>
      <c r="C1238" s="268"/>
      <c r="D1238" s="319"/>
      <c r="E1238" s="319"/>
      <c r="F1238" s="268"/>
      <c r="G1238" s="268"/>
      <c r="H1238" s="268"/>
      <c r="I1238" s="268"/>
      <c r="J1238" s="268"/>
      <c r="K1238" s="268"/>
    </row>
    <row r="1239" ht="15.75" customHeight="1">
      <c r="B1239" s="268"/>
      <c r="C1239" s="268"/>
      <c r="D1239" s="319"/>
      <c r="E1239" s="319"/>
      <c r="F1239" s="268"/>
      <c r="G1239" s="268"/>
      <c r="H1239" s="268"/>
      <c r="I1239" s="268"/>
      <c r="J1239" s="268"/>
      <c r="K1239" s="268"/>
    </row>
    <row r="1240" ht="15.75" customHeight="1">
      <c r="B1240" s="268"/>
      <c r="C1240" s="268"/>
      <c r="D1240" s="319"/>
      <c r="E1240" s="319"/>
      <c r="F1240" s="268"/>
      <c r="G1240" s="268"/>
      <c r="H1240" s="268"/>
      <c r="I1240" s="268"/>
      <c r="J1240" s="268"/>
      <c r="K1240" s="268"/>
    </row>
    <row r="1241" ht="15.75" customHeight="1">
      <c r="B1241" s="268"/>
      <c r="C1241" s="268"/>
      <c r="D1241" s="319"/>
      <c r="E1241" s="319"/>
      <c r="F1241" s="268"/>
      <c r="G1241" s="268"/>
      <c r="H1241" s="268"/>
      <c r="I1241" s="268"/>
      <c r="J1241" s="268"/>
      <c r="K1241" s="268"/>
    </row>
    <row r="1242" ht="15.75" customHeight="1">
      <c r="B1242" s="268"/>
      <c r="C1242" s="268"/>
      <c r="D1242" s="319"/>
      <c r="E1242" s="319"/>
      <c r="F1242" s="268"/>
      <c r="G1242" s="268"/>
      <c r="H1242" s="268"/>
      <c r="I1242" s="268"/>
      <c r="J1242" s="268"/>
      <c r="K1242" s="268"/>
    </row>
    <row r="1243" ht="15.75" customHeight="1">
      <c r="B1243" s="268"/>
      <c r="C1243" s="268"/>
      <c r="D1243" s="319"/>
      <c r="E1243" s="319"/>
      <c r="F1243" s="268"/>
      <c r="G1243" s="268"/>
      <c r="H1243" s="268"/>
      <c r="I1243" s="268"/>
      <c r="J1243" s="268"/>
      <c r="K1243" s="268"/>
    </row>
    <row r="1244" ht="15.75" customHeight="1">
      <c r="B1244" s="268"/>
      <c r="C1244" s="268"/>
      <c r="D1244" s="319"/>
      <c r="E1244" s="319"/>
      <c r="F1244" s="268"/>
      <c r="G1244" s="268"/>
      <c r="H1244" s="268"/>
      <c r="I1244" s="268"/>
      <c r="J1244" s="268"/>
      <c r="K1244" s="268"/>
    </row>
    <row r="1245" ht="15.75" customHeight="1">
      <c r="B1245" s="268"/>
      <c r="C1245" s="268"/>
      <c r="D1245" s="319"/>
      <c r="E1245" s="319"/>
      <c r="F1245" s="268"/>
      <c r="G1245" s="268"/>
      <c r="H1245" s="268"/>
      <c r="I1245" s="268"/>
      <c r="J1245" s="268"/>
      <c r="K1245" s="268"/>
    </row>
    <row r="1246" ht="15.75" customHeight="1">
      <c r="B1246" s="268"/>
      <c r="C1246" s="268"/>
      <c r="D1246" s="319"/>
      <c r="E1246" s="319"/>
      <c r="F1246" s="268"/>
      <c r="G1246" s="268"/>
      <c r="H1246" s="268"/>
      <c r="I1246" s="268"/>
      <c r="J1246" s="268"/>
      <c r="K1246" s="268"/>
    </row>
    <row r="1247" ht="15.75" customHeight="1">
      <c r="B1247" s="268"/>
      <c r="C1247" s="268"/>
      <c r="D1247" s="319"/>
      <c r="E1247" s="319"/>
      <c r="F1247" s="268"/>
      <c r="G1247" s="268"/>
      <c r="H1247" s="268"/>
      <c r="I1247" s="268"/>
      <c r="J1247" s="268"/>
      <c r="K1247" s="268"/>
    </row>
    <row r="1248" ht="15.75" customHeight="1">
      <c r="B1248" s="268"/>
      <c r="C1248" s="268"/>
      <c r="D1248" s="319"/>
      <c r="E1248" s="319"/>
      <c r="F1248" s="268"/>
      <c r="G1248" s="268"/>
      <c r="H1248" s="268"/>
      <c r="I1248" s="268"/>
      <c r="J1248" s="268"/>
      <c r="K1248" s="268"/>
    </row>
    <row r="1249" ht="15.75" customHeight="1">
      <c r="B1249" s="268"/>
      <c r="C1249" s="268"/>
      <c r="D1249" s="319"/>
      <c r="E1249" s="319"/>
      <c r="F1249" s="268"/>
      <c r="G1249" s="268"/>
      <c r="H1249" s="268"/>
      <c r="I1249" s="268"/>
      <c r="J1249" s="268"/>
      <c r="K1249" s="268"/>
    </row>
    <row r="1250" ht="15.75" customHeight="1">
      <c r="B1250" s="268"/>
      <c r="C1250" s="268"/>
      <c r="D1250" s="319"/>
      <c r="E1250" s="319"/>
      <c r="F1250" s="268"/>
      <c r="G1250" s="268"/>
      <c r="H1250" s="268"/>
      <c r="I1250" s="268"/>
      <c r="J1250" s="268"/>
      <c r="K1250" s="268"/>
    </row>
    <row r="1251" ht="15.75" customHeight="1">
      <c r="B1251" s="268"/>
      <c r="C1251" s="268"/>
      <c r="D1251" s="319"/>
      <c r="E1251" s="319"/>
      <c r="F1251" s="268"/>
      <c r="G1251" s="268"/>
      <c r="H1251" s="268"/>
      <c r="I1251" s="268"/>
      <c r="J1251" s="268"/>
      <c r="K1251" s="268"/>
    </row>
    <row r="1252" ht="15.75" customHeight="1">
      <c r="B1252" s="268"/>
      <c r="C1252" s="268"/>
      <c r="D1252" s="319"/>
      <c r="E1252" s="319"/>
      <c r="F1252" s="268"/>
      <c r="G1252" s="268"/>
      <c r="H1252" s="268"/>
      <c r="I1252" s="268"/>
      <c r="J1252" s="268"/>
      <c r="K1252" s="268"/>
    </row>
    <row r="1253" ht="15.75" customHeight="1">
      <c r="B1253" s="268"/>
      <c r="C1253" s="268"/>
      <c r="D1253" s="319"/>
      <c r="E1253" s="319"/>
      <c r="F1253" s="268"/>
      <c r="G1253" s="268"/>
      <c r="H1253" s="268"/>
      <c r="I1253" s="268"/>
      <c r="J1253" s="268"/>
      <c r="K1253" s="268"/>
    </row>
    <row r="1254" ht="15.75" customHeight="1">
      <c r="B1254" s="268"/>
      <c r="C1254" s="268"/>
      <c r="D1254" s="319"/>
      <c r="E1254" s="319"/>
      <c r="F1254" s="268"/>
      <c r="G1254" s="268"/>
      <c r="H1254" s="268"/>
      <c r="I1254" s="268"/>
      <c r="J1254" s="268"/>
      <c r="K1254" s="268"/>
    </row>
    <row r="1255" ht="15.75" customHeight="1">
      <c r="B1255" s="268"/>
      <c r="C1255" s="268"/>
      <c r="D1255" s="319"/>
      <c r="E1255" s="319"/>
      <c r="F1255" s="268"/>
      <c r="G1255" s="268"/>
      <c r="H1255" s="268"/>
      <c r="I1255" s="268"/>
      <c r="J1255" s="268"/>
      <c r="K1255" s="268"/>
    </row>
    <row r="1256" ht="15.75" customHeight="1">
      <c r="B1256" s="268"/>
      <c r="C1256" s="268"/>
      <c r="D1256" s="319"/>
      <c r="E1256" s="319"/>
      <c r="F1256" s="268"/>
      <c r="G1256" s="268"/>
      <c r="H1256" s="268"/>
      <c r="I1256" s="268"/>
      <c r="J1256" s="268"/>
      <c r="K1256" s="268"/>
    </row>
    <row r="1257" ht="15.75" customHeight="1">
      <c r="B1257" s="268"/>
      <c r="C1257" s="268"/>
      <c r="D1257" s="319"/>
      <c r="E1257" s="319"/>
      <c r="F1257" s="268"/>
      <c r="G1257" s="268"/>
      <c r="H1257" s="268"/>
      <c r="I1257" s="268"/>
      <c r="J1257" s="268"/>
      <c r="K1257" s="268"/>
    </row>
    <row r="1258" ht="15.75" customHeight="1">
      <c r="B1258" s="268"/>
      <c r="C1258" s="268"/>
      <c r="D1258" s="319"/>
      <c r="E1258" s="319"/>
      <c r="F1258" s="268"/>
      <c r="G1258" s="268"/>
      <c r="H1258" s="268"/>
      <c r="I1258" s="268"/>
      <c r="J1258" s="268"/>
      <c r="K1258" s="268"/>
    </row>
    <row r="1259" ht="15.75" customHeight="1">
      <c r="B1259" s="268"/>
      <c r="C1259" s="268"/>
      <c r="D1259" s="319"/>
      <c r="E1259" s="319"/>
      <c r="F1259" s="268"/>
      <c r="G1259" s="268"/>
      <c r="H1259" s="268"/>
      <c r="I1259" s="268"/>
      <c r="J1259" s="268"/>
      <c r="K1259" s="268"/>
    </row>
    <row r="1260" ht="15.75" customHeight="1">
      <c r="B1260" s="268"/>
      <c r="C1260" s="268"/>
      <c r="D1260" s="319"/>
      <c r="E1260" s="319"/>
      <c r="F1260" s="268"/>
      <c r="G1260" s="268"/>
      <c r="H1260" s="268"/>
      <c r="I1260" s="268"/>
      <c r="J1260" s="268"/>
      <c r="K1260" s="268"/>
    </row>
    <row r="1261" ht="15.75" customHeight="1">
      <c r="B1261" s="268"/>
      <c r="C1261" s="268"/>
      <c r="D1261" s="319"/>
      <c r="E1261" s="319"/>
      <c r="F1261" s="268"/>
      <c r="G1261" s="268"/>
      <c r="H1261" s="268"/>
      <c r="I1261" s="268"/>
      <c r="J1261" s="268"/>
      <c r="K1261" s="268"/>
    </row>
    <row r="1262" ht="15.75" customHeight="1">
      <c r="B1262" s="268"/>
      <c r="C1262" s="268"/>
      <c r="D1262" s="319"/>
      <c r="E1262" s="319"/>
      <c r="F1262" s="268"/>
      <c r="G1262" s="268"/>
      <c r="H1262" s="268"/>
      <c r="I1262" s="268"/>
      <c r="J1262" s="268"/>
      <c r="K1262" s="268"/>
    </row>
    <row r="1263" ht="15.75" customHeight="1">
      <c r="B1263" s="268"/>
      <c r="C1263" s="268"/>
      <c r="D1263" s="319"/>
      <c r="E1263" s="319"/>
      <c r="F1263" s="268"/>
      <c r="G1263" s="268"/>
      <c r="H1263" s="268"/>
      <c r="I1263" s="268"/>
      <c r="J1263" s="268"/>
      <c r="K1263" s="268"/>
    </row>
    <row r="1264" ht="15.75" customHeight="1">
      <c r="B1264" s="268"/>
      <c r="C1264" s="268"/>
      <c r="D1264" s="319"/>
      <c r="E1264" s="319"/>
      <c r="F1264" s="268"/>
      <c r="G1264" s="268"/>
      <c r="H1264" s="268"/>
      <c r="I1264" s="268"/>
      <c r="J1264" s="268"/>
      <c r="K1264" s="268"/>
    </row>
    <row r="1265" ht="15.75" customHeight="1">
      <c r="B1265" s="268"/>
      <c r="C1265" s="268"/>
      <c r="D1265" s="319"/>
      <c r="E1265" s="319"/>
      <c r="F1265" s="268"/>
      <c r="G1265" s="268"/>
      <c r="H1265" s="268"/>
      <c r="I1265" s="268"/>
      <c r="J1265" s="268"/>
      <c r="K1265" s="268"/>
    </row>
    <row r="1266" ht="15.75" customHeight="1">
      <c r="B1266" s="268"/>
      <c r="C1266" s="268"/>
      <c r="D1266" s="319"/>
      <c r="E1266" s="319"/>
      <c r="F1266" s="268"/>
      <c r="G1266" s="268"/>
      <c r="H1266" s="268"/>
      <c r="I1266" s="268"/>
      <c r="J1266" s="268"/>
      <c r="K1266" s="268"/>
    </row>
    <row r="1267" ht="15.75" customHeight="1">
      <c r="B1267" s="268"/>
      <c r="C1267" s="268"/>
      <c r="D1267" s="319"/>
      <c r="E1267" s="319"/>
      <c r="F1267" s="268"/>
      <c r="G1267" s="268"/>
      <c r="H1267" s="268"/>
      <c r="I1267" s="268"/>
      <c r="J1267" s="268"/>
      <c r="K1267" s="268"/>
    </row>
    <row r="1268" ht="15.75" customHeight="1">
      <c r="B1268" s="268"/>
      <c r="C1268" s="268"/>
      <c r="D1268" s="319"/>
      <c r="E1268" s="319"/>
      <c r="F1268" s="268"/>
      <c r="G1268" s="268"/>
      <c r="H1268" s="268"/>
      <c r="I1268" s="268"/>
      <c r="J1268" s="268"/>
      <c r="K1268" s="268"/>
    </row>
    <row r="1269" ht="15.75" customHeight="1">
      <c r="B1269" s="268"/>
      <c r="C1269" s="268"/>
      <c r="D1269" s="319"/>
      <c r="E1269" s="319"/>
      <c r="F1269" s="268"/>
      <c r="G1269" s="268"/>
      <c r="H1269" s="268"/>
      <c r="I1269" s="268"/>
      <c r="J1269" s="268"/>
      <c r="K1269" s="268"/>
    </row>
    <row r="1270" ht="15.75" customHeight="1">
      <c r="B1270" s="268"/>
      <c r="C1270" s="268"/>
      <c r="D1270" s="319"/>
      <c r="E1270" s="319"/>
      <c r="F1270" s="268"/>
      <c r="G1270" s="268"/>
      <c r="H1270" s="268"/>
      <c r="I1270" s="268"/>
      <c r="J1270" s="268"/>
      <c r="K1270" s="268"/>
    </row>
    <row r="1271" ht="15.75" customHeight="1">
      <c r="B1271" s="268"/>
      <c r="C1271" s="268"/>
      <c r="D1271" s="319"/>
      <c r="E1271" s="319"/>
      <c r="F1271" s="268"/>
      <c r="G1271" s="268"/>
      <c r="H1271" s="268"/>
      <c r="I1271" s="268"/>
      <c r="J1271" s="268"/>
      <c r="K1271" s="268"/>
    </row>
    <row r="1272" ht="15.75" customHeight="1">
      <c r="B1272" s="268"/>
      <c r="C1272" s="268"/>
      <c r="D1272" s="319"/>
      <c r="E1272" s="319"/>
      <c r="F1272" s="268"/>
      <c r="G1272" s="268"/>
      <c r="H1272" s="268"/>
      <c r="I1272" s="268"/>
      <c r="J1272" s="268"/>
      <c r="K1272" s="268"/>
    </row>
    <row r="1273" ht="15.75" customHeight="1">
      <c r="B1273" s="268"/>
      <c r="C1273" s="268"/>
      <c r="D1273" s="319"/>
      <c r="E1273" s="319"/>
      <c r="F1273" s="268"/>
      <c r="G1273" s="268"/>
      <c r="H1273" s="268"/>
      <c r="I1273" s="268"/>
      <c r="J1273" s="268"/>
      <c r="K1273" s="268"/>
    </row>
    <row r="1274" ht="15.75" customHeight="1">
      <c r="B1274" s="268"/>
      <c r="C1274" s="268"/>
      <c r="D1274" s="319"/>
      <c r="E1274" s="319"/>
      <c r="F1274" s="268"/>
      <c r="G1274" s="268"/>
      <c r="H1274" s="268"/>
      <c r="I1274" s="268"/>
      <c r="J1274" s="268"/>
      <c r="K1274" s="268"/>
    </row>
    <row r="1275" ht="15.75" customHeight="1">
      <c r="B1275" s="268"/>
      <c r="C1275" s="268"/>
      <c r="D1275" s="319"/>
      <c r="E1275" s="319"/>
      <c r="F1275" s="268"/>
      <c r="G1275" s="268"/>
      <c r="H1275" s="268"/>
      <c r="I1275" s="268"/>
      <c r="J1275" s="268"/>
      <c r="K1275" s="268"/>
    </row>
  </sheetData>
  <mergeCells count="1806">
    <mergeCell ref="B5:C5"/>
    <mergeCell ref="D5:E5"/>
    <mergeCell ref="F5:G5"/>
    <mergeCell ref="H5:I5"/>
    <mergeCell ref="J5:K5"/>
    <mergeCell ref="D6:E6"/>
    <mergeCell ref="J6:K6"/>
    <mergeCell ref="B6:C6"/>
    <mergeCell ref="B7:C7"/>
    <mergeCell ref="D7:E7"/>
    <mergeCell ref="F7:G7"/>
    <mergeCell ref="H7:I7"/>
    <mergeCell ref="J7:K7"/>
    <mergeCell ref="B8:C8"/>
    <mergeCell ref="D8:E8"/>
    <mergeCell ref="F8:G8"/>
    <mergeCell ref="B9:C9"/>
    <mergeCell ref="D9:E9"/>
    <mergeCell ref="F9:G9"/>
    <mergeCell ref="D10:E10"/>
    <mergeCell ref="F10:G10"/>
    <mergeCell ref="B10:C10"/>
    <mergeCell ref="B11:C11"/>
    <mergeCell ref="D11:E11"/>
    <mergeCell ref="F11:G11"/>
    <mergeCell ref="H11:I11"/>
    <mergeCell ref="J11:K11"/>
    <mergeCell ref="D12:E12"/>
    <mergeCell ref="H14:I14"/>
    <mergeCell ref="J14:K14"/>
    <mergeCell ref="B12:C12"/>
    <mergeCell ref="B13:C13"/>
    <mergeCell ref="D13:E13"/>
    <mergeCell ref="F13:G13"/>
    <mergeCell ref="H13:I13"/>
    <mergeCell ref="J13:K13"/>
    <mergeCell ref="B14:C14"/>
    <mergeCell ref="D14:E14"/>
    <mergeCell ref="F14:G14"/>
    <mergeCell ref="B15:C15"/>
    <mergeCell ref="D15:E15"/>
    <mergeCell ref="F15:G15"/>
    <mergeCell ref="H15:I15"/>
    <mergeCell ref="J15:K15"/>
    <mergeCell ref="B16:C16"/>
    <mergeCell ref="D16:I16"/>
    <mergeCell ref="J16:K16"/>
    <mergeCell ref="D17:E17"/>
    <mergeCell ref="F17:G17"/>
    <mergeCell ref="H17:I17"/>
    <mergeCell ref="J17:K17"/>
    <mergeCell ref="H19:I19"/>
    <mergeCell ref="J19:K19"/>
    <mergeCell ref="B17:C17"/>
    <mergeCell ref="B18:C18"/>
    <mergeCell ref="D18:E18"/>
    <mergeCell ref="F18:G18"/>
    <mergeCell ref="H18:I18"/>
    <mergeCell ref="J18:K18"/>
    <mergeCell ref="B19:C19"/>
    <mergeCell ref="F2:G2"/>
    <mergeCell ref="H2:I2"/>
    <mergeCell ref="B1:C1"/>
    <mergeCell ref="D1:E1"/>
    <mergeCell ref="F1:G1"/>
    <mergeCell ref="H1:I1"/>
    <mergeCell ref="J1:K1"/>
    <mergeCell ref="D2:E2"/>
    <mergeCell ref="J2:K2"/>
    <mergeCell ref="D4:I4"/>
    <mergeCell ref="J4:K4"/>
    <mergeCell ref="B2:C2"/>
    <mergeCell ref="B3:C3"/>
    <mergeCell ref="D3:E3"/>
    <mergeCell ref="F3:G3"/>
    <mergeCell ref="H3:I3"/>
    <mergeCell ref="J3:K3"/>
    <mergeCell ref="B4:C4"/>
    <mergeCell ref="F6:G6"/>
    <mergeCell ref="H6:I6"/>
    <mergeCell ref="H8:I8"/>
    <mergeCell ref="J8:K8"/>
    <mergeCell ref="H9:I9"/>
    <mergeCell ref="J9:K9"/>
    <mergeCell ref="H10:I10"/>
    <mergeCell ref="J10:K10"/>
    <mergeCell ref="D19:E19"/>
    <mergeCell ref="F19:G19"/>
    <mergeCell ref="B20:C20"/>
    <mergeCell ref="D20:E20"/>
    <mergeCell ref="F20:G20"/>
    <mergeCell ref="H20:I20"/>
    <mergeCell ref="J20:K20"/>
    <mergeCell ref="F32:G32"/>
    <mergeCell ref="H32:I32"/>
    <mergeCell ref="B31:C31"/>
    <mergeCell ref="D31:E31"/>
    <mergeCell ref="F31:G31"/>
    <mergeCell ref="H31:I31"/>
    <mergeCell ref="J31:K31"/>
    <mergeCell ref="D32:E32"/>
    <mergeCell ref="J32:K32"/>
    <mergeCell ref="F28:G28"/>
    <mergeCell ref="H28:I28"/>
    <mergeCell ref="D29:I29"/>
    <mergeCell ref="J29:K29"/>
    <mergeCell ref="B28:C28"/>
    <mergeCell ref="B29:C29"/>
    <mergeCell ref="B30:C30"/>
    <mergeCell ref="D30:E30"/>
    <mergeCell ref="F30:G30"/>
    <mergeCell ref="H30:I30"/>
    <mergeCell ref="J30:K30"/>
    <mergeCell ref="H34:I34"/>
    <mergeCell ref="J34:K34"/>
    <mergeCell ref="B32:C32"/>
    <mergeCell ref="B33:C33"/>
    <mergeCell ref="D33:E33"/>
    <mergeCell ref="F33:G33"/>
    <mergeCell ref="H33:I33"/>
    <mergeCell ref="J33:K33"/>
    <mergeCell ref="B34:C34"/>
    <mergeCell ref="F22:G22"/>
    <mergeCell ref="H22:I22"/>
    <mergeCell ref="B21:C21"/>
    <mergeCell ref="D21:E21"/>
    <mergeCell ref="F21:G21"/>
    <mergeCell ref="H21:I21"/>
    <mergeCell ref="J21:K21"/>
    <mergeCell ref="D22:E22"/>
    <mergeCell ref="J22:K22"/>
    <mergeCell ref="H24:I24"/>
    <mergeCell ref="J24:K24"/>
    <mergeCell ref="B22:C22"/>
    <mergeCell ref="B23:C23"/>
    <mergeCell ref="D23:E23"/>
    <mergeCell ref="F23:G23"/>
    <mergeCell ref="H23:I23"/>
    <mergeCell ref="J23:K23"/>
    <mergeCell ref="B24:C24"/>
    <mergeCell ref="D24:E24"/>
    <mergeCell ref="F24:G24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D28:E28"/>
    <mergeCell ref="J28:K28"/>
    <mergeCell ref="D34:E34"/>
    <mergeCell ref="F34:G34"/>
    <mergeCell ref="B35:C35"/>
    <mergeCell ref="D35:E35"/>
    <mergeCell ref="F35:G35"/>
    <mergeCell ref="H35:I35"/>
    <mergeCell ref="J35:K35"/>
    <mergeCell ref="F44:G44"/>
    <mergeCell ref="H44:I44"/>
    <mergeCell ref="B43:C43"/>
    <mergeCell ref="D43:E43"/>
    <mergeCell ref="F43:G43"/>
    <mergeCell ref="H43:I43"/>
    <mergeCell ref="J43:K43"/>
    <mergeCell ref="D44:E44"/>
    <mergeCell ref="J44:K44"/>
    <mergeCell ref="H37:I37"/>
    <mergeCell ref="J37:K37"/>
    <mergeCell ref="B36:C36"/>
    <mergeCell ref="D36:E36"/>
    <mergeCell ref="F36:G36"/>
    <mergeCell ref="H36:I36"/>
    <mergeCell ref="J36:K36"/>
    <mergeCell ref="D37:E37"/>
    <mergeCell ref="F37:G37"/>
    <mergeCell ref="F39:G39"/>
    <mergeCell ref="H39:I39"/>
    <mergeCell ref="B38:C38"/>
    <mergeCell ref="D38:E38"/>
    <mergeCell ref="F38:G38"/>
    <mergeCell ref="H38:I38"/>
    <mergeCell ref="J38:K38"/>
    <mergeCell ref="D39:E39"/>
    <mergeCell ref="J39:K39"/>
    <mergeCell ref="B39:C39"/>
    <mergeCell ref="B40:C40"/>
    <mergeCell ref="D40:E40"/>
    <mergeCell ref="F40:G40"/>
    <mergeCell ref="H40:I40"/>
    <mergeCell ref="J40:K40"/>
    <mergeCell ref="B41:C41"/>
    <mergeCell ref="J41:K41"/>
    <mergeCell ref="D41:E41"/>
    <mergeCell ref="F41:G41"/>
    <mergeCell ref="B42:C42"/>
    <mergeCell ref="D42:E42"/>
    <mergeCell ref="F42:G42"/>
    <mergeCell ref="H42:I42"/>
    <mergeCell ref="J42:K42"/>
    <mergeCell ref="J45:K45"/>
    <mergeCell ref="J46:K46"/>
    <mergeCell ref="J47:K47"/>
    <mergeCell ref="F48:I48"/>
    <mergeCell ref="J48:K48"/>
    <mergeCell ref="H49:I49"/>
    <mergeCell ref="J49:K49"/>
    <mergeCell ref="B55:C55"/>
    <mergeCell ref="D55:E55"/>
    <mergeCell ref="F55:G55"/>
    <mergeCell ref="H55:I55"/>
    <mergeCell ref="J55:K55"/>
    <mergeCell ref="D56:E56"/>
    <mergeCell ref="J56:K56"/>
    <mergeCell ref="H58:I58"/>
    <mergeCell ref="J58:K58"/>
    <mergeCell ref="B56:C56"/>
    <mergeCell ref="B57:C57"/>
    <mergeCell ref="D57:E57"/>
    <mergeCell ref="F57:G57"/>
    <mergeCell ref="H57:I57"/>
    <mergeCell ref="J57:K57"/>
    <mergeCell ref="B58:C58"/>
    <mergeCell ref="B44:C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D49:E49"/>
    <mergeCell ref="F49:G49"/>
    <mergeCell ref="H52:I52"/>
    <mergeCell ref="J52:K52"/>
    <mergeCell ref="H53:I53"/>
    <mergeCell ref="J53:K53"/>
    <mergeCell ref="J54:K54"/>
    <mergeCell ref="B49:C49"/>
    <mergeCell ref="B51:C51"/>
    <mergeCell ref="D51:E51"/>
    <mergeCell ref="F51:G51"/>
    <mergeCell ref="H51:I51"/>
    <mergeCell ref="J51:K51"/>
    <mergeCell ref="B52:C52"/>
    <mergeCell ref="D52:E52"/>
    <mergeCell ref="F52:G52"/>
    <mergeCell ref="B53:C53"/>
    <mergeCell ref="D53:E53"/>
    <mergeCell ref="F53:G53"/>
    <mergeCell ref="B54:C54"/>
    <mergeCell ref="D54:I54"/>
    <mergeCell ref="F56:G56"/>
    <mergeCell ref="H56:I56"/>
    <mergeCell ref="D58:E58"/>
    <mergeCell ref="F58:G58"/>
    <mergeCell ref="B59:C59"/>
    <mergeCell ref="D59:E59"/>
    <mergeCell ref="F59:G59"/>
    <mergeCell ref="H59:I59"/>
    <mergeCell ref="J59:K59"/>
    <mergeCell ref="F61:G61"/>
    <mergeCell ref="H61:I61"/>
    <mergeCell ref="B60:C60"/>
    <mergeCell ref="D60:E60"/>
    <mergeCell ref="F60:G60"/>
    <mergeCell ref="H60:I60"/>
    <mergeCell ref="J60:K60"/>
    <mergeCell ref="D61:E61"/>
    <mergeCell ref="J61:K61"/>
    <mergeCell ref="F63:G63"/>
    <mergeCell ref="H63:I63"/>
    <mergeCell ref="J63:K63"/>
    <mergeCell ref="B61:C61"/>
    <mergeCell ref="B62:C62"/>
    <mergeCell ref="D62:E62"/>
    <mergeCell ref="F62:G62"/>
    <mergeCell ref="H62:I62"/>
    <mergeCell ref="B63:C63"/>
    <mergeCell ref="D63:E63"/>
    <mergeCell ref="F65:G65"/>
    <mergeCell ref="H65:I65"/>
    <mergeCell ref="D66:I66"/>
    <mergeCell ref="J66:K66"/>
    <mergeCell ref="B64:C64"/>
    <mergeCell ref="D64:E64"/>
    <mergeCell ref="F64:G64"/>
    <mergeCell ref="H64:I64"/>
    <mergeCell ref="J64:K64"/>
    <mergeCell ref="D65:E65"/>
    <mergeCell ref="J65:K65"/>
    <mergeCell ref="B65:C65"/>
    <mergeCell ref="B66:C66"/>
    <mergeCell ref="B67:C67"/>
    <mergeCell ref="D67:E67"/>
    <mergeCell ref="F67:G67"/>
    <mergeCell ref="H67:I67"/>
    <mergeCell ref="J67:K67"/>
    <mergeCell ref="F77:G77"/>
    <mergeCell ref="H77:I77"/>
    <mergeCell ref="B76:C76"/>
    <mergeCell ref="D76:E76"/>
    <mergeCell ref="F76:G76"/>
    <mergeCell ref="H76:I76"/>
    <mergeCell ref="J76:K76"/>
    <mergeCell ref="D77:E77"/>
    <mergeCell ref="J77:K77"/>
    <mergeCell ref="D79:I79"/>
    <mergeCell ref="J79:K79"/>
    <mergeCell ref="B77:C77"/>
    <mergeCell ref="B78:C78"/>
    <mergeCell ref="D78:E78"/>
    <mergeCell ref="F78:G78"/>
    <mergeCell ref="H78:I78"/>
    <mergeCell ref="J78:K78"/>
    <mergeCell ref="B79:C79"/>
    <mergeCell ref="F81:G81"/>
    <mergeCell ref="H81:I81"/>
    <mergeCell ref="B80:C80"/>
    <mergeCell ref="D80:E80"/>
    <mergeCell ref="F80:G80"/>
    <mergeCell ref="H80:I80"/>
    <mergeCell ref="J80:K80"/>
    <mergeCell ref="D81:E81"/>
    <mergeCell ref="J81:K81"/>
    <mergeCell ref="F69:G69"/>
    <mergeCell ref="H69:I69"/>
    <mergeCell ref="B68:C68"/>
    <mergeCell ref="D68:E68"/>
    <mergeCell ref="F68:G68"/>
    <mergeCell ref="H68:I68"/>
    <mergeCell ref="J68:K68"/>
    <mergeCell ref="D69:E69"/>
    <mergeCell ref="J69:K69"/>
    <mergeCell ref="H71:I71"/>
    <mergeCell ref="J71:K71"/>
    <mergeCell ref="H72:I72"/>
    <mergeCell ref="J72:K72"/>
    <mergeCell ref="H73:I73"/>
    <mergeCell ref="J73:K73"/>
    <mergeCell ref="B69:C69"/>
    <mergeCell ref="B70:C70"/>
    <mergeCell ref="D70:E70"/>
    <mergeCell ref="F70:G70"/>
    <mergeCell ref="H70:I70"/>
    <mergeCell ref="J70:K70"/>
    <mergeCell ref="B71:C71"/>
    <mergeCell ref="B73:C73"/>
    <mergeCell ref="B74:C74"/>
    <mergeCell ref="D74:E74"/>
    <mergeCell ref="F74:G74"/>
    <mergeCell ref="H74:I74"/>
    <mergeCell ref="J74:K74"/>
    <mergeCell ref="D71:E71"/>
    <mergeCell ref="F71:G71"/>
    <mergeCell ref="B72:C72"/>
    <mergeCell ref="D72:E72"/>
    <mergeCell ref="F72:G72"/>
    <mergeCell ref="D73:E73"/>
    <mergeCell ref="F73:G73"/>
    <mergeCell ref="D83:E83"/>
    <mergeCell ref="F83:G83"/>
    <mergeCell ref="B84:C84"/>
    <mergeCell ref="D84:E84"/>
    <mergeCell ref="F84:G84"/>
    <mergeCell ref="H84:I84"/>
    <mergeCell ref="J84:K84"/>
    <mergeCell ref="D89:E89"/>
    <mergeCell ref="D90:E90"/>
    <mergeCell ref="F90:G90"/>
    <mergeCell ref="H90:I90"/>
    <mergeCell ref="J90:K90"/>
    <mergeCell ref="D91:I91"/>
    <mergeCell ref="J91:K91"/>
    <mergeCell ref="D92:E92"/>
    <mergeCell ref="F92:G92"/>
    <mergeCell ref="H92:I92"/>
    <mergeCell ref="J92:K92"/>
    <mergeCell ref="F93:G93"/>
    <mergeCell ref="H93:I93"/>
    <mergeCell ref="J93:K93"/>
    <mergeCell ref="B81:C81"/>
    <mergeCell ref="B82:C82"/>
    <mergeCell ref="D82:E82"/>
    <mergeCell ref="F82:G82"/>
    <mergeCell ref="H82:I82"/>
    <mergeCell ref="J82:K82"/>
    <mergeCell ref="B83:C83"/>
    <mergeCell ref="H87:I87"/>
    <mergeCell ref="J87:K87"/>
    <mergeCell ref="H83:I83"/>
    <mergeCell ref="J83:K83"/>
    <mergeCell ref="L84:L86"/>
    <mergeCell ref="H85:I85"/>
    <mergeCell ref="J85:K85"/>
    <mergeCell ref="H86:I86"/>
    <mergeCell ref="J86:K86"/>
    <mergeCell ref="B85:C85"/>
    <mergeCell ref="D85:E85"/>
    <mergeCell ref="F85:G85"/>
    <mergeCell ref="D86:E86"/>
    <mergeCell ref="F86:G86"/>
    <mergeCell ref="D87:E87"/>
    <mergeCell ref="F87:G87"/>
    <mergeCell ref="D88:E88"/>
    <mergeCell ref="F88:G88"/>
    <mergeCell ref="H88:I88"/>
    <mergeCell ref="J88:K88"/>
    <mergeCell ref="F89:G89"/>
    <mergeCell ref="H89:I89"/>
    <mergeCell ref="J89:K89"/>
    <mergeCell ref="B86:C86"/>
    <mergeCell ref="B88:C88"/>
    <mergeCell ref="B89:C89"/>
    <mergeCell ref="B90:C90"/>
    <mergeCell ref="B91:C91"/>
    <mergeCell ref="B92:C92"/>
    <mergeCell ref="B93:C93"/>
    <mergeCell ref="B96:C96"/>
    <mergeCell ref="F96:G96"/>
    <mergeCell ref="H96:I96"/>
    <mergeCell ref="H110:I110"/>
    <mergeCell ref="H112:I112"/>
    <mergeCell ref="H113:I113"/>
    <mergeCell ref="H114:I114"/>
    <mergeCell ref="H98:I98"/>
    <mergeCell ref="J98:K98"/>
    <mergeCell ref="H99:I99"/>
    <mergeCell ref="J99:K99"/>
    <mergeCell ref="H101:I101"/>
    <mergeCell ref="J101:K101"/>
    <mergeCell ref="J109:K115"/>
    <mergeCell ref="H115:I115"/>
    <mergeCell ref="D93:E93"/>
    <mergeCell ref="D94:E94"/>
    <mergeCell ref="F94:G94"/>
    <mergeCell ref="H94:I94"/>
    <mergeCell ref="J94:K94"/>
    <mergeCell ref="B94:C94"/>
    <mergeCell ref="D95:E95"/>
    <mergeCell ref="F95:G95"/>
    <mergeCell ref="H95:I95"/>
    <mergeCell ref="J95:K95"/>
    <mergeCell ref="D96:E96"/>
    <mergeCell ref="J96:K96"/>
    <mergeCell ref="B95:C95"/>
    <mergeCell ref="B97:C97"/>
    <mergeCell ref="D97:E97"/>
    <mergeCell ref="F97:G97"/>
    <mergeCell ref="H97:I97"/>
    <mergeCell ref="J97:K97"/>
    <mergeCell ref="B98:C98"/>
    <mergeCell ref="D98:E98"/>
    <mergeCell ref="F98:G98"/>
    <mergeCell ref="B99:C99"/>
    <mergeCell ref="D99:E99"/>
    <mergeCell ref="F99:G99"/>
    <mergeCell ref="D101:E101"/>
    <mergeCell ref="F101:G101"/>
    <mergeCell ref="B101:C101"/>
    <mergeCell ref="B102:C102"/>
    <mergeCell ref="D102:E102"/>
    <mergeCell ref="F102:G102"/>
    <mergeCell ref="H102:I102"/>
    <mergeCell ref="J102:K102"/>
    <mergeCell ref="B103:C103"/>
    <mergeCell ref="D107:E107"/>
    <mergeCell ref="F107:G107"/>
    <mergeCell ref="B108:C108"/>
    <mergeCell ref="D108:E108"/>
    <mergeCell ref="F108:G108"/>
    <mergeCell ref="H108:I108"/>
    <mergeCell ref="J108:K108"/>
    <mergeCell ref="D120:E120"/>
    <mergeCell ref="F120:G120"/>
    <mergeCell ref="B121:C121"/>
    <mergeCell ref="D121:E121"/>
    <mergeCell ref="F121:G121"/>
    <mergeCell ref="H121:I121"/>
    <mergeCell ref="J121:K121"/>
    <mergeCell ref="H103:I103"/>
    <mergeCell ref="J103:K103"/>
    <mergeCell ref="J104:K104"/>
    <mergeCell ref="J105:K105"/>
    <mergeCell ref="D103:E103"/>
    <mergeCell ref="F103:G103"/>
    <mergeCell ref="B104:C104"/>
    <mergeCell ref="D104:I104"/>
    <mergeCell ref="D105:E105"/>
    <mergeCell ref="F105:G105"/>
    <mergeCell ref="H105:I105"/>
    <mergeCell ref="H107:I107"/>
    <mergeCell ref="J107:K107"/>
    <mergeCell ref="B105:C105"/>
    <mergeCell ref="B106:C106"/>
    <mergeCell ref="D106:E106"/>
    <mergeCell ref="F106:G106"/>
    <mergeCell ref="H106:I106"/>
    <mergeCell ref="J106:K106"/>
    <mergeCell ref="B107:C107"/>
    <mergeCell ref="B111:C111"/>
    <mergeCell ref="D111:E111"/>
    <mergeCell ref="F111:G111"/>
    <mergeCell ref="H111:I111"/>
    <mergeCell ref="B109:C109"/>
    <mergeCell ref="D109:E109"/>
    <mergeCell ref="F109:G109"/>
    <mergeCell ref="H109:I109"/>
    <mergeCell ref="B110:C110"/>
    <mergeCell ref="D110:E110"/>
    <mergeCell ref="F110:G110"/>
    <mergeCell ref="D112:E112"/>
    <mergeCell ref="F112:G112"/>
    <mergeCell ref="B113:C113"/>
    <mergeCell ref="D113:E113"/>
    <mergeCell ref="F113:G113"/>
    <mergeCell ref="D114:E114"/>
    <mergeCell ref="F114:G114"/>
    <mergeCell ref="B114:C114"/>
    <mergeCell ref="B115:C115"/>
    <mergeCell ref="D115:E115"/>
    <mergeCell ref="F115:G115"/>
    <mergeCell ref="B116:C116"/>
    <mergeCell ref="D116:I116"/>
    <mergeCell ref="J116:K116"/>
    <mergeCell ref="F118:G118"/>
    <mergeCell ref="H118:I118"/>
    <mergeCell ref="B117:C117"/>
    <mergeCell ref="D117:E117"/>
    <mergeCell ref="F117:G117"/>
    <mergeCell ref="H117:I117"/>
    <mergeCell ref="J117:K117"/>
    <mergeCell ref="D118:E118"/>
    <mergeCell ref="J118:K118"/>
    <mergeCell ref="H120:I120"/>
    <mergeCell ref="J120:K120"/>
    <mergeCell ref="B118:C118"/>
    <mergeCell ref="B119:C119"/>
    <mergeCell ref="D119:E119"/>
    <mergeCell ref="F119:G119"/>
    <mergeCell ref="H119:I119"/>
    <mergeCell ref="J119:K119"/>
    <mergeCell ref="B120:C120"/>
    <mergeCell ref="F123:G123"/>
    <mergeCell ref="H123:I123"/>
    <mergeCell ref="B122:C122"/>
    <mergeCell ref="D122:E122"/>
    <mergeCell ref="F122:G122"/>
    <mergeCell ref="H122:I122"/>
    <mergeCell ref="J122:K122"/>
    <mergeCell ref="D123:E123"/>
    <mergeCell ref="J123:K123"/>
    <mergeCell ref="H126:I126"/>
    <mergeCell ref="J126:K126"/>
    <mergeCell ref="H127:I127"/>
    <mergeCell ref="J127:K127"/>
    <mergeCell ref="H128:I128"/>
    <mergeCell ref="J128:K128"/>
    <mergeCell ref="B123:C123"/>
    <mergeCell ref="B124:C124"/>
    <mergeCell ref="D124:E124"/>
    <mergeCell ref="F124:G124"/>
    <mergeCell ref="H124:I124"/>
    <mergeCell ref="J124:K124"/>
    <mergeCell ref="B126:C126"/>
    <mergeCell ref="D126:E126"/>
    <mergeCell ref="F126:G126"/>
    <mergeCell ref="B127:C127"/>
    <mergeCell ref="D127:E127"/>
    <mergeCell ref="F127:G127"/>
    <mergeCell ref="D128:E128"/>
    <mergeCell ref="F128:G128"/>
    <mergeCell ref="H130:I130"/>
    <mergeCell ref="J130:K130"/>
    <mergeCell ref="B128:C128"/>
    <mergeCell ref="B129:C129"/>
    <mergeCell ref="D129:I129"/>
    <mergeCell ref="J129:K129"/>
    <mergeCell ref="B130:C130"/>
    <mergeCell ref="D130:E130"/>
    <mergeCell ref="F130:G130"/>
    <mergeCell ref="B157:C157"/>
    <mergeCell ref="D157:E157"/>
    <mergeCell ref="F157:G157"/>
    <mergeCell ref="H157:I157"/>
    <mergeCell ref="J157:K157"/>
    <mergeCell ref="D158:E158"/>
    <mergeCell ref="J158:K158"/>
    <mergeCell ref="H160:I160"/>
    <mergeCell ref="J160:K160"/>
    <mergeCell ref="B158:C158"/>
    <mergeCell ref="B159:C159"/>
    <mergeCell ref="D159:E159"/>
    <mergeCell ref="F159:G159"/>
    <mergeCell ref="H159:I159"/>
    <mergeCell ref="J159:K159"/>
    <mergeCell ref="B160:C160"/>
    <mergeCell ref="F151:G151"/>
    <mergeCell ref="H151:I151"/>
    <mergeCell ref="B150:C150"/>
    <mergeCell ref="D150:E150"/>
    <mergeCell ref="F150:G150"/>
    <mergeCell ref="H150:I150"/>
    <mergeCell ref="J150:K150"/>
    <mergeCell ref="D151:E151"/>
    <mergeCell ref="J151:K151"/>
    <mergeCell ref="H154:I154"/>
    <mergeCell ref="J154:K154"/>
    <mergeCell ref="H155:I155"/>
    <mergeCell ref="J155:K155"/>
    <mergeCell ref="J156:K156"/>
    <mergeCell ref="B151:C151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B155:C155"/>
    <mergeCell ref="D155:E155"/>
    <mergeCell ref="F155:G155"/>
    <mergeCell ref="B156:C156"/>
    <mergeCell ref="D156:I156"/>
    <mergeCell ref="F158:G158"/>
    <mergeCell ref="H158:I158"/>
    <mergeCell ref="D160:E160"/>
    <mergeCell ref="F160:G160"/>
    <mergeCell ref="B161:C161"/>
    <mergeCell ref="D161:E161"/>
    <mergeCell ref="F161:G161"/>
    <mergeCell ref="H161:I161"/>
    <mergeCell ref="J161:K161"/>
    <mergeCell ref="B137:C137"/>
    <mergeCell ref="D137:E137"/>
    <mergeCell ref="F137:G137"/>
    <mergeCell ref="H137:I137"/>
    <mergeCell ref="J137:K137"/>
    <mergeCell ref="B138:C138"/>
    <mergeCell ref="D138:E138"/>
    <mergeCell ref="J138:K138"/>
    <mergeCell ref="F138:G138"/>
    <mergeCell ref="H138:I138"/>
    <mergeCell ref="D139:E139"/>
    <mergeCell ref="F139:G139"/>
    <mergeCell ref="H139:I139"/>
    <mergeCell ref="B140:C140"/>
    <mergeCell ref="D140:E140"/>
    <mergeCell ref="F142:G142"/>
    <mergeCell ref="H142:I142"/>
    <mergeCell ref="B141:C141"/>
    <mergeCell ref="D141:E141"/>
    <mergeCell ref="F141:G141"/>
    <mergeCell ref="H141:I141"/>
    <mergeCell ref="J141:K141"/>
    <mergeCell ref="D142:E142"/>
    <mergeCell ref="J142:K142"/>
    <mergeCell ref="H144:I144"/>
    <mergeCell ref="J144:K144"/>
    <mergeCell ref="B142:C142"/>
    <mergeCell ref="B143:C143"/>
    <mergeCell ref="D143:I143"/>
    <mergeCell ref="J143:K143"/>
    <mergeCell ref="B144:C144"/>
    <mergeCell ref="D144:E144"/>
    <mergeCell ref="F144:G144"/>
    <mergeCell ref="F146:G146"/>
    <mergeCell ref="H146:I146"/>
    <mergeCell ref="B145:C145"/>
    <mergeCell ref="D145:E145"/>
    <mergeCell ref="F145:G145"/>
    <mergeCell ref="H145:I145"/>
    <mergeCell ref="J145:K145"/>
    <mergeCell ref="D146:E146"/>
    <mergeCell ref="J146:K146"/>
    <mergeCell ref="H148:I148"/>
    <mergeCell ref="J148:K148"/>
    <mergeCell ref="B146:C146"/>
    <mergeCell ref="B147:C147"/>
    <mergeCell ref="D147:E147"/>
    <mergeCell ref="F147:G147"/>
    <mergeCell ref="H147:I147"/>
    <mergeCell ref="J147:K147"/>
    <mergeCell ref="B148:C148"/>
    <mergeCell ref="F132:G132"/>
    <mergeCell ref="H132:I132"/>
    <mergeCell ref="B131:C131"/>
    <mergeCell ref="D131:E131"/>
    <mergeCell ref="F131:G131"/>
    <mergeCell ref="H131:I131"/>
    <mergeCell ref="J131:K131"/>
    <mergeCell ref="D132:E132"/>
    <mergeCell ref="J132:K132"/>
    <mergeCell ref="F134:G134"/>
    <mergeCell ref="H134:I134"/>
    <mergeCell ref="J135:K135"/>
    <mergeCell ref="B132:C132"/>
    <mergeCell ref="B133:C133"/>
    <mergeCell ref="D133:E133"/>
    <mergeCell ref="F133:G133"/>
    <mergeCell ref="H133:I133"/>
    <mergeCell ref="J133:K133"/>
    <mergeCell ref="J134:K134"/>
    <mergeCell ref="B134:C134"/>
    <mergeCell ref="B135:C135"/>
    <mergeCell ref="B136:C136"/>
    <mergeCell ref="D136:E136"/>
    <mergeCell ref="F136:G136"/>
    <mergeCell ref="H136:I136"/>
    <mergeCell ref="J136:K136"/>
    <mergeCell ref="F140:G140"/>
    <mergeCell ref="H140:I140"/>
    <mergeCell ref="J140:K140"/>
    <mergeCell ref="D148:E148"/>
    <mergeCell ref="F148:G148"/>
    <mergeCell ref="B149:C149"/>
    <mergeCell ref="D149:E149"/>
    <mergeCell ref="F149:G149"/>
    <mergeCell ref="H149:I149"/>
    <mergeCell ref="J149:K149"/>
    <mergeCell ref="F171:G171"/>
    <mergeCell ref="H171:I171"/>
    <mergeCell ref="B170:C170"/>
    <mergeCell ref="D170:E170"/>
    <mergeCell ref="F170:G170"/>
    <mergeCell ref="H170:I170"/>
    <mergeCell ref="J170:K170"/>
    <mergeCell ref="D171:E171"/>
    <mergeCell ref="J171:K171"/>
    <mergeCell ref="H374:I374"/>
    <mergeCell ref="J374:K374"/>
    <mergeCell ref="B372:C372"/>
    <mergeCell ref="B373:C373"/>
    <mergeCell ref="D373:E373"/>
    <mergeCell ref="F373:G373"/>
    <mergeCell ref="H373:I373"/>
    <mergeCell ref="J373:K373"/>
    <mergeCell ref="B374:C374"/>
    <mergeCell ref="B363:C363"/>
    <mergeCell ref="D363:E363"/>
    <mergeCell ref="F363:G363"/>
    <mergeCell ref="H363:I363"/>
    <mergeCell ref="J363:K363"/>
    <mergeCell ref="B364:C364"/>
    <mergeCell ref="D364:E364"/>
    <mergeCell ref="J364:K364"/>
    <mergeCell ref="H366:I366"/>
    <mergeCell ref="J366:K366"/>
    <mergeCell ref="F364:G364"/>
    <mergeCell ref="H364:I364"/>
    <mergeCell ref="D365:G365"/>
    <mergeCell ref="H365:I365"/>
    <mergeCell ref="B366:C366"/>
    <mergeCell ref="D366:E366"/>
    <mergeCell ref="F366:G366"/>
    <mergeCell ref="F368:G368"/>
    <mergeCell ref="H368:I368"/>
    <mergeCell ref="D369:I369"/>
    <mergeCell ref="J369:K369"/>
    <mergeCell ref="B367:C367"/>
    <mergeCell ref="D367:E367"/>
    <mergeCell ref="F367:G367"/>
    <mergeCell ref="H367:I367"/>
    <mergeCell ref="J367:K367"/>
    <mergeCell ref="D368:E368"/>
    <mergeCell ref="J368:K368"/>
    <mergeCell ref="B368:C368"/>
    <mergeCell ref="B369:C369"/>
    <mergeCell ref="B370:C370"/>
    <mergeCell ref="D370:E370"/>
    <mergeCell ref="F370:G370"/>
    <mergeCell ref="H370:I370"/>
    <mergeCell ref="J370:K370"/>
    <mergeCell ref="D374:E374"/>
    <mergeCell ref="F374:G374"/>
    <mergeCell ref="B375:C375"/>
    <mergeCell ref="D375:E375"/>
    <mergeCell ref="F375:G375"/>
    <mergeCell ref="H375:I375"/>
    <mergeCell ref="J375:K375"/>
    <mergeCell ref="M435:M436"/>
    <mergeCell ref="A437:L437"/>
    <mergeCell ref="M440:M442"/>
    <mergeCell ref="A445:H445"/>
    <mergeCell ref="I445:M445"/>
    <mergeCell ref="B447:D448"/>
    <mergeCell ref="E447:M448"/>
    <mergeCell ref="M450:M451"/>
    <mergeCell ref="B451:L451"/>
    <mergeCell ref="M454:M455"/>
    <mergeCell ref="M459:M460"/>
    <mergeCell ref="M464:M465"/>
    <mergeCell ref="M469:M470"/>
    <mergeCell ref="A471:L471"/>
    <mergeCell ref="M488:M489"/>
    <mergeCell ref="M493:M494"/>
    <mergeCell ref="M498:M499"/>
    <mergeCell ref="M503:M504"/>
    <mergeCell ref="A505:L505"/>
    <mergeCell ref="M508:M510"/>
    <mergeCell ref="I513:M513"/>
    <mergeCell ref="B527:B531"/>
    <mergeCell ref="B533:B537"/>
    <mergeCell ref="B541:B546"/>
    <mergeCell ref="B555:B559"/>
    <mergeCell ref="B561:B565"/>
    <mergeCell ref="B567:B571"/>
    <mergeCell ref="B575:B580"/>
    <mergeCell ref="A513:H513"/>
    <mergeCell ref="B515:D516"/>
    <mergeCell ref="E515:M516"/>
    <mergeCell ref="M518:M519"/>
    <mergeCell ref="B519:L519"/>
    <mergeCell ref="B521:B525"/>
    <mergeCell ref="M532:M533"/>
    <mergeCell ref="M537:M538"/>
    <mergeCell ref="A539:L539"/>
    <mergeCell ref="M542:M544"/>
    <mergeCell ref="A547:H547"/>
    <mergeCell ref="I547:M547"/>
    <mergeCell ref="B549:D550"/>
    <mergeCell ref="E549:M550"/>
    <mergeCell ref="M576:M578"/>
    <mergeCell ref="A581:H581"/>
    <mergeCell ref="I581:M581"/>
    <mergeCell ref="M552:M553"/>
    <mergeCell ref="B553:L553"/>
    <mergeCell ref="M556:M557"/>
    <mergeCell ref="M561:M562"/>
    <mergeCell ref="M566:M567"/>
    <mergeCell ref="M571:M572"/>
    <mergeCell ref="A573:L573"/>
    <mergeCell ref="B376:C376"/>
    <mergeCell ref="D376:E376"/>
    <mergeCell ref="F376:G376"/>
    <mergeCell ref="H376:I376"/>
    <mergeCell ref="J376:K376"/>
    <mergeCell ref="B377:C377"/>
    <mergeCell ref="D377:E377"/>
    <mergeCell ref="J377:K377"/>
    <mergeCell ref="F377:G377"/>
    <mergeCell ref="H377:I377"/>
    <mergeCell ref="B379:D380"/>
    <mergeCell ref="E379:M379"/>
    <mergeCell ref="M382:M383"/>
    <mergeCell ref="B383:L383"/>
    <mergeCell ref="M386:M387"/>
    <mergeCell ref="M391:M392"/>
    <mergeCell ref="M396:M397"/>
    <mergeCell ref="M401:M402"/>
    <mergeCell ref="A403:L403"/>
    <mergeCell ref="M406:M408"/>
    <mergeCell ref="A411:H411"/>
    <mergeCell ref="I411:M411"/>
    <mergeCell ref="B413:D414"/>
    <mergeCell ref="E413:M414"/>
    <mergeCell ref="M416:M417"/>
    <mergeCell ref="B417:L417"/>
    <mergeCell ref="M420:M421"/>
    <mergeCell ref="M425:M426"/>
    <mergeCell ref="M430:M431"/>
    <mergeCell ref="B385:B389"/>
    <mergeCell ref="B391:B395"/>
    <mergeCell ref="B397:B401"/>
    <mergeCell ref="B405:B410"/>
    <mergeCell ref="B419:B423"/>
    <mergeCell ref="B425:B429"/>
    <mergeCell ref="B431:B435"/>
    <mergeCell ref="M474:M476"/>
    <mergeCell ref="A479:H479"/>
    <mergeCell ref="I479:M479"/>
    <mergeCell ref="B481:D482"/>
    <mergeCell ref="E481:M482"/>
    <mergeCell ref="M484:M485"/>
    <mergeCell ref="B485:L485"/>
    <mergeCell ref="M522:M523"/>
    <mergeCell ref="M527:M528"/>
    <mergeCell ref="F355:G355"/>
    <mergeCell ref="H355:I355"/>
    <mergeCell ref="B354:C354"/>
    <mergeCell ref="D354:E354"/>
    <mergeCell ref="F354:G354"/>
    <mergeCell ref="H354:I354"/>
    <mergeCell ref="J354:K354"/>
    <mergeCell ref="D355:E355"/>
    <mergeCell ref="J355:K355"/>
    <mergeCell ref="D357:I357"/>
    <mergeCell ref="J357:K357"/>
    <mergeCell ref="B355:C355"/>
    <mergeCell ref="B356:C356"/>
    <mergeCell ref="D356:E356"/>
    <mergeCell ref="F356:G356"/>
    <mergeCell ref="H356:I356"/>
    <mergeCell ref="J356:K356"/>
    <mergeCell ref="B357:C357"/>
    <mergeCell ref="F359:G359"/>
    <mergeCell ref="H359:I359"/>
    <mergeCell ref="B358:C358"/>
    <mergeCell ref="D358:E358"/>
    <mergeCell ref="F358:G358"/>
    <mergeCell ref="H358:I358"/>
    <mergeCell ref="J358:K358"/>
    <mergeCell ref="D359:E359"/>
    <mergeCell ref="J359:K359"/>
    <mergeCell ref="H361:I361"/>
    <mergeCell ref="J361:K361"/>
    <mergeCell ref="B359:C359"/>
    <mergeCell ref="B360:C360"/>
    <mergeCell ref="D360:E360"/>
    <mergeCell ref="F360:G360"/>
    <mergeCell ref="H360:I360"/>
    <mergeCell ref="J360:K360"/>
    <mergeCell ref="B361:C361"/>
    <mergeCell ref="F347:G347"/>
    <mergeCell ref="H347:I347"/>
    <mergeCell ref="B346:C346"/>
    <mergeCell ref="D346:E346"/>
    <mergeCell ref="F346:G346"/>
    <mergeCell ref="H346:I346"/>
    <mergeCell ref="J346:K346"/>
    <mergeCell ref="D347:E347"/>
    <mergeCell ref="J347:K347"/>
    <mergeCell ref="H349:I349"/>
    <mergeCell ref="J349:K349"/>
    <mergeCell ref="H350:I350"/>
    <mergeCell ref="J350:K350"/>
    <mergeCell ref="H351:I351"/>
    <mergeCell ref="J351:K351"/>
    <mergeCell ref="B347:C347"/>
    <mergeCell ref="B348:C348"/>
    <mergeCell ref="D348:E348"/>
    <mergeCell ref="F348:G348"/>
    <mergeCell ref="H348:I348"/>
    <mergeCell ref="J348:K348"/>
    <mergeCell ref="B349:C349"/>
    <mergeCell ref="B351:C351"/>
    <mergeCell ref="B352:C352"/>
    <mergeCell ref="D352:E352"/>
    <mergeCell ref="F352:G352"/>
    <mergeCell ref="H352:I352"/>
    <mergeCell ref="J352:K352"/>
    <mergeCell ref="D349:E349"/>
    <mergeCell ref="F349:G349"/>
    <mergeCell ref="B350:C350"/>
    <mergeCell ref="D350:E350"/>
    <mergeCell ref="F350:G350"/>
    <mergeCell ref="D351:E351"/>
    <mergeCell ref="F351:G351"/>
    <mergeCell ref="D361:E361"/>
    <mergeCell ref="F361:G361"/>
    <mergeCell ref="B362:C362"/>
    <mergeCell ref="D362:E362"/>
    <mergeCell ref="F362:G362"/>
    <mergeCell ref="H362:I362"/>
    <mergeCell ref="J362:K362"/>
    <mergeCell ref="F372:G372"/>
    <mergeCell ref="H372:I372"/>
    <mergeCell ref="B371:C371"/>
    <mergeCell ref="D371:E371"/>
    <mergeCell ref="F371:G371"/>
    <mergeCell ref="H371:I371"/>
    <mergeCell ref="J371:K371"/>
    <mergeCell ref="D372:E372"/>
    <mergeCell ref="J372:K372"/>
    <mergeCell ref="B499:B503"/>
    <mergeCell ref="B507:B512"/>
    <mergeCell ref="B439:B444"/>
    <mergeCell ref="B453:B457"/>
    <mergeCell ref="B459:B463"/>
    <mergeCell ref="B465:B469"/>
    <mergeCell ref="B473:B478"/>
    <mergeCell ref="B487:B491"/>
    <mergeCell ref="B493:B497"/>
    <mergeCell ref="H199:I199"/>
    <mergeCell ref="J199:K199"/>
    <mergeCell ref="B197:C197"/>
    <mergeCell ref="B198:C198"/>
    <mergeCell ref="D198:E198"/>
    <mergeCell ref="F198:G198"/>
    <mergeCell ref="H198:I198"/>
    <mergeCell ref="J198:K198"/>
    <mergeCell ref="B199:C199"/>
    <mergeCell ref="B188:C188"/>
    <mergeCell ref="D188:E188"/>
    <mergeCell ref="F188:G188"/>
    <mergeCell ref="H188:I188"/>
    <mergeCell ref="J188:K188"/>
    <mergeCell ref="B189:C189"/>
    <mergeCell ref="D189:E189"/>
    <mergeCell ref="J189:K189"/>
    <mergeCell ref="F191:G191"/>
    <mergeCell ref="H191:I191"/>
    <mergeCell ref="J191:K191"/>
    <mergeCell ref="F189:G189"/>
    <mergeCell ref="H189:I189"/>
    <mergeCell ref="D190:E190"/>
    <mergeCell ref="F190:G190"/>
    <mergeCell ref="H190:I190"/>
    <mergeCell ref="B191:C191"/>
    <mergeCell ref="D191:E191"/>
    <mergeCell ref="F193:G193"/>
    <mergeCell ref="H193:I193"/>
    <mergeCell ref="D194:I194"/>
    <mergeCell ref="J194:K194"/>
    <mergeCell ref="B192:C192"/>
    <mergeCell ref="D192:E192"/>
    <mergeCell ref="F192:G192"/>
    <mergeCell ref="H192:I192"/>
    <mergeCell ref="J192:K192"/>
    <mergeCell ref="D193:E193"/>
    <mergeCell ref="J193:K193"/>
    <mergeCell ref="B193:C193"/>
    <mergeCell ref="B194:C194"/>
    <mergeCell ref="B195:C195"/>
    <mergeCell ref="D195:E195"/>
    <mergeCell ref="F195:G195"/>
    <mergeCell ref="H195:I195"/>
    <mergeCell ref="J195:K195"/>
    <mergeCell ref="D199:E199"/>
    <mergeCell ref="F199:G199"/>
    <mergeCell ref="B200:C200"/>
    <mergeCell ref="D200:E200"/>
    <mergeCell ref="F200:G200"/>
    <mergeCell ref="H200:I200"/>
    <mergeCell ref="J200:K200"/>
    <mergeCell ref="H173:I173"/>
    <mergeCell ref="J173:K173"/>
    <mergeCell ref="B171:C171"/>
    <mergeCell ref="B172:C172"/>
    <mergeCell ref="D172:E172"/>
    <mergeCell ref="F172:G172"/>
    <mergeCell ref="H172:I172"/>
    <mergeCell ref="J172:K172"/>
    <mergeCell ref="B173:C173"/>
    <mergeCell ref="B162:C162"/>
    <mergeCell ref="D162:E162"/>
    <mergeCell ref="F162:G162"/>
    <mergeCell ref="H162:I162"/>
    <mergeCell ref="J162:K162"/>
    <mergeCell ref="B163:C163"/>
    <mergeCell ref="D163:E163"/>
    <mergeCell ref="J163:K163"/>
    <mergeCell ref="F165:G165"/>
    <mergeCell ref="H165:I165"/>
    <mergeCell ref="J165:K165"/>
    <mergeCell ref="F163:G163"/>
    <mergeCell ref="H163:I163"/>
    <mergeCell ref="D164:E164"/>
    <mergeCell ref="F164:G164"/>
    <mergeCell ref="H164:I164"/>
    <mergeCell ref="B165:C165"/>
    <mergeCell ref="D165:E165"/>
    <mergeCell ref="F167:G167"/>
    <mergeCell ref="H167:I167"/>
    <mergeCell ref="D168:I168"/>
    <mergeCell ref="J168:K168"/>
    <mergeCell ref="B166:C166"/>
    <mergeCell ref="D166:E166"/>
    <mergeCell ref="F166:G166"/>
    <mergeCell ref="H166:I166"/>
    <mergeCell ref="J166:K166"/>
    <mergeCell ref="D167:E167"/>
    <mergeCell ref="J167:K167"/>
    <mergeCell ref="B167:C167"/>
    <mergeCell ref="B168:C168"/>
    <mergeCell ref="B169:C169"/>
    <mergeCell ref="D169:E169"/>
    <mergeCell ref="F169:G169"/>
    <mergeCell ref="H169:I169"/>
    <mergeCell ref="J169:K169"/>
    <mergeCell ref="D173:E173"/>
    <mergeCell ref="F173:G173"/>
    <mergeCell ref="B174:C174"/>
    <mergeCell ref="D174:E174"/>
    <mergeCell ref="F174:G174"/>
    <mergeCell ref="H174:I174"/>
    <mergeCell ref="J174:K174"/>
    <mergeCell ref="F184:G184"/>
    <mergeCell ref="H184:I184"/>
    <mergeCell ref="B183:C183"/>
    <mergeCell ref="D183:E183"/>
    <mergeCell ref="F183:G183"/>
    <mergeCell ref="H183:I183"/>
    <mergeCell ref="J183:K183"/>
    <mergeCell ref="D184:E184"/>
    <mergeCell ref="J184:K184"/>
    <mergeCell ref="H186:I186"/>
    <mergeCell ref="J186:K186"/>
    <mergeCell ref="B184:C184"/>
    <mergeCell ref="B185:C185"/>
    <mergeCell ref="D185:E185"/>
    <mergeCell ref="F185:G185"/>
    <mergeCell ref="H185:I185"/>
    <mergeCell ref="J185:K185"/>
    <mergeCell ref="B186:C186"/>
    <mergeCell ref="H176:I176"/>
    <mergeCell ref="J176:K176"/>
    <mergeCell ref="B175:C175"/>
    <mergeCell ref="D175:E175"/>
    <mergeCell ref="F175:G175"/>
    <mergeCell ref="H175:I175"/>
    <mergeCell ref="B176:C176"/>
    <mergeCell ref="D176:E176"/>
    <mergeCell ref="F176:G176"/>
    <mergeCell ref="F180:G180"/>
    <mergeCell ref="H180:I180"/>
    <mergeCell ref="B179:C179"/>
    <mergeCell ref="D179:E179"/>
    <mergeCell ref="F179:G179"/>
    <mergeCell ref="H179:I179"/>
    <mergeCell ref="J179:K179"/>
    <mergeCell ref="D180:E180"/>
    <mergeCell ref="J180:K180"/>
    <mergeCell ref="D182:I182"/>
    <mergeCell ref="J182:K182"/>
    <mergeCell ref="B180:C180"/>
    <mergeCell ref="B181:C181"/>
    <mergeCell ref="D181:E181"/>
    <mergeCell ref="F181:G181"/>
    <mergeCell ref="H181:I181"/>
    <mergeCell ref="J181:K181"/>
    <mergeCell ref="B182:C182"/>
    <mergeCell ref="D186:E186"/>
    <mergeCell ref="F186:G186"/>
    <mergeCell ref="B187:C187"/>
    <mergeCell ref="D187:E187"/>
    <mergeCell ref="F187:G187"/>
    <mergeCell ref="H187:I187"/>
    <mergeCell ref="J187:K187"/>
    <mergeCell ref="F197:G197"/>
    <mergeCell ref="H197:I197"/>
    <mergeCell ref="B196:C196"/>
    <mergeCell ref="D196:E196"/>
    <mergeCell ref="F196:G196"/>
    <mergeCell ref="H196:I196"/>
    <mergeCell ref="J196:K196"/>
    <mergeCell ref="D197:E197"/>
    <mergeCell ref="J197:K197"/>
    <mergeCell ref="F209:G209"/>
    <mergeCell ref="H209:I209"/>
    <mergeCell ref="B208:C208"/>
    <mergeCell ref="D208:E208"/>
    <mergeCell ref="F208:G208"/>
    <mergeCell ref="H208:I208"/>
    <mergeCell ref="J208:K208"/>
    <mergeCell ref="D209:E209"/>
    <mergeCell ref="J209:K209"/>
    <mergeCell ref="H211:I211"/>
    <mergeCell ref="J211:K211"/>
    <mergeCell ref="B209:C209"/>
    <mergeCell ref="B210:C210"/>
    <mergeCell ref="D210:E210"/>
    <mergeCell ref="F210:G210"/>
    <mergeCell ref="H210:I210"/>
    <mergeCell ref="J210:K210"/>
    <mergeCell ref="B211:C211"/>
    <mergeCell ref="H202:I202"/>
    <mergeCell ref="J202:K202"/>
    <mergeCell ref="B201:C201"/>
    <mergeCell ref="D201:E201"/>
    <mergeCell ref="H201:I201"/>
    <mergeCell ref="J201:K201"/>
    <mergeCell ref="B202:C202"/>
    <mergeCell ref="D202:E202"/>
    <mergeCell ref="F202:G202"/>
    <mergeCell ref="F205:G205"/>
    <mergeCell ref="H205:I205"/>
    <mergeCell ref="B204:C204"/>
    <mergeCell ref="D204:E204"/>
    <mergeCell ref="F204:G204"/>
    <mergeCell ref="H204:I204"/>
    <mergeCell ref="J204:K204"/>
    <mergeCell ref="D205:E205"/>
    <mergeCell ref="J205:K205"/>
    <mergeCell ref="D207:I207"/>
    <mergeCell ref="J207:K207"/>
    <mergeCell ref="B205:C205"/>
    <mergeCell ref="B206:C206"/>
    <mergeCell ref="D206:E206"/>
    <mergeCell ref="F206:G206"/>
    <mergeCell ref="H206:I206"/>
    <mergeCell ref="J206:K206"/>
    <mergeCell ref="B207:C207"/>
    <mergeCell ref="D211:E211"/>
    <mergeCell ref="F211:G211"/>
    <mergeCell ref="B212:C212"/>
    <mergeCell ref="D212:E212"/>
    <mergeCell ref="F212:G212"/>
    <mergeCell ref="H212:I212"/>
    <mergeCell ref="J212:K212"/>
    <mergeCell ref="F222:G222"/>
    <mergeCell ref="H222:I222"/>
    <mergeCell ref="B221:C221"/>
    <mergeCell ref="D221:E221"/>
    <mergeCell ref="F221:G221"/>
    <mergeCell ref="H221:I221"/>
    <mergeCell ref="J221:K221"/>
    <mergeCell ref="D222:E222"/>
    <mergeCell ref="J222:K222"/>
    <mergeCell ref="H224:I224"/>
    <mergeCell ref="J224:K224"/>
    <mergeCell ref="B222:C222"/>
    <mergeCell ref="B223:C223"/>
    <mergeCell ref="D223:E223"/>
    <mergeCell ref="F223:G223"/>
    <mergeCell ref="H223:I223"/>
    <mergeCell ref="J223:K223"/>
    <mergeCell ref="B224:C224"/>
    <mergeCell ref="B213:C213"/>
    <mergeCell ref="D213:E213"/>
    <mergeCell ref="F213:G213"/>
    <mergeCell ref="H213:I213"/>
    <mergeCell ref="J213:K213"/>
    <mergeCell ref="B214:C214"/>
    <mergeCell ref="D214:E214"/>
    <mergeCell ref="J214:K214"/>
    <mergeCell ref="F216:G216"/>
    <mergeCell ref="H216:I216"/>
    <mergeCell ref="J216:K216"/>
    <mergeCell ref="F214:G214"/>
    <mergeCell ref="H214:I214"/>
    <mergeCell ref="D215:E215"/>
    <mergeCell ref="F215:G215"/>
    <mergeCell ref="H215:I215"/>
    <mergeCell ref="B216:C216"/>
    <mergeCell ref="D216:E216"/>
    <mergeCell ref="F218:G218"/>
    <mergeCell ref="H218:I218"/>
    <mergeCell ref="D219:I219"/>
    <mergeCell ref="J219:K219"/>
    <mergeCell ref="B217:C217"/>
    <mergeCell ref="D217:E217"/>
    <mergeCell ref="F217:G217"/>
    <mergeCell ref="H217:I217"/>
    <mergeCell ref="J217:K217"/>
    <mergeCell ref="D218:E218"/>
    <mergeCell ref="J218:K218"/>
    <mergeCell ref="B218:C218"/>
    <mergeCell ref="B219:C219"/>
    <mergeCell ref="B220:C220"/>
    <mergeCell ref="D220:E220"/>
    <mergeCell ref="F220:G220"/>
    <mergeCell ref="H220:I220"/>
    <mergeCell ref="J220:K220"/>
    <mergeCell ref="D224:E224"/>
    <mergeCell ref="F224:G224"/>
    <mergeCell ref="B225:C225"/>
    <mergeCell ref="D225:E225"/>
    <mergeCell ref="F225:G225"/>
    <mergeCell ref="H225:I225"/>
    <mergeCell ref="J225:K225"/>
    <mergeCell ref="B233:C233"/>
    <mergeCell ref="D233:E233"/>
    <mergeCell ref="F233:G233"/>
    <mergeCell ref="H233:I233"/>
    <mergeCell ref="J233:K233"/>
    <mergeCell ref="D234:E234"/>
    <mergeCell ref="J234:K234"/>
    <mergeCell ref="H236:I236"/>
    <mergeCell ref="J236:K236"/>
    <mergeCell ref="B234:C234"/>
    <mergeCell ref="B235:C235"/>
    <mergeCell ref="D235:E235"/>
    <mergeCell ref="F235:G235"/>
    <mergeCell ref="H235:I235"/>
    <mergeCell ref="J235:K235"/>
    <mergeCell ref="B236:C236"/>
    <mergeCell ref="F227:G227"/>
    <mergeCell ref="H227:I227"/>
    <mergeCell ref="B226:C226"/>
    <mergeCell ref="D226:E226"/>
    <mergeCell ref="F226:G226"/>
    <mergeCell ref="H226:I226"/>
    <mergeCell ref="J226:K226"/>
    <mergeCell ref="D227:E227"/>
    <mergeCell ref="J227:K227"/>
    <mergeCell ref="H230:I230"/>
    <mergeCell ref="J230:K230"/>
    <mergeCell ref="H231:I231"/>
    <mergeCell ref="J231:K231"/>
    <mergeCell ref="J232:K232"/>
    <mergeCell ref="B227:C227"/>
    <mergeCell ref="B229:C229"/>
    <mergeCell ref="D229:E229"/>
    <mergeCell ref="F229:G229"/>
    <mergeCell ref="H229:I229"/>
    <mergeCell ref="J229:K229"/>
    <mergeCell ref="B230:C230"/>
    <mergeCell ref="D230:E230"/>
    <mergeCell ref="F230:G230"/>
    <mergeCell ref="B231:C231"/>
    <mergeCell ref="D231:E231"/>
    <mergeCell ref="F231:G231"/>
    <mergeCell ref="B232:C232"/>
    <mergeCell ref="D232:I232"/>
    <mergeCell ref="F234:G234"/>
    <mergeCell ref="H234:I234"/>
    <mergeCell ref="D236:E236"/>
    <mergeCell ref="F236:G236"/>
    <mergeCell ref="B237:C237"/>
    <mergeCell ref="D237:E237"/>
    <mergeCell ref="F237:G237"/>
    <mergeCell ref="H237:I237"/>
    <mergeCell ref="J237:K237"/>
    <mergeCell ref="F247:G247"/>
    <mergeCell ref="H247:I247"/>
    <mergeCell ref="B246:C246"/>
    <mergeCell ref="D246:E246"/>
    <mergeCell ref="F246:G246"/>
    <mergeCell ref="H246:I246"/>
    <mergeCell ref="J246:K246"/>
    <mergeCell ref="D247:E247"/>
    <mergeCell ref="J247:K247"/>
    <mergeCell ref="H249:I249"/>
    <mergeCell ref="J249:K249"/>
    <mergeCell ref="B247:C247"/>
    <mergeCell ref="B248:C248"/>
    <mergeCell ref="D248:E248"/>
    <mergeCell ref="F248:G248"/>
    <mergeCell ref="H248:I248"/>
    <mergeCell ref="J248:K248"/>
    <mergeCell ref="B249:C249"/>
    <mergeCell ref="B238:C238"/>
    <mergeCell ref="D238:E238"/>
    <mergeCell ref="F238:G238"/>
    <mergeCell ref="H238:I238"/>
    <mergeCell ref="J238:K238"/>
    <mergeCell ref="B239:C239"/>
    <mergeCell ref="D239:E239"/>
    <mergeCell ref="J239:K239"/>
    <mergeCell ref="F241:G241"/>
    <mergeCell ref="H241:I241"/>
    <mergeCell ref="J241:K241"/>
    <mergeCell ref="F239:G239"/>
    <mergeCell ref="H239:I239"/>
    <mergeCell ref="D240:E240"/>
    <mergeCell ref="F240:G240"/>
    <mergeCell ref="H240:I240"/>
    <mergeCell ref="B241:C241"/>
    <mergeCell ref="D241:E241"/>
    <mergeCell ref="F243:G243"/>
    <mergeCell ref="H243:I243"/>
    <mergeCell ref="D244:I244"/>
    <mergeCell ref="J244:K244"/>
    <mergeCell ref="B242:C242"/>
    <mergeCell ref="D242:E242"/>
    <mergeCell ref="F242:G242"/>
    <mergeCell ref="H242:I242"/>
    <mergeCell ref="J242:K242"/>
    <mergeCell ref="D243:E243"/>
    <mergeCell ref="J243:K243"/>
    <mergeCell ref="B243:C243"/>
    <mergeCell ref="B244:C244"/>
    <mergeCell ref="B245:C245"/>
    <mergeCell ref="D245:E245"/>
    <mergeCell ref="F245:G245"/>
    <mergeCell ref="H245:I245"/>
    <mergeCell ref="J245:K245"/>
    <mergeCell ref="D249:E249"/>
    <mergeCell ref="F249:G249"/>
    <mergeCell ref="B250:C250"/>
    <mergeCell ref="D250:E250"/>
    <mergeCell ref="F250:G250"/>
    <mergeCell ref="H250:I250"/>
    <mergeCell ref="J250:K250"/>
    <mergeCell ref="B258:C258"/>
    <mergeCell ref="D258:E258"/>
    <mergeCell ref="F258:G258"/>
    <mergeCell ref="H258:I258"/>
    <mergeCell ref="J258:K258"/>
    <mergeCell ref="D259:E259"/>
    <mergeCell ref="J259:K259"/>
    <mergeCell ref="H261:I261"/>
    <mergeCell ref="J261:K261"/>
    <mergeCell ref="B259:C259"/>
    <mergeCell ref="B260:C260"/>
    <mergeCell ref="D260:E260"/>
    <mergeCell ref="F260:G260"/>
    <mergeCell ref="H260:I260"/>
    <mergeCell ref="J260:K260"/>
    <mergeCell ref="B261:C261"/>
    <mergeCell ref="F252:G252"/>
    <mergeCell ref="H252:I252"/>
    <mergeCell ref="B251:C251"/>
    <mergeCell ref="D251:E251"/>
    <mergeCell ref="F251:G251"/>
    <mergeCell ref="H251:I251"/>
    <mergeCell ref="J251:K251"/>
    <mergeCell ref="D252:E252"/>
    <mergeCell ref="J252:K252"/>
    <mergeCell ref="H255:I255"/>
    <mergeCell ref="J255:K255"/>
    <mergeCell ref="H256:I256"/>
    <mergeCell ref="J256:K256"/>
    <mergeCell ref="J257:K257"/>
    <mergeCell ref="B252:C252"/>
    <mergeCell ref="B254:C254"/>
    <mergeCell ref="D254:E254"/>
    <mergeCell ref="F254:G254"/>
    <mergeCell ref="H254:I254"/>
    <mergeCell ref="J254:K254"/>
    <mergeCell ref="B255:C255"/>
    <mergeCell ref="D255:E255"/>
    <mergeCell ref="F255:G255"/>
    <mergeCell ref="B256:C256"/>
    <mergeCell ref="D256:E256"/>
    <mergeCell ref="F256:G256"/>
    <mergeCell ref="B257:C257"/>
    <mergeCell ref="D257:I257"/>
    <mergeCell ref="F259:G259"/>
    <mergeCell ref="H259:I259"/>
    <mergeCell ref="D261:E261"/>
    <mergeCell ref="F261:G261"/>
    <mergeCell ref="B262:C262"/>
    <mergeCell ref="D262:E262"/>
    <mergeCell ref="F262:G262"/>
    <mergeCell ref="H262:I262"/>
    <mergeCell ref="J262:K262"/>
    <mergeCell ref="F264:G264"/>
    <mergeCell ref="H264:I264"/>
    <mergeCell ref="B263:C263"/>
    <mergeCell ref="D263:E263"/>
    <mergeCell ref="F263:G263"/>
    <mergeCell ref="H263:I263"/>
    <mergeCell ref="J263:K263"/>
    <mergeCell ref="D264:E264"/>
    <mergeCell ref="J264:K264"/>
    <mergeCell ref="F266:G266"/>
    <mergeCell ref="H266:I266"/>
    <mergeCell ref="J266:K266"/>
    <mergeCell ref="B264:C264"/>
    <mergeCell ref="B265:C265"/>
    <mergeCell ref="D265:E265"/>
    <mergeCell ref="F265:G265"/>
    <mergeCell ref="H265:I265"/>
    <mergeCell ref="B266:C266"/>
    <mergeCell ref="D266:E266"/>
    <mergeCell ref="F268:G268"/>
    <mergeCell ref="H268:I268"/>
    <mergeCell ref="D269:I269"/>
    <mergeCell ref="J269:K269"/>
    <mergeCell ref="B267:C267"/>
    <mergeCell ref="D267:E267"/>
    <mergeCell ref="F267:G267"/>
    <mergeCell ref="H267:I267"/>
    <mergeCell ref="J267:K267"/>
    <mergeCell ref="D268:E268"/>
    <mergeCell ref="J268:K268"/>
    <mergeCell ref="B268:C268"/>
    <mergeCell ref="B269:C269"/>
    <mergeCell ref="B270:C270"/>
    <mergeCell ref="D270:E270"/>
    <mergeCell ref="F270:G270"/>
    <mergeCell ref="H270:I270"/>
    <mergeCell ref="J270:K270"/>
    <mergeCell ref="F280:G280"/>
    <mergeCell ref="H280:I280"/>
    <mergeCell ref="B279:C279"/>
    <mergeCell ref="D279:E279"/>
    <mergeCell ref="F279:G279"/>
    <mergeCell ref="H279:I279"/>
    <mergeCell ref="J279:K279"/>
    <mergeCell ref="D280:E280"/>
    <mergeCell ref="J280:K280"/>
    <mergeCell ref="D282:I282"/>
    <mergeCell ref="J282:K282"/>
    <mergeCell ref="B280:C280"/>
    <mergeCell ref="B281:C281"/>
    <mergeCell ref="D281:E281"/>
    <mergeCell ref="F281:G281"/>
    <mergeCell ref="H281:I281"/>
    <mergeCell ref="J281:K281"/>
    <mergeCell ref="B282:C282"/>
    <mergeCell ref="F284:G284"/>
    <mergeCell ref="H284:I284"/>
    <mergeCell ref="B283:C283"/>
    <mergeCell ref="D283:E283"/>
    <mergeCell ref="F283:G283"/>
    <mergeCell ref="H283:I283"/>
    <mergeCell ref="J283:K283"/>
    <mergeCell ref="D284:E284"/>
    <mergeCell ref="J284:K284"/>
    <mergeCell ref="H286:I286"/>
    <mergeCell ref="J286:K286"/>
    <mergeCell ref="B284:C284"/>
    <mergeCell ref="B285:C285"/>
    <mergeCell ref="D285:E285"/>
    <mergeCell ref="F285:G285"/>
    <mergeCell ref="H285:I285"/>
    <mergeCell ref="J285:K285"/>
    <mergeCell ref="B286:C286"/>
    <mergeCell ref="F272:G272"/>
    <mergeCell ref="H272:I272"/>
    <mergeCell ref="B271:C271"/>
    <mergeCell ref="D271:E271"/>
    <mergeCell ref="F271:G271"/>
    <mergeCell ref="H271:I271"/>
    <mergeCell ref="J271:K271"/>
    <mergeCell ref="D272:E272"/>
    <mergeCell ref="J272:K272"/>
    <mergeCell ref="H274:I274"/>
    <mergeCell ref="J274:K274"/>
    <mergeCell ref="H275:I275"/>
    <mergeCell ref="J275:K275"/>
    <mergeCell ref="H276:I276"/>
    <mergeCell ref="J276:K276"/>
    <mergeCell ref="B272:C272"/>
    <mergeCell ref="B273:C273"/>
    <mergeCell ref="D273:E273"/>
    <mergeCell ref="F273:G273"/>
    <mergeCell ref="H273:I273"/>
    <mergeCell ref="J273:K273"/>
    <mergeCell ref="B274:C274"/>
    <mergeCell ref="B276:C276"/>
    <mergeCell ref="B277:C277"/>
    <mergeCell ref="D277:E277"/>
    <mergeCell ref="F277:G277"/>
    <mergeCell ref="H277:I277"/>
    <mergeCell ref="J277:K277"/>
    <mergeCell ref="D274:E274"/>
    <mergeCell ref="F274:G274"/>
    <mergeCell ref="B275:C275"/>
    <mergeCell ref="D275:E275"/>
    <mergeCell ref="F275:G275"/>
    <mergeCell ref="D276:E276"/>
    <mergeCell ref="F276:G276"/>
    <mergeCell ref="D286:E286"/>
    <mergeCell ref="F286:G286"/>
    <mergeCell ref="B287:C287"/>
    <mergeCell ref="D287:E287"/>
    <mergeCell ref="F287:G287"/>
    <mergeCell ref="H287:I287"/>
    <mergeCell ref="J287:K287"/>
    <mergeCell ref="F289:G289"/>
    <mergeCell ref="H289:I289"/>
    <mergeCell ref="B288:C288"/>
    <mergeCell ref="D288:E288"/>
    <mergeCell ref="F288:G288"/>
    <mergeCell ref="H288:I288"/>
    <mergeCell ref="J288:K288"/>
    <mergeCell ref="D289:E289"/>
    <mergeCell ref="J289:K289"/>
    <mergeCell ref="F291:G291"/>
    <mergeCell ref="H291:I291"/>
    <mergeCell ref="J291:K291"/>
    <mergeCell ref="B289:C289"/>
    <mergeCell ref="B290:C290"/>
    <mergeCell ref="D290:E290"/>
    <mergeCell ref="F290:G290"/>
    <mergeCell ref="H290:I290"/>
    <mergeCell ref="B291:C291"/>
    <mergeCell ref="D291:E291"/>
    <mergeCell ref="F293:G293"/>
    <mergeCell ref="H293:I293"/>
    <mergeCell ref="D294:I294"/>
    <mergeCell ref="J294:K294"/>
    <mergeCell ref="B292:C292"/>
    <mergeCell ref="D292:E292"/>
    <mergeCell ref="F292:G292"/>
    <mergeCell ref="H292:I292"/>
    <mergeCell ref="J292:K292"/>
    <mergeCell ref="D293:E293"/>
    <mergeCell ref="J293:K293"/>
    <mergeCell ref="B293:C293"/>
    <mergeCell ref="B294:C294"/>
    <mergeCell ref="B295:C295"/>
    <mergeCell ref="D295:E295"/>
    <mergeCell ref="F295:G295"/>
    <mergeCell ref="H295:I295"/>
    <mergeCell ref="J295:K295"/>
    <mergeCell ref="F305:G305"/>
    <mergeCell ref="H305:I305"/>
    <mergeCell ref="B304:C304"/>
    <mergeCell ref="D304:E304"/>
    <mergeCell ref="F304:G304"/>
    <mergeCell ref="H304:I304"/>
    <mergeCell ref="J304:K304"/>
    <mergeCell ref="D305:E305"/>
    <mergeCell ref="J305:K305"/>
    <mergeCell ref="F309:G309"/>
    <mergeCell ref="H309:I309"/>
    <mergeCell ref="B308:C308"/>
    <mergeCell ref="D308:E308"/>
    <mergeCell ref="F308:G308"/>
    <mergeCell ref="H308:I308"/>
    <mergeCell ref="J308:K308"/>
    <mergeCell ref="D309:E309"/>
    <mergeCell ref="J309:K309"/>
    <mergeCell ref="B333:C333"/>
    <mergeCell ref="D333:E333"/>
    <mergeCell ref="F333:G333"/>
    <mergeCell ref="H333:I333"/>
    <mergeCell ref="J333:K333"/>
    <mergeCell ref="D334:E334"/>
    <mergeCell ref="J334:K334"/>
    <mergeCell ref="H336:I336"/>
    <mergeCell ref="J336:K336"/>
    <mergeCell ref="B334:C334"/>
    <mergeCell ref="B335:C335"/>
    <mergeCell ref="D335:E335"/>
    <mergeCell ref="F335:G335"/>
    <mergeCell ref="H335:I335"/>
    <mergeCell ref="J335:K335"/>
    <mergeCell ref="B336:C336"/>
    <mergeCell ref="F327:G327"/>
    <mergeCell ref="H327:I327"/>
    <mergeCell ref="B326:C326"/>
    <mergeCell ref="D326:E326"/>
    <mergeCell ref="F326:G326"/>
    <mergeCell ref="H326:I326"/>
    <mergeCell ref="J326:K326"/>
    <mergeCell ref="D327:E327"/>
    <mergeCell ref="J327:K327"/>
    <mergeCell ref="H330:I330"/>
    <mergeCell ref="J330:K330"/>
    <mergeCell ref="H331:I331"/>
    <mergeCell ref="J331:K331"/>
    <mergeCell ref="J332:K332"/>
    <mergeCell ref="B327:C327"/>
    <mergeCell ref="B329:C329"/>
    <mergeCell ref="D329:E329"/>
    <mergeCell ref="F329:G329"/>
    <mergeCell ref="H329:I329"/>
    <mergeCell ref="J329:K329"/>
    <mergeCell ref="B330:C330"/>
    <mergeCell ref="D330:E330"/>
    <mergeCell ref="F330:G330"/>
    <mergeCell ref="B331:C331"/>
    <mergeCell ref="D331:E331"/>
    <mergeCell ref="F331:G331"/>
    <mergeCell ref="B332:C332"/>
    <mergeCell ref="D332:I332"/>
    <mergeCell ref="F334:G334"/>
    <mergeCell ref="H334:I334"/>
    <mergeCell ref="D336:E336"/>
    <mergeCell ref="F336:G336"/>
    <mergeCell ref="B337:C337"/>
    <mergeCell ref="D337:E337"/>
    <mergeCell ref="F337:G337"/>
    <mergeCell ref="H337:I337"/>
    <mergeCell ref="J337:K337"/>
    <mergeCell ref="D307:I307"/>
    <mergeCell ref="J307:K307"/>
    <mergeCell ref="B305:C305"/>
    <mergeCell ref="B306:C306"/>
    <mergeCell ref="D306:E306"/>
    <mergeCell ref="F306:G306"/>
    <mergeCell ref="H306:I306"/>
    <mergeCell ref="J306:K306"/>
    <mergeCell ref="B307:C307"/>
    <mergeCell ref="H311:I311"/>
    <mergeCell ref="J311:K311"/>
    <mergeCell ref="B309:C309"/>
    <mergeCell ref="B310:C310"/>
    <mergeCell ref="D310:E310"/>
    <mergeCell ref="F310:G310"/>
    <mergeCell ref="H310:I310"/>
    <mergeCell ref="J310:K310"/>
    <mergeCell ref="B311:C311"/>
    <mergeCell ref="F297:G297"/>
    <mergeCell ref="H297:I297"/>
    <mergeCell ref="B296:C296"/>
    <mergeCell ref="D296:E296"/>
    <mergeCell ref="F296:G296"/>
    <mergeCell ref="H296:I296"/>
    <mergeCell ref="J296:K296"/>
    <mergeCell ref="D297:E297"/>
    <mergeCell ref="J297:K297"/>
    <mergeCell ref="H299:I299"/>
    <mergeCell ref="J299:K299"/>
    <mergeCell ref="H300:I300"/>
    <mergeCell ref="J300:K300"/>
    <mergeCell ref="H301:I301"/>
    <mergeCell ref="J301:K301"/>
    <mergeCell ref="B297:C297"/>
    <mergeCell ref="B298:C298"/>
    <mergeCell ref="D298:E298"/>
    <mergeCell ref="F298:G298"/>
    <mergeCell ref="H298:I298"/>
    <mergeCell ref="J298:K298"/>
    <mergeCell ref="B299:C299"/>
    <mergeCell ref="B301:C301"/>
    <mergeCell ref="B302:C302"/>
    <mergeCell ref="D302:E302"/>
    <mergeCell ref="F302:G302"/>
    <mergeCell ref="H302:I302"/>
    <mergeCell ref="J302:K302"/>
    <mergeCell ref="D299:E299"/>
    <mergeCell ref="F299:G299"/>
    <mergeCell ref="B300:C300"/>
    <mergeCell ref="D300:E300"/>
    <mergeCell ref="F300:G300"/>
    <mergeCell ref="D301:E301"/>
    <mergeCell ref="F301:G301"/>
    <mergeCell ref="D311:E311"/>
    <mergeCell ref="F311:G311"/>
    <mergeCell ref="B312:C312"/>
    <mergeCell ref="D312:E312"/>
    <mergeCell ref="F312:G312"/>
    <mergeCell ref="H312:I312"/>
    <mergeCell ref="J312:K312"/>
    <mergeCell ref="F322:G322"/>
    <mergeCell ref="H322:I322"/>
    <mergeCell ref="B321:C321"/>
    <mergeCell ref="D321:E321"/>
    <mergeCell ref="F321:G321"/>
    <mergeCell ref="H321:I321"/>
    <mergeCell ref="J321:K321"/>
    <mergeCell ref="D322:E322"/>
    <mergeCell ref="J322:K322"/>
    <mergeCell ref="H324:I324"/>
    <mergeCell ref="J324:K324"/>
    <mergeCell ref="B322:C322"/>
    <mergeCell ref="B323:C323"/>
    <mergeCell ref="D323:E323"/>
    <mergeCell ref="F323:G323"/>
    <mergeCell ref="H323:I323"/>
    <mergeCell ref="J323:K323"/>
    <mergeCell ref="B324:C324"/>
    <mergeCell ref="B313:C313"/>
    <mergeCell ref="D313:E313"/>
    <mergeCell ref="F313:G313"/>
    <mergeCell ref="H313:I313"/>
    <mergeCell ref="J313:K313"/>
    <mergeCell ref="B314:C314"/>
    <mergeCell ref="D314:E314"/>
    <mergeCell ref="J314:K314"/>
    <mergeCell ref="F316:G316"/>
    <mergeCell ref="H316:I316"/>
    <mergeCell ref="J316:K316"/>
    <mergeCell ref="F314:G314"/>
    <mergeCell ref="H314:I314"/>
    <mergeCell ref="D315:E315"/>
    <mergeCell ref="F315:G315"/>
    <mergeCell ref="H315:I315"/>
    <mergeCell ref="B316:C316"/>
    <mergeCell ref="D316:E316"/>
    <mergeCell ref="F318:G318"/>
    <mergeCell ref="H318:I318"/>
    <mergeCell ref="D319:I319"/>
    <mergeCell ref="J319:K319"/>
    <mergeCell ref="B317:C317"/>
    <mergeCell ref="D317:E317"/>
    <mergeCell ref="F317:G317"/>
    <mergeCell ref="H317:I317"/>
    <mergeCell ref="J317:K317"/>
    <mergeCell ref="D318:E318"/>
    <mergeCell ref="J318:K318"/>
    <mergeCell ref="B318:C318"/>
    <mergeCell ref="B319:C319"/>
    <mergeCell ref="B320:C320"/>
    <mergeCell ref="D320:E320"/>
    <mergeCell ref="F320:G320"/>
    <mergeCell ref="H320:I320"/>
    <mergeCell ref="J320:K320"/>
    <mergeCell ref="D324:E324"/>
    <mergeCell ref="F324:G324"/>
    <mergeCell ref="B325:C325"/>
    <mergeCell ref="D325:E325"/>
    <mergeCell ref="F325:G325"/>
    <mergeCell ref="H325:I325"/>
    <mergeCell ref="J325:K325"/>
    <mergeCell ref="F339:G339"/>
    <mergeCell ref="H339:I339"/>
    <mergeCell ref="B338:C338"/>
    <mergeCell ref="D338:E338"/>
    <mergeCell ref="F338:G338"/>
    <mergeCell ref="H338:I338"/>
    <mergeCell ref="J338:K338"/>
    <mergeCell ref="D339:E339"/>
    <mergeCell ref="J339:K339"/>
    <mergeCell ref="H341:I341"/>
    <mergeCell ref="J341:K341"/>
    <mergeCell ref="B339:C339"/>
    <mergeCell ref="B340:C340"/>
    <mergeCell ref="D340:G340"/>
    <mergeCell ref="H340:I340"/>
    <mergeCell ref="B341:C341"/>
    <mergeCell ref="D341:E341"/>
    <mergeCell ref="F341:G341"/>
    <mergeCell ref="F343:G343"/>
    <mergeCell ref="H343:I343"/>
    <mergeCell ref="D344:I344"/>
    <mergeCell ref="J344:K344"/>
    <mergeCell ref="B342:C342"/>
    <mergeCell ref="D342:E342"/>
    <mergeCell ref="F342:G342"/>
    <mergeCell ref="H342:I342"/>
    <mergeCell ref="J342:K342"/>
    <mergeCell ref="D343:E343"/>
    <mergeCell ref="J343:K343"/>
    <mergeCell ref="B343:C343"/>
    <mergeCell ref="B344:C344"/>
    <mergeCell ref="B345:C345"/>
    <mergeCell ref="D345:E345"/>
    <mergeCell ref="F345:G345"/>
    <mergeCell ref="H345:I345"/>
    <mergeCell ref="J345:K345"/>
  </mergeCell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7.0"/>
    <col customWidth="1" min="3" max="3" width="16.38"/>
    <col customWidth="1" min="4" max="4" width="25.5"/>
    <col customWidth="1" min="5" max="5" width="13.5"/>
  </cols>
  <sheetData>
    <row r="1" ht="22.5" customHeight="1">
      <c r="B1" s="477" t="s">
        <v>1321</v>
      </c>
      <c r="C1" s="478" t="s">
        <v>1322</v>
      </c>
      <c r="D1" s="478" t="s">
        <v>1323</v>
      </c>
      <c r="E1" s="478" t="s">
        <v>1324</v>
      </c>
    </row>
    <row r="2" ht="22.5" hidden="1" customHeight="1">
      <c r="B2" s="479">
        <v>46072.0</v>
      </c>
      <c r="C2" s="480" t="s">
        <v>94</v>
      </c>
      <c r="D2" s="480" t="s">
        <v>1325</v>
      </c>
      <c r="E2" s="480">
        <v>300.0</v>
      </c>
    </row>
    <row r="3" ht="22.5" hidden="1" customHeight="1">
      <c r="B3" s="481">
        <v>46073.0</v>
      </c>
      <c r="C3" s="482" t="s">
        <v>1326</v>
      </c>
      <c r="D3" s="482" t="s">
        <v>933</v>
      </c>
      <c r="E3" s="482">
        <v>500.0</v>
      </c>
    </row>
    <row r="4" ht="22.5" hidden="1" customHeight="1">
      <c r="B4" s="483">
        <v>46076.0</v>
      </c>
      <c r="C4" s="484" t="s">
        <v>373</v>
      </c>
      <c r="D4" s="484" t="s">
        <v>1327</v>
      </c>
      <c r="E4" s="484">
        <v>1000.0</v>
      </c>
    </row>
    <row r="5" ht="22.5" hidden="1" customHeight="1">
      <c r="B5" s="485">
        <v>46077.0</v>
      </c>
      <c r="C5" s="486" t="s">
        <v>313</v>
      </c>
      <c r="D5" s="486" t="s">
        <v>682</v>
      </c>
      <c r="E5" s="486">
        <v>900.0</v>
      </c>
    </row>
    <row r="6" ht="22.5" hidden="1" customHeight="1">
      <c r="B6" s="487">
        <v>46077.0</v>
      </c>
      <c r="C6" s="488" t="s">
        <v>66</v>
      </c>
      <c r="D6" s="488" t="s">
        <v>1328</v>
      </c>
      <c r="E6" s="489">
        <v>1600.0</v>
      </c>
    </row>
    <row r="7" ht="22.5" hidden="1" customHeight="1">
      <c r="B7" s="487">
        <v>46077.0</v>
      </c>
      <c r="C7" s="488" t="s">
        <v>66</v>
      </c>
      <c r="D7" s="488" t="s">
        <v>677</v>
      </c>
      <c r="E7" s="488">
        <v>1000.0</v>
      </c>
    </row>
    <row r="8" ht="22.5" hidden="1" customHeight="1">
      <c r="B8" s="487">
        <v>46077.0</v>
      </c>
      <c r="C8" s="488" t="s">
        <v>66</v>
      </c>
      <c r="D8" s="488" t="s">
        <v>1329</v>
      </c>
      <c r="E8" s="488">
        <v>500.0</v>
      </c>
    </row>
    <row r="9" ht="22.5" hidden="1" customHeight="1">
      <c r="B9" s="485">
        <v>46078.0</v>
      </c>
      <c r="C9" s="486" t="s">
        <v>8</v>
      </c>
      <c r="D9" s="486" t="s">
        <v>1330</v>
      </c>
      <c r="E9" s="486">
        <v>900.0</v>
      </c>
    </row>
    <row r="10" ht="22.5" hidden="1" customHeight="1">
      <c r="B10" s="490"/>
      <c r="C10" s="491" t="s">
        <v>32</v>
      </c>
      <c r="D10" s="491" t="s">
        <v>1331</v>
      </c>
      <c r="E10" s="491">
        <v>400.0</v>
      </c>
    </row>
    <row r="11" ht="22.5" hidden="1" customHeight="1">
      <c r="B11" s="492">
        <v>46079.0</v>
      </c>
      <c r="C11" s="493" t="s">
        <v>17</v>
      </c>
      <c r="D11" s="493" t="s">
        <v>19</v>
      </c>
      <c r="E11" s="493" t="s">
        <v>1332</v>
      </c>
    </row>
    <row r="12" ht="22.5" hidden="1" customHeight="1">
      <c r="B12" s="492">
        <v>46079.0</v>
      </c>
      <c r="C12" s="493" t="s">
        <v>17</v>
      </c>
      <c r="D12" s="493" t="s">
        <v>41</v>
      </c>
      <c r="E12" s="493" t="s">
        <v>1332</v>
      </c>
    </row>
    <row r="13" ht="22.5" hidden="1" customHeight="1">
      <c r="B13" s="494">
        <v>46080.0</v>
      </c>
      <c r="C13" s="495" t="s">
        <v>52</v>
      </c>
      <c r="D13" s="495" t="s">
        <v>1333</v>
      </c>
      <c r="E13" s="495">
        <v>400.0</v>
      </c>
    </row>
    <row r="14" ht="22.5" hidden="1" customHeight="1">
      <c r="B14" s="496">
        <v>46080.0</v>
      </c>
      <c r="C14" s="497" t="s">
        <v>166</v>
      </c>
      <c r="D14" s="497" t="s">
        <v>1334</v>
      </c>
      <c r="E14" s="497">
        <v>150.0</v>
      </c>
    </row>
    <row r="15" ht="22.5" hidden="1" customHeight="1">
      <c r="B15" s="485">
        <v>46080.0</v>
      </c>
      <c r="C15" s="486" t="s">
        <v>56</v>
      </c>
      <c r="D15" s="486" t="s">
        <v>693</v>
      </c>
      <c r="E15" s="486">
        <v>600.0</v>
      </c>
    </row>
    <row r="16" ht="22.5" hidden="1" customHeight="1">
      <c r="B16" s="483">
        <v>46080.0</v>
      </c>
      <c r="C16" s="484" t="s">
        <v>18</v>
      </c>
      <c r="D16" s="484" t="s">
        <v>251</v>
      </c>
      <c r="E16" s="484">
        <v>1000.0</v>
      </c>
    </row>
    <row r="17" ht="22.5" hidden="1" customHeight="1">
      <c r="B17" s="485">
        <v>46080.0</v>
      </c>
      <c r="C17" s="486" t="s">
        <v>94</v>
      </c>
      <c r="D17" s="486" t="s">
        <v>1325</v>
      </c>
      <c r="E17" s="486">
        <v>3000.0</v>
      </c>
    </row>
    <row r="18" ht="22.5" hidden="1" customHeight="1">
      <c r="B18" s="498">
        <v>46080.0</v>
      </c>
      <c r="C18" s="499" t="s">
        <v>40</v>
      </c>
      <c r="D18" s="499" t="s">
        <v>958</v>
      </c>
      <c r="E18" s="499">
        <v>22.0</v>
      </c>
    </row>
    <row r="19" ht="22.5" hidden="1" customHeight="1">
      <c r="B19" s="498">
        <v>46080.0</v>
      </c>
      <c r="C19" s="499" t="s">
        <v>40</v>
      </c>
      <c r="D19" s="499" t="s">
        <v>412</v>
      </c>
      <c r="E19" s="499">
        <v>200.0</v>
      </c>
    </row>
    <row r="20" ht="22.5" hidden="1" customHeight="1">
      <c r="B20" s="494">
        <v>46084.0</v>
      </c>
      <c r="C20" s="495" t="s">
        <v>7</v>
      </c>
      <c r="D20" s="495" t="s">
        <v>684</v>
      </c>
      <c r="E20" s="495">
        <v>1600.0</v>
      </c>
    </row>
    <row r="21" ht="22.5" hidden="1" customHeight="1">
      <c r="B21" s="481">
        <v>46084.0</v>
      </c>
      <c r="C21" s="482" t="s">
        <v>699</v>
      </c>
      <c r="D21" s="482" t="s">
        <v>702</v>
      </c>
      <c r="E21" s="482">
        <v>1500.0</v>
      </c>
    </row>
    <row r="22" ht="22.5" hidden="1" customHeight="1">
      <c r="B22" s="500">
        <v>46086.0</v>
      </c>
      <c r="C22" s="501" t="s">
        <v>1335</v>
      </c>
      <c r="D22" s="501" t="s">
        <v>1325</v>
      </c>
      <c r="E22" s="501">
        <v>3000.0</v>
      </c>
    </row>
    <row r="23" ht="22.5" hidden="1" customHeight="1">
      <c r="B23" s="500">
        <v>46086.0</v>
      </c>
      <c r="C23" s="501" t="s">
        <v>1335</v>
      </c>
      <c r="D23" s="501" t="s">
        <v>1336</v>
      </c>
      <c r="E23" s="501">
        <v>2000.0</v>
      </c>
    </row>
    <row r="24" ht="22.5" hidden="1" customHeight="1">
      <c r="B24" s="500">
        <v>46086.0</v>
      </c>
      <c r="C24" s="501" t="s">
        <v>1335</v>
      </c>
      <c r="D24" s="501" t="s">
        <v>1337</v>
      </c>
      <c r="E24" s="501">
        <v>1000.0</v>
      </c>
    </row>
    <row r="25" ht="22.5" hidden="1" customHeight="1">
      <c r="B25" s="492">
        <v>46087.0</v>
      </c>
      <c r="C25" s="493" t="s">
        <v>17</v>
      </c>
      <c r="D25" s="493" t="s">
        <v>27</v>
      </c>
      <c r="E25" s="493">
        <v>1500.0</v>
      </c>
    </row>
    <row r="26" ht="22.5" hidden="1" customHeight="1">
      <c r="B26" s="492">
        <v>46087.0</v>
      </c>
      <c r="C26" s="493" t="s">
        <v>17</v>
      </c>
      <c r="D26" s="493" t="s">
        <v>1338</v>
      </c>
      <c r="E26" s="493">
        <v>1000.0</v>
      </c>
    </row>
    <row r="27" ht="22.5" hidden="1" customHeight="1">
      <c r="B27" s="492">
        <v>46059.0</v>
      </c>
      <c r="C27" s="493" t="s">
        <v>17</v>
      </c>
      <c r="D27" s="493" t="s">
        <v>1339</v>
      </c>
      <c r="E27" s="493">
        <v>1000.0</v>
      </c>
    </row>
    <row r="28" ht="22.5" hidden="1" customHeight="1">
      <c r="B28" s="496">
        <v>46087.0</v>
      </c>
      <c r="C28" s="497" t="s">
        <v>275</v>
      </c>
      <c r="D28" s="497" t="s">
        <v>1340</v>
      </c>
      <c r="E28" s="497">
        <v>500.0</v>
      </c>
    </row>
    <row r="29" ht="22.5" hidden="1" customHeight="1">
      <c r="B29" s="485">
        <v>46087.0</v>
      </c>
      <c r="C29" s="486" t="s">
        <v>62</v>
      </c>
      <c r="D29" s="486" t="s">
        <v>875</v>
      </c>
      <c r="E29" s="486">
        <v>650.0</v>
      </c>
    </row>
    <row r="30" ht="22.5" hidden="1" customHeight="1">
      <c r="B30" s="494">
        <v>46090.0</v>
      </c>
      <c r="C30" s="495" t="s">
        <v>1341</v>
      </c>
      <c r="D30" s="495" t="s">
        <v>1342</v>
      </c>
      <c r="E30" s="495">
        <v>3000.0</v>
      </c>
    </row>
    <row r="31" ht="22.5" hidden="1" customHeight="1">
      <c r="B31" s="494">
        <v>46090.0</v>
      </c>
      <c r="C31" s="495" t="s">
        <v>1341</v>
      </c>
      <c r="D31" s="495" t="s">
        <v>1343</v>
      </c>
      <c r="E31" s="495">
        <v>2400.0</v>
      </c>
    </row>
    <row r="32" ht="22.5" hidden="1" customHeight="1">
      <c r="B32" s="494">
        <v>46087.0</v>
      </c>
      <c r="C32" s="495" t="s">
        <v>1341</v>
      </c>
      <c r="D32" s="495" t="s">
        <v>1344</v>
      </c>
      <c r="E32" s="495">
        <v>3500.0</v>
      </c>
    </row>
    <row r="33" ht="22.5" hidden="1" customHeight="1">
      <c r="B33" s="500">
        <v>46087.0</v>
      </c>
      <c r="C33" s="501" t="s">
        <v>25</v>
      </c>
      <c r="D33" s="501" t="s">
        <v>1345</v>
      </c>
      <c r="E33" s="501">
        <v>500.0</v>
      </c>
    </row>
    <row r="34" ht="22.5" hidden="1" customHeight="1">
      <c r="B34" s="500">
        <v>46087.0</v>
      </c>
      <c r="C34" s="501" t="s">
        <v>25</v>
      </c>
      <c r="D34" s="501" t="s">
        <v>1346</v>
      </c>
      <c r="E34" s="501">
        <v>300.0</v>
      </c>
    </row>
    <row r="35" ht="22.5" hidden="1" customHeight="1">
      <c r="B35" s="498">
        <v>46091.0</v>
      </c>
      <c r="C35" s="499" t="s">
        <v>66</v>
      </c>
      <c r="D35" s="499" t="s">
        <v>1347</v>
      </c>
      <c r="E35" s="499">
        <v>1000.0</v>
      </c>
    </row>
    <row r="36" ht="22.5" hidden="1" customHeight="1">
      <c r="B36" s="481">
        <v>46091.0</v>
      </c>
      <c r="C36" s="482" t="s">
        <v>18</v>
      </c>
      <c r="D36" s="482" t="s">
        <v>727</v>
      </c>
      <c r="E36" s="482">
        <v>3000.0</v>
      </c>
    </row>
    <row r="37" ht="22.5" hidden="1" customHeight="1">
      <c r="B37" s="481">
        <v>46091.0</v>
      </c>
      <c r="C37" s="482" t="s">
        <v>18</v>
      </c>
      <c r="D37" s="482" t="s">
        <v>1348</v>
      </c>
      <c r="E37" s="482">
        <v>3000.0</v>
      </c>
    </row>
    <row r="38" ht="22.5" hidden="1" customHeight="1">
      <c r="B38" s="483">
        <v>46092.0</v>
      </c>
      <c r="C38" s="484" t="s">
        <v>151</v>
      </c>
      <c r="D38" s="484" t="s">
        <v>89</v>
      </c>
      <c r="E38" s="484">
        <v>200.0</v>
      </c>
    </row>
    <row r="39" ht="22.5" hidden="1" customHeight="1">
      <c r="B39" s="487">
        <v>46094.0</v>
      </c>
      <c r="C39" s="488" t="s">
        <v>94</v>
      </c>
      <c r="D39" s="488" t="s">
        <v>1349</v>
      </c>
      <c r="E39" s="488">
        <v>700.0</v>
      </c>
    </row>
    <row r="40" ht="22.5" hidden="1" customHeight="1">
      <c r="B40" s="487">
        <v>46094.0</v>
      </c>
      <c r="C40" s="488" t="s">
        <v>94</v>
      </c>
      <c r="D40" s="488" t="s">
        <v>1350</v>
      </c>
      <c r="E40" s="488">
        <v>750.0</v>
      </c>
    </row>
    <row r="41" ht="22.5" hidden="1" customHeight="1">
      <c r="B41" s="487">
        <v>46094.0</v>
      </c>
      <c r="C41" s="488" t="s">
        <v>94</v>
      </c>
      <c r="D41" s="488" t="s">
        <v>1351</v>
      </c>
      <c r="E41" s="488">
        <v>400.0</v>
      </c>
    </row>
    <row r="42" ht="22.5" hidden="1" customHeight="1">
      <c r="B42" s="481">
        <v>46094.0</v>
      </c>
      <c r="C42" s="482" t="s">
        <v>69</v>
      </c>
      <c r="D42" s="482" t="s">
        <v>739</v>
      </c>
      <c r="E42" s="482">
        <v>2100.0</v>
      </c>
    </row>
    <row r="43" ht="22.5" hidden="1" customHeight="1">
      <c r="B43" s="481">
        <v>46094.0</v>
      </c>
      <c r="C43" s="482" t="s">
        <v>69</v>
      </c>
      <c r="D43" s="482" t="s">
        <v>738</v>
      </c>
      <c r="E43" s="482">
        <v>2100.0</v>
      </c>
    </row>
    <row r="44" ht="22.5" hidden="1" customHeight="1">
      <c r="B44" s="502">
        <v>46094.0</v>
      </c>
      <c r="C44" s="503" t="s">
        <v>38</v>
      </c>
      <c r="D44" s="503" t="s">
        <v>42</v>
      </c>
      <c r="E44" s="503">
        <v>500.0</v>
      </c>
    </row>
    <row r="45" ht="22.5" hidden="1" customHeight="1">
      <c r="B45" s="502">
        <v>46094.0</v>
      </c>
      <c r="C45" s="503" t="s">
        <v>38</v>
      </c>
      <c r="D45" s="503" t="s">
        <v>1352</v>
      </c>
      <c r="E45" s="503">
        <v>500.0</v>
      </c>
    </row>
    <row r="46" ht="22.5" hidden="1" customHeight="1">
      <c r="B46" s="502">
        <v>46094.0</v>
      </c>
      <c r="C46" s="503" t="s">
        <v>38</v>
      </c>
      <c r="D46" s="503" t="s">
        <v>92</v>
      </c>
      <c r="E46" s="503">
        <v>1000.0</v>
      </c>
    </row>
    <row r="47" ht="22.5" hidden="1" customHeight="1">
      <c r="B47" s="483">
        <v>46094.0</v>
      </c>
      <c r="C47" s="484" t="s">
        <v>37</v>
      </c>
      <c r="D47" s="484" t="s">
        <v>27</v>
      </c>
      <c r="E47" s="484">
        <v>2000.0</v>
      </c>
    </row>
    <row r="48" ht="22.5" hidden="1" customHeight="1">
      <c r="B48" s="504">
        <v>46094.0</v>
      </c>
      <c r="C48" s="505" t="s">
        <v>125</v>
      </c>
      <c r="D48" s="505" t="s">
        <v>128</v>
      </c>
      <c r="E48" s="505">
        <v>100.0</v>
      </c>
    </row>
    <row r="49" ht="22.5" hidden="1" customHeight="1">
      <c r="B49" s="504">
        <v>46094.0</v>
      </c>
      <c r="C49" s="505" t="s">
        <v>125</v>
      </c>
      <c r="D49" s="505" t="s">
        <v>472</v>
      </c>
      <c r="E49" s="505">
        <v>770.0</v>
      </c>
    </row>
    <row r="50" ht="22.5" hidden="1" customHeight="1">
      <c r="B50" s="481">
        <v>46094.0</v>
      </c>
      <c r="C50" s="482" t="s">
        <v>69</v>
      </c>
      <c r="D50" s="482" t="s">
        <v>88</v>
      </c>
      <c r="E50" s="482">
        <v>3024.0</v>
      </c>
    </row>
    <row r="51" ht="22.5" hidden="1" customHeight="1">
      <c r="B51" s="481">
        <v>46094.0</v>
      </c>
      <c r="C51" s="482" t="s">
        <v>69</v>
      </c>
      <c r="D51" s="482" t="s">
        <v>90</v>
      </c>
      <c r="E51" s="482">
        <v>3024.0</v>
      </c>
    </row>
    <row r="52" ht="22.5" hidden="1" customHeight="1">
      <c r="B52" s="481">
        <v>46094.0</v>
      </c>
      <c r="C52" s="482" t="s">
        <v>69</v>
      </c>
      <c r="D52" s="482" t="s">
        <v>1353</v>
      </c>
      <c r="E52" s="482" t="s">
        <v>1332</v>
      </c>
    </row>
    <row r="53" ht="22.5" hidden="1" customHeight="1">
      <c r="B53" s="481">
        <v>46094.0</v>
      </c>
      <c r="C53" s="482" t="s">
        <v>69</v>
      </c>
      <c r="D53" s="482" t="s">
        <v>590</v>
      </c>
      <c r="E53" s="482" t="s">
        <v>1332</v>
      </c>
    </row>
    <row r="54" ht="22.5" hidden="1" customHeight="1">
      <c r="B54" s="502">
        <v>46094.0</v>
      </c>
      <c r="C54" s="503" t="s">
        <v>40</v>
      </c>
      <c r="D54" s="503" t="s">
        <v>1354</v>
      </c>
      <c r="E54" s="503">
        <v>300.0</v>
      </c>
    </row>
    <row r="55" ht="22.5" hidden="1" customHeight="1">
      <c r="B55" s="502">
        <v>46094.0</v>
      </c>
      <c r="C55" s="503" t="s">
        <v>40</v>
      </c>
      <c r="D55" s="503" t="s">
        <v>1355</v>
      </c>
      <c r="E55" s="503">
        <v>300.0</v>
      </c>
    </row>
    <row r="56" ht="22.5" hidden="1" customHeight="1">
      <c r="B56" s="502">
        <v>46094.0</v>
      </c>
      <c r="C56" s="503" t="s">
        <v>40</v>
      </c>
      <c r="D56" s="503" t="s">
        <v>1356</v>
      </c>
      <c r="E56" s="503" t="s">
        <v>1332</v>
      </c>
    </row>
    <row r="57" ht="22.5" hidden="1" customHeight="1">
      <c r="B57" s="500">
        <v>46097.0</v>
      </c>
      <c r="C57" s="501" t="s">
        <v>7</v>
      </c>
      <c r="D57" s="501" t="s">
        <v>730</v>
      </c>
      <c r="E57" s="501">
        <v>2000.0</v>
      </c>
    </row>
    <row r="58" ht="22.5" hidden="1" customHeight="1">
      <c r="B58" s="481">
        <v>46097.0</v>
      </c>
      <c r="C58" s="482" t="s">
        <v>1357</v>
      </c>
      <c r="D58" s="482" t="s">
        <v>445</v>
      </c>
      <c r="E58" s="482">
        <v>1000.0</v>
      </c>
    </row>
    <row r="59" ht="22.5" hidden="1" customHeight="1">
      <c r="B59" s="485">
        <v>46098.0</v>
      </c>
      <c r="C59" s="486" t="s">
        <v>207</v>
      </c>
      <c r="D59" s="486" t="s">
        <v>1358</v>
      </c>
      <c r="E59" s="486">
        <v>550.0</v>
      </c>
    </row>
    <row r="60" ht="22.5" hidden="1" customHeight="1">
      <c r="B60" s="487">
        <v>46098.0</v>
      </c>
      <c r="C60" s="488" t="s">
        <v>66</v>
      </c>
      <c r="D60" s="488" t="s">
        <v>771</v>
      </c>
      <c r="E60" s="488">
        <v>1000.0</v>
      </c>
    </row>
    <row r="61" ht="22.5" hidden="1" customHeight="1">
      <c r="B61" s="487">
        <v>46098.0</v>
      </c>
      <c r="C61" s="488" t="s">
        <v>66</v>
      </c>
      <c r="D61" s="488" t="s">
        <v>808</v>
      </c>
      <c r="E61" s="488">
        <v>1000.0</v>
      </c>
    </row>
    <row r="62" ht="22.5" hidden="1" customHeight="1">
      <c r="B62" s="500">
        <v>46099.0</v>
      </c>
      <c r="C62" s="501" t="s">
        <v>125</v>
      </c>
      <c r="D62" s="501" t="s">
        <v>128</v>
      </c>
      <c r="E62" s="501">
        <v>300.0</v>
      </c>
    </row>
    <row r="63" ht="22.5" hidden="1" customHeight="1">
      <c r="B63" s="479">
        <v>46098.0</v>
      </c>
      <c r="C63" s="480" t="s">
        <v>99</v>
      </c>
      <c r="D63" s="480" t="s">
        <v>752</v>
      </c>
      <c r="E63" s="480">
        <v>500.0</v>
      </c>
    </row>
    <row r="64" ht="22.5" hidden="1" customHeight="1">
      <c r="B64" s="483">
        <v>46099.0</v>
      </c>
      <c r="C64" s="484" t="s">
        <v>25</v>
      </c>
      <c r="D64" s="484" t="s">
        <v>1359</v>
      </c>
      <c r="E64" s="484">
        <v>1000.0</v>
      </c>
    </row>
    <row r="65" ht="22.5" hidden="1" customHeight="1">
      <c r="B65" s="483">
        <v>46099.0</v>
      </c>
      <c r="C65" s="484" t="s">
        <v>25</v>
      </c>
      <c r="D65" s="484" t="s">
        <v>1360</v>
      </c>
      <c r="E65" s="484">
        <v>300.0</v>
      </c>
    </row>
    <row r="66" ht="22.5" hidden="1" customHeight="1">
      <c r="B66" s="483">
        <v>46099.0</v>
      </c>
      <c r="C66" s="484" t="s">
        <v>25</v>
      </c>
      <c r="D66" s="484" t="s">
        <v>1361</v>
      </c>
      <c r="E66" s="484">
        <v>480.0</v>
      </c>
    </row>
    <row r="67" ht="22.5" hidden="1" customHeight="1">
      <c r="B67" s="483">
        <v>46099.0</v>
      </c>
      <c r="C67" s="484" t="s">
        <v>25</v>
      </c>
      <c r="D67" s="484" t="s">
        <v>1362</v>
      </c>
      <c r="E67" s="484">
        <v>500.0</v>
      </c>
    </row>
    <row r="68" ht="22.5" hidden="1" customHeight="1">
      <c r="B68" s="483">
        <v>46099.0</v>
      </c>
      <c r="C68" s="484" t="s">
        <v>25</v>
      </c>
      <c r="D68" s="484" t="s">
        <v>1363</v>
      </c>
      <c r="E68" s="484"/>
    </row>
    <row r="69" ht="22.5" hidden="1" customHeight="1">
      <c r="B69" s="498">
        <v>46101.0</v>
      </c>
      <c r="C69" s="499" t="s">
        <v>86</v>
      </c>
      <c r="D69" s="499" t="s">
        <v>1364</v>
      </c>
      <c r="E69" s="499">
        <v>500.0</v>
      </c>
    </row>
    <row r="70" ht="22.5" hidden="1" customHeight="1">
      <c r="B70" s="498">
        <v>46101.0</v>
      </c>
      <c r="C70" s="499" t="s">
        <v>86</v>
      </c>
      <c r="D70" s="499" t="s">
        <v>1365</v>
      </c>
      <c r="E70" s="499">
        <v>500.0</v>
      </c>
    </row>
    <row r="71" ht="22.5" hidden="1" customHeight="1">
      <c r="B71" s="481">
        <v>46101.0</v>
      </c>
      <c r="C71" s="482" t="s">
        <v>133</v>
      </c>
      <c r="D71" s="482" t="s">
        <v>1366</v>
      </c>
      <c r="E71" s="482">
        <v>300.0</v>
      </c>
    </row>
    <row r="72" ht="22.5" hidden="1" customHeight="1">
      <c r="B72" s="481">
        <v>46101.0</v>
      </c>
      <c r="C72" s="482" t="s">
        <v>133</v>
      </c>
      <c r="D72" s="482" t="s">
        <v>1367</v>
      </c>
      <c r="E72" s="482">
        <v>600.0</v>
      </c>
    </row>
    <row r="73" ht="22.5" hidden="1" customHeight="1">
      <c r="B73" s="504">
        <v>46101.0</v>
      </c>
      <c r="C73" s="505" t="s">
        <v>40</v>
      </c>
      <c r="D73" s="505" t="s">
        <v>1368</v>
      </c>
      <c r="E73" s="505">
        <v>500.0</v>
      </c>
    </row>
    <row r="74" ht="22.5" hidden="1" customHeight="1">
      <c r="B74" s="504">
        <v>46101.0</v>
      </c>
      <c r="C74" s="505" t="s">
        <v>40</v>
      </c>
      <c r="D74" s="505" t="s">
        <v>1369</v>
      </c>
      <c r="E74" s="505">
        <v>500.0</v>
      </c>
    </row>
    <row r="75" ht="22.5" hidden="1" customHeight="1">
      <c r="B75" s="504">
        <v>46101.0</v>
      </c>
      <c r="C75" s="505" t="s">
        <v>40</v>
      </c>
      <c r="D75" s="505" t="s">
        <v>791</v>
      </c>
      <c r="E75" s="505">
        <v>200.0</v>
      </c>
    </row>
    <row r="76" ht="22.5" hidden="1" customHeight="1">
      <c r="B76" s="504">
        <v>46101.0</v>
      </c>
      <c r="C76" s="505" t="s">
        <v>40</v>
      </c>
      <c r="D76" s="505" t="s">
        <v>1370</v>
      </c>
      <c r="E76" s="505">
        <v>200.0</v>
      </c>
    </row>
    <row r="77" ht="22.5" hidden="1" customHeight="1">
      <c r="B77" s="487">
        <v>46101.0</v>
      </c>
      <c r="C77" s="488" t="s">
        <v>151</v>
      </c>
      <c r="D77" s="488" t="s">
        <v>1371</v>
      </c>
      <c r="E77" s="488">
        <v>500.0</v>
      </c>
    </row>
    <row r="78" ht="22.5" hidden="1" customHeight="1">
      <c r="B78" s="487">
        <v>46101.0</v>
      </c>
      <c r="C78" s="488" t="s">
        <v>151</v>
      </c>
      <c r="D78" s="488" t="s">
        <v>89</v>
      </c>
      <c r="E78" s="488">
        <v>500.0</v>
      </c>
    </row>
    <row r="79" ht="22.5" hidden="1" customHeight="1">
      <c r="B79" s="487">
        <v>46101.0</v>
      </c>
      <c r="C79" s="488" t="s">
        <v>151</v>
      </c>
      <c r="D79" s="488" t="s">
        <v>704</v>
      </c>
      <c r="E79" s="488">
        <v>500.0</v>
      </c>
    </row>
    <row r="80" ht="22.5" hidden="1" customHeight="1">
      <c r="B80" s="479">
        <v>46101.0</v>
      </c>
      <c r="C80" s="480" t="s">
        <v>7</v>
      </c>
      <c r="D80" s="480" t="s">
        <v>716</v>
      </c>
      <c r="E80" s="480">
        <v>500.0</v>
      </c>
    </row>
    <row r="81" ht="22.5" hidden="1" customHeight="1">
      <c r="B81" s="479">
        <v>46101.0</v>
      </c>
      <c r="C81" s="480" t="s">
        <v>7</v>
      </c>
      <c r="D81" s="480" t="s">
        <v>1372</v>
      </c>
      <c r="E81" s="480" t="s">
        <v>1332</v>
      </c>
    </row>
    <row r="82" ht="22.5" hidden="1" customHeight="1">
      <c r="B82" s="492">
        <v>46101.0</v>
      </c>
      <c r="C82" s="493" t="s">
        <v>69</v>
      </c>
      <c r="D82" s="493" t="s">
        <v>590</v>
      </c>
      <c r="E82" s="493">
        <v>5300.0</v>
      </c>
    </row>
    <row r="83" ht="22.5" hidden="1" customHeight="1">
      <c r="B83" s="492">
        <v>46101.0</v>
      </c>
      <c r="C83" s="493" t="s">
        <v>69</v>
      </c>
      <c r="D83" s="493" t="s">
        <v>1373</v>
      </c>
      <c r="E83" s="493">
        <v>4000.0</v>
      </c>
    </row>
    <row r="84" ht="22.5" hidden="1" customHeight="1">
      <c r="B84" s="492">
        <v>46101.0</v>
      </c>
      <c r="C84" s="493" t="s">
        <v>69</v>
      </c>
      <c r="D84" s="493" t="s">
        <v>88</v>
      </c>
      <c r="E84" s="493">
        <v>3000.0</v>
      </c>
    </row>
    <row r="85" ht="22.5" hidden="1" customHeight="1">
      <c r="B85" s="492">
        <v>46101.0</v>
      </c>
      <c r="C85" s="493" t="s">
        <v>18</v>
      </c>
      <c r="D85" s="493" t="s">
        <v>1374</v>
      </c>
      <c r="E85" s="493">
        <v>1500.0</v>
      </c>
    </row>
    <row r="86" ht="22.5" hidden="1" customHeight="1">
      <c r="B86" s="496">
        <v>46101.0</v>
      </c>
      <c r="C86" s="497" t="s">
        <v>1341</v>
      </c>
      <c r="D86" s="497" t="s">
        <v>1375</v>
      </c>
      <c r="E86" s="497">
        <v>2600.0</v>
      </c>
    </row>
    <row r="87" ht="22.5" hidden="1" customHeight="1">
      <c r="B87" s="498">
        <v>46107.0</v>
      </c>
      <c r="C87" s="499" t="s">
        <v>86</v>
      </c>
      <c r="D87" s="499" t="s">
        <v>1364</v>
      </c>
      <c r="E87" s="499">
        <v>500.0</v>
      </c>
    </row>
    <row r="88" ht="22.5" hidden="1" customHeight="1">
      <c r="B88" s="498">
        <v>46107.0</v>
      </c>
      <c r="C88" s="499" t="s">
        <v>86</v>
      </c>
      <c r="D88" s="499" t="s">
        <v>1376</v>
      </c>
      <c r="E88" s="499">
        <v>500.0</v>
      </c>
    </row>
    <row r="89" ht="22.5" hidden="1" customHeight="1">
      <c r="B89" s="483">
        <v>46108.0</v>
      </c>
      <c r="C89" s="484" t="s">
        <v>18</v>
      </c>
      <c r="D89" s="484" t="s">
        <v>251</v>
      </c>
      <c r="E89" s="484">
        <v>1000.0</v>
      </c>
    </row>
    <row r="90" ht="22.5" hidden="1" customHeight="1">
      <c r="B90" s="483">
        <v>46108.0</v>
      </c>
      <c r="C90" s="484" t="s">
        <v>18</v>
      </c>
      <c r="D90" s="484" t="s">
        <v>704</v>
      </c>
      <c r="E90" s="484">
        <v>1500.0</v>
      </c>
    </row>
    <row r="91" ht="22.5" hidden="1" customHeight="1">
      <c r="B91" s="506">
        <v>46108.0</v>
      </c>
      <c r="C91" s="507" t="s">
        <v>145</v>
      </c>
      <c r="D91" s="507" t="s">
        <v>1377</v>
      </c>
      <c r="E91" s="507">
        <v>200.0</v>
      </c>
    </row>
    <row r="92" ht="22.5" hidden="1" customHeight="1">
      <c r="B92" s="494">
        <v>46108.0</v>
      </c>
      <c r="C92" s="495" t="s">
        <v>274</v>
      </c>
      <c r="D92" s="495" t="s">
        <v>1378</v>
      </c>
      <c r="E92" s="495">
        <v>300.0</v>
      </c>
    </row>
    <row r="93" ht="22.5" hidden="1" customHeight="1">
      <c r="B93" s="508">
        <v>46111.0</v>
      </c>
      <c r="C93" s="509" t="s">
        <v>166</v>
      </c>
      <c r="D93" s="509" t="s">
        <v>1342</v>
      </c>
      <c r="E93" s="509">
        <v>500.0</v>
      </c>
    </row>
    <row r="94" ht="22.5" hidden="1" customHeight="1">
      <c r="B94" s="492">
        <v>46111.0</v>
      </c>
      <c r="C94" s="493" t="s">
        <v>69</v>
      </c>
      <c r="D94" s="493" t="s">
        <v>1379</v>
      </c>
      <c r="E94" s="493">
        <v>3400.0</v>
      </c>
    </row>
    <row r="95" ht="22.5" hidden="1" customHeight="1">
      <c r="B95" s="492">
        <v>46111.0</v>
      </c>
      <c r="C95" s="493" t="s">
        <v>69</v>
      </c>
      <c r="D95" s="493" t="s">
        <v>1380</v>
      </c>
      <c r="E95" s="493">
        <v>4000.0</v>
      </c>
    </row>
    <row r="96" ht="22.5" hidden="1" customHeight="1">
      <c r="B96" s="508">
        <v>46111.0</v>
      </c>
      <c r="C96" s="509" t="s">
        <v>40</v>
      </c>
      <c r="D96" s="509" t="s">
        <v>1381</v>
      </c>
      <c r="E96" s="509">
        <v>200.0</v>
      </c>
    </row>
    <row r="97" ht="22.5" hidden="1" customHeight="1">
      <c r="B97" s="508">
        <v>46111.0</v>
      </c>
      <c r="C97" s="509" t="s">
        <v>40</v>
      </c>
      <c r="D97" s="509" t="s">
        <v>1382</v>
      </c>
      <c r="E97" s="509">
        <v>700.0</v>
      </c>
    </row>
    <row r="98" ht="22.5" hidden="1" customHeight="1">
      <c r="B98" s="502">
        <v>46111.0</v>
      </c>
      <c r="C98" s="503" t="s">
        <v>171</v>
      </c>
      <c r="D98" s="503" t="s">
        <v>173</v>
      </c>
      <c r="E98" s="503">
        <v>3000.0</v>
      </c>
    </row>
    <row r="99" ht="22.5" hidden="1" customHeight="1">
      <c r="B99" s="502">
        <v>46111.0</v>
      </c>
      <c r="C99" s="503" t="s">
        <v>171</v>
      </c>
      <c r="D99" s="503" t="s">
        <v>822</v>
      </c>
      <c r="E99" s="503">
        <v>2000.0</v>
      </c>
    </row>
    <row r="100" ht="22.5" hidden="1" customHeight="1">
      <c r="B100" s="481">
        <v>46111.0</v>
      </c>
      <c r="C100" s="482" t="s">
        <v>145</v>
      </c>
      <c r="D100" s="482" t="s">
        <v>1383</v>
      </c>
      <c r="E100" s="482">
        <v>550.0</v>
      </c>
    </row>
    <row r="101" ht="22.5" hidden="1" customHeight="1">
      <c r="B101" s="481">
        <v>46111.0</v>
      </c>
      <c r="C101" s="482" t="s">
        <v>145</v>
      </c>
      <c r="D101" s="482" t="s">
        <v>1384</v>
      </c>
      <c r="E101" s="482">
        <v>550.0</v>
      </c>
    </row>
    <row r="102" ht="22.5" hidden="1" customHeight="1">
      <c r="B102" s="487">
        <v>46112.0</v>
      </c>
      <c r="C102" s="488" t="s">
        <v>66</v>
      </c>
      <c r="D102" s="488" t="s">
        <v>1347</v>
      </c>
      <c r="E102" s="488">
        <v>300.0</v>
      </c>
    </row>
    <row r="103" ht="22.5" hidden="1" customHeight="1">
      <c r="B103" s="487">
        <v>46112.0</v>
      </c>
      <c r="C103" s="488" t="s">
        <v>66</v>
      </c>
      <c r="D103" s="488" t="s">
        <v>1385</v>
      </c>
      <c r="E103" s="488">
        <v>1000.0</v>
      </c>
    </row>
    <row r="104" ht="22.5" hidden="1" customHeight="1">
      <c r="B104" s="500">
        <v>46111.0</v>
      </c>
      <c r="C104" s="501" t="s">
        <v>99</v>
      </c>
      <c r="D104" s="501" t="s">
        <v>1386</v>
      </c>
      <c r="E104" s="501">
        <v>500.0</v>
      </c>
    </row>
    <row r="105" ht="22.5" hidden="1" customHeight="1">
      <c r="B105" s="500">
        <v>46111.0</v>
      </c>
      <c r="C105" s="501" t="s">
        <v>99</v>
      </c>
      <c r="D105" s="501" t="s">
        <v>1387</v>
      </c>
      <c r="E105" s="501">
        <v>500.0</v>
      </c>
    </row>
    <row r="106" ht="22.5" hidden="1" customHeight="1">
      <c r="B106" s="500">
        <v>46111.0</v>
      </c>
      <c r="C106" s="501" t="s">
        <v>99</v>
      </c>
      <c r="D106" s="501" t="s">
        <v>1388</v>
      </c>
      <c r="E106" s="501">
        <v>500.0</v>
      </c>
    </row>
    <row r="107" ht="22.5" hidden="1" customHeight="1">
      <c r="B107" s="500">
        <v>46111.0</v>
      </c>
      <c r="C107" s="501" t="s">
        <v>99</v>
      </c>
      <c r="D107" s="501" t="s">
        <v>1389</v>
      </c>
      <c r="E107" s="501">
        <v>500.0</v>
      </c>
    </row>
    <row r="108" ht="22.5" hidden="1" customHeight="1">
      <c r="B108" s="500">
        <v>46111.0</v>
      </c>
      <c r="C108" s="501" t="s">
        <v>99</v>
      </c>
      <c r="D108" s="501" t="s">
        <v>1390</v>
      </c>
      <c r="E108" s="501">
        <v>500.0</v>
      </c>
    </row>
    <row r="109" ht="22.5" hidden="1" customHeight="1">
      <c r="B109" s="492">
        <v>46113.0</v>
      </c>
      <c r="C109" s="493" t="s">
        <v>211</v>
      </c>
      <c r="D109" s="493" t="s">
        <v>1391</v>
      </c>
      <c r="E109" s="493">
        <v>3000.0</v>
      </c>
    </row>
    <row r="110" ht="22.5" hidden="1" customHeight="1">
      <c r="B110" s="483">
        <v>46118.0</v>
      </c>
      <c r="C110" s="484" t="s">
        <v>196</v>
      </c>
      <c r="D110" s="484" t="s">
        <v>1392</v>
      </c>
      <c r="E110" s="484">
        <v>1000.0</v>
      </c>
    </row>
    <row r="111" ht="22.5" hidden="1" customHeight="1">
      <c r="B111" s="483">
        <v>46118.0</v>
      </c>
      <c r="C111" s="484" t="s">
        <v>196</v>
      </c>
      <c r="D111" s="484" t="s">
        <v>548</v>
      </c>
      <c r="E111" s="484">
        <v>1000.0</v>
      </c>
    </row>
    <row r="112" ht="22.5" hidden="1" customHeight="1">
      <c r="B112" s="479">
        <v>46118.0</v>
      </c>
      <c r="C112" s="480" t="s">
        <v>8</v>
      </c>
      <c r="D112" s="480" t="s">
        <v>838</v>
      </c>
      <c r="E112" s="480">
        <v>300.0</v>
      </c>
    </row>
    <row r="113" ht="22.5" hidden="1" customHeight="1">
      <c r="B113" s="479">
        <v>46118.0</v>
      </c>
      <c r="C113" s="480" t="s">
        <v>8</v>
      </c>
      <c r="D113" s="480" t="s">
        <v>1393</v>
      </c>
      <c r="E113" s="480">
        <v>500.0</v>
      </c>
    </row>
    <row r="114" ht="22.5" hidden="1" customHeight="1">
      <c r="B114" s="479">
        <v>46118.0</v>
      </c>
      <c r="C114" s="480" t="s">
        <v>8</v>
      </c>
      <c r="D114" s="480" t="s">
        <v>1394</v>
      </c>
      <c r="E114" s="480">
        <v>500.0</v>
      </c>
    </row>
    <row r="115" ht="22.5" hidden="1" customHeight="1">
      <c r="B115" s="485">
        <v>46118.0</v>
      </c>
      <c r="C115" s="486" t="s">
        <v>205</v>
      </c>
      <c r="D115" s="486" t="s">
        <v>1395</v>
      </c>
      <c r="E115" s="486">
        <v>500.0</v>
      </c>
    </row>
    <row r="116" ht="22.5" hidden="1" customHeight="1">
      <c r="B116" s="494">
        <v>46119.0</v>
      </c>
      <c r="C116" s="495" t="s">
        <v>66</v>
      </c>
      <c r="D116" s="495" t="s">
        <v>1396</v>
      </c>
      <c r="E116" s="495">
        <v>1000.0</v>
      </c>
    </row>
    <row r="117" ht="22.5" hidden="1" customHeight="1">
      <c r="B117" s="494">
        <v>46119.0</v>
      </c>
      <c r="C117" s="495" t="s">
        <v>66</v>
      </c>
      <c r="D117" s="495" t="s">
        <v>1385</v>
      </c>
      <c r="E117" s="495">
        <v>200.0</v>
      </c>
    </row>
    <row r="118" ht="22.5" hidden="1" customHeight="1">
      <c r="B118" s="502">
        <v>46119.0</v>
      </c>
      <c r="C118" s="503" t="s">
        <v>7</v>
      </c>
      <c r="D118" s="503" t="s">
        <v>1372</v>
      </c>
      <c r="E118" s="503">
        <v>1000.0</v>
      </c>
    </row>
    <row r="119" ht="22.5" hidden="1" customHeight="1">
      <c r="B119" s="510" t="s">
        <v>1397</v>
      </c>
      <c r="C119" s="488" t="s">
        <v>210</v>
      </c>
      <c r="D119" s="488" t="s">
        <v>852</v>
      </c>
      <c r="E119" s="488">
        <v>1000.0</v>
      </c>
    </row>
    <row r="120" ht="22.5" hidden="1" customHeight="1">
      <c r="B120" s="483">
        <v>46125.0</v>
      </c>
      <c r="C120" s="484" t="s">
        <v>69</v>
      </c>
      <c r="D120" s="484" t="s">
        <v>1398</v>
      </c>
      <c r="E120" s="484">
        <v>5000.0</v>
      </c>
    </row>
    <row r="121" ht="22.5" hidden="1" customHeight="1">
      <c r="B121" s="483">
        <v>46125.0</v>
      </c>
      <c r="C121" s="484" t="s">
        <v>69</v>
      </c>
      <c r="D121" s="484" t="s">
        <v>875</v>
      </c>
      <c r="E121" s="484">
        <v>5000.0</v>
      </c>
    </row>
    <row r="122" ht="22.5" hidden="1" customHeight="1">
      <c r="B122" s="492">
        <v>46127.0</v>
      </c>
      <c r="C122" s="493" t="s">
        <v>211</v>
      </c>
      <c r="D122" s="493" t="s">
        <v>471</v>
      </c>
      <c r="E122" s="493">
        <v>200.0</v>
      </c>
    </row>
    <row r="123" ht="22.5" hidden="1" customHeight="1">
      <c r="B123" s="492">
        <v>46127.0</v>
      </c>
      <c r="C123" s="493" t="s">
        <v>211</v>
      </c>
      <c r="D123" s="493" t="s">
        <v>483</v>
      </c>
      <c r="E123" s="493">
        <v>2400.0</v>
      </c>
    </row>
    <row r="124" ht="22.5" hidden="1" customHeight="1">
      <c r="B124" s="492">
        <v>46127.0</v>
      </c>
      <c r="C124" s="493" t="s">
        <v>211</v>
      </c>
      <c r="D124" s="493" t="s">
        <v>872</v>
      </c>
      <c r="E124" s="493" t="s">
        <v>1399</v>
      </c>
    </row>
    <row r="125" ht="22.5" hidden="1" customHeight="1">
      <c r="B125" s="479">
        <v>46127.0</v>
      </c>
      <c r="C125" s="480" t="s">
        <v>205</v>
      </c>
      <c r="D125" s="480" t="s">
        <v>1395</v>
      </c>
      <c r="E125" s="480">
        <v>500.0</v>
      </c>
    </row>
    <row r="126" ht="22.5" hidden="1" customHeight="1">
      <c r="B126" s="483">
        <v>46127.0</v>
      </c>
      <c r="C126" s="484" t="s">
        <v>69</v>
      </c>
      <c r="D126" s="484" t="s">
        <v>1400</v>
      </c>
      <c r="E126" s="484">
        <v>7000.0</v>
      </c>
    </row>
    <row r="127" ht="22.5" hidden="1" customHeight="1">
      <c r="B127" s="483">
        <v>46127.0</v>
      </c>
      <c r="C127" s="484" t="s">
        <v>69</v>
      </c>
      <c r="D127" s="484" t="s">
        <v>1353</v>
      </c>
      <c r="E127" s="484">
        <v>6000.0</v>
      </c>
    </row>
    <row r="128" ht="22.5" hidden="1" customHeight="1">
      <c r="B128" s="483">
        <v>46127.0</v>
      </c>
      <c r="C128" s="484" t="s">
        <v>69</v>
      </c>
      <c r="D128" s="484" t="s">
        <v>21</v>
      </c>
      <c r="E128" s="484">
        <v>4000.0</v>
      </c>
    </row>
    <row r="129" ht="22.5" hidden="1" customHeight="1">
      <c r="B129" s="481">
        <v>46127.0</v>
      </c>
      <c r="C129" s="482" t="s">
        <v>207</v>
      </c>
      <c r="D129" s="482" t="s">
        <v>1401</v>
      </c>
      <c r="E129" s="482">
        <v>500.0</v>
      </c>
    </row>
    <row r="130" ht="22.5" hidden="1" customHeight="1">
      <c r="B130" s="481">
        <v>46127.0</v>
      </c>
      <c r="C130" s="482" t="s">
        <v>207</v>
      </c>
      <c r="D130" s="482" t="s">
        <v>1342</v>
      </c>
      <c r="E130" s="482">
        <v>500.0</v>
      </c>
    </row>
    <row r="131" ht="22.5" hidden="1" customHeight="1">
      <c r="B131" s="481">
        <v>46127.0</v>
      </c>
      <c r="C131" s="482" t="s">
        <v>207</v>
      </c>
      <c r="D131" s="482" t="s">
        <v>1402</v>
      </c>
      <c r="E131" s="482">
        <v>500.0</v>
      </c>
    </row>
    <row r="132" ht="22.5" hidden="1" customHeight="1">
      <c r="B132" s="481">
        <v>46127.0</v>
      </c>
      <c r="C132" s="482" t="s">
        <v>207</v>
      </c>
      <c r="D132" s="482" t="s">
        <v>1403</v>
      </c>
      <c r="E132" s="482">
        <v>500.0</v>
      </c>
    </row>
    <row r="133" ht="22.5" hidden="1" customHeight="1">
      <c r="B133" s="483">
        <v>46129.0</v>
      </c>
      <c r="C133" s="484" t="s">
        <v>69</v>
      </c>
      <c r="D133" s="484" t="s">
        <v>1404</v>
      </c>
      <c r="E133" s="484">
        <v>2000.0</v>
      </c>
    </row>
    <row r="134" ht="22.5" hidden="1" customHeight="1">
      <c r="B134" s="483">
        <v>46129.0</v>
      </c>
      <c r="C134" s="484" t="s">
        <v>69</v>
      </c>
      <c r="D134" s="484" t="s">
        <v>1405</v>
      </c>
      <c r="E134" s="484">
        <v>2000.0</v>
      </c>
    </row>
    <row r="135" ht="22.5" hidden="1" customHeight="1">
      <c r="B135" s="479">
        <v>46129.0</v>
      </c>
      <c r="C135" s="480" t="s">
        <v>40</v>
      </c>
      <c r="D135" s="480" t="s">
        <v>1406</v>
      </c>
      <c r="E135" s="480">
        <v>250.0</v>
      </c>
    </row>
    <row r="136" ht="22.5" hidden="1" customHeight="1">
      <c r="B136" s="479">
        <v>46129.0</v>
      </c>
      <c r="C136" s="480" t="s">
        <v>40</v>
      </c>
      <c r="D136" s="480" t="s">
        <v>1407</v>
      </c>
      <c r="E136" s="480">
        <v>250.0</v>
      </c>
    </row>
    <row r="137" ht="22.5" hidden="1" customHeight="1">
      <c r="B137" s="479">
        <v>46129.0</v>
      </c>
      <c r="C137" s="480" t="s">
        <v>40</v>
      </c>
      <c r="D137" s="480" t="s">
        <v>1408</v>
      </c>
      <c r="E137" s="480">
        <v>60.0</v>
      </c>
    </row>
    <row r="138" ht="22.5" hidden="1" customHeight="1">
      <c r="B138" s="487">
        <v>46129.0</v>
      </c>
      <c r="C138" s="488" t="s">
        <v>8</v>
      </c>
      <c r="D138" s="488" t="s">
        <v>1394</v>
      </c>
      <c r="E138" s="488">
        <v>1000.0</v>
      </c>
    </row>
    <row r="139" ht="22.5" hidden="1" customHeight="1">
      <c r="B139" s="500">
        <v>46129.0</v>
      </c>
      <c r="C139" s="501" t="s">
        <v>38</v>
      </c>
      <c r="D139" s="501" t="s">
        <v>1409</v>
      </c>
      <c r="E139" s="501">
        <v>3000.0</v>
      </c>
    </row>
    <row r="140" ht="22.5" hidden="1" customHeight="1">
      <c r="B140" s="500">
        <v>46129.0</v>
      </c>
      <c r="C140" s="501" t="s">
        <v>38</v>
      </c>
      <c r="D140" s="501" t="s">
        <v>1410</v>
      </c>
      <c r="E140" s="501">
        <v>3000.0</v>
      </c>
    </row>
    <row r="141" ht="22.5" hidden="1" customHeight="1">
      <c r="B141" s="500">
        <v>46129.0</v>
      </c>
      <c r="C141" s="501" t="s">
        <v>38</v>
      </c>
      <c r="D141" s="501" t="s">
        <v>881</v>
      </c>
      <c r="E141" s="501">
        <v>3000.0</v>
      </c>
    </row>
    <row r="142" ht="22.5" hidden="1" customHeight="1">
      <c r="B142" s="500">
        <v>46129.0</v>
      </c>
      <c r="C142" s="501" t="s">
        <v>38</v>
      </c>
      <c r="D142" s="501" t="s">
        <v>880</v>
      </c>
      <c r="E142" s="501">
        <v>3000.0</v>
      </c>
    </row>
    <row r="143" ht="22.5" hidden="1" customHeight="1">
      <c r="B143" s="487">
        <v>46132.0</v>
      </c>
      <c r="C143" s="488" t="s">
        <v>171</v>
      </c>
      <c r="D143" s="488" t="s">
        <v>1411</v>
      </c>
      <c r="E143" s="488">
        <v>2000.0</v>
      </c>
    </row>
    <row r="144" ht="22.5" hidden="1" customHeight="1">
      <c r="B144" s="487">
        <v>46132.0</v>
      </c>
      <c r="C144" s="488" t="s">
        <v>171</v>
      </c>
      <c r="D144" s="488" t="s">
        <v>1412</v>
      </c>
      <c r="E144" s="488">
        <v>2000.0</v>
      </c>
    </row>
    <row r="145" ht="22.5" hidden="1" customHeight="1">
      <c r="B145" s="487">
        <v>46132.0</v>
      </c>
      <c r="C145" s="488" t="s">
        <v>171</v>
      </c>
      <c r="D145" s="488" t="s">
        <v>1413</v>
      </c>
      <c r="E145" s="488">
        <v>2000.0</v>
      </c>
    </row>
    <row r="146" ht="22.5" hidden="1" customHeight="1">
      <c r="B146" s="500">
        <v>46132.0</v>
      </c>
      <c r="C146" s="501" t="s">
        <v>99</v>
      </c>
      <c r="D146" s="501" t="s">
        <v>1414</v>
      </c>
      <c r="E146" s="501">
        <v>500.0</v>
      </c>
    </row>
    <row r="147" ht="22.5" hidden="1" customHeight="1">
      <c r="B147" s="500">
        <v>46132.0</v>
      </c>
      <c r="C147" s="501" t="s">
        <v>99</v>
      </c>
      <c r="D147" s="501" t="s">
        <v>1386</v>
      </c>
      <c r="E147" s="501">
        <v>500.0</v>
      </c>
    </row>
    <row r="148" ht="22.5" hidden="1" customHeight="1">
      <c r="B148" s="481">
        <v>46133.0</v>
      </c>
      <c r="C148" s="482" t="s">
        <v>69</v>
      </c>
      <c r="D148" s="482" t="s">
        <v>1415</v>
      </c>
      <c r="E148" s="482">
        <v>1500.0</v>
      </c>
    </row>
    <row r="149" ht="22.5" hidden="1" customHeight="1">
      <c r="B149" s="481">
        <v>46133.0</v>
      </c>
      <c r="C149" s="482" t="s">
        <v>69</v>
      </c>
      <c r="D149" s="482" t="s">
        <v>1416</v>
      </c>
      <c r="E149" s="482">
        <v>1500.0</v>
      </c>
    </row>
    <row r="150" ht="22.5" hidden="1" customHeight="1">
      <c r="B150" s="479">
        <v>46135.0</v>
      </c>
      <c r="C150" s="480" t="s">
        <v>40</v>
      </c>
      <c r="D150" s="480" t="s">
        <v>910</v>
      </c>
      <c r="E150" s="480">
        <v>500.0</v>
      </c>
    </row>
    <row r="151" ht="22.5" hidden="1" customHeight="1">
      <c r="B151" s="511">
        <v>46136.0</v>
      </c>
      <c r="C151" s="512" t="s">
        <v>69</v>
      </c>
      <c r="D151" s="512" t="s">
        <v>1417</v>
      </c>
      <c r="E151" s="513">
        <v>7000.0</v>
      </c>
    </row>
    <row r="152" ht="22.5" hidden="1" customHeight="1">
      <c r="B152" s="511">
        <v>46136.0</v>
      </c>
      <c r="C152" s="512" t="s">
        <v>69</v>
      </c>
      <c r="D152" s="512" t="s">
        <v>1024</v>
      </c>
      <c r="E152" s="513" t="s">
        <v>1418</v>
      </c>
    </row>
    <row r="153" ht="22.5" hidden="1" customHeight="1">
      <c r="B153" s="511">
        <v>46136.0</v>
      </c>
      <c r="C153" s="512" t="s">
        <v>69</v>
      </c>
      <c r="D153" s="512" t="s">
        <v>1405</v>
      </c>
      <c r="E153" s="513" t="s">
        <v>1418</v>
      </c>
    </row>
    <row r="154" ht="22.5" hidden="1" customHeight="1">
      <c r="B154" s="511">
        <v>46136.0</v>
      </c>
      <c r="C154" s="512" t="s">
        <v>69</v>
      </c>
      <c r="D154" s="512" t="s">
        <v>251</v>
      </c>
      <c r="E154" s="513">
        <v>3800.0</v>
      </c>
    </row>
    <row r="155" ht="22.5" hidden="1" customHeight="1">
      <c r="B155" s="511">
        <v>46136.0</v>
      </c>
      <c r="C155" s="512" t="s">
        <v>69</v>
      </c>
      <c r="D155" s="512" t="s">
        <v>1419</v>
      </c>
      <c r="E155" s="513">
        <v>2000.0</v>
      </c>
    </row>
    <row r="156" ht="22.5" hidden="1" customHeight="1">
      <c r="B156" s="511">
        <v>46136.0</v>
      </c>
      <c r="C156" s="512" t="s">
        <v>69</v>
      </c>
      <c r="D156" s="512" t="s">
        <v>1415</v>
      </c>
      <c r="E156" s="513">
        <v>2000.0</v>
      </c>
    </row>
    <row r="157" ht="22.5" hidden="1" customHeight="1">
      <c r="B157" s="514">
        <v>46136.0</v>
      </c>
      <c r="C157" s="515" t="s">
        <v>1341</v>
      </c>
      <c r="D157" s="515" t="s">
        <v>1420</v>
      </c>
      <c r="E157" s="516">
        <v>1000.0</v>
      </c>
    </row>
    <row r="158" ht="22.5" hidden="1" customHeight="1">
      <c r="B158" s="504">
        <v>46136.0</v>
      </c>
      <c r="C158" s="505" t="s">
        <v>275</v>
      </c>
      <c r="D158" s="505" t="s">
        <v>684</v>
      </c>
      <c r="E158" s="505">
        <v>700.0</v>
      </c>
    </row>
    <row r="159" ht="22.5" hidden="1" customHeight="1">
      <c r="B159" s="483">
        <v>46139.0</v>
      </c>
      <c r="C159" s="484" t="s">
        <v>1421</v>
      </c>
      <c r="D159" s="484" t="s">
        <v>295</v>
      </c>
      <c r="E159" s="484">
        <v>1600.0</v>
      </c>
    </row>
    <row r="160" ht="22.5" hidden="1" customHeight="1">
      <c r="B160" s="500">
        <v>46139.0</v>
      </c>
      <c r="C160" s="501" t="s">
        <v>18</v>
      </c>
      <c r="D160" s="501" t="s">
        <v>330</v>
      </c>
      <c r="E160" s="501">
        <v>2000.0</v>
      </c>
    </row>
    <row r="161" ht="22.5" hidden="1" customHeight="1">
      <c r="B161" s="494">
        <v>46139.0</v>
      </c>
      <c r="C161" s="495" t="s">
        <v>1341</v>
      </c>
      <c r="D161" s="495" t="s">
        <v>1422</v>
      </c>
      <c r="E161" s="495">
        <v>1000.0</v>
      </c>
    </row>
    <row r="162" ht="22.5" hidden="1" customHeight="1">
      <c r="B162" s="494">
        <v>46139.0</v>
      </c>
      <c r="C162" s="495" t="s">
        <v>1341</v>
      </c>
      <c r="D162" s="495" t="s">
        <v>1423</v>
      </c>
      <c r="E162" s="495">
        <v>1000.0</v>
      </c>
    </row>
    <row r="163" ht="22.5" hidden="1" customHeight="1">
      <c r="B163" s="504">
        <v>46141.0</v>
      </c>
      <c r="C163" s="505" t="s">
        <v>38</v>
      </c>
      <c r="D163" s="505" t="s">
        <v>880</v>
      </c>
      <c r="E163" s="505">
        <v>3000.0</v>
      </c>
    </row>
    <row r="164" ht="22.5" hidden="1" customHeight="1">
      <c r="B164" s="487">
        <v>46140.0</v>
      </c>
      <c r="C164" s="488" t="s">
        <v>284</v>
      </c>
      <c r="D164" s="488" t="s">
        <v>286</v>
      </c>
      <c r="E164" s="488">
        <v>1000.0</v>
      </c>
    </row>
    <row r="165" ht="22.5" hidden="1" customHeight="1">
      <c r="B165" s="494">
        <v>46141.0</v>
      </c>
      <c r="C165" s="495" t="s">
        <v>1341</v>
      </c>
      <c r="D165" s="495" t="s">
        <v>1424</v>
      </c>
      <c r="E165" s="495">
        <v>1000.0</v>
      </c>
    </row>
    <row r="166" ht="22.5" hidden="1" customHeight="1">
      <c r="B166" s="483">
        <v>46142.0</v>
      </c>
      <c r="C166" s="484" t="s">
        <v>313</v>
      </c>
      <c r="D166" s="484" t="s">
        <v>1425</v>
      </c>
      <c r="E166" s="484">
        <v>720.0</v>
      </c>
    </row>
    <row r="167" ht="22.5" hidden="1" customHeight="1">
      <c r="B167" s="483">
        <v>46142.0</v>
      </c>
      <c r="C167" s="484" t="s">
        <v>313</v>
      </c>
      <c r="D167" s="484" t="s">
        <v>1426</v>
      </c>
      <c r="E167" s="484">
        <v>240.0</v>
      </c>
    </row>
    <row r="168" ht="22.5" hidden="1" customHeight="1">
      <c r="B168" s="479">
        <v>46142.0</v>
      </c>
      <c r="C168" s="480" t="s">
        <v>205</v>
      </c>
      <c r="D168" s="480" t="s">
        <v>351</v>
      </c>
      <c r="E168" s="480" t="s">
        <v>1427</v>
      </c>
    </row>
    <row r="169" ht="22.5" hidden="1" customHeight="1">
      <c r="B169" s="479">
        <v>46142.0</v>
      </c>
      <c r="C169" s="480" t="s">
        <v>205</v>
      </c>
      <c r="D169" s="480" t="s">
        <v>1428</v>
      </c>
      <c r="E169" s="480">
        <v>500.0</v>
      </c>
    </row>
    <row r="170" ht="22.5" hidden="1" customHeight="1">
      <c r="B170" s="494">
        <v>46142.0</v>
      </c>
      <c r="C170" s="495" t="s">
        <v>274</v>
      </c>
      <c r="D170" s="495" t="s">
        <v>852</v>
      </c>
      <c r="E170" s="495">
        <v>300.0</v>
      </c>
    </row>
    <row r="171" ht="22.5" hidden="1" customHeight="1">
      <c r="B171" s="494">
        <v>46142.0</v>
      </c>
      <c r="C171" s="495" t="s">
        <v>274</v>
      </c>
      <c r="D171" s="495" t="s">
        <v>1348</v>
      </c>
      <c r="E171" s="495">
        <v>300.0</v>
      </c>
    </row>
    <row r="172" ht="22.5" hidden="1" customHeight="1">
      <c r="B172" s="492">
        <v>46142.0</v>
      </c>
      <c r="C172" s="493" t="s">
        <v>99</v>
      </c>
      <c r="D172" s="493" t="s">
        <v>1429</v>
      </c>
      <c r="E172" s="493">
        <v>500.0</v>
      </c>
    </row>
    <row r="173" ht="22.5" hidden="1" customHeight="1">
      <c r="B173" s="492">
        <v>46142.0</v>
      </c>
      <c r="C173" s="493" t="s">
        <v>99</v>
      </c>
      <c r="D173" s="493" t="s">
        <v>1390</v>
      </c>
      <c r="E173" s="493">
        <v>500.0</v>
      </c>
    </row>
    <row r="174" ht="22.5" hidden="1" customHeight="1">
      <c r="B174" s="492">
        <v>46142.0</v>
      </c>
      <c r="C174" s="493" t="s">
        <v>99</v>
      </c>
      <c r="D174" s="493" t="s">
        <v>1430</v>
      </c>
      <c r="E174" s="517">
        <f>500-120+500</f>
        <v>880</v>
      </c>
    </row>
    <row r="175" ht="22.5" hidden="1" customHeight="1">
      <c r="B175" s="492">
        <v>46142.0</v>
      </c>
      <c r="C175" s="493" t="s">
        <v>99</v>
      </c>
      <c r="D175" s="493" t="s">
        <v>1431</v>
      </c>
      <c r="E175" s="493">
        <v>880.0</v>
      </c>
    </row>
    <row r="176" ht="22.5" hidden="1" customHeight="1">
      <c r="B176" s="492">
        <v>46142.0</v>
      </c>
      <c r="C176" s="493" t="s">
        <v>99</v>
      </c>
      <c r="D176" s="493" t="s">
        <v>1432</v>
      </c>
      <c r="E176" s="493">
        <v>500.0</v>
      </c>
    </row>
    <row r="177" ht="22.5" hidden="1" customHeight="1">
      <c r="B177" s="492">
        <v>46142.0</v>
      </c>
      <c r="C177" s="493" t="s">
        <v>99</v>
      </c>
      <c r="D177" s="493" t="s">
        <v>1387</v>
      </c>
      <c r="E177" s="493">
        <v>500.0</v>
      </c>
    </row>
    <row r="178" ht="22.5" hidden="1" customHeight="1">
      <c r="B178" s="481">
        <v>46142.0</v>
      </c>
      <c r="C178" s="482" t="s">
        <v>69</v>
      </c>
      <c r="D178" s="482" t="s">
        <v>1433</v>
      </c>
      <c r="E178" s="482"/>
    </row>
    <row r="179" ht="22.5" hidden="1" customHeight="1">
      <c r="B179" s="481">
        <v>46142.0</v>
      </c>
      <c r="C179" s="482" t="s">
        <v>69</v>
      </c>
      <c r="D179" s="482" t="s">
        <v>251</v>
      </c>
      <c r="E179" s="482">
        <v>1200.0</v>
      </c>
    </row>
    <row r="180" ht="22.5" hidden="1" customHeight="1">
      <c r="B180" s="498">
        <v>46146.0</v>
      </c>
      <c r="C180" s="499" t="s">
        <v>205</v>
      </c>
      <c r="D180" s="499" t="s">
        <v>1434</v>
      </c>
      <c r="E180" s="499" t="s">
        <v>1427</v>
      </c>
    </row>
    <row r="181" ht="22.5" hidden="1" customHeight="1">
      <c r="B181" s="498">
        <v>46146.0</v>
      </c>
      <c r="C181" s="499" t="s">
        <v>205</v>
      </c>
      <c r="D181" s="499" t="s">
        <v>1435</v>
      </c>
      <c r="E181" s="499" t="s">
        <v>1427</v>
      </c>
    </row>
    <row r="182" ht="22.5" hidden="1" customHeight="1">
      <c r="B182" s="498">
        <v>46146.0</v>
      </c>
      <c r="C182" s="499" t="s">
        <v>205</v>
      </c>
      <c r="D182" s="499" t="s">
        <v>1436</v>
      </c>
      <c r="E182" s="499" t="s">
        <v>1427</v>
      </c>
    </row>
    <row r="183" ht="22.5" hidden="1" customHeight="1">
      <c r="B183" s="479">
        <v>46147.0</v>
      </c>
      <c r="C183" s="480" t="s">
        <v>40</v>
      </c>
      <c r="D183" s="480" t="s">
        <v>791</v>
      </c>
      <c r="E183" s="480">
        <v>250.0</v>
      </c>
    </row>
    <row r="184" ht="22.5" hidden="1" customHeight="1">
      <c r="B184" s="479">
        <v>46147.0</v>
      </c>
      <c r="C184" s="480" t="s">
        <v>40</v>
      </c>
      <c r="D184" s="480" t="s">
        <v>1437</v>
      </c>
      <c r="E184" s="480">
        <v>250.0</v>
      </c>
    </row>
    <row r="185" ht="22.5" hidden="1" customHeight="1">
      <c r="B185" s="479">
        <v>46147.0</v>
      </c>
      <c r="C185" s="480" t="s">
        <v>40</v>
      </c>
      <c r="D185" s="480" t="s">
        <v>1438</v>
      </c>
      <c r="E185" s="480">
        <v>200.0</v>
      </c>
    </row>
    <row r="186" ht="22.5" hidden="1" customHeight="1">
      <c r="B186" s="481">
        <v>46147.0</v>
      </c>
      <c r="C186" s="482" t="s">
        <v>69</v>
      </c>
      <c r="D186" s="518" t="s">
        <v>251</v>
      </c>
      <c r="E186" s="482">
        <v>5000.0</v>
      </c>
    </row>
    <row r="187" ht="22.5" hidden="1" customHeight="1">
      <c r="B187" s="481">
        <v>46147.0</v>
      </c>
      <c r="C187" s="482" t="s">
        <v>69</v>
      </c>
      <c r="D187" s="518" t="s">
        <v>1439</v>
      </c>
      <c r="E187" s="482">
        <v>250.0</v>
      </c>
    </row>
    <row r="188" ht="22.5" hidden="1" customHeight="1">
      <c r="B188" s="483">
        <v>46148.0</v>
      </c>
      <c r="C188" s="484" t="s">
        <v>66</v>
      </c>
      <c r="D188" s="519" t="s">
        <v>1201</v>
      </c>
      <c r="E188" s="484">
        <v>1000.0</v>
      </c>
    </row>
    <row r="189" ht="22.5" hidden="1" customHeight="1">
      <c r="B189" s="483">
        <v>46148.0</v>
      </c>
      <c r="C189" s="484" t="s">
        <v>66</v>
      </c>
      <c r="D189" s="520" t="s">
        <v>1440</v>
      </c>
      <c r="E189" s="484">
        <v>500.0</v>
      </c>
    </row>
    <row r="190" ht="22.5" hidden="1" customHeight="1">
      <c r="B190" s="496">
        <v>46148.0</v>
      </c>
      <c r="C190" s="497" t="s">
        <v>78</v>
      </c>
      <c r="D190" s="521" t="s">
        <v>1441</v>
      </c>
      <c r="E190" s="497">
        <v>750.0</v>
      </c>
    </row>
    <row r="191" ht="22.5" hidden="1" customHeight="1">
      <c r="B191" s="500">
        <v>46148.0</v>
      </c>
      <c r="C191" s="501" t="s">
        <v>211</v>
      </c>
      <c r="D191" s="522" t="s">
        <v>1442</v>
      </c>
      <c r="E191" s="501">
        <v>1600.0</v>
      </c>
    </row>
    <row r="192" ht="22.5" hidden="1" customHeight="1">
      <c r="B192" s="481">
        <v>46149.0</v>
      </c>
      <c r="C192" s="482" t="s">
        <v>69</v>
      </c>
      <c r="D192" s="523" t="s">
        <v>1443</v>
      </c>
      <c r="E192" s="482">
        <v>1500.0</v>
      </c>
    </row>
    <row r="193" ht="22.5" hidden="1" customHeight="1">
      <c r="B193" s="481">
        <v>46149.0</v>
      </c>
      <c r="C193" s="482" t="s">
        <v>69</v>
      </c>
      <c r="D193" s="523" t="s">
        <v>933</v>
      </c>
      <c r="E193" s="482">
        <v>3024.0</v>
      </c>
    </row>
    <row r="194" ht="22.5" hidden="1" customHeight="1">
      <c r="B194" s="481">
        <v>46149.0</v>
      </c>
      <c r="C194" s="482" t="s">
        <v>69</v>
      </c>
      <c r="D194" s="523" t="s">
        <v>932</v>
      </c>
      <c r="E194" s="482">
        <v>3024.0</v>
      </c>
    </row>
    <row r="195" ht="22.5" hidden="1" customHeight="1">
      <c r="B195" s="481">
        <v>46149.0</v>
      </c>
      <c r="C195" s="482" t="s">
        <v>69</v>
      </c>
      <c r="D195" s="523" t="s">
        <v>1439</v>
      </c>
      <c r="E195" s="482">
        <v>8100.0</v>
      </c>
    </row>
    <row r="196" ht="22.5" hidden="1" customHeight="1">
      <c r="B196" s="504">
        <v>46149.0</v>
      </c>
      <c r="C196" s="505" t="s">
        <v>1335</v>
      </c>
      <c r="D196" s="524" t="s">
        <v>1444</v>
      </c>
      <c r="E196" s="505">
        <v>1000.0</v>
      </c>
    </row>
    <row r="197" ht="22.5" hidden="1" customHeight="1">
      <c r="B197" s="504">
        <v>46149.0</v>
      </c>
      <c r="C197" s="505" t="s">
        <v>1335</v>
      </c>
      <c r="D197" s="505" t="s">
        <v>1445</v>
      </c>
      <c r="E197" s="505">
        <v>1000.0</v>
      </c>
    </row>
    <row r="198" ht="22.5" hidden="1" customHeight="1">
      <c r="B198" s="504">
        <v>46149.0</v>
      </c>
      <c r="C198" s="505" t="s">
        <v>1446</v>
      </c>
      <c r="D198" s="505" t="s">
        <v>1360</v>
      </c>
      <c r="E198" s="505">
        <v>1000.0</v>
      </c>
    </row>
    <row r="199" ht="22.5" hidden="1" customHeight="1">
      <c r="B199" s="500">
        <v>46150.0</v>
      </c>
      <c r="C199" s="501" t="s">
        <v>99</v>
      </c>
      <c r="D199" s="501" t="s">
        <v>1447</v>
      </c>
      <c r="E199" s="501">
        <v>500.0</v>
      </c>
    </row>
    <row r="200" ht="22.5" hidden="1" customHeight="1">
      <c r="B200" s="504">
        <v>46150.0</v>
      </c>
      <c r="C200" s="505" t="s">
        <v>900</v>
      </c>
      <c r="D200" s="505" t="s">
        <v>1448</v>
      </c>
      <c r="E200" s="505">
        <v>1200.0</v>
      </c>
    </row>
    <row r="201" ht="22.5" hidden="1" customHeight="1">
      <c r="B201" s="504">
        <v>46150.0</v>
      </c>
      <c r="C201" s="505" t="s">
        <v>603</v>
      </c>
      <c r="D201" s="505" t="s">
        <v>1449</v>
      </c>
      <c r="E201" s="505"/>
    </row>
    <row r="202" ht="22.5" hidden="1" customHeight="1">
      <c r="B202" s="494">
        <v>46153.0</v>
      </c>
      <c r="C202" s="495" t="s">
        <v>205</v>
      </c>
      <c r="D202" s="495" t="s">
        <v>1450</v>
      </c>
      <c r="E202" s="495" t="s">
        <v>1399</v>
      </c>
    </row>
    <row r="203" ht="22.5" hidden="1" customHeight="1">
      <c r="B203" s="494">
        <v>46153.0</v>
      </c>
      <c r="C203" s="495" t="s">
        <v>205</v>
      </c>
      <c r="D203" s="495" t="s">
        <v>1451</v>
      </c>
      <c r="E203" s="495" t="s">
        <v>1399</v>
      </c>
    </row>
    <row r="204" ht="22.5" hidden="1" customHeight="1">
      <c r="B204" s="492">
        <v>46153.0</v>
      </c>
      <c r="C204" s="493" t="s">
        <v>1341</v>
      </c>
      <c r="D204" s="493" t="s">
        <v>1045</v>
      </c>
      <c r="E204" s="493">
        <v>300.0</v>
      </c>
    </row>
    <row r="205" ht="22.5" hidden="1" customHeight="1">
      <c r="B205" s="487">
        <v>46154.0</v>
      </c>
      <c r="C205" s="488" t="s">
        <v>18</v>
      </c>
      <c r="D205" s="488" t="s">
        <v>1452</v>
      </c>
      <c r="E205" s="488">
        <v>1500.0</v>
      </c>
    </row>
    <row r="206" ht="22.5" hidden="1" customHeight="1">
      <c r="B206" s="525">
        <v>46154.0</v>
      </c>
      <c r="C206" s="526" t="s">
        <v>360</v>
      </c>
      <c r="D206" s="526" t="s">
        <v>1453</v>
      </c>
      <c r="E206" s="526">
        <v>250.0</v>
      </c>
    </row>
    <row r="207" ht="22.5" hidden="1" customHeight="1">
      <c r="B207" s="494">
        <v>46155.0</v>
      </c>
      <c r="C207" s="495" t="s">
        <v>205</v>
      </c>
      <c r="D207" s="495" t="s">
        <v>1454</v>
      </c>
      <c r="E207" s="495">
        <v>8000.0</v>
      </c>
    </row>
    <row r="208" ht="22.5" hidden="1" customHeight="1">
      <c r="B208" s="494">
        <v>46155.0</v>
      </c>
      <c r="C208" s="495" t="s">
        <v>205</v>
      </c>
      <c r="D208" s="495" t="s">
        <v>351</v>
      </c>
      <c r="E208" s="495">
        <v>500.0</v>
      </c>
    </row>
    <row r="209" ht="22.5" hidden="1" customHeight="1">
      <c r="B209" s="525">
        <v>46156.0</v>
      </c>
      <c r="C209" s="526" t="s">
        <v>360</v>
      </c>
      <c r="D209" s="526" t="s">
        <v>1455</v>
      </c>
      <c r="E209" s="526">
        <v>600.0</v>
      </c>
    </row>
    <row r="210" ht="22.5" hidden="1" customHeight="1">
      <c r="B210" s="525">
        <v>46156.0</v>
      </c>
      <c r="C210" s="526" t="s">
        <v>360</v>
      </c>
      <c r="D210" s="526" t="s">
        <v>1456</v>
      </c>
      <c r="E210" s="526">
        <v>600.0</v>
      </c>
    </row>
    <row r="211" ht="22.5" hidden="1" customHeight="1">
      <c r="B211" s="527">
        <v>46157.0</v>
      </c>
      <c r="C211" s="528" t="s">
        <v>8</v>
      </c>
      <c r="D211" s="528" t="s">
        <v>540</v>
      </c>
      <c r="E211" s="528">
        <v>300.0</v>
      </c>
    </row>
    <row r="212" ht="22.5" hidden="1" customHeight="1">
      <c r="B212" s="527">
        <v>46157.0</v>
      </c>
      <c r="C212" s="528" t="s">
        <v>8</v>
      </c>
      <c r="D212" s="528" t="s">
        <v>1457</v>
      </c>
      <c r="E212" s="528">
        <v>490.0</v>
      </c>
    </row>
    <row r="213" ht="22.5" hidden="1" customHeight="1">
      <c r="B213" s="527">
        <v>46157.0</v>
      </c>
      <c r="C213" s="528" t="s">
        <v>8</v>
      </c>
      <c r="D213" s="528" t="s">
        <v>436</v>
      </c>
      <c r="E213" s="528">
        <v>300.0</v>
      </c>
    </row>
    <row r="214" ht="22.5" hidden="1" customHeight="1">
      <c r="B214" s="527">
        <v>46157.0</v>
      </c>
      <c r="C214" s="528" t="s">
        <v>8</v>
      </c>
      <c r="D214" s="528" t="s">
        <v>1458</v>
      </c>
      <c r="E214" s="528">
        <v>300.0</v>
      </c>
    </row>
    <row r="215" ht="22.5" hidden="1" customHeight="1">
      <c r="B215" s="487">
        <v>46157.0</v>
      </c>
      <c r="C215" s="488" t="s">
        <v>18</v>
      </c>
      <c r="D215" s="488" t="s">
        <v>1459</v>
      </c>
      <c r="E215" s="488">
        <v>1500.0</v>
      </c>
    </row>
    <row r="216" ht="22.5" hidden="1" customHeight="1">
      <c r="B216" s="487">
        <v>46157.0</v>
      </c>
      <c r="C216" s="488" t="s">
        <v>69</v>
      </c>
      <c r="D216" s="488" t="s">
        <v>1460</v>
      </c>
      <c r="E216" s="488">
        <f>2500+1800</f>
        <v>4300</v>
      </c>
    </row>
    <row r="217" ht="22.5" hidden="1" customHeight="1">
      <c r="B217" s="487">
        <v>46157.0</v>
      </c>
      <c r="C217" s="488" t="s">
        <v>69</v>
      </c>
      <c r="D217" s="488" t="s">
        <v>1461</v>
      </c>
      <c r="E217" s="488">
        <f>3900+4000</f>
        <v>7900</v>
      </c>
    </row>
    <row r="218" ht="22.5" hidden="1" customHeight="1">
      <c r="B218" s="487">
        <v>46157.0</v>
      </c>
      <c r="C218" s="488" t="s">
        <v>69</v>
      </c>
      <c r="D218" s="488" t="s">
        <v>1462</v>
      </c>
      <c r="E218" s="488">
        <v>3360.0</v>
      </c>
    </row>
    <row r="219" ht="22.5" hidden="1" customHeight="1">
      <c r="B219" s="479">
        <v>46157.0</v>
      </c>
      <c r="C219" s="480" t="s">
        <v>40</v>
      </c>
      <c r="D219" s="480" t="s">
        <v>1463</v>
      </c>
      <c r="E219" s="480">
        <v>550.0</v>
      </c>
    </row>
    <row r="220" ht="22.5" hidden="1" customHeight="1">
      <c r="B220" s="479">
        <v>46157.0</v>
      </c>
      <c r="C220" s="480" t="s">
        <v>40</v>
      </c>
      <c r="D220" s="480" t="s">
        <v>1464</v>
      </c>
      <c r="E220" s="480">
        <v>550.0</v>
      </c>
    </row>
    <row r="221" ht="22.5" hidden="1" customHeight="1">
      <c r="B221" s="479">
        <v>46157.0</v>
      </c>
      <c r="C221" s="480" t="s">
        <v>40</v>
      </c>
      <c r="D221" s="480" t="s">
        <v>1465</v>
      </c>
      <c r="E221" s="480">
        <v>100.0</v>
      </c>
    </row>
    <row r="222" ht="22.5" hidden="1" customHeight="1">
      <c r="B222" s="492">
        <v>46160.0</v>
      </c>
      <c r="C222" s="493" t="s">
        <v>38</v>
      </c>
      <c r="D222" s="493" t="s">
        <v>1466</v>
      </c>
      <c r="E222" s="493">
        <v>500.0</v>
      </c>
    </row>
    <row r="223" ht="22.5" hidden="1" customHeight="1">
      <c r="B223" s="492">
        <v>46160.0</v>
      </c>
      <c r="C223" s="493" t="s">
        <v>38</v>
      </c>
      <c r="D223" s="493" t="s">
        <v>1467</v>
      </c>
      <c r="E223" s="493">
        <v>500.0</v>
      </c>
    </row>
    <row r="224" ht="22.5" hidden="1" customHeight="1">
      <c r="B224" s="492">
        <v>46160.0</v>
      </c>
      <c r="C224" s="493" t="s">
        <v>38</v>
      </c>
      <c r="D224" s="493" t="s">
        <v>42</v>
      </c>
      <c r="E224" s="493">
        <v>600.0</v>
      </c>
    </row>
    <row r="225" ht="22.5" hidden="1" customHeight="1">
      <c r="B225" s="492">
        <v>46160.0</v>
      </c>
      <c r="C225" s="493" t="s">
        <v>38</v>
      </c>
      <c r="D225" s="493" t="s">
        <v>981</v>
      </c>
      <c r="E225" s="493">
        <v>5000.0</v>
      </c>
    </row>
    <row r="226" ht="22.5" hidden="1" customHeight="1">
      <c r="B226" s="492">
        <v>46160.0</v>
      </c>
      <c r="C226" s="493" t="s">
        <v>38</v>
      </c>
      <c r="D226" s="493" t="s">
        <v>1468</v>
      </c>
      <c r="E226" s="493">
        <v>5000.0</v>
      </c>
    </row>
    <row r="227" ht="22.5" hidden="1" customHeight="1">
      <c r="B227" s="485">
        <v>46160.0</v>
      </c>
      <c r="C227" s="486" t="s">
        <v>313</v>
      </c>
      <c r="D227" s="486" t="s">
        <v>1426</v>
      </c>
      <c r="E227" s="486">
        <v>1000.0</v>
      </c>
    </row>
    <row r="228" ht="22.5" hidden="1" customHeight="1">
      <c r="B228" s="508">
        <v>46161.0</v>
      </c>
      <c r="C228" s="509" t="s">
        <v>18</v>
      </c>
      <c r="D228" s="509" t="s">
        <v>1469</v>
      </c>
      <c r="E228" s="509">
        <v>1000.0</v>
      </c>
    </row>
    <row r="229" ht="22.5" hidden="1" customHeight="1">
      <c r="B229" s="483">
        <v>46162.0</v>
      </c>
      <c r="C229" s="484" t="s">
        <v>69</v>
      </c>
      <c r="D229" s="484" t="s">
        <v>1044</v>
      </c>
      <c r="E229" s="484">
        <v>3000.0</v>
      </c>
    </row>
    <row r="230" ht="22.5" hidden="1" customHeight="1">
      <c r="B230" s="483">
        <v>46162.0</v>
      </c>
      <c r="C230" s="484" t="s">
        <v>57</v>
      </c>
      <c r="D230" s="484" t="s">
        <v>1470</v>
      </c>
      <c r="E230" s="484">
        <v>500.0</v>
      </c>
    </row>
    <row r="231" ht="22.5" hidden="1" customHeight="1">
      <c r="B231" s="479">
        <v>46164.0</v>
      </c>
      <c r="C231" s="480" t="s">
        <v>124</v>
      </c>
      <c r="D231" s="480" t="s">
        <v>1471</v>
      </c>
      <c r="E231" s="480">
        <v>170.0</v>
      </c>
    </row>
    <row r="232" ht="22.5" hidden="1" customHeight="1">
      <c r="B232" s="481">
        <v>46164.0</v>
      </c>
      <c r="C232" s="482" t="s">
        <v>1043</v>
      </c>
      <c r="D232" s="482" t="s">
        <v>1472</v>
      </c>
      <c r="E232" s="482">
        <v>300.0</v>
      </c>
    </row>
    <row r="233" ht="22.5" hidden="1" customHeight="1">
      <c r="B233" s="481">
        <v>46164.0</v>
      </c>
      <c r="C233" s="482" t="s">
        <v>1043</v>
      </c>
      <c r="D233" s="482" t="s">
        <v>1473</v>
      </c>
      <c r="E233" s="482">
        <v>300.0</v>
      </c>
    </row>
    <row r="234" ht="22.5" hidden="1" customHeight="1">
      <c r="B234" s="481">
        <v>46164.0</v>
      </c>
      <c r="C234" s="482" t="s">
        <v>1043</v>
      </c>
      <c r="D234" s="482" t="s">
        <v>1474</v>
      </c>
      <c r="E234" s="482">
        <v>300.0</v>
      </c>
    </row>
    <row r="235" ht="22.5" hidden="1" customHeight="1">
      <c r="B235" s="508">
        <v>46164.0</v>
      </c>
      <c r="C235" s="509" t="s">
        <v>18</v>
      </c>
      <c r="D235" s="509" t="s">
        <v>439</v>
      </c>
      <c r="E235" s="509">
        <v>2000.0</v>
      </c>
    </row>
    <row r="236" ht="22.5" hidden="1" customHeight="1">
      <c r="B236" s="508">
        <v>46164.0</v>
      </c>
      <c r="C236" s="509" t="s">
        <v>18</v>
      </c>
      <c r="D236" s="509" t="s">
        <v>431</v>
      </c>
      <c r="E236" s="509">
        <v>1500.0</v>
      </c>
    </row>
    <row r="237" ht="22.5" hidden="1" customHeight="1">
      <c r="B237" s="504">
        <v>46164.0</v>
      </c>
      <c r="C237" s="505" t="s">
        <v>211</v>
      </c>
      <c r="D237" s="505" t="s">
        <v>1475</v>
      </c>
      <c r="E237" s="505">
        <v>10000.0</v>
      </c>
    </row>
    <row r="238" ht="22.5" hidden="1" customHeight="1">
      <c r="B238" s="500">
        <v>46164.0</v>
      </c>
      <c r="C238" s="501" t="s">
        <v>69</v>
      </c>
      <c r="D238" s="501" t="s">
        <v>1353</v>
      </c>
      <c r="E238" s="501">
        <v>10000.0</v>
      </c>
    </row>
    <row r="239" ht="22.5" hidden="1" customHeight="1">
      <c r="B239" s="483">
        <v>46164.0</v>
      </c>
      <c r="C239" s="484" t="s">
        <v>7</v>
      </c>
      <c r="D239" s="484" t="s">
        <v>1476</v>
      </c>
      <c r="E239" s="484">
        <v>1200.0</v>
      </c>
    </row>
    <row r="240" ht="22.5" hidden="1" customHeight="1">
      <c r="B240" s="481">
        <v>46168.0</v>
      </c>
      <c r="C240" s="482" t="s">
        <v>18</v>
      </c>
      <c r="D240" s="482" t="s">
        <v>1477</v>
      </c>
      <c r="E240" s="482">
        <v>1300.0</v>
      </c>
    </row>
    <row r="241" ht="22.5" hidden="1" customHeight="1">
      <c r="B241" s="529">
        <v>46168.0</v>
      </c>
      <c r="C241" s="530" t="s">
        <v>18</v>
      </c>
      <c r="D241" s="530" t="s">
        <v>1478</v>
      </c>
      <c r="E241" s="530">
        <v>1300.0</v>
      </c>
    </row>
    <row r="242" ht="22.5" hidden="1" customHeight="1">
      <c r="B242" s="529">
        <v>46168.0</v>
      </c>
      <c r="C242" s="530" t="s">
        <v>18</v>
      </c>
      <c r="D242" s="530" t="s">
        <v>1479</v>
      </c>
      <c r="E242" s="530">
        <v>1300.0</v>
      </c>
    </row>
    <row r="243" ht="22.5" hidden="1" customHeight="1">
      <c r="B243" s="531">
        <v>46168.0</v>
      </c>
      <c r="C243" s="532" t="s">
        <v>1341</v>
      </c>
      <c r="D243" s="532" t="s">
        <v>1045</v>
      </c>
      <c r="E243" s="532">
        <v>1200.0</v>
      </c>
    </row>
    <row r="244" ht="22.5" hidden="1" customHeight="1">
      <c r="B244" s="531">
        <v>46168.0</v>
      </c>
      <c r="C244" s="532" t="s">
        <v>32</v>
      </c>
      <c r="D244" s="532" t="s">
        <v>19</v>
      </c>
      <c r="E244" s="532">
        <v>500.0</v>
      </c>
    </row>
    <row r="245" ht="22.5" hidden="1" customHeight="1">
      <c r="B245" s="529">
        <v>46169.0</v>
      </c>
      <c r="C245" s="530" t="s">
        <v>69</v>
      </c>
      <c r="D245" s="530" t="s">
        <v>590</v>
      </c>
      <c r="E245" s="530">
        <v>1000.0</v>
      </c>
    </row>
    <row r="246" ht="22.5" hidden="1" customHeight="1">
      <c r="B246" s="529">
        <v>46169.0</v>
      </c>
      <c r="C246" s="530" t="s">
        <v>7</v>
      </c>
      <c r="D246" s="530" t="s">
        <v>730</v>
      </c>
      <c r="E246" s="530">
        <v>2000.0</v>
      </c>
    </row>
    <row r="247" ht="22.5" hidden="1" customHeight="1">
      <c r="B247" s="529">
        <v>46171.0</v>
      </c>
      <c r="C247" s="530" t="s">
        <v>284</v>
      </c>
      <c r="D247" s="530" t="s">
        <v>454</v>
      </c>
      <c r="E247" s="530">
        <v>1000.0</v>
      </c>
    </row>
    <row r="248" ht="22.5" hidden="1" customHeight="1">
      <c r="B248" s="481">
        <v>46171.0</v>
      </c>
      <c r="C248" s="482" t="s">
        <v>18</v>
      </c>
      <c r="D248" s="482" t="s">
        <v>1480</v>
      </c>
      <c r="E248" s="482">
        <v>1300.0</v>
      </c>
    </row>
    <row r="249" ht="22.5" hidden="1" customHeight="1">
      <c r="B249" s="481">
        <v>46171.0</v>
      </c>
      <c r="C249" s="482" t="s">
        <v>18</v>
      </c>
      <c r="D249" s="482" t="s">
        <v>1481</v>
      </c>
      <c r="E249" s="482">
        <v>1000.0</v>
      </c>
    </row>
    <row r="250" ht="22.5" hidden="1" customHeight="1">
      <c r="B250" s="531">
        <v>46171.0</v>
      </c>
      <c r="C250" s="532" t="s">
        <v>380</v>
      </c>
      <c r="D250" s="532" t="s">
        <v>1482</v>
      </c>
      <c r="E250" s="532">
        <v>500.0</v>
      </c>
    </row>
    <row r="251" ht="22.5" hidden="1" customHeight="1">
      <c r="B251" s="531">
        <v>46171.0</v>
      </c>
      <c r="C251" s="532" t="s">
        <v>380</v>
      </c>
      <c r="D251" s="532" t="s">
        <v>1483</v>
      </c>
      <c r="E251" s="532">
        <v>500.0</v>
      </c>
    </row>
    <row r="252" ht="22.5" hidden="1" customHeight="1">
      <c r="B252" s="529">
        <v>46171.0</v>
      </c>
      <c r="C252" s="530" t="s">
        <v>69</v>
      </c>
      <c r="D252" s="530" t="s">
        <v>590</v>
      </c>
      <c r="E252" s="530">
        <v>2000.0</v>
      </c>
    </row>
    <row r="253" ht="22.5" hidden="1" customHeight="1">
      <c r="B253" s="529">
        <v>46171.0</v>
      </c>
      <c r="C253" s="530" t="s">
        <v>69</v>
      </c>
      <c r="D253" s="530" t="s">
        <v>1484</v>
      </c>
      <c r="E253" s="530">
        <v>2000.0</v>
      </c>
    </row>
    <row r="254" ht="22.5" hidden="1" customHeight="1">
      <c r="B254" s="529">
        <v>46171.0</v>
      </c>
      <c r="C254" s="530" t="s">
        <v>69</v>
      </c>
      <c r="D254" s="530" t="s">
        <v>1485</v>
      </c>
      <c r="E254" s="530">
        <v>2000.0</v>
      </c>
    </row>
    <row r="255" ht="22.5" hidden="1" customHeight="1">
      <c r="B255" s="531">
        <v>46174.0</v>
      </c>
      <c r="C255" s="532" t="s">
        <v>205</v>
      </c>
      <c r="D255" s="532" t="s">
        <v>1486</v>
      </c>
      <c r="E255" s="532" t="s">
        <v>1332</v>
      </c>
    </row>
    <row r="256" ht="22.5" hidden="1" customHeight="1">
      <c r="B256" s="529">
        <v>46175.0</v>
      </c>
      <c r="C256" s="530" t="s">
        <v>38</v>
      </c>
      <c r="D256" s="530" t="s">
        <v>1487</v>
      </c>
      <c r="E256" s="530">
        <v>500.0</v>
      </c>
    </row>
    <row r="257" ht="22.5" hidden="1" customHeight="1">
      <c r="B257" s="531">
        <v>46175.0</v>
      </c>
      <c r="C257" s="532" t="s">
        <v>38</v>
      </c>
      <c r="D257" s="532" t="s">
        <v>1488</v>
      </c>
      <c r="E257" s="532">
        <v>2000.0</v>
      </c>
    </row>
    <row r="258" ht="22.5" hidden="1" customHeight="1">
      <c r="B258" s="529">
        <v>46174.0</v>
      </c>
      <c r="C258" s="530" t="s">
        <v>40</v>
      </c>
      <c r="D258" s="530" t="s">
        <v>1489</v>
      </c>
      <c r="E258" s="530">
        <v>400.0</v>
      </c>
    </row>
    <row r="259" ht="22.5" hidden="1" customHeight="1">
      <c r="B259" s="529">
        <v>46174.0</v>
      </c>
      <c r="C259" s="530" t="s">
        <v>40</v>
      </c>
      <c r="D259" s="530" t="s">
        <v>1490</v>
      </c>
      <c r="E259" s="530">
        <v>400.0</v>
      </c>
    </row>
    <row r="260" ht="22.5" hidden="1" customHeight="1">
      <c r="B260" s="529">
        <v>46175.0</v>
      </c>
      <c r="C260" s="530" t="s">
        <v>40</v>
      </c>
      <c r="D260" s="530" t="s">
        <v>1356</v>
      </c>
      <c r="E260" s="533">
        <v>500.0</v>
      </c>
    </row>
    <row r="261" ht="22.5" hidden="1" customHeight="1">
      <c r="B261" s="529">
        <v>46175.0</v>
      </c>
      <c r="C261" s="530" t="s">
        <v>69</v>
      </c>
      <c r="D261" s="530" t="s">
        <v>1491</v>
      </c>
      <c r="E261" s="530">
        <v>5000.0</v>
      </c>
    </row>
    <row r="262" ht="22.5" hidden="1" customHeight="1">
      <c r="B262" s="529">
        <v>46175.0</v>
      </c>
      <c r="C262" s="530" t="s">
        <v>69</v>
      </c>
      <c r="D262" s="530" t="s">
        <v>1492</v>
      </c>
      <c r="E262" s="530">
        <v>5000.0</v>
      </c>
    </row>
    <row r="263" ht="22.5" hidden="1" customHeight="1">
      <c r="B263" s="531">
        <v>46175.0</v>
      </c>
      <c r="C263" s="532" t="s">
        <v>1357</v>
      </c>
      <c r="D263" s="532" t="s">
        <v>445</v>
      </c>
      <c r="E263" s="532">
        <v>2000.0</v>
      </c>
    </row>
    <row r="264" ht="22.5" hidden="1" customHeight="1">
      <c r="B264" s="529">
        <v>46176.0</v>
      </c>
      <c r="C264" s="530" t="s">
        <v>66</v>
      </c>
      <c r="D264" s="530" t="s">
        <v>1347</v>
      </c>
      <c r="E264" s="533">
        <v>300.0</v>
      </c>
    </row>
    <row r="265" ht="22.5" hidden="1" customHeight="1">
      <c r="B265" s="529">
        <v>46176.0</v>
      </c>
      <c r="C265" s="530" t="s">
        <v>66</v>
      </c>
      <c r="D265" s="530" t="s">
        <v>1493</v>
      </c>
      <c r="E265" s="533">
        <v>1000.0</v>
      </c>
    </row>
    <row r="266" ht="22.5" hidden="1" customHeight="1">
      <c r="B266" s="529">
        <v>46176.0</v>
      </c>
      <c r="C266" s="530" t="s">
        <v>66</v>
      </c>
      <c r="D266" s="530" t="s">
        <v>455</v>
      </c>
      <c r="E266" s="533">
        <v>1000.0</v>
      </c>
    </row>
    <row r="267" ht="22.5" hidden="1" customHeight="1">
      <c r="B267" s="529">
        <v>46176.0</v>
      </c>
      <c r="C267" s="530" t="s">
        <v>69</v>
      </c>
      <c r="D267" s="530" t="s">
        <v>1494</v>
      </c>
      <c r="E267" s="533">
        <v>4000.0</v>
      </c>
    </row>
    <row r="268" ht="22.5" hidden="1" customHeight="1">
      <c r="B268" s="531">
        <v>46178.0</v>
      </c>
      <c r="C268" s="532" t="s">
        <v>7</v>
      </c>
      <c r="D268" s="532" t="s">
        <v>1372</v>
      </c>
      <c r="E268" s="534">
        <v>1500.0</v>
      </c>
    </row>
    <row r="269" ht="22.5" hidden="1" customHeight="1">
      <c r="B269" s="531">
        <v>46178.0</v>
      </c>
      <c r="C269" s="532" t="s">
        <v>7</v>
      </c>
      <c r="D269" s="532" t="s">
        <v>684</v>
      </c>
      <c r="E269" s="534">
        <v>1500.0</v>
      </c>
    </row>
    <row r="270" ht="22.5" hidden="1" customHeight="1">
      <c r="B270" s="529">
        <v>46178.0</v>
      </c>
      <c r="C270" s="530" t="s">
        <v>1082</v>
      </c>
      <c r="D270" s="530" t="s">
        <v>1495</v>
      </c>
      <c r="E270" s="533">
        <v>4000.0</v>
      </c>
    </row>
    <row r="271" ht="22.5" hidden="1" customHeight="1">
      <c r="B271" s="529">
        <v>46178.0</v>
      </c>
      <c r="C271" s="530" t="s">
        <v>1082</v>
      </c>
      <c r="D271" s="530" t="s">
        <v>1496</v>
      </c>
      <c r="E271" s="533">
        <v>1000.0</v>
      </c>
    </row>
    <row r="272" ht="22.5" hidden="1" customHeight="1">
      <c r="B272" s="529">
        <v>46178.0</v>
      </c>
      <c r="C272" s="530" t="s">
        <v>211</v>
      </c>
      <c r="D272" s="530" t="s">
        <v>1497</v>
      </c>
      <c r="E272" s="533">
        <v>10000.0</v>
      </c>
    </row>
    <row r="273" ht="22.5" hidden="1" customHeight="1">
      <c r="B273" s="531">
        <v>46178.0</v>
      </c>
      <c r="C273" s="532" t="s">
        <v>1357</v>
      </c>
      <c r="D273" s="532" t="s">
        <v>398</v>
      </c>
      <c r="E273" s="534">
        <v>3000.0</v>
      </c>
    </row>
    <row r="274" ht="22.5" hidden="1" customHeight="1">
      <c r="B274" s="535">
        <v>46181.0</v>
      </c>
      <c r="C274" s="536" t="s">
        <v>77</v>
      </c>
      <c r="D274" s="536" t="s">
        <v>27</v>
      </c>
      <c r="E274" s="536">
        <v>300.0</v>
      </c>
    </row>
    <row r="275" ht="22.5" hidden="1" customHeight="1">
      <c r="B275" s="535">
        <v>46181.0</v>
      </c>
      <c r="C275" s="536" t="s">
        <v>77</v>
      </c>
      <c r="D275" s="536" t="s">
        <v>461</v>
      </c>
      <c r="E275" s="536">
        <v>100.0</v>
      </c>
    </row>
    <row r="276" ht="22.5" hidden="1" customHeight="1">
      <c r="B276" s="531">
        <v>46182.0</v>
      </c>
      <c r="C276" s="532" t="s">
        <v>99</v>
      </c>
      <c r="D276" s="532" t="s">
        <v>1498</v>
      </c>
      <c r="E276" s="532">
        <v>1500.0</v>
      </c>
    </row>
    <row r="277" ht="22.5" hidden="1" customHeight="1">
      <c r="B277" s="531">
        <v>46182.0</v>
      </c>
      <c r="C277" s="532" t="s">
        <v>99</v>
      </c>
      <c r="D277" s="537" t="s">
        <v>1499</v>
      </c>
      <c r="E277" s="532">
        <v>2000.0</v>
      </c>
    </row>
    <row r="278" ht="22.5" hidden="1" customHeight="1">
      <c r="B278" s="531">
        <v>46182.0</v>
      </c>
      <c r="C278" s="532" t="s">
        <v>99</v>
      </c>
      <c r="D278" s="532" t="s">
        <v>1500</v>
      </c>
      <c r="E278" s="532">
        <v>500.0</v>
      </c>
    </row>
    <row r="279" ht="22.5" hidden="1" customHeight="1">
      <c r="B279" s="529">
        <v>46182.0</v>
      </c>
      <c r="C279" s="530" t="s">
        <v>211</v>
      </c>
      <c r="D279" s="530" t="s">
        <v>483</v>
      </c>
      <c r="E279" s="530">
        <v>1600.0</v>
      </c>
    </row>
    <row r="280" ht="22.5" hidden="1" customHeight="1">
      <c r="B280" s="531">
        <v>46182.0</v>
      </c>
      <c r="C280" s="532" t="s">
        <v>1341</v>
      </c>
      <c r="D280" s="532" t="s">
        <v>508</v>
      </c>
      <c r="E280" s="532">
        <v>1800.0</v>
      </c>
    </row>
    <row r="281" ht="22.5" hidden="1" customHeight="1">
      <c r="B281" s="531">
        <v>46182.0</v>
      </c>
      <c r="C281" s="532" t="s">
        <v>1341</v>
      </c>
      <c r="D281" s="532" t="s">
        <v>1501</v>
      </c>
      <c r="E281" s="532">
        <v>1000.0</v>
      </c>
    </row>
    <row r="282" ht="22.5" hidden="1" customHeight="1">
      <c r="B282" s="531">
        <v>46184.0</v>
      </c>
      <c r="C282" s="532" t="s">
        <v>207</v>
      </c>
      <c r="D282" s="532" t="s">
        <v>1402</v>
      </c>
      <c r="E282" s="532">
        <v>1000.0</v>
      </c>
    </row>
    <row r="283" ht="22.5" hidden="1" customHeight="1">
      <c r="B283" s="531">
        <v>46184.0</v>
      </c>
      <c r="C283" s="532" t="s">
        <v>207</v>
      </c>
      <c r="D283" s="532" t="s">
        <v>1502</v>
      </c>
      <c r="E283" s="532">
        <v>1000.0</v>
      </c>
    </row>
    <row r="284" ht="22.5" hidden="1" customHeight="1">
      <c r="B284" s="531">
        <v>46192.0</v>
      </c>
      <c r="C284" s="532" t="s">
        <v>133</v>
      </c>
      <c r="D284" s="532" t="s">
        <v>1503</v>
      </c>
      <c r="E284" s="532">
        <v>1000.0</v>
      </c>
    </row>
    <row r="285" ht="22.5" hidden="1" customHeight="1">
      <c r="B285" s="529">
        <v>46192.0</v>
      </c>
      <c r="C285" s="530" t="s">
        <v>57</v>
      </c>
      <c r="D285" s="530" t="s">
        <v>548</v>
      </c>
      <c r="E285" s="530">
        <v>500.0</v>
      </c>
    </row>
    <row r="286" ht="22.5" hidden="1" customHeight="1">
      <c r="B286" s="529">
        <v>46192.0</v>
      </c>
      <c r="C286" s="530" t="s">
        <v>69</v>
      </c>
      <c r="D286" s="530" t="s">
        <v>604</v>
      </c>
      <c r="E286" s="530">
        <v>3300.0</v>
      </c>
    </row>
    <row r="287" ht="22.5" hidden="1" customHeight="1">
      <c r="B287" s="529">
        <v>46192.0</v>
      </c>
      <c r="C287" s="530" t="s">
        <v>69</v>
      </c>
      <c r="D287" s="530" t="s">
        <v>588</v>
      </c>
      <c r="E287" s="530" t="s">
        <v>1399</v>
      </c>
    </row>
    <row r="288" ht="22.5" hidden="1" customHeight="1">
      <c r="B288" s="531">
        <v>46192.0</v>
      </c>
      <c r="C288" s="532" t="s">
        <v>537</v>
      </c>
      <c r="D288" s="532" t="s">
        <v>541</v>
      </c>
      <c r="E288" s="532">
        <v>2100.0</v>
      </c>
    </row>
    <row r="289" ht="22.5" hidden="1" customHeight="1">
      <c r="B289" s="531">
        <v>46192.0</v>
      </c>
      <c r="C289" s="532" t="s">
        <v>205</v>
      </c>
      <c r="D289" s="532" t="s">
        <v>1342</v>
      </c>
      <c r="E289" s="532" t="s">
        <v>1399</v>
      </c>
    </row>
    <row r="290" ht="22.5" hidden="1" customHeight="1">
      <c r="B290" s="531">
        <v>46192.0</v>
      </c>
      <c r="C290" s="532" t="s">
        <v>211</v>
      </c>
      <c r="D290" s="532" t="s">
        <v>1504</v>
      </c>
      <c r="E290" s="532">
        <v>300.0</v>
      </c>
    </row>
    <row r="291" ht="22.5" hidden="1" customHeight="1">
      <c r="B291" s="529">
        <v>46195.0</v>
      </c>
      <c r="C291" s="530" t="s">
        <v>125</v>
      </c>
      <c r="D291" s="530" t="s">
        <v>128</v>
      </c>
      <c r="E291" s="530">
        <v>500.0</v>
      </c>
    </row>
    <row r="292" ht="22.5" hidden="1" customHeight="1">
      <c r="B292" s="529">
        <v>46197.0</v>
      </c>
      <c r="C292" s="530" t="s">
        <v>69</v>
      </c>
      <c r="D292" s="530" t="s">
        <v>588</v>
      </c>
      <c r="E292" s="530">
        <v>5000.0</v>
      </c>
    </row>
    <row r="293" ht="22.5" hidden="1" customHeight="1">
      <c r="B293" s="529">
        <v>46197.0</v>
      </c>
      <c r="C293" s="530" t="s">
        <v>69</v>
      </c>
      <c r="D293" s="530" t="s">
        <v>1505</v>
      </c>
      <c r="E293" s="530">
        <v>5000.0</v>
      </c>
    </row>
    <row r="294" ht="22.5" hidden="1" customHeight="1">
      <c r="B294" s="529">
        <v>46197.0</v>
      </c>
      <c r="C294" s="530" t="s">
        <v>171</v>
      </c>
      <c r="D294" s="530" t="s">
        <v>173</v>
      </c>
      <c r="E294" s="530">
        <v>3000.0</v>
      </c>
    </row>
    <row r="295" ht="22.5" hidden="1" customHeight="1">
      <c r="B295" s="531">
        <v>46197.0</v>
      </c>
      <c r="C295" s="532" t="s">
        <v>171</v>
      </c>
      <c r="D295" s="532" t="s">
        <v>517</v>
      </c>
      <c r="E295" s="532">
        <v>2000.0</v>
      </c>
    </row>
    <row r="296" ht="22.5" customHeight="1">
      <c r="B296" s="531">
        <v>46198.0</v>
      </c>
      <c r="C296" s="532" t="s">
        <v>563</v>
      </c>
      <c r="D296" s="532" t="s">
        <v>1506</v>
      </c>
      <c r="E296" s="532">
        <v>1000.0</v>
      </c>
    </row>
    <row r="297" ht="22.5" customHeight="1">
      <c r="B297" s="529">
        <v>46199.0</v>
      </c>
      <c r="C297" s="530" t="s">
        <v>69</v>
      </c>
      <c r="D297" s="530" t="s">
        <v>596</v>
      </c>
      <c r="E297" s="530">
        <v>3300.0</v>
      </c>
    </row>
    <row r="298" ht="22.5" customHeight="1">
      <c r="B298" s="531">
        <v>46199.0</v>
      </c>
      <c r="C298" s="532" t="s">
        <v>1507</v>
      </c>
      <c r="D298" s="532" t="s">
        <v>1508</v>
      </c>
      <c r="E298" s="532">
        <v>100.0</v>
      </c>
    </row>
    <row r="299" ht="22.5" customHeight="1">
      <c r="B299" s="531">
        <v>46199.0</v>
      </c>
      <c r="C299" s="532" t="s">
        <v>205</v>
      </c>
      <c r="D299" s="532" t="s">
        <v>1509</v>
      </c>
      <c r="E299" s="532">
        <v>2000.0</v>
      </c>
    </row>
    <row r="300" ht="22.5" customHeight="1">
      <c r="B300" s="529">
        <v>46199.0</v>
      </c>
      <c r="C300" s="530" t="s">
        <v>595</v>
      </c>
      <c r="D300" s="530" t="s">
        <v>1510</v>
      </c>
      <c r="E300" s="530">
        <v>300.0</v>
      </c>
    </row>
    <row r="301" ht="22.5" customHeight="1">
      <c r="B301" s="531">
        <v>46202.0</v>
      </c>
      <c r="C301" s="532" t="s">
        <v>275</v>
      </c>
      <c r="D301" s="532" t="s">
        <v>684</v>
      </c>
      <c r="E301" s="532">
        <v>1000.0</v>
      </c>
    </row>
    <row r="302" ht="22.5" customHeight="1">
      <c r="B302" s="529">
        <v>46203.0</v>
      </c>
      <c r="C302" s="530" t="s">
        <v>38</v>
      </c>
      <c r="D302" s="530" t="s">
        <v>42</v>
      </c>
      <c r="E302" s="530">
        <v>3000.0</v>
      </c>
    </row>
    <row r="303" ht="22.5" customHeight="1">
      <c r="B303" s="529">
        <v>46203.0</v>
      </c>
      <c r="C303" s="530" t="s">
        <v>40</v>
      </c>
      <c r="D303" s="530" t="s">
        <v>1511</v>
      </c>
      <c r="E303" s="530">
        <v>500.0</v>
      </c>
    </row>
    <row r="304" ht="22.5" customHeight="1">
      <c r="B304" s="529">
        <v>46203.0</v>
      </c>
      <c r="C304" s="530" t="s">
        <v>40</v>
      </c>
      <c r="D304" s="530" t="s">
        <v>1356</v>
      </c>
      <c r="E304" s="530">
        <v>300.0</v>
      </c>
    </row>
    <row r="305" ht="22.5" customHeight="1">
      <c r="B305" s="531">
        <v>46203.0</v>
      </c>
      <c r="C305" s="532" t="s">
        <v>40</v>
      </c>
      <c r="D305" s="532" t="s">
        <v>1355</v>
      </c>
      <c r="E305" s="532">
        <v>200.0</v>
      </c>
    </row>
    <row r="306" ht="22.5" customHeight="1">
      <c r="B306" s="529">
        <v>46203.0</v>
      </c>
      <c r="C306" s="530" t="s">
        <v>66</v>
      </c>
      <c r="D306" s="530" t="s">
        <v>1201</v>
      </c>
      <c r="E306" s="530">
        <v>1500.0</v>
      </c>
    </row>
    <row r="307" ht="22.5" customHeight="1">
      <c r="B307" s="529">
        <v>46203.0</v>
      </c>
      <c r="C307" s="530" t="s">
        <v>66</v>
      </c>
      <c r="D307" s="530" t="s">
        <v>1512</v>
      </c>
      <c r="E307" s="530">
        <v>1000.0</v>
      </c>
    </row>
    <row r="308" ht="22.5" customHeight="1">
      <c r="B308" s="529">
        <v>46203.0</v>
      </c>
      <c r="C308" s="530" t="s">
        <v>1513</v>
      </c>
      <c r="D308" s="530" t="s">
        <v>1514</v>
      </c>
      <c r="E308" s="530">
        <v>800.0</v>
      </c>
    </row>
    <row r="309" ht="22.5" customHeight="1">
      <c r="B309" s="531">
        <v>46204.0</v>
      </c>
      <c r="C309" s="532" t="s">
        <v>94</v>
      </c>
      <c r="D309" s="532" t="s">
        <v>1515</v>
      </c>
      <c r="E309" s="532">
        <v>2000.0</v>
      </c>
    </row>
    <row r="310" ht="22.5" customHeight="1">
      <c r="B310" s="531">
        <v>46205.0</v>
      </c>
      <c r="C310" s="532" t="s">
        <v>166</v>
      </c>
      <c r="D310" s="532" t="s">
        <v>614</v>
      </c>
      <c r="E310" s="532">
        <v>500.0</v>
      </c>
    </row>
    <row r="311" ht="22.5" customHeight="1">
      <c r="B311" s="529">
        <v>46205.0</v>
      </c>
      <c r="C311" s="530" t="s">
        <v>40</v>
      </c>
      <c r="D311" s="530" t="s">
        <v>1516</v>
      </c>
      <c r="E311" s="530">
        <v>500.0</v>
      </c>
    </row>
    <row r="312" ht="22.5" customHeight="1">
      <c r="B312" s="531">
        <v>46206.0</v>
      </c>
      <c r="C312" s="532" t="s">
        <v>8</v>
      </c>
      <c r="D312" s="532" t="s">
        <v>1517</v>
      </c>
      <c r="E312" s="532">
        <v>300.0</v>
      </c>
    </row>
    <row r="313" ht="22.5" customHeight="1">
      <c r="B313" s="531">
        <v>46206.0</v>
      </c>
      <c r="C313" s="532" t="s">
        <v>8</v>
      </c>
      <c r="D313" s="532" t="s">
        <v>659</v>
      </c>
      <c r="E313" s="532">
        <v>300.0</v>
      </c>
    </row>
    <row r="314" ht="22.5" customHeight="1">
      <c r="B314" s="531">
        <v>46206.0</v>
      </c>
      <c r="C314" s="532" t="s">
        <v>8</v>
      </c>
      <c r="D314" s="532" t="s">
        <v>1518</v>
      </c>
      <c r="E314" s="532">
        <v>300.0</v>
      </c>
    </row>
    <row r="315" ht="22.5" customHeight="1">
      <c r="B315" s="531">
        <v>46206.0</v>
      </c>
      <c r="C315" s="532" t="s">
        <v>8</v>
      </c>
      <c r="D315" s="532" t="s">
        <v>1519</v>
      </c>
      <c r="E315" s="532">
        <v>300.0</v>
      </c>
    </row>
    <row r="316" ht="22.5" customHeight="1">
      <c r="B316" s="529">
        <v>46209.0</v>
      </c>
      <c r="C316" s="530" t="s">
        <v>62</v>
      </c>
      <c r="D316" s="530" t="s">
        <v>1520</v>
      </c>
      <c r="E316" s="530">
        <v>4000.0</v>
      </c>
    </row>
    <row r="317" ht="22.5" customHeight="1">
      <c r="B317" s="531">
        <v>46209.0</v>
      </c>
      <c r="C317" s="532" t="s">
        <v>1521</v>
      </c>
      <c r="D317" s="532" t="s">
        <v>1522</v>
      </c>
      <c r="E317" s="532">
        <v>500.0</v>
      </c>
    </row>
    <row r="318" ht="22.5" customHeight="1">
      <c r="B318" s="538"/>
      <c r="C318" s="539"/>
      <c r="D318" s="539"/>
      <c r="E318" s="539"/>
    </row>
    <row r="319" ht="22.5" customHeight="1">
      <c r="B319" s="540"/>
      <c r="C319" s="541"/>
      <c r="D319" s="541"/>
      <c r="E319" s="541"/>
    </row>
    <row r="320" ht="22.5" customHeight="1">
      <c r="B320" s="538"/>
      <c r="C320" s="539"/>
      <c r="D320" s="539"/>
      <c r="E320" s="539"/>
    </row>
    <row r="321" ht="22.5" customHeight="1">
      <c r="B321" s="540"/>
      <c r="C321" s="541"/>
      <c r="D321" s="541"/>
      <c r="E321" s="541"/>
    </row>
    <row r="322" ht="22.5" customHeight="1">
      <c r="B322" s="538"/>
      <c r="C322" s="539"/>
      <c r="D322" s="539"/>
      <c r="E322" s="539"/>
    </row>
    <row r="323" ht="22.5" customHeight="1">
      <c r="B323" s="540"/>
      <c r="C323" s="541"/>
      <c r="D323" s="541"/>
      <c r="E323" s="541"/>
    </row>
    <row r="324" ht="22.5" customHeight="1">
      <c r="B324" s="538"/>
      <c r="C324" s="539"/>
      <c r="D324" s="539"/>
      <c r="E324" s="539"/>
    </row>
    <row r="325" ht="22.5" customHeight="1">
      <c r="B325" s="540"/>
      <c r="C325" s="541"/>
      <c r="D325" s="541"/>
      <c r="E325" s="541"/>
    </row>
    <row r="326" ht="22.5" customHeight="1">
      <c r="B326" s="538"/>
      <c r="C326" s="539"/>
      <c r="D326" s="539"/>
      <c r="E326" s="539"/>
    </row>
    <row r="327" ht="22.5" customHeight="1">
      <c r="B327" s="540"/>
      <c r="C327" s="541"/>
      <c r="D327" s="541"/>
      <c r="E327" s="541"/>
    </row>
    <row r="328" ht="22.5" customHeight="1">
      <c r="B328" s="538"/>
      <c r="C328" s="539"/>
      <c r="D328" s="539"/>
      <c r="E328" s="539"/>
    </row>
    <row r="329" ht="22.5" customHeight="1">
      <c r="B329" s="540"/>
      <c r="C329" s="541"/>
      <c r="D329" s="541"/>
      <c r="E329" s="541"/>
    </row>
    <row r="330" ht="22.5" customHeight="1">
      <c r="B330" s="538"/>
      <c r="C330" s="539"/>
      <c r="D330" s="539"/>
      <c r="E330" s="539"/>
    </row>
    <row r="331" ht="22.5" customHeight="1">
      <c r="B331" s="540"/>
      <c r="C331" s="541"/>
      <c r="D331" s="541"/>
      <c r="E331" s="541"/>
    </row>
    <row r="332" ht="22.5" customHeight="1">
      <c r="B332" s="538"/>
      <c r="C332" s="539"/>
      <c r="D332" s="539"/>
      <c r="E332" s="539"/>
    </row>
    <row r="333" ht="22.5" customHeight="1">
      <c r="B333" s="540"/>
      <c r="C333" s="541"/>
      <c r="D333" s="541"/>
      <c r="E333" s="541"/>
    </row>
    <row r="334" ht="22.5" customHeight="1">
      <c r="B334" s="538"/>
      <c r="C334" s="539"/>
      <c r="D334" s="539"/>
      <c r="E334" s="539"/>
    </row>
    <row r="335" ht="22.5" customHeight="1">
      <c r="B335" s="540"/>
      <c r="C335" s="541"/>
      <c r="D335" s="541"/>
      <c r="E335" s="541"/>
    </row>
    <row r="336" ht="22.5" customHeight="1">
      <c r="B336" s="538"/>
      <c r="C336" s="539"/>
      <c r="D336" s="539"/>
      <c r="E336" s="539"/>
    </row>
    <row r="337" ht="22.5" customHeight="1">
      <c r="B337" s="540"/>
      <c r="C337" s="541"/>
      <c r="D337" s="541"/>
      <c r="E337" s="541"/>
    </row>
    <row r="338" ht="22.5" customHeight="1">
      <c r="B338" s="538"/>
      <c r="C338" s="539"/>
      <c r="D338" s="539"/>
      <c r="E338" s="539"/>
    </row>
    <row r="339" ht="22.5" customHeight="1">
      <c r="B339" s="540"/>
      <c r="C339" s="541"/>
      <c r="D339" s="541"/>
      <c r="E339" s="541"/>
    </row>
    <row r="340" ht="22.5" customHeight="1">
      <c r="B340" s="538"/>
      <c r="C340" s="539"/>
      <c r="D340" s="539"/>
      <c r="E340" s="539"/>
    </row>
    <row r="341" ht="22.5" customHeight="1">
      <c r="B341" s="540"/>
      <c r="C341" s="541"/>
      <c r="D341" s="541"/>
      <c r="E341" s="541"/>
    </row>
    <row r="342" ht="22.5" customHeight="1">
      <c r="B342" s="538"/>
      <c r="C342" s="539"/>
      <c r="D342" s="539"/>
      <c r="E342" s="539"/>
    </row>
    <row r="343" ht="22.5" customHeight="1">
      <c r="B343" s="540"/>
      <c r="C343" s="541"/>
      <c r="D343" s="541"/>
      <c r="E343" s="541"/>
    </row>
    <row r="344" ht="22.5" customHeight="1">
      <c r="B344" s="538"/>
      <c r="C344" s="539"/>
      <c r="D344" s="539"/>
      <c r="E344" s="539"/>
    </row>
    <row r="345" ht="22.5" customHeight="1">
      <c r="B345" s="540"/>
      <c r="C345" s="541"/>
      <c r="D345" s="541"/>
      <c r="E345" s="541"/>
    </row>
    <row r="346" ht="22.5" customHeight="1">
      <c r="B346" s="538"/>
      <c r="C346" s="539"/>
      <c r="D346" s="539"/>
      <c r="E346" s="539"/>
    </row>
    <row r="347" ht="22.5" customHeight="1">
      <c r="B347" s="540"/>
      <c r="C347" s="541"/>
      <c r="D347" s="541"/>
      <c r="E347" s="541"/>
    </row>
    <row r="348" ht="22.5" customHeight="1">
      <c r="B348" s="538"/>
      <c r="C348" s="539"/>
      <c r="D348" s="539"/>
      <c r="E348" s="539"/>
    </row>
    <row r="349" ht="22.5" customHeight="1">
      <c r="B349" s="540"/>
      <c r="C349" s="541"/>
      <c r="D349" s="541"/>
      <c r="E349" s="541"/>
    </row>
    <row r="350" ht="22.5" customHeight="1">
      <c r="B350" s="538"/>
      <c r="C350" s="539"/>
      <c r="D350" s="539"/>
      <c r="E350" s="539"/>
    </row>
    <row r="351" ht="22.5" customHeight="1">
      <c r="B351" s="540"/>
      <c r="C351" s="541"/>
      <c r="D351" s="541"/>
      <c r="E351" s="541"/>
    </row>
    <row r="352" ht="22.5" customHeight="1">
      <c r="B352" s="538"/>
      <c r="C352" s="539"/>
      <c r="D352" s="539"/>
      <c r="E352" s="539"/>
    </row>
    <row r="353" ht="22.5" customHeight="1">
      <c r="B353" s="540"/>
      <c r="C353" s="541"/>
      <c r="D353" s="541"/>
      <c r="E353" s="541"/>
    </row>
    <row r="354" ht="22.5" customHeight="1">
      <c r="B354" s="538"/>
      <c r="C354" s="539"/>
      <c r="D354" s="539"/>
      <c r="E354" s="539"/>
    </row>
    <row r="355" ht="22.5" customHeight="1">
      <c r="B355" s="540"/>
      <c r="C355" s="541"/>
      <c r="D355" s="541"/>
      <c r="E355" s="541"/>
    </row>
    <row r="356" ht="22.5" customHeight="1">
      <c r="B356" s="538"/>
      <c r="C356" s="539"/>
      <c r="D356" s="539"/>
      <c r="E356" s="539"/>
    </row>
    <row r="357" ht="22.5" customHeight="1">
      <c r="B357" s="540"/>
      <c r="C357" s="541"/>
      <c r="D357" s="541"/>
      <c r="E357" s="541"/>
    </row>
    <row r="358" ht="22.5" customHeight="1">
      <c r="B358" s="538"/>
      <c r="C358" s="539"/>
      <c r="D358" s="539"/>
      <c r="E358" s="539"/>
    </row>
    <row r="359" ht="22.5" customHeight="1">
      <c r="B359" s="540"/>
      <c r="C359" s="541"/>
      <c r="D359" s="541"/>
      <c r="E359" s="541"/>
    </row>
    <row r="360" ht="22.5" customHeight="1">
      <c r="B360" s="538"/>
      <c r="C360" s="539"/>
      <c r="D360" s="539"/>
      <c r="E360" s="539"/>
    </row>
    <row r="361" ht="22.5" customHeight="1">
      <c r="B361" s="540"/>
      <c r="C361" s="541"/>
      <c r="D361" s="541"/>
      <c r="E361" s="541"/>
    </row>
    <row r="362" ht="22.5" customHeight="1">
      <c r="B362" s="538"/>
      <c r="C362" s="539"/>
      <c r="D362" s="539"/>
      <c r="E362" s="539"/>
    </row>
    <row r="363" ht="22.5" customHeight="1">
      <c r="B363" s="540"/>
      <c r="C363" s="541"/>
      <c r="D363" s="541"/>
      <c r="E363" s="541"/>
    </row>
    <row r="364" ht="22.5" customHeight="1">
      <c r="B364" s="538"/>
      <c r="C364" s="539"/>
      <c r="D364" s="539"/>
      <c r="E364" s="539"/>
    </row>
    <row r="365" ht="22.5" customHeight="1">
      <c r="B365" s="540"/>
      <c r="C365" s="541"/>
      <c r="D365" s="541"/>
      <c r="E365" s="541"/>
    </row>
    <row r="366" ht="22.5" customHeight="1">
      <c r="B366" s="538"/>
      <c r="C366" s="539"/>
      <c r="D366" s="539"/>
      <c r="E366" s="539"/>
    </row>
    <row r="367" ht="22.5" customHeight="1">
      <c r="B367" s="540"/>
      <c r="C367" s="541"/>
      <c r="D367" s="541"/>
      <c r="E367" s="541"/>
    </row>
    <row r="368" ht="22.5" customHeight="1">
      <c r="B368" s="538"/>
      <c r="C368" s="539"/>
      <c r="D368" s="539"/>
      <c r="E368" s="539"/>
    </row>
    <row r="369" ht="22.5" customHeight="1">
      <c r="B369" s="540"/>
      <c r="C369" s="541"/>
      <c r="D369" s="541"/>
      <c r="E369" s="541"/>
    </row>
    <row r="370" ht="22.5" customHeight="1">
      <c r="B370" s="538"/>
      <c r="C370" s="539"/>
      <c r="D370" s="539"/>
      <c r="E370" s="539"/>
    </row>
    <row r="371" ht="22.5" customHeight="1">
      <c r="B371" s="540"/>
      <c r="C371" s="541"/>
      <c r="D371" s="541"/>
      <c r="E371" s="541"/>
    </row>
    <row r="372" ht="22.5" customHeight="1">
      <c r="B372" s="538"/>
      <c r="C372" s="539"/>
      <c r="D372" s="539"/>
      <c r="E372" s="539"/>
    </row>
    <row r="373" ht="22.5" customHeight="1">
      <c r="B373" s="540"/>
      <c r="C373" s="541"/>
      <c r="D373" s="541"/>
      <c r="E373" s="541"/>
    </row>
    <row r="374" ht="22.5" customHeight="1">
      <c r="B374" s="538"/>
      <c r="C374" s="539"/>
      <c r="D374" s="539"/>
      <c r="E374" s="539"/>
    </row>
    <row r="375" ht="22.5" customHeight="1">
      <c r="B375" s="540"/>
      <c r="C375" s="541"/>
      <c r="D375" s="541"/>
      <c r="E375" s="541"/>
    </row>
    <row r="376" ht="22.5" customHeight="1">
      <c r="B376" s="538"/>
      <c r="C376" s="539"/>
      <c r="D376" s="539"/>
      <c r="E376" s="539"/>
    </row>
    <row r="377" ht="22.5" customHeight="1">
      <c r="B377" s="540"/>
      <c r="C377" s="541"/>
      <c r="D377" s="541"/>
      <c r="E377" s="541"/>
    </row>
    <row r="378" ht="22.5" customHeight="1">
      <c r="B378" s="538"/>
      <c r="C378" s="539"/>
      <c r="D378" s="539"/>
      <c r="E378" s="539"/>
    </row>
    <row r="379" ht="22.5" customHeight="1">
      <c r="B379" s="540"/>
      <c r="C379" s="541"/>
      <c r="D379" s="541"/>
      <c r="E379" s="541"/>
    </row>
    <row r="380" ht="22.5" customHeight="1">
      <c r="B380" s="538"/>
      <c r="C380" s="539"/>
      <c r="D380" s="539"/>
      <c r="E380" s="539"/>
    </row>
    <row r="381" ht="22.5" customHeight="1">
      <c r="B381" s="540"/>
      <c r="C381" s="541"/>
      <c r="D381" s="541"/>
      <c r="E381" s="541"/>
    </row>
    <row r="382" ht="22.5" customHeight="1">
      <c r="B382" s="538"/>
      <c r="C382" s="539"/>
      <c r="D382" s="539"/>
      <c r="E382" s="539"/>
    </row>
    <row r="383" ht="22.5" customHeight="1">
      <c r="B383" s="540"/>
      <c r="C383" s="541"/>
      <c r="D383" s="541"/>
      <c r="E383" s="541"/>
    </row>
    <row r="384" ht="22.5" customHeight="1">
      <c r="B384" s="538"/>
      <c r="C384" s="539"/>
      <c r="D384" s="539"/>
      <c r="E384" s="539"/>
    </row>
    <row r="385" ht="22.5" customHeight="1">
      <c r="B385" s="540"/>
      <c r="C385" s="541"/>
      <c r="D385" s="541"/>
      <c r="E385" s="541"/>
    </row>
    <row r="386" ht="22.5" customHeight="1">
      <c r="B386" s="538"/>
      <c r="C386" s="539"/>
      <c r="D386" s="539"/>
      <c r="E386" s="539"/>
    </row>
    <row r="387" ht="22.5" customHeight="1">
      <c r="B387" s="540"/>
      <c r="C387" s="541"/>
      <c r="D387" s="541"/>
      <c r="E387" s="541"/>
    </row>
    <row r="388" ht="22.5" customHeight="1">
      <c r="B388" s="542"/>
      <c r="C388" s="539"/>
      <c r="D388" s="539"/>
      <c r="E388" s="539"/>
    </row>
    <row r="389" ht="22.5" customHeight="1">
      <c r="B389" s="540"/>
      <c r="C389" s="541"/>
      <c r="D389" s="541"/>
      <c r="E389" s="541"/>
    </row>
    <row r="390" ht="22.5" customHeight="1">
      <c r="B390" s="538"/>
      <c r="C390" s="539"/>
      <c r="D390" s="539"/>
      <c r="E390" s="539"/>
    </row>
    <row r="391" ht="22.5" customHeight="1">
      <c r="B391" s="540"/>
      <c r="C391" s="541"/>
      <c r="D391" s="541"/>
      <c r="E391" s="541"/>
    </row>
    <row r="392" ht="22.5" customHeight="1">
      <c r="B392" s="538"/>
      <c r="C392" s="539"/>
      <c r="D392" s="539"/>
      <c r="E392" s="539"/>
    </row>
    <row r="393" ht="22.5" customHeight="1">
      <c r="B393" s="540"/>
      <c r="C393" s="541"/>
      <c r="D393" s="541"/>
      <c r="E393" s="541"/>
    </row>
    <row r="394" ht="22.5" customHeight="1">
      <c r="B394" s="538"/>
      <c r="C394" s="539"/>
      <c r="D394" s="539"/>
      <c r="E394" s="539"/>
    </row>
    <row r="395" ht="22.5" customHeight="1">
      <c r="B395" s="540"/>
      <c r="C395" s="541"/>
      <c r="D395" s="541"/>
      <c r="E395" s="541"/>
    </row>
    <row r="396" ht="22.5" customHeight="1">
      <c r="B396" s="538"/>
      <c r="C396" s="539"/>
      <c r="D396" s="539"/>
      <c r="E396" s="539"/>
    </row>
    <row r="397" ht="22.5" customHeight="1">
      <c r="B397" s="540"/>
      <c r="C397" s="541"/>
      <c r="D397" s="541"/>
      <c r="E397" s="541"/>
    </row>
    <row r="398" ht="22.5" customHeight="1">
      <c r="B398" s="538"/>
      <c r="C398" s="539"/>
      <c r="D398" s="539"/>
      <c r="E398" s="539"/>
    </row>
    <row r="399" ht="22.5" customHeight="1">
      <c r="B399" s="540"/>
      <c r="C399" s="541"/>
      <c r="D399" s="541"/>
      <c r="E399" s="541"/>
    </row>
    <row r="400" ht="22.5" customHeight="1">
      <c r="B400" s="538"/>
      <c r="C400" s="539"/>
      <c r="D400" s="539"/>
      <c r="E400" s="539"/>
    </row>
    <row r="401" ht="22.5" customHeight="1">
      <c r="B401" s="540"/>
      <c r="C401" s="541"/>
      <c r="D401" s="541"/>
      <c r="E401" s="541"/>
    </row>
    <row r="402" ht="22.5" customHeight="1">
      <c r="B402" s="538"/>
      <c r="C402" s="539"/>
      <c r="D402" s="539"/>
      <c r="E402" s="539"/>
    </row>
    <row r="403" ht="22.5" customHeight="1">
      <c r="B403" s="540"/>
      <c r="C403" s="541"/>
      <c r="D403" s="541"/>
      <c r="E403" s="541"/>
    </row>
    <row r="404" ht="22.5" customHeight="1">
      <c r="B404" s="538"/>
      <c r="C404" s="539"/>
      <c r="D404" s="539"/>
      <c r="E404" s="539"/>
    </row>
    <row r="405" ht="22.5" customHeight="1">
      <c r="B405" s="540"/>
      <c r="C405" s="541"/>
      <c r="D405" s="541"/>
      <c r="E405" s="541"/>
    </row>
    <row r="406" ht="22.5" customHeight="1">
      <c r="B406" s="538"/>
      <c r="C406" s="539"/>
      <c r="D406" s="539"/>
      <c r="E406" s="539"/>
    </row>
    <row r="407" ht="22.5" customHeight="1">
      <c r="B407" s="540"/>
      <c r="C407" s="541"/>
      <c r="D407" s="541"/>
      <c r="E407" s="541"/>
    </row>
    <row r="408" ht="22.5" customHeight="1">
      <c r="B408" s="538"/>
      <c r="C408" s="539"/>
      <c r="D408" s="539"/>
      <c r="E408" s="539"/>
    </row>
    <row r="409" ht="22.5" customHeight="1">
      <c r="B409" s="540"/>
      <c r="C409" s="541"/>
      <c r="D409" s="541"/>
      <c r="E409" s="541"/>
    </row>
    <row r="410" ht="22.5" customHeight="1">
      <c r="B410" s="538"/>
      <c r="C410" s="539"/>
      <c r="D410" s="539"/>
      <c r="E410" s="539"/>
    </row>
    <row r="411" ht="22.5" customHeight="1">
      <c r="B411" s="540"/>
      <c r="C411" s="541"/>
      <c r="D411" s="541"/>
      <c r="E411" s="541"/>
    </row>
    <row r="412" ht="22.5" customHeight="1">
      <c r="B412" s="538"/>
      <c r="C412" s="539"/>
      <c r="D412" s="539"/>
      <c r="E412" s="539"/>
    </row>
    <row r="413" ht="22.5" customHeight="1">
      <c r="B413" s="540"/>
      <c r="C413" s="541"/>
      <c r="D413" s="541"/>
      <c r="E413" s="541"/>
    </row>
    <row r="414" ht="22.5" customHeight="1">
      <c r="B414" s="538"/>
      <c r="C414" s="539"/>
      <c r="D414" s="539"/>
      <c r="E414" s="539"/>
    </row>
    <row r="415" ht="22.5" customHeight="1">
      <c r="B415" s="540"/>
      <c r="C415" s="541"/>
      <c r="D415" s="541"/>
      <c r="E415" s="541"/>
    </row>
    <row r="416" ht="22.5" customHeight="1">
      <c r="B416" s="538"/>
      <c r="C416" s="539"/>
      <c r="D416" s="539"/>
      <c r="E416" s="539"/>
    </row>
    <row r="417" ht="22.5" customHeight="1">
      <c r="B417" s="540"/>
      <c r="C417" s="541"/>
      <c r="D417" s="541"/>
      <c r="E417" s="541"/>
    </row>
    <row r="418" ht="22.5" customHeight="1">
      <c r="B418" s="538"/>
      <c r="C418" s="539"/>
      <c r="D418" s="539"/>
      <c r="E418" s="539"/>
    </row>
    <row r="419" ht="22.5" customHeight="1">
      <c r="B419" s="540"/>
      <c r="C419" s="541"/>
      <c r="D419" s="541"/>
      <c r="E419" s="541"/>
    </row>
    <row r="420" ht="22.5" customHeight="1">
      <c r="B420" s="542"/>
      <c r="C420" s="539"/>
      <c r="D420" s="539"/>
      <c r="E420" s="539"/>
    </row>
    <row r="421" ht="22.5" customHeight="1">
      <c r="B421" s="543"/>
      <c r="C421" s="541"/>
      <c r="D421" s="541"/>
      <c r="E421" s="541"/>
    </row>
    <row r="422" ht="22.5" customHeight="1">
      <c r="B422" s="538"/>
      <c r="C422" s="539"/>
      <c r="D422" s="539"/>
      <c r="E422" s="539"/>
    </row>
    <row r="423" ht="22.5" customHeight="1">
      <c r="B423" s="540"/>
      <c r="C423" s="541"/>
      <c r="D423" s="541"/>
      <c r="E423" s="541"/>
    </row>
    <row r="424" ht="22.5" customHeight="1">
      <c r="B424" s="538"/>
      <c r="C424" s="539"/>
      <c r="D424" s="539"/>
      <c r="E424" s="539"/>
    </row>
    <row r="425" ht="22.5" customHeight="1">
      <c r="B425" s="543"/>
      <c r="C425" s="541"/>
      <c r="D425" s="541"/>
      <c r="E425" s="541"/>
    </row>
    <row r="426" ht="22.5" customHeight="1">
      <c r="B426" s="538"/>
      <c r="C426" s="539"/>
      <c r="D426" s="539"/>
      <c r="E426" s="539"/>
    </row>
    <row r="427" ht="22.5" customHeight="1">
      <c r="B427" s="540"/>
      <c r="C427" s="541"/>
      <c r="D427" s="541"/>
      <c r="E427" s="541"/>
    </row>
    <row r="428" ht="22.5" customHeight="1">
      <c r="B428" s="538"/>
      <c r="C428" s="539"/>
      <c r="D428" s="539"/>
      <c r="E428" s="539"/>
    </row>
    <row r="429" ht="22.5" customHeight="1">
      <c r="B429" s="540"/>
      <c r="C429" s="541"/>
      <c r="D429" s="541"/>
      <c r="E429" s="541"/>
    </row>
    <row r="430" ht="22.5" customHeight="1">
      <c r="B430" s="538"/>
      <c r="C430" s="539"/>
      <c r="D430" s="539"/>
      <c r="E430" s="539"/>
    </row>
    <row r="431" ht="22.5" customHeight="1">
      <c r="B431" s="540"/>
      <c r="C431" s="541"/>
      <c r="D431" s="541"/>
      <c r="E431" s="541"/>
    </row>
    <row r="432" ht="22.5" customHeight="1">
      <c r="B432" s="538"/>
      <c r="C432" s="539"/>
      <c r="D432" s="539"/>
      <c r="E432" s="539"/>
    </row>
    <row r="433" ht="22.5" customHeight="1">
      <c r="B433" s="540"/>
      <c r="C433" s="541"/>
      <c r="D433" s="541"/>
      <c r="E433" s="541"/>
    </row>
    <row r="434" ht="22.5" customHeight="1">
      <c r="B434" s="542"/>
      <c r="C434" s="539"/>
      <c r="D434" s="539"/>
      <c r="E434" s="539"/>
    </row>
    <row r="435" ht="22.5" customHeight="1">
      <c r="B435" s="543"/>
      <c r="C435" s="541"/>
      <c r="D435" s="541"/>
      <c r="E435" s="541"/>
    </row>
    <row r="436" ht="22.5" customHeight="1">
      <c r="B436" s="538"/>
      <c r="C436" s="539"/>
      <c r="D436" s="539"/>
      <c r="E436" s="539"/>
    </row>
    <row r="437" ht="22.5" customHeight="1">
      <c r="B437" s="540"/>
      <c r="C437" s="541"/>
      <c r="D437" s="541"/>
      <c r="E437" s="541"/>
    </row>
    <row r="438" ht="22.5" customHeight="1">
      <c r="B438" s="538"/>
      <c r="C438" s="539"/>
      <c r="D438" s="539"/>
      <c r="E438" s="539"/>
    </row>
    <row r="439" ht="22.5" customHeight="1">
      <c r="B439" s="540"/>
      <c r="C439" s="541"/>
      <c r="D439" s="541"/>
      <c r="E439" s="541"/>
    </row>
    <row r="440" ht="22.5" customHeight="1">
      <c r="B440" s="538"/>
      <c r="C440" s="539"/>
      <c r="D440" s="539"/>
      <c r="E440" s="539"/>
    </row>
    <row r="441" ht="22.5" customHeight="1">
      <c r="B441" s="540"/>
      <c r="C441" s="541"/>
      <c r="D441" s="541"/>
      <c r="E441" s="541"/>
    </row>
    <row r="442" ht="22.5" customHeight="1">
      <c r="B442" s="538"/>
      <c r="C442" s="539"/>
      <c r="D442" s="539"/>
      <c r="E442" s="539"/>
    </row>
    <row r="443" ht="22.5" customHeight="1">
      <c r="B443" s="543"/>
      <c r="C443" s="541"/>
      <c r="D443" s="541"/>
      <c r="E443" s="541"/>
    </row>
    <row r="444" ht="22.5" customHeight="1">
      <c r="B444" s="538"/>
      <c r="C444" s="539"/>
      <c r="D444" s="539"/>
      <c r="E444" s="539"/>
    </row>
    <row r="445" ht="22.5" customHeight="1">
      <c r="B445" s="540"/>
      <c r="C445" s="541"/>
      <c r="D445" s="541"/>
      <c r="E445" s="541"/>
    </row>
    <row r="446" ht="22.5" customHeight="1">
      <c r="B446" s="538"/>
      <c r="C446" s="539"/>
      <c r="D446" s="539"/>
      <c r="E446" s="539"/>
    </row>
    <row r="447" ht="22.5" customHeight="1">
      <c r="B447" s="540"/>
      <c r="C447" s="541"/>
      <c r="D447" s="541"/>
      <c r="E447" s="541"/>
    </row>
    <row r="448" ht="22.5" customHeight="1">
      <c r="B448" s="538"/>
      <c r="C448" s="539"/>
      <c r="D448" s="539"/>
      <c r="E448" s="539"/>
    </row>
    <row r="449" ht="22.5" customHeight="1">
      <c r="B449" s="540"/>
      <c r="C449" s="541"/>
      <c r="D449" s="541"/>
      <c r="E449" s="541"/>
    </row>
    <row r="450" ht="22.5" customHeight="1">
      <c r="B450" s="538"/>
      <c r="C450" s="539"/>
      <c r="D450" s="539"/>
      <c r="E450" s="539"/>
    </row>
    <row r="451" ht="22.5" customHeight="1">
      <c r="B451" s="540"/>
      <c r="C451" s="541"/>
      <c r="D451" s="541"/>
      <c r="E451" s="541"/>
    </row>
    <row r="452" ht="22.5" customHeight="1">
      <c r="B452" s="538"/>
      <c r="C452" s="539"/>
      <c r="D452" s="539"/>
      <c r="E452" s="539"/>
    </row>
    <row r="453" ht="22.5" customHeight="1">
      <c r="B453" s="540"/>
      <c r="C453" s="541"/>
      <c r="D453" s="541"/>
      <c r="E453" s="541"/>
    </row>
    <row r="454" ht="22.5" customHeight="1">
      <c r="B454" s="538"/>
      <c r="C454" s="539"/>
      <c r="D454" s="539"/>
      <c r="E454" s="539"/>
    </row>
    <row r="455" ht="22.5" customHeight="1">
      <c r="B455" s="540"/>
      <c r="C455" s="541"/>
      <c r="D455" s="541"/>
      <c r="E455" s="541"/>
    </row>
    <row r="456" ht="22.5" customHeight="1">
      <c r="B456" s="538"/>
      <c r="C456" s="539"/>
      <c r="D456" s="539"/>
      <c r="E456" s="539"/>
    </row>
    <row r="457" ht="22.5" customHeight="1">
      <c r="B457" s="540"/>
      <c r="C457" s="541"/>
      <c r="D457" s="541"/>
      <c r="E457" s="541"/>
    </row>
    <row r="458" ht="22.5" customHeight="1">
      <c r="B458" s="538"/>
      <c r="C458" s="539"/>
      <c r="D458" s="539"/>
      <c r="E458" s="539"/>
    </row>
    <row r="459" ht="22.5" customHeight="1">
      <c r="B459" s="540"/>
      <c r="C459" s="541"/>
      <c r="D459" s="541"/>
      <c r="E459" s="541"/>
    </row>
    <row r="460" ht="22.5" customHeight="1">
      <c r="B460" s="538"/>
      <c r="C460" s="539"/>
      <c r="D460" s="539"/>
      <c r="E460" s="539"/>
    </row>
    <row r="461" ht="22.5" customHeight="1">
      <c r="B461" s="540"/>
      <c r="C461" s="541"/>
      <c r="D461" s="541"/>
      <c r="E461" s="541"/>
    </row>
    <row r="462" ht="22.5" customHeight="1">
      <c r="B462" s="538"/>
      <c r="C462" s="539"/>
      <c r="D462" s="539"/>
      <c r="E462" s="539"/>
    </row>
    <row r="463" ht="22.5" customHeight="1">
      <c r="B463" s="540"/>
      <c r="C463" s="541"/>
      <c r="D463" s="541"/>
      <c r="E463" s="541"/>
    </row>
    <row r="464" ht="22.5" customHeight="1">
      <c r="B464" s="538"/>
      <c r="C464" s="539"/>
      <c r="D464" s="539"/>
      <c r="E464" s="539"/>
    </row>
    <row r="465" ht="22.5" customHeight="1">
      <c r="B465" s="540"/>
      <c r="C465" s="541"/>
      <c r="D465" s="541"/>
      <c r="E465" s="541"/>
    </row>
    <row r="466" ht="22.5" customHeight="1">
      <c r="B466" s="538"/>
      <c r="C466" s="539"/>
      <c r="D466" s="539"/>
      <c r="E466" s="539"/>
    </row>
    <row r="467" ht="22.5" customHeight="1">
      <c r="B467" s="540"/>
      <c r="C467" s="541"/>
      <c r="D467" s="541"/>
      <c r="E467" s="541"/>
    </row>
    <row r="468" ht="22.5" customHeight="1">
      <c r="B468" s="538"/>
      <c r="C468" s="539"/>
      <c r="D468" s="539"/>
      <c r="E468" s="539"/>
    </row>
    <row r="469" ht="22.5" customHeight="1">
      <c r="B469" s="540"/>
      <c r="C469" s="541"/>
      <c r="D469" s="541"/>
      <c r="E469" s="541"/>
    </row>
    <row r="470" ht="22.5" customHeight="1">
      <c r="B470" s="538"/>
      <c r="C470" s="539"/>
      <c r="D470" s="539"/>
      <c r="E470" s="539"/>
    </row>
    <row r="471" ht="22.5" customHeight="1">
      <c r="B471" s="540"/>
      <c r="C471" s="541"/>
      <c r="D471" s="541"/>
      <c r="E471" s="541"/>
    </row>
    <row r="472" ht="22.5" customHeight="1">
      <c r="B472" s="538"/>
      <c r="C472" s="539"/>
      <c r="D472" s="539"/>
      <c r="E472" s="539"/>
    </row>
    <row r="473" ht="22.5" customHeight="1">
      <c r="B473" s="540"/>
      <c r="C473" s="541"/>
      <c r="D473" s="541"/>
      <c r="E473" s="541"/>
    </row>
    <row r="474" ht="22.5" customHeight="1">
      <c r="B474" s="538"/>
      <c r="C474" s="539"/>
      <c r="D474" s="539"/>
      <c r="E474" s="539"/>
    </row>
    <row r="475" ht="22.5" customHeight="1">
      <c r="B475" s="540"/>
      <c r="C475" s="541"/>
      <c r="D475" s="541"/>
      <c r="E475" s="541"/>
    </row>
    <row r="476" ht="22.5" customHeight="1">
      <c r="B476" s="538"/>
      <c r="C476" s="539"/>
      <c r="D476" s="539"/>
      <c r="E476" s="539"/>
    </row>
    <row r="477" ht="22.5" customHeight="1">
      <c r="B477" s="540"/>
      <c r="C477" s="541"/>
      <c r="D477" s="541"/>
      <c r="E477" s="541"/>
    </row>
    <row r="478" ht="22.5" customHeight="1">
      <c r="B478" s="538"/>
      <c r="C478" s="539"/>
      <c r="D478" s="539"/>
      <c r="E478" s="539"/>
    </row>
    <row r="479" ht="22.5" customHeight="1">
      <c r="B479" s="540"/>
      <c r="C479" s="541"/>
      <c r="D479" s="541"/>
      <c r="E479" s="541"/>
    </row>
    <row r="480" ht="22.5" customHeight="1">
      <c r="B480" s="538"/>
      <c r="C480" s="539"/>
      <c r="D480" s="539"/>
      <c r="E480" s="539"/>
    </row>
    <row r="481" ht="22.5" customHeight="1">
      <c r="B481" s="540"/>
      <c r="C481" s="541"/>
      <c r="D481" s="541"/>
      <c r="E481" s="541"/>
    </row>
    <row r="482" ht="22.5" customHeight="1">
      <c r="B482" s="538"/>
      <c r="C482" s="539"/>
      <c r="D482" s="544"/>
      <c r="E482" s="539"/>
    </row>
    <row r="483" ht="22.5" customHeight="1">
      <c r="B483" s="540"/>
      <c r="C483" s="541"/>
      <c r="D483" s="545"/>
      <c r="E483" s="541"/>
    </row>
    <row r="484" ht="22.5" customHeight="1">
      <c r="B484" s="538"/>
      <c r="C484" s="539"/>
      <c r="D484" s="544"/>
      <c r="E484" s="539"/>
    </row>
    <row r="485" ht="22.5" customHeight="1">
      <c r="B485" s="540"/>
      <c r="C485" s="541"/>
      <c r="D485" s="541"/>
      <c r="E485" s="541"/>
    </row>
    <row r="486" ht="22.5" customHeight="1">
      <c r="B486" s="538"/>
      <c r="C486" s="539"/>
      <c r="D486" s="539"/>
      <c r="E486" s="539"/>
    </row>
    <row r="487" ht="22.5" customHeight="1">
      <c r="B487" s="540"/>
      <c r="C487" s="541"/>
      <c r="D487" s="541"/>
      <c r="E487" s="541"/>
    </row>
    <row r="488" ht="22.5" customHeight="1">
      <c r="B488" s="538"/>
      <c r="C488" s="539"/>
      <c r="D488" s="539"/>
      <c r="E488" s="539"/>
    </row>
    <row r="489" ht="22.5" customHeight="1">
      <c r="B489" s="540"/>
      <c r="C489" s="541"/>
      <c r="D489" s="541"/>
      <c r="E489" s="541"/>
    </row>
    <row r="490" ht="22.5" customHeight="1">
      <c r="B490" s="538"/>
      <c r="C490" s="539"/>
      <c r="D490" s="539"/>
      <c r="E490" s="539"/>
    </row>
    <row r="491" ht="22.5" customHeight="1">
      <c r="B491" s="540"/>
      <c r="C491" s="541"/>
      <c r="D491" s="541"/>
      <c r="E491" s="541"/>
    </row>
    <row r="492" ht="22.5" customHeight="1">
      <c r="B492" s="538"/>
      <c r="C492" s="539"/>
      <c r="D492" s="539"/>
      <c r="E492" s="539"/>
    </row>
    <row r="493" ht="22.5" customHeight="1">
      <c r="B493" s="540"/>
      <c r="C493" s="541"/>
      <c r="D493" s="545"/>
      <c r="E493" s="541"/>
    </row>
    <row r="494" ht="22.5" customHeight="1">
      <c r="B494" s="538"/>
      <c r="C494" s="539"/>
      <c r="D494" s="544"/>
      <c r="E494" s="539"/>
    </row>
    <row r="495" ht="22.5" customHeight="1">
      <c r="B495" s="540"/>
      <c r="C495" s="541"/>
      <c r="D495" s="541"/>
      <c r="E495" s="541"/>
    </row>
    <row r="496" ht="22.5" customHeight="1">
      <c r="B496" s="538"/>
      <c r="C496" s="539"/>
      <c r="D496" s="539"/>
      <c r="E496" s="539"/>
    </row>
    <row r="497" ht="22.5" customHeight="1">
      <c r="B497" s="540"/>
      <c r="C497" s="541"/>
      <c r="D497" s="541"/>
      <c r="E497" s="541"/>
    </row>
    <row r="498" ht="22.5" customHeight="1">
      <c r="B498" s="538"/>
      <c r="C498" s="539"/>
      <c r="D498" s="539"/>
      <c r="E498" s="539"/>
    </row>
    <row r="499" ht="22.5" customHeight="1">
      <c r="B499" s="540"/>
      <c r="C499" s="541"/>
      <c r="D499" s="541"/>
      <c r="E499" s="541"/>
    </row>
    <row r="500" ht="22.5" customHeight="1">
      <c r="B500" s="538"/>
      <c r="C500" s="539"/>
      <c r="D500" s="539"/>
      <c r="E500" s="539"/>
    </row>
    <row r="501" ht="22.5" customHeight="1">
      <c r="B501" s="540"/>
      <c r="C501" s="541"/>
      <c r="D501" s="541"/>
      <c r="E501" s="541"/>
    </row>
    <row r="502" ht="22.5" customHeight="1">
      <c r="B502" s="538"/>
      <c r="C502" s="539"/>
      <c r="D502" s="539"/>
      <c r="E502" s="539"/>
    </row>
    <row r="503" ht="22.5" customHeight="1">
      <c r="B503" s="540"/>
      <c r="C503" s="541"/>
      <c r="D503" s="541"/>
      <c r="E503" s="541"/>
    </row>
    <row r="504" ht="22.5" customHeight="1">
      <c r="B504" s="538"/>
      <c r="C504" s="539"/>
      <c r="D504" s="539"/>
      <c r="E504" s="539"/>
    </row>
    <row r="505" ht="22.5" customHeight="1">
      <c r="B505" s="540"/>
      <c r="C505" s="541"/>
      <c r="D505" s="541"/>
      <c r="E505" s="541"/>
    </row>
    <row r="506" ht="22.5" customHeight="1">
      <c r="B506" s="538"/>
      <c r="C506" s="539"/>
      <c r="D506" s="539"/>
      <c r="E506" s="539"/>
    </row>
    <row r="507" ht="22.5" customHeight="1">
      <c r="B507" s="540"/>
      <c r="C507" s="541"/>
      <c r="D507" s="541"/>
      <c r="E507" s="541"/>
    </row>
    <row r="508" ht="22.5" customHeight="1">
      <c r="B508" s="538"/>
      <c r="C508" s="539"/>
      <c r="D508" s="539"/>
      <c r="E508" s="539"/>
    </row>
    <row r="509" ht="22.5" customHeight="1">
      <c r="B509" s="540"/>
      <c r="C509" s="541"/>
      <c r="D509" s="541"/>
      <c r="E509" s="541"/>
    </row>
    <row r="510" ht="22.5" customHeight="1">
      <c r="B510" s="538"/>
      <c r="C510" s="539"/>
      <c r="D510" s="539"/>
      <c r="E510" s="539"/>
    </row>
    <row r="511" ht="22.5" customHeight="1">
      <c r="B511" s="540"/>
      <c r="C511" s="541"/>
      <c r="D511" s="541"/>
      <c r="E511" s="541"/>
    </row>
    <row r="512" ht="22.5" customHeight="1">
      <c r="B512" s="538"/>
      <c r="C512" s="539"/>
      <c r="D512" s="539"/>
      <c r="E512" s="539"/>
    </row>
    <row r="513" ht="22.5" customHeight="1">
      <c r="B513" s="540"/>
      <c r="C513" s="541"/>
      <c r="D513" s="541"/>
      <c r="E513" s="541"/>
    </row>
    <row r="514" ht="22.5" customHeight="1">
      <c r="B514" s="538"/>
      <c r="C514" s="539"/>
      <c r="D514" s="539"/>
      <c r="E514" s="539"/>
    </row>
    <row r="515" ht="22.5" customHeight="1">
      <c r="B515" s="540"/>
      <c r="C515" s="541"/>
      <c r="D515" s="541"/>
      <c r="E515" s="541"/>
    </row>
    <row r="516" ht="22.5" customHeight="1">
      <c r="B516" s="538"/>
      <c r="C516" s="539"/>
      <c r="D516" s="539"/>
      <c r="E516" s="539"/>
    </row>
    <row r="517" ht="22.5" customHeight="1">
      <c r="B517" s="540"/>
      <c r="C517" s="541"/>
      <c r="D517" s="541"/>
      <c r="E517" s="541"/>
    </row>
    <row r="518" ht="22.5" customHeight="1">
      <c r="B518" s="538"/>
      <c r="C518" s="539"/>
      <c r="D518" s="539"/>
      <c r="E518" s="539"/>
    </row>
    <row r="519" ht="22.5" customHeight="1">
      <c r="B519" s="540"/>
      <c r="C519" s="541"/>
      <c r="D519" s="541"/>
      <c r="E519" s="541"/>
    </row>
    <row r="520" ht="22.5" customHeight="1">
      <c r="B520" s="538"/>
      <c r="C520" s="539"/>
      <c r="D520" s="539"/>
      <c r="E520" s="539"/>
    </row>
    <row r="521" ht="22.5" customHeight="1">
      <c r="B521" s="540"/>
      <c r="C521" s="541"/>
      <c r="D521" s="541"/>
      <c r="E521" s="541"/>
    </row>
    <row r="522" ht="22.5" customHeight="1">
      <c r="B522" s="538"/>
      <c r="C522" s="539"/>
      <c r="D522" s="539"/>
      <c r="E522" s="539"/>
    </row>
    <row r="523" ht="22.5" customHeight="1">
      <c r="B523" s="540"/>
      <c r="C523" s="541"/>
      <c r="D523" s="541"/>
      <c r="E523" s="541"/>
    </row>
    <row r="524" ht="22.5" customHeight="1">
      <c r="B524" s="538"/>
      <c r="C524" s="539"/>
      <c r="D524" s="539"/>
      <c r="E524" s="539"/>
    </row>
    <row r="525" ht="22.5" customHeight="1">
      <c r="B525" s="540"/>
      <c r="C525" s="541"/>
      <c r="D525" s="541"/>
      <c r="E525" s="541"/>
    </row>
    <row r="526" ht="22.5" customHeight="1">
      <c r="B526" s="538"/>
      <c r="C526" s="539"/>
      <c r="D526" s="539"/>
      <c r="E526" s="539"/>
    </row>
    <row r="527" ht="22.5" customHeight="1">
      <c r="B527" s="540"/>
      <c r="C527" s="541"/>
      <c r="D527" s="541"/>
      <c r="E527" s="541"/>
    </row>
    <row r="528" ht="22.5" customHeight="1">
      <c r="B528" s="538"/>
      <c r="C528" s="539"/>
      <c r="D528" s="539"/>
      <c r="E528" s="539"/>
    </row>
    <row r="529" ht="22.5" customHeight="1">
      <c r="B529" s="540"/>
      <c r="C529" s="541"/>
      <c r="D529" s="541"/>
      <c r="E529" s="541"/>
    </row>
    <row r="530" ht="22.5" customHeight="1">
      <c r="B530" s="538"/>
      <c r="C530" s="539"/>
      <c r="D530" s="539"/>
      <c r="E530" s="539"/>
    </row>
    <row r="531" ht="22.5" customHeight="1">
      <c r="B531" s="540"/>
      <c r="C531" s="541"/>
      <c r="D531" s="541"/>
      <c r="E531" s="541"/>
    </row>
    <row r="532" ht="22.5" customHeight="1">
      <c r="B532" s="538"/>
      <c r="C532" s="539"/>
      <c r="D532" s="539"/>
      <c r="E532" s="539"/>
    </row>
    <row r="533" ht="22.5" customHeight="1">
      <c r="B533" s="540"/>
      <c r="C533" s="541"/>
      <c r="D533" s="541"/>
      <c r="E533" s="541"/>
    </row>
    <row r="534" ht="22.5" customHeight="1">
      <c r="B534" s="538"/>
      <c r="C534" s="539"/>
      <c r="D534" s="539"/>
      <c r="E534" s="539"/>
    </row>
    <row r="535" ht="22.5" customHeight="1">
      <c r="B535" s="540"/>
      <c r="C535" s="541"/>
      <c r="D535" s="541"/>
      <c r="E535" s="541"/>
    </row>
    <row r="536" ht="22.5" customHeight="1">
      <c r="B536" s="538"/>
      <c r="C536" s="539"/>
      <c r="D536" s="539"/>
      <c r="E536" s="539"/>
    </row>
    <row r="537" ht="22.5" customHeight="1">
      <c r="B537" s="540"/>
      <c r="C537" s="541"/>
      <c r="D537" s="541"/>
      <c r="E537" s="541"/>
    </row>
    <row r="538" ht="22.5" customHeight="1">
      <c r="B538" s="538"/>
      <c r="C538" s="539"/>
      <c r="D538" s="539"/>
      <c r="E538" s="539"/>
    </row>
    <row r="539" ht="22.5" customHeight="1">
      <c r="B539" s="540"/>
      <c r="C539" s="541"/>
      <c r="D539" s="541"/>
      <c r="E539" s="541"/>
    </row>
    <row r="540" ht="22.5" customHeight="1">
      <c r="B540" s="538"/>
      <c r="C540" s="539"/>
      <c r="D540" s="539"/>
      <c r="E540" s="539"/>
    </row>
    <row r="541" ht="22.5" customHeight="1">
      <c r="B541" s="540"/>
      <c r="C541" s="541"/>
      <c r="D541" s="541"/>
      <c r="E541" s="541"/>
    </row>
    <row r="542" ht="22.5" customHeight="1">
      <c r="B542" s="538"/>
      <c r="C542" s="539"/>
      <c r="D542" s="539"/>
      <c r="E542" s="539"/>
    </row>
    <row r="543" ht="22.5" customHeight="1">
      <c r="B543" s="540"/>
      <c r="C543" s="541"/>
      <c r="D543" s="541"/>
      <c r="E543" s="541"/>
    </row>
    <row r="544" ht="22.5" customHeight="1">
      <c r="B544" s="538"/>
      <c r="C544" s="539"/>
      <c r="D544" s="539"/>
      <c r="E544" s="539"/>
    </row>
    <row r="545" ht="22.5" customHeight="1">
      <c r="B545" s="540"/>
      <c r="C545" s="541"/>
      <c r="D545" s="541"/>
      <c r="E545" s="541"/>
    </row>
    <row r="546" ht="22.5" customHeight="1">
      <c r="B546" s="538"/>
      <c r="C546" s="539"/>
      <c r="D546" s="539"/>
      <c r="E546" s="539"/>
    </row>
    <row r="547" ht="22.5" customHeight="1">
      <c r="B547" s="540"/>
      <c r="C547" s="541"/>
      <c r="D547" s="541"/>
      <c r="E547" s="541"/>
    </row>
    <row r="548" ht="22.5" customHeight="1">
      <c r="B548" s="538"/>
      <c r="C548" s="539"/>
      <c r="D548" s="539"/>
      <c r="E548" s="539"/>
    </row>
    <row r="549" ht="22.5" customHeight="1">
      <c r="B549" s="540"/>
      <c r="C549" s="541"/>
      <c r="D549" s="541"/>
      <c r="E549" s="541"/>
    </row>
    <row r="550" ht="22.5" customHeight="1">
      <c r="B550" s="538"/>
      <c r="C550" s="539"/>
      <c r="D550" s="539"/>
      <c r="E550" s="539"/>
    </row>
    <row r="551" ht="22.5" customHeight="1">
      <c r="B551" s="540"/>
      <c r="C551" s="541"/>
      <c r="D551" s="541"/>
      <c r="E551" s="541"/>
    </row>
    <row r="552" ht="22.5" customHeight="1">
      <c r="B552" s="538"/>
      <c r="C552" s="539"/>
      <c r="D552" s="539"/>
      <c r="E552" s="539"/>
    </row>
    <row r="553" ht="22.5" customHeight="1">
      <c r="B553" s="540"/>
      <c r="C553" s="541"/>
      <c r="D553" s="541"/>
      <c r="E553" s="541"/>
    </row>
    <row r="554" ht="22.5" customHeight="1">
      <c r="B554" s="538"/>
      <c r="C554" s="539"/>
      <c r="D554" s="539"/>
      <c r="E554" s="539"/>
    </row>
    <row r="555" ht="22.5" customHeight="1">
      <c r="B555" s="540"/>
      <c r="C555" s="541"/>
      <c r="D555" s="541"/>
      <c r="E555" s="541"/>
    </row>
    <row r="556" ht="22.5" customHeight="1">
      <c r="B556" s="538"/>
      <c r="C556" s="539"/>
      <c r="D556" s="539"/>
      <c r="E556" s="539"/>
    </row>
    <row r="557" ht="22.5" customHeight="1">
      <c r="B557" s="540"/>
      <c r="C557" s="541"/>
      <c r="D557" s="541"/>
      <c r="E557" s="541"/>
    </row>
    <row r="558" ht="22.5" customHeight="1">
      <c r="B558" s="538"/>
      <c r="C558" s="539"/>
      <c r="D558" s="539"/>
      <c r="E558" s="539"/>
    </row>
    <row r="559" ht="22.5" customHeight="1">
      <c r="B559" s="540"/>
      <c r="C559" s="541"/>
      <c r="D559" s="541"/>
      <c r="E559" s="541"/>
    </row>
    <row r="560" ht="22.5" customHeight="1">
      <c r="B560" s="538"/>
      <c r="C560" s="539"/>
      <c r="D560" s="539"/>
      <c r="E560" s="539"/>
    </row>
    <row r="561" ht="22.5" customHeight="1">
      <c r="B561" s="540"/>
      <c r="C561" s="541"/>
      <c r="D561" s="541"/>
      <c r="E561" s="541"/>
    </row>
    <row r="562" ht="22.5" customHeight="1">
      <c r="B562" s="538"/>
      <c r="C562" s="539"/>
      <c r="D562" s="539"/>
      <c r="E562" s="539"/>
    </row>
    <row r="563" ht="22.5" customHeight="1">
      <c r="B563" s="540"/>
      <c r="C563" s="541"/>
      <c r="D563" s="541"/>
      <c r="E563" s="541"/>
    </row>
    <row r="564" ht="22.5" customHeight="1">
      <c r="B564" s="538"/>
      <c r="C564" s="539"/>
      <c r="D564" s="539"/>
      <c r="E564" s="539"/>
    </row>
    <row r="565" ht="22.5" customHeight="1">
      <c r="B565" s="540"/>
      <c r="C565" s="541"/>
      <c r="D565" s="541"/>
      <c r="E565" s="541"/>
    </row>
    <row r="566" ht="22.5" customHeight="1">
      <c r="B566" s="538"/>
      <c r="C566" s="539"/>
      <c r="D566" s="539"/>
      <c r="E566" s="539"/>
    </row>
    <row r="567" ht="22.5" customHeight="1">
      <c r="B567" s="540"/>
      <c r="C567" s="541"/>
      <c r="D567" s="541"/>
      <c r="E567" s="541"/>
    </row>
    <row r="568" ht="22.5" customHeight="1">
      <c r="B568" s="538"/>
      <c r="C568" s="539"/>
      <c r="D568" s="539"/>
      <c r="E568" s="539"/>
    </row>
    <row r="569" ht="22.5" customHeight="1">
      <c r="B569" s="540"/>
      <c r="C569" s="541"/>
      <c r="D569" s="541"/>
      <c r="E569" s="541"/>
    </row>
    <row r="570" ht="22.5" customHeight="1">
      <c r="B570" s="538"/>
      <c r="C570" s="539"/>
      <c r="D570" s="539"/>
      <c r="E570" s="539"/>
    </row>
    <row r="571" ht="22.5" customHeight="1">
      <c r="B571" s="540"/>
      <c r="C571" s="541"/>
      <c r="D571" s="541"/>
      <c r="E571" s="541"/>
    </row>
    <row r="572" ht="22.5" customHeight="1">
      <c r="B572" s="538"/>
      <c r="C572" s="539"/>
      <c r="D572" s="539"/>
      <c r="E572" s="539"/>
    </row>
    <row r="573" ht="22.5" customHeight="1">
      <c r="B573" s="540"/>
      <c r="C573" s="541"/>
      <c r="D573" s="541"/>
      <c r="E573" s="541"/>
    </row>
    <row r="574" ht="22.5" customHeight="1">
      <c r="B574" s="538"/>
      <c r="C574" s="539"/>
      <c r="D574" s="539"/>
      <c r="E574" s="539"/>
    </row>
    <row r="575" ht="22.5" customHeight="1">
      <c r="B575" s="540"/>
      <c r="C575" s="541"/>
      <c r="D575" s="541"/>
      <c r="E575" s="541"/>
    </row>
    <row r="576" ht="22.5" customHeight="1">
      <c r="B576" s="538"/>
      <c r="C576" s="539"/>
      <c r="D576" s="539"/>
      <c r="E576" s="539"/>
    </row>
    <row r="577" ht="22.5" customHeight="1">
      <c r="B577" s="540"/>
      <c r="C577" s="541"/>
      <c r="D577" s="541"/>
      <c r="E577" s="541"/>
    </row>
    <row r="578" ht="22.5" customHeight="1">
      <c r="B578" s="538"/>
      <c r="C578" s="539"/>
      <c r="D578" s="539"/>
      <c r="E578" s="539"/>
    </row>
    <row r="579" ht="22.5" customHeight="1">
      <c r="B579" s="540"/>
      <c r="C579" s="541"/>
      <c r="D579" s="541"/>
      <c r="E579" s="541"/>
    </row>
    <row r="580" ht="22.5" customHeight="1">
      <c r="B580" s="538"/>
      <c r="C580" s="539"/>
      <c r="D580" s="539"/>
      <c r="E580" s="539"/>
    </row>
    <row r="581" ht="22.5" customHeight="1">
      <c r="B581" s="540"/>
      <c r="C581" s="541"/>
      <c r="D581" s="541"/>
      <c r="E581" s="541"/>
    </row>
    <row r="582" ht="22.5" customHeight="1">
      <c r="B582" s="538"/>
      <c r="C582" s="539"/>
      <c r="D582" s="539"/>
      <c r="E582" s="539"/>
    </row>
    <row r="583" ht="22.5" customHeight="1">
      <c r="B583" s="540"/>
      <c r="C583" s="541"/>
      <c r="D583" s="541"/>
      <c r="E583" s="541"/>
    </row>
    <row r="584" ht="22.5" customHeight="1">
      <c r="B584" s="538"/>
      <c r="C584" s="539"/>
      <c r="D584" s="539"/>
      <c r="E584" s="539"/>
    </row>
    <row r="585" ht="22.5" customHeight="1">
      <c r="B585" s="540"/>
      <c r="C585" s="541"/>
      <c r="D585" s="541"/>
      <c r="E585" s="541"/>
    </row>
    <row r="586" ht="22.5" customHeight="1">
      <c r="B586" s="538"/>
      <c r="C586" s="539"/>
      <c r="D586" s="539"/>
      <c r="E586" s="539"/>
    </row>
    <row r="587" ht="22.5" customHeight="1">
      <c r="B587" s="540"/>
      <c r="C587" s="541"/>
      <c r="D587" s="541"/>
      <c r="E587" s="541"/>
    </row>
    <row r="588" ht="22.5" customHeight="1">
      <c r="B588" s="538"/>
      <c r="C588" s="539"/>
      <c r="D588" s="539"/>
      <c r="E588" s="539"/>
    </row>
    <row r="589" ht="22.5" customHeight="1">
      <c r="B589" s="540"/>
      <c r="C589" s="541"/>
      <c r="D589" s="541"/>
      <c r="E589" s="541"/>
    </row>
    <row r="590" ht="22.5" customHeight="1">
      <c r="B590" s="538"/>
      <c r="C590" s="539"/>
      <c r="D590" s="539"/>
      <c r="E590" s="539"/>
    </row>
    <row r="591" ht="22.5" customHeight="1">
      <c r="B591" s="540"/>
      <c r="C591" s="541"/>
      <c r="D591" s="541"/>
      <c r="E591" s="541"/>
    </row>
    <row r="592" ht="22.5" customHeight="1">
      <c r="B592" s="542"/>
      <c r="C592" s="539"/>
      <c r="D592" s="539"/>
      <c r="E592" s="539"/>
    </row>
    <row r="593" ht="22.5" customHeight="1">
      <c r="B593" s="543"/>
      <c r="C593" s="541"/>
      <c r="D593" s="541"/>
      <c r="E593" s="541"/>
    </row>
    <row r="594" ht="22.5" customHeight="1">
      <c r="B594" s="538"/>
      <c r="C594" s="539"/>
      <c r="D594" s="539"/>
      <c r="E594" s="539"/>
    </row>
    <row r="595" ht="22.5" customHeight="1">
      <c r="B595" s="540"/>
      <c r="C595" s="541"/>
      <c r="D595" s="541"/>
      <c r="E595" s="541"/>
    </row>
    <row r="596" ht="22.5" customHeight="1">
      <c r="B596" s="538"/>
      <c r="C596" s="539"/>
      <c r="D596" s="539"/>
      <c r="E596" s="539"/>
    </row>
    <row r="597" ht="22.5" customHeight="1">
      <c r="B597" s="540"/>
      <c r="C597" s="541"/>
      <c r="D597" s="541"/>
      <c r="E597" s="541"/>
    </row>
    <row r="598" ht="22.5" customHeight="1">
      <c r="B598" s="538"/>
      <c r="C598" s="539"/>
      <c r="D598" s="539"/>
      <c r="E598" s="539"/>
    </row>
    <row r="599" ht="22.5" customHeight="1">
      <c r="B599" s="540"/>
      <c r="C599" s="541"/>
      <c r="D599" s="541"/>
      <c r="E599" s="541"/>
    </row>
    <row r="600" ht="22.5" customHeight="1">
      <c r="B600" s="538"/>
      <c r="C600" s="539"/>
      <c r="D600" s="539"/>
      <c r="E600" s="539"/>
    </row>
    <row r="601" ht="22.5" customHeight="1">
      <c r="B601" s="540"/>
      <c r="C601" s="541"/>
      <c r="D601" s="541"/>
      <c r="E601" s="541"/>
    </row>
    <row r="602" ht="22.5" customHeight="1">
      <c r="B602" s="538"/>
      <c r="C602" s="539"/>
      <c r="D602" s="539"/>
      <c r="E602" s="539"/>
    </row>
    <row r="603" ht="22.5" customHeight="1">
      <c r="B603" s="540"/>
      <c r="C603" s="541"/>
      <c r="D603" s="541"/>
      <c r="E603" s="541"/>
    </row>
    <row r="604" ht="22.5" customHeight="1">
      <c r="B604" s="538"/>
      <c r="C604" s="539"/>
      <c r="D604" s="539"/>
      <c r="E604" s="539"/>
    </row>
    <row r="605" ht="22.5" customHeight="1">
      <c r="B605" s="540"/>
      <c r="C605" s="541"/>
      <c r="D605" s="541"/>
      <c r="E605" s="541"/>
    </row>
    <row r="606" ht="22.5" customHeight="1">
      <c r="B606" s="538"/>
      <c r="C606" s="539"/>
      <c r="D606" s="539"/>
      <c r="E606" s="539"/>
    </row>
    <row r="607" ht="22.5" customHeight="1">
      <c r="B607" s="540"/>
      <c r="C607" s="541"/>
      <c r="D607" s="541"/>
      <c r="E607" s="541"/>
    </row>
    <row r="608" ht="22.5" customHeight="1">
      <c r="B608" s="538"/>
      <c r="C608" s="539"/>
      <c r="D608" s="539"/>
      <c r="E608" s="539"/>
    </row>
    <row r="609" ht="22.5" customHeight="1">
      <c r="B609" s="540"/>
      <c r="C609" s="541"/>
      <c r="D609" s="541"/>
      <c r="E609" s="541"/>
    </row>
    <row r="610" ht="22.5" customHeight="1">
      <c r="B610" s="538"/>
      <c r="C610" s="539"/>
      <c r="D610" s="539"/>
      <c r="E610" s="539"/>
    </row>
    <row r="611" ht="22.5" customHeight="1">
      <c r="B611" s="540"/>
      <c r="C611" s="541"/>
      <c r="D611" s="541"/>
      <c r="E611" s="541"/>
    </row>
    <row r="612" ht="22.5" customHeight="1">
      <c r="B612" s="538"/>
      <c r="C612" s="539"/>
      <c r="D612" s="539"/>
      <c r="E612" s="539"/>
    </row>
    <row r="613" ht="22.5" customHeight="1">
      <c r="B613" s="540"/>
      <c r="C613" s="541"/>
      <c r="D613" s="541"/>
      <c r="E613" s="541"/>
    </row>
    <row r="614" ht="22.5" customHeight="1">
      <c r="B614" s="538"/>
      <c r="C614" s="539"/>
      <c r="D614" s="539"/>
      <c r="E614" s="539"/>
    </row>
    <row r="615" ht="22.5" customHeight="1">
      <c r="B615" s="540"/>
      <c r="C615" s="541"/>
      <c r="D615" s="541"/>
      <c r="E615" s="541"/>
    </row>
    <row r="616" ht="22.5" customHeight="1">
      <c r="B616" s="538"/>
      <c r="C616" s="539"/>
      <c r="D616" s="539"/>
      <c r="E616" s="539"/>
    </row>
    <row r="617" ht="22.5" customHeight="1">
      <c r="B617" s="540"/>
      <c r="C617" s="541"/>
      <c r="D617" s="541"/>
      <c r="E617" s="541"/>
    </row>
    <row r="618" ht="22.5" customHeight="1">
      <c r="B618" s="538"/>
      <c r="C618" s="539"/>
      <c r="D618" s="539"/>
      <c r="E618" s="539"/>
    </row>
    <row r="619" ht="22.5" customHeight="1">
      <c r="B619" s="540"/>
      <c r="C619" s="541"/>
      <c r="D619" s="541"/>
      <c r="E619" s="541"/>
    </row>
    <row r="620" ht="22.5" customHeight="1">
      <c r="B620" s="538"/>
      <c r="C620" s="539"/>
      <c r="D620" s="539"/>
      <c r="E620" s="539"/>
    </row>
    <row r="621" ht="22.5" customHeight="1">
      <c r="B621" s="540"/>
      <c r="C621" s="541"/>
      <c r="D621" s="541"/>
      <c r="E621" s="541"/>
    </row>
    <row r="622" ht="22.5" customHeight="1">
      <c r="B622" s="538"/>
      <c r="C622" s="539"/>
      <c r="D622" s="539"/>
      <c r="E622" s="539"/>
    </row>
    <row r="623" ht="22.5" customHeight="1">
      <c r="B623" s="540"/>
      <c r="C623" s="541"/>
      <c r="D623" s="541"/>
      <c r="E623" s="541"/>
    </row>
    <row r="624" ht="22.5" customHeight="1">
      <c r="B624" s="538"/>
      <c r="C624" s="539"/>
      <c r="D624" s="539"/>
      <c r="E624" s="539"/>
    </row>
    <row r="625" ht="22.5" customHeight="1">
      <c r="B625" s="540"/>
      <c r="C625" s="541"/>
      <c r="D625" s="541"/>
      <c r="E625" s="541"/>
    </row>
    <row r="626" ht="22.5" customHeight="1">
      <c r="B626" s="538"/>
      <c r="C626" s="539"/>
      <c r="D626" s="539"/>
      <c r="E626" s="539"/>
    </row>
    <row r="627" ht="22.5" customHeight="1">
      <c r="B627" s="540"/>
      <c r="C627" s="541"/>
      <c r="D627" s="541"/>
      <c r="E627" s="541"/>
    </row>
    <row r="628" ht="22.5" customHeight="1">
      <c r="B628" s="538"/>
      <c r="C628" s="539"/>
      <c r="D628" s="539"/>
      <c r="E628" s="539"/>
    </row>
    <row r="629" ht="22.5" customHeight="1">
      <c r="B629" s="540"/>
      <c r="C629" s="541"/>
      <c r="D629" s="541"/>
      <c r="E629" s="541"/>
    </row>
    <row r="630" ht="22.5" customHeight="1">
      <c r="B630" s="538"/>
      <c r="C630" s="539"/>
      <c r="D630" s="539"/>
      <c r="E630" s="539"/>
    </row>
    <row r="631" ht="22.5" customHeight="1">
      <c r="B631" s="540"/>
      <c r="C631" s="541"/>
      <c r="D631" s="541"/>
      <c r="E631" s="541"/>
    </row>
    <row r="632" ht="22.5" customHeight="1">
      <c r="B632" s="538"/>
      <c r="C632" s="539"/>
      <c r="D632" s="539"/>
      <c r="E632" s="539"/>
    </row>
    <row r="633" ht="22.5" customHeight="1">
      <c r="B633" s="540"/>
      <c r="C633" s="541"/>
      <c r="D633" s="541"/>
      <c r="E633" s="541"/>
    </row>
    <row r="634" ht="22.5" customHeight="1">
      <c r="B634" s="538"/>
      <c r="C634" s="539"/>
      <c r="D634" s="539"/>
      <c r="E634" s="539"/>
    </row>
    <row r="635" ht="22.5" customHeight="1">
      <c r="B635" s="540"/>
      <c r="C635" s="541"/>
      <c r="D635" s="541"/>
      <c r="E635" s="541"/>
    </row>
    <row r="636" ht="22.5" customHeight="1">
      <c r="B636" s="538"/>
      <c r="C636" s="539"/>
      <c r="D636" s="539"/>
      <c r="E636" s="539"/>
    </row>
    <row r="637" ht="22.5" customHeight="1">
      <c r="B637" s="540"/>
      <c r="C637" s="541"/>
      <c r="D637" s="541"/>
      <c r="E637" s="541"/>
    </row>
    <row r="638" ht="22.5" customHeight="1">
      <c r="B638" s="538"/>
      <c r="C638" s="539"/>
      <c r="D638" s="539"/>
      <c r="E638" s="539"/>
    </row>
    <row r="639" ht="22.5" customHeight="1">
      <c r="B639" s="540"/>
      <c r="C639" s="541"/>
      <c r="D639" s="541"/>
      <c r="E639" s="541"/>
    </row>
    <row r="640" ht="22.5" customHeight="1">
      <c r="B640" s="538"/>
      <c r="C640" s="539"/>
      <c r="D640" s="539"/>
      <c r="E640" s="539"/>
    </row>
    <row r="641" ht="22.5" customHeight="1">
      <c r="B641" s="540"/>
      <c r="C641" s="541"/>
      <c r="D641" s="541"/>
      <c r="E641" s="541"/>
    </row>
    <row r="642" ht="22.5" customHeight="1">
      <c r="B642" s="538"/>
      <c r="C642" s="539"/>
      <c r="D642" s="539"/>
      <c r="E642" s="539"/>
    </row>
    <row r="643" ht="22.5" customHeight="1">
      <c r="B643" s="540"/>
      <c r="C643" s="541"/>
      <c r="D643" s="541"/>
      <c r="E643" s="541"/>
    </row>
    <row r="644" ht="22.5" customHeight="1">
      <c r="B644" s="538"/>
      <c r="C644" s="539"/>
      <c r="D644" s="539"/>
      <c r="E644" s="539"/>
    </row>
    <row r="645" ht="22.5" customHeight="1">
      <c r="B645" s="540"/>
      <c r="C645" s="541"/>
      <c r="D645" s="541"/>
      <c r="E645" s="541"/>
    </row>
    <row r="646" ht="22.5" customHeight="1">
      <c r="B646" s="538"/>
      <c r="C646" s="539"/>
      <c r="D646" s="539"/>
      <c r="E646" s="539"/>
    </row>
    <row r="647" ht="22.5" customHeight="1">
      <c r="B647" s="540"/>
      <c r="C647" s="541"/>
      <c r="D647" s="541"/>
      <c r="E647" s="541"/>
    </row>
    <row r="648" ht="22.5" customHeight="1">
      <c r="B648" s="538"/>
      <c r="C648" s="539"/>
      <c r="D648" s="539"/>
      <c r="E648" s="539"/>
    </row>
    <row r="649" ht="22.5" customHeight="1">
      <c r="B649" s="540"/>
      <c r="C649" s="541"/>
      <c r="D649" s="541"/>
      <c r="E649" s="541"/>
    </row>
    <row r="650" ht="22.5" customHeight="1">
      <c r="B650" s="538"/>
      <c r="C650" s="539"/>
      <c r="D650" s="539"/>
      <c r="E650" s="539"/>
    </row>
    <row r="651" ht="22.5" customHeight="1">
      <c r="B651" s="540"/>
      <c r="C651" s="541"/>
      <c r="D651" s="541"/>
      <c r="E651" s="541"/>
    </row>
    <row r="652" ht="22.5" customHeight="1">
      <c r="B652" s="538"/>
      <c r="C652" s="539"/>
      <c r="D652" s="539"/>
      <c r="E652" s="539"/>
    </row>
    <row r="653" ht="22.5" customHeight="1">
      <c r="B653" s="540"/>
      <c r="C653" s="541"/>
      <c r="D653" s="541"/>
      <c r="E653" s="541"/>
    </row>
    <row r="654" ht="22.5" customHeight="1">
      <c r="B654" s="538"/>
      <c r="C654" s="539"/>
      <c r="D654" s="539"/>
      <c r="E654" s="539"/>
    </row>
    <row r="655" ht="22.5" customHeight="1">
      <c r="B655" s="540"/>
      <c r="C655" s="541"/>
      <c r="D655" s="541"/>
      <c r="E655" s="541"/>
    </row>
    <row r="656" ht="22.5" customHeight="1">
      <c r="B656" s="538"/>
      <c r="C656" s="539"/>
      <c r="D656" s="539"/>
      <c r="E656" s="539"/>
    </row>
    <row r="657" ht="22.5" customHeight="1">
      <c r="B657" s="540"/>
      <c r="C657" s="541"/>
      <c r="D657" s="541"/>
      <c r="E657" s="541"/>
    </row>
    <row r="658" ht="22.5" customHeight="1">
      <c r="B658" s="538"/>
      <c r="C658" s="539"/>
      <c r="D658" s="539"/>
      <c r="E658" s="539"/>
    </row>
    <row r="659" ht="22.5" customHeight="1">
      <c r="B659" s="540"/>
      <c r="C659" s="541"/>
      <c r="D659" s="541"/>
      <c r="E659" s="541"/>
    </row>
    <row r="660" ht="22.5" customHeight="1">
      <c r="B660" s="538"/>
      <c r="C660" s="539"/>
      <c r="D660" s="539"/>
      <c r="E660" s="539"/>
    </row>
    <row r="661" ht="22.5" customHeight="1">
      <c r="B661" s="540"/>
      <c r="C661" s="541"/>
      <c r="D661" s="541"/>
      <c r="E661" s="541"/>
    </row>
    <row r="662" ht="22.5" customHeight="1">
      <c r="B662" s="538"/>
      <c r="C662" s="539"/>
      <c r="D662" s="539"/>
      <c r="E662" s="539"/>
    </row>
    <row r="663" ht="22.5" customHeight="1">
      <c r="B663" s="540"/>
      <c r="C663" s="541"/>
      <c r="D663" s="541"/>
      <c r="E663" s="541"/>
    </row>
    <row r="664" ht="22.5" customHeight="1">
      <c r="B664" s="538"/>
      <c r="C664" s="539"/>
      <c r="D664" s="539"/>
      <c r="E664" s="539"/>
    </row>
    <row r="665" ht="22.5" customHeight="1">
      <c r="B665" s="540"/>
      <c r="C665" s="541"/>
      <c r="D665" s="541"/>
      <c r="E665" s="541"/>
    </row>
    <row r="666" ht="22.5" customHeight="1">
      <c r="B666" s="538"/>
      <c r="C666" s="539"/>
      <c r="D666" s="539"/>
      <c r="E666" s="539"/>
    </row>
    <row r="667" ht="22.5" customHeight="1">
      <c r="B667" s="540"/>
      <c r="C667" s="541"/>
      <c r="D667" s="541"/>
      <c r="E667" s="541"/>
    </row>
    <row r="668" ht="22.5" customHeight="1">
      <c r="B668" s="538"/>
      <c r="C668" s="539"/>
      <c r="D668" s="539"/>
      <c r="E668" s="539"/>
    </row>
    <row r="669" ht="22.5" customHeight="1">
      <c r="B669" s="540"/>
      <c r="C669" s="541"/>
      <c r="D669" s="541"/>
      <c r="E669" s="541"/>
    </row>
    <row r="670" ht="22.5" customHeight="1">
      <c r="B670" s="538"/>
      <c r="C670" s="539"/>
      <c r="D670" s="539"/>
      <c r="E670" s="539"/>
    </row>
    <row r="671" ht="22.5" customHeight="1">
      <c r="B671" s="540"/>
      <c r="C671" s="541"/>
      <c r="D671" s="541"/>
      <c r="E671" s="541"/>
    </row>
    <row r="672" ht="22.5" customHeight="1">
      <c r="B672" s="538"/>
      <c r="C672" s="539"/>
      <c r="D672" s="539"/>
      <c r="E672" s="539"/>
    </row>
    <row r="673" ht="22.5" customHeight="1">
      <c r="B673" s="540"/>
      <c r="C673" s="541"/>
      <c r="D673" s="541"/>
      <c r="E673" s="541"/>
    </row>
    <row r="674" ht="22.5" customHeight="1">
      <c r="B674" s="538"/>
      <c r="C674" s="539"/>
      <c r="D674" s="539"/>
      <c r="E674" s="539"/>
    </row>
    <row r="675" ht="22.5" customHeight="1">
      <c r="B675" s="540"/>
      <c r="C675" s="541"/>
      <c r="D675" s="541"/>
      <c r="E675" s="541"/>
    </row>
    <row r="676" ht="22.5" customHeight="1">
      <c r="B676" s="538"/>
      <c r="C676" s="539"/>
      <c r="D676" s="539"/>
      <c r="E676" s="539"/>
    </row>
    <row r="677" ht="22.5" customHeight="1">
      <c r="B677" s="540"/>
      <c r="C677" s="541"/>
      <c r="D677" s="541"/>
      <c r="E677" s="541"/>
    </row>
    <row r="678" ht="22.5" customHeight="1">
      <c r="B678" s="538"/>
      <c r="C678" s="539"/>
      <c r="D678" s="539"/>
      <c r="E678" s="539"/>
    </row>
    <row r="679" ht="22.5" customHeight="1">
      <c r="B679" s="540"/>
      <c r="C679" s="541"/>
      <c r="D679" s="541"/>
      <c r="E679" s="541"/>
    </row>
    <row r="680" ht="22.5" customHeight="1">
      <c r="B680" s="538"/>
      <c r="C680" s="539"/>
      <c r="D680" s="539"/>
      <c r="E680" s="539"/>
    </row>
    <row r="681" ht="22.5" customHeight="1">
      <c r="B681" s="540"/>
      <c r="C681" s="541"/>
      <c r="D681" s="541"/>
      <c r="E681" s="541"/>
    </row>
    <row r="682" ht="22.5" customHeight="1">
      <c r="B682" s="538"/>
      <c r="C682" s="539"/>
      <c r="D682" s="539"/>
      <c r="E682" s="539"/>
    </row>
    <row r="683" ht="22.5" customHeight="1">
      <c r="B683" s="540"/>
      <c r="C683" s="541"/>
      <c r="D683" s="541"/>
      <c r="E683" s="541"/>
    </row>
    <row r="684" ht="22.5" customHeight="1">
      <c r="B684" s="538"/>
      <c r="C684" s="539"/>
      <c r="D684" s="539"/>
      <c r="E684" s="539"/>
    </row>
    <row r="685" ht="22.5" customHeight="1">
      <c r="B685" s="540"/>
      <c r="C685" s="541"/>
      <c r="D685" s="541"/>
      <c r="E685" s="541"/>
    </row>
    <row r="686" ht="22.5" customHeight="1">
      <c r="B686" s="538"/>
      <c r="C686" s="539"/>
      <c r="D686" s="539"/>
      <c r="E686" s="539"/>
    </row>
    <row r="687" ht="22.5" customHeight="1">
      <c r="B687" s="540"/>
      <c r="C687" s="541"/>
      <c r="D687" s="541"/>
      <c r="E687" s="541"/>
    </row>
    <row r="688" ht="22.5" customHeight="1">
      <c r="B688" s="538"/>
      <c r="C688" s="539"/>
      <c r="D688" s="539"/>
      <c r="E688" s="539"/>
    </row>
    <row r="689" ht="22.5" customHeight="1">
      <c r="B689" s="540"/>
      <c r="C689" s="541"/>
      <c r="D689" s="541"/>
      <c r="E689" s="541"/>
    </row>
    <row r="690" ht="22.5" customHeight="1">
      <c r="B690" s="538"/>
      <c r="C690" s="539"/>
      <c r="D690" s="539"/>
      <c r="E690" s="539"/>
    </row>
    <row r="691" ht="22.5" customHeight="1">
      <c r="B691" s="540"/>
      <c r="C691" s="541"/>
      <c r="D691" s="541"/>
      <c r="E691" s="541"/>
    </row>
    <row r="692" ht="22.5" customHeight="1">
      <c r="B692" s="538"/>
      <c r="C692" s="539"/>
      <c r="D692" s="539"/>
      <c r="E692" s="539"/>
    </row>
    <row r="693" ht="22.5" customHeight="1">
      <c r="B693" s="540"/>
      <c r="C693" s="541"/>
      <c r="D693" s="541"/>
      <c r="E693" s="541"/>
    </row>
    <row r="694" ht="22.5" customHeight="1">
      <c r="B694" s="538"/>
      <c r="C694" s="539"/>
      <c r="D694" s="539"/>
      <c r="E694" s="539"/>
    </row>
    <row r="695" ht="22.5" customHeight="1">
      <c r="B695" s="540"/>
      <c r="C695" s="541"/>
      <c r="D695" s="541"/>
      <c r="E695" s="541"/>
    </row>
    <row r="696" ht="22.5" customHeight="1">
      <c r="B696" s="538"/>
      <c r="C696" s="539"/>
      <c r="D696" s="539"/>
      <c r="E696" s="539"/>
    </row>
    <row r="697" ht="22.5" customHeight="1">
      <c r="B697" s="540"/>
      <c r="C697" s="541"/>
      <c r="D697" s="541"/>
      <c r="E697" s="541"/>
    </row>
    <row r="698" ht="22.5" customHeight="1">
      <c r="B698" s="538"/>
      <c r="C698" s="539"/>
      <c r="D698" s="539"/>
      <c r="E698" s="539"/>
    </row>
    <row r="699" ht="22.5" customHeight="1">
      <c r="B699" s="540"/>
      <c r="C699" s="541"/>
      <c r="D699" s="541"/>
      <c r="E699" s="541"/>
    </row>
    <row r="700" ht="22.5" customHeight="1">
      <c r="B700" s="538"/>
      <c r="C700" s="539"/>
      <c r="D700" s="539"/>
      <c r="E700" s="539"/>
    </row>
    <row r="701" ht="22.5" customHeight="1">
      <c r="B701" s="540"/>
      <c r="C701" s="541"/>
      <c r="D701" s="541"/>
      <c r="E701" s="541"/>
    </row>
    <row r="702" ht="22.5" customHeight="1">
      <c r="B702" s="538"/>
      <c r="C702" s="539"/>
      <c r="D702" s="539"/>
      <c r="E702" s="539"/>
    </row>
    <row r="703" ht="22.5" customHeight="1">
      <c r="B703" s="540"/>
      <c r="C703" s="541"/>
      <c r="D703" s="541"/>
      <c r="E703" s="541"/>
    </row>
    <row r="704" ht="22.5" customHeight="1">
      <c r="B704" s="538"/>
      <c r="C704" s="539"/>
      <c r="D704" s="539"/>
      <c r="E704" s="539"/>
    </row>
    <row r="705" ht="22.5" customHeight="1">
      <c r="B705" s="540"/>
      <c r="C705" s="541"/>
      <c r="D705" s="541"/>
      <c r="E705" s="541"/>
    </row>
    <row r="706" ht="22.5" customHeight="1">
      <c r="B706" s="538"/>
      <c r="C706" s="539"/>
      <c r="D706" s="539"/>
      <c r="E706" s="539"/>
    </row>
    <row r="707" ht="22.5" customHeight="1">
      <c r="B707" s="540"/>
      <c r="C707" s="541"/>
      <c r="D707" s="541"/>
      <c r="E707" s="541"/>
    </row>
    <row r="708" ht="22.5" customHeight="1">
      <c r="B708" s="538"/>
      <c r="C708" s="539"/>
      <c r="D708" s="539"/>
      <c r="E708" s="539"/>
    </row>
    <row r="709" ht="22.5" customHeight="1">
      <c r="B709" s="540"/>
      <c r="C709" s="541"/>
      <c r="D709" s="541"/>
      <c r="E709" s="541"/>
    </row>
    <row r="710" ht="22.5" customHeight="1">
      <c r="B710" s="538"/>
      <c r="C710" s="539"/>
      <c r="D710" s="539"/>
      <c r="E710" s="539"/>
    </row>
    <row r="711" ht="22.5" customHeight="1">
      <c r="B711" s="540"/>
      <c r="C711" s="541"/>
      <c r="D711" s="541"/>
      <c r="E711" s="541"/>
    </row>
    <row r="712" ht="22.5" customHeight="1">
      <c r="B712" s="542"/>
      <c r="C712" s="539"/>
      <c r="D712" s="539"/>
      <c r="E712" s="539"/>
    </row>
    <row r="713" ht="22.5" customHeight="1">
      <c r="B713" s="543"/>
      <c r="C713" s="541"/>
      <c r="D713" s="541"/>
      <c r="E713" s="541"/>
    </row>
    <row r="714" ht="22.5" customHeight="1">
      <c r="B714" s="538"/>
      <c r="C714" s="539"/>
      <c r="D714" s="539"/>
      <c r="E714" s="539"/>
    </row>
    <row r="715" ht="22.5" customHeight="1">
      <c r="B715" s="540"/>
      <c r="C715" s="541"/>
      <c r="D715" s="541"/>
      <c r="E715" s="541"/>
    </row>
    <row r="716" ht="22.5" customHeight="1">
      <c r="B716" s="538"/>
      <c r="C716" s="539"/>
      <c r="D716" s="539"/>
      <c r="E716" s="539"/>
    </row>
    <row r="717" ht="22.5" customHeight="1">
      <c r="B717" s="540"/>
      <c r="C717" s="541"/>
      <c r="D717" s="541"/>
      <c r="E717" s="541"/>
    </row>
    <row r="718" ht="22.5" customHeight="1">
      <c r="B718" s="542"/>
      <c r="C718" s="539"/>
      <c r="D718" s="539"/>
      <c r="E718" s="539"/>
    </row>
    <row r="719" ht="22.5" customHeight="1">
      <c r="B719" s="543"/>
      <c r="C719" s="541"/>
      <c r="D719" s="541"/>
      <c r="E719" s="541"/>
    </row>
    <row r="720" ht="22.5" customHeight="1">
      <c r="B720" s="538"/>
      <c r="C720" s="539"/>
      <c r="D720" s="539"/>
      <c r="E720" s="539"/>
    </row>
    <row r="721" ht="22.5" customHeight="1">
      <c r="B721" s="540"/>
      <c r="C721" s="541"/>
      <c r="D721" s="541"/>
      <c r="E721" s="541"/>
    </row>
    <row r="722" ht="22.5" customHeight="1">
      <c r="B722" s="538"/>
      <c r="C722" s="539"/>
      <c r="D722" s="539"/>
      <c r="E722" s="539"/>
    </row>
    <row r="723" ht="22.5" customHeight="1">
      <c r="B723" s="540"/>
      <c r="C723" s="541"/>
      <c r="D723" s="541"/>
      <c r="E723" s="541"/>
    </row>
    <row r="724" ht="22.5" customHeight="1">
      <c r="B724" s="538"/>
      <c r="C724" s="539"/>
      <c r="D724" s="539"/>
      <c r="E724" s="539"/>
    </row>
    <row r="725" ht="22.5" customHeight="1">
      <c r="B725" s="540"/>
      <c r="C725" s="541"/>
      <c r="D725" s="541"/>
      <c r="E725" s="541"/>
    </row>
    <row r="726" ht="22.5" customHeight="1">
      <c r="B726" s="538"/>
      <c r="C726" s="539"/>
      <c r="D726" s="539"/>
      <c r="E726" s="539"/>
    </row>
    <row r="727" ht="22.5" customHeight="1">
      <c r="B727" s="540"/>
      <c r="C727" s="541"/>
      <c r="D727" s="541"/>
      <c r="E727" s="541"/>
    </row>
    <row r="728" ht="22.5" customHeight="1">
      <c r="B728" s="538"/>
      <c r="C728" s="539"/>
      <c r="D728" s="539"/>
      <c r="E728" s="539"/>
    </row>
    <row r="729" ht="22.5" customHeight="1">
      <c r="B729" s="540"/>
      <c r="C729" s="541"/>
      <c r="D729" s="541"/>
      <c r="E729" s="541"/>
    </row>
    <row r="730" ht="22.5" customHeight="1">
      <c r="B730" s="538"/>
      <c r="C730" s="539"/>
      <c r="D730" s="539"/>
      <c r="E730" s="539"/>
    </row>
    <row r="731" ht="22.5" customHeight="1">
      <c r="B731" s="540"/>
      <c r="C731" s="541"/>
      <c r="D731" s="541"/>
      <c r="E731" s="541"/>
    </row>
    <row r="732" ht="22.5" customHeight="1">
      <c r="B732" s="538"/>
      <c r="C732" s="539"/>
      <c r="D732" s="539"/>
      <c r="E732" s="539"/>
    </row>
    <row r="733" ht="22.5" customHeight="1">
      <c r="B733" s="540"/>
      <c r="C733" s="541"/>
      <c r="D733" s="541"/>
      <c r="E733" s="541"/>
    </row>
    <row r="734" ht="22.5" customHeight="1">
      <c r="B734" s="538"/>
      <c r="C734" s="539"/>
      <c r="D734" s="539"/>
      <c r="E734" s="539"/>
    </row>
    <row r="735" ht="22.5" customHeight="1">
      <c r="B735" s="540"/>
      <c r="C735" s="541"/>
      <c r="D735" s="541"/>
      <c r="E735" s="541"/>
    </row>
    <row r="736" ht="22.5" customHeight="1">
      <c r="B736" s="538"/>
      <c r="C736" s="539"/>
      <c r="D736" s="539"/>
      <c r="E736" s="539"/>
    </row>
    <row r="737" ht="22.5" customHeight="1">
      <c r="B737" s="540"/>
      <c r="C737" s="541"/>
      <c r="D737" s="541"/>
      <c r="E737" s="541"/>
    </row>
    <row r="738" ht="22.5" customHeight="1">
      <c r="B738" s="538"/>
      <c r="C738" s="539"/>
      <c r="D738" s="539"/>
      <c r="E738" s="539"/>
    </row>
    <row r="739" ht="22.5" customHeight="1">
      <c r="B739" s="540"/>
      <c r="C739" s="541"/>
      <c r="D739" s="541"/>
      <c r="E739" s="541"/>
    </row>
    <row r="740" ht="22.5" customHeight="1">
      <c r="B740" s="538"/>
      <c r="C740" s="539"/>
      <c r="D740" s="539"/>
      <c r="E740" s="539"/>
    </row>
    <row r="741" ht="22.5" customHeight="1">
      <c r="B741" s="540"/>
      <c r="C741" s="541"/>
      <c r="D741" s="541"/>
      <c r="E741" s="541"/>
    </row>
    <row r="742" ht="22.5" customHeight="1">
      <c r="B742" s="538"/>
      <c r="C742" s="539"/>
      <c r="D742" s="539"/>
      <c r="E742" s="539"/>
    </row>
    <row r="743" ht="22.5" customHeight="1">
      <c r="B743" s="540"/>
      <c r="C743" s="541"/>
      <c r="D743" s="541"/>
      <c r="E743" s="541"/>
    </row>
    <row r="744" ht="22.5" customHeight="1">
      <c r="B744" s="538"/>
      <c r="C744" s="539"/>
      <c r="D744" s="539"/>
      <c r="E744" s="539"/>
    </row>
    <row r="745" ht="22.5" customHeight="1">
      <c r="B745" s="540"/>
      <c r="C745" s="541"/>
      <c r="D745" s="541"/>
      <c r="E745" s="541"/>
    </row>
    <row r="746" ht="22.5" customHeight="1">
      <c r="B746" s="538"/>
      <c r="C746" s="539"/>
      <c r="D746" s="539"/>
      <c r="E746" s="539"/>
    </row>
    <row r="747" ht="22.5" customHeight="1">
      <c r="B747" s="540"/>
      <c r="C747" s="541"/>
      <c r="D747" s="541"/>
      <c r="E747" s="541"/>
    </row>
    <row r="748" ht="22.5" customHeight="1">
      <c r="B748" s="538"/>
      <c r="C748" s="539"/>
      <c r="D748" s="539"/>
      <c r="E748" s="539"/>
    </row>
    <row r="749" ht="22.5" customHeight="1">
      <c r="B749" s="540"/>
      <c r="C749" s="541"/>
      <c r="D749" s="541"/>
      <c r="E749" s="541"/>
    </row>
    <row r="750" ht="22.5" customHeight="1">
      <c r="B750" s="538"/>
      <c r="C750" s="539"/>
      <c r="D750" s="539"/>
      <c r="E750" s="539"/>
    </row>
    <row r="751" ht="22.5" customHeight="1">
      <c r="B751" s="540"/>
      <c r="C751" s="541"/>
      <c r="D751" s="541"/>
      <c r="E751" s="541"/>
    </row>
    <row r="752" ht="22.5" customHeight="1">
      <c r="B752" s="538"/>
      <c r="C752" s="539"/>
      <c r="D752" s="539"/>
      <c r="E752" s="539"/>
    </row>
    <row r="753" ht="22.5" customHeight="1">
      <c r="B753" s="540"/>
      <c r="C753" s="541"/>
      <c r="D753" s="541"/>
      <c r="E753" s="541"/>
    </row>
    <row r="754" ht="22.5" customHeight="1">
      <c r="B754" s="538"/>
      <c r="C754" s="539"/>
      <c r="D754" s="539"/>
      <c r="E754" s="539"/>
    </row>
    <row r="755" ht="22.5" customHeight="1">
      <c r="B755" s="540"/>
      <c r="C755" s="541"/>
      <c r="D755" s="541"/>
      <c r="E755" s="541"/>
    </row>
    <row r="756" ht="22.5" customHeight="1">
      <c r="B756" s="538"/>
      <c r="C756" s="539"/>
      <c r="D756" s="539"/>
      <c r="E756" s="539"/>
    </row>
    <row r="757" ht="22.5" customHeight="1">
      <c r="B757" s="540"/>
      <c r="C757" s="541"/>
      <c r="D757" s="541"/>
      <c r="E757" s="541"/>
    </row>
    <row r="758" ht="22.5" customHeight="1">
      <c r="B758" s="538"/>
      <c r="C758" s="539"/>
      <c r="D758" s="539"/>
      <c r="E758" s="539"/>
    </row>
    <row r="759" ht="22.5" customHeight="1">
      <c r="B759" s="540"/>
      <c r="C759" s="541"/>
      <c r="D759" s="541"/>
      <c r="E759" s="541"/>
    </row>
    <row r="760" ht="22.5" customHeight="1">
      <c r="B760" s="538"/>
      <c r="C760" s="539"/>
      <c r="D760" s="539"/>
      <c r="E760" s="539"/>
    </row>
    <row r="761" ht="22.5" customHeight="1">
      <c r="B761" s="540"/>
      <c r="C761" s="541"/>
      <c r="D761" s="541"/>
      <c r="E761" s="541"/>
    </row>
    <row r="762" ht="22.5" customHeight="1">
      <c r="B762" s="538"/>
      <c r="C762" s="539"/>
      <c r="D762" s="539"/>
      <c r="E762" s="539"/>
    </row>
    <row r="763" ht="22.5" customHeight="1">
      <c r="B763" s="540"/>
      <c r="C763" s="541"/>
      <c r="D763" s="541"/>
      <c r="E763" s="541"/>
    </row>
    <row r="764" ht="22.5" customHeight="1">
      <c r="B764" s="538"/>
      <c r="C764" s="539"/>
      <c r="D764" s="539"/>
      <c r="E764" s="539"/>
    </row>
    <row r="765" ht="22.5" customHeight="1">
      <c r="B765" s="540"/>
      <c r="C765" s="541"/>
      <c r="D765" s="541"/>
      <c r="E765" s="541"/>
    </row>
    <row r="766" ht="22.5" customHeight="1">
      <c r="B766" s="538"/>
      <c r="C766" s="539"/>
      <c r="D766" s="539"/>
      <c r="E766" s="539"/>
    </row>
    <row r="767" ht="22.5" customHeight="1">
      <c r="B767" s="540"/>
      <c r="C767" s="541"/>
      <c r="D767" s="541"/>
      <c r="E767" s="541"/>
    </row>
    <row r="768" ht="22.5" customHeight="1">
      <c r="B768" s="538"/>
      <c r="C768" s="539"/>
      <c r="D768" s="539"/>
      <c r="E768" s="539"/>
    </row>
    <row r="769" ht="22.5" customHeight="1">
      <c r="B769" s="540"/>
      <c r="C769" s="541"/>
      <c r="D769" s="541"/>
      <c r="E769" s="541"/>
    </row>
    <row r="770" ht="22.5" customHeight="1">
      <c r="B770" s="538"/>
      <c r="C770" s="539"/>
      <c r="D770" s="539"/>
      <c r="E770" s="539"/>
    </row>
    <row r="771" ht="22.5" customHeight="1">
      <c r="B771" s="540"/>
      <c r="C771" s="541"/>
      <c r="D771" s="541"/>
      <c r="E771" s="541"/>
    </row>
    <row r="772" ht="22.5" customHeight="1">
      <c r="B772" s="538"/>
      <c r="C772" s="539"/>
      <c r="D772" s="539"/>
      <c r="E772" s="539"/>
    </row>
    <row r="773" ht="22.5" customHeight="1">
      <c r="B773" s="540"/>
      <c r="C773" s="541"/>
      <c r="D773" s="541"/>
      <c r="E773" s="541"/>
    </row>
    <row r="774" ht="22.5" customHeight="1">
      <c r="B774" s="538"/>
      <c r="C774" s="539"/>
      <c r="D774" s="539"/>
      <c r="E774" s="539"/>
    </row>
    <row r="775" ht="22.5" customHeight="1">
      <c r="B775" s="540"/>
      <c r="C775" s="541"/>
      <c r="D775" s="541"/>
      <c r="E775" s="541"/>
    </row>
    <row r="776" ht="22.5" customHeight="1">
      <c r="B776" s="538"/>
      <c r="C776" s="539"/>
      <c r="D776" s="539"/>
      <c r="E776" s="539"/>
    </row>
    <row r="777" ht="22.5" customHeight="1">
      <c r="B777" s="540"/>
      <c r="C777" s="541"/>
      <c r="D777" s="541"/>
      <c r="E777" s="541"/>
    </row>
    <row r="778" ht="22.5" customHeight="1">
      <c r="B778" s="538"/>
      <c r="C778" s="539"/>
      <c r="D778" s="539"/>
      <c r="E778" s="539"/>
    </row>
    <row r="779" ht="22.5" customHeight="1">
      <c r="B779" s="540"/>
      <c r="C779" s="541"/>
      <c r="D779" s="541"/>
      <c r="E779" s="541"/>
    </row>
    <row r="780" ht="22.5" customHeight="1">
      <c r="B780" s="538"/>
      <c r="C780" s="539"/>
      <c r="D780" s="539"/>
      <c r="E780" s="539"/>
    </row>
    <row r="781" ht="22.5" customHeight="1">
      <c r="B781" s="540"/>
      <c r="C781" s="541"/>
      <c r="D781" s="541"/>
      <c r="E781" s="541"/>
    </row>
    <row r="782" ht="22.5" customHeight="1">
      <c r="B782" s="538"/>
      <c r="C782" s="539"/>
      <c r="D782" s="539"/>
      <c r="E782" s="539"/>
    </row>
    <row r="783" ht="22.5" customHeight="1">
      <c r="B783" s="540"/>
      <c r="C783" s="541"/>
      <c r="D783" s="541"/>
      <c r="E783" s="541"/>
    </row>
    <row r="784" ht="22.5" customHeight="1">
      <c r="B784" s="538"/>
      <c r="C784" s="539"/>
      <c r="D784" s="539"/>
      <c r="E784" s="539"/>
    </row>
    <row r="785" ht="22.5" customHeight="1">
      <c r="B785" s="540"/>
      <c r="C785" s="541"/>
      <c r="D785" s="541"/>
      <c r="E785" s="541"/>
    </row>
    <row r="786" ht="22.5" customHeight="1">
      <c r="B786" s="546"/>
      <c r="C786" s="539"/>
      <c r="D786" s="539"/>
      <c r="E786" s="539"/>
    </row>
    <row r="787" ht="22.5" customHeight="1">
      <c r="B787" s="547"/>
      <c r="C787" s="541"/>
      <c r="D787" s="541"/>
      <c r="E787" s="541"/>
    </row>
    <row r="788" ht="22.5" customHeight="1">
      <c r="B788" s="546"/>
      <c r="C788" s="539"/>
      <c r="D788" s="539"/>
      <c r="E788" s="539"/>
    </row>
    <row r="789" ht="22.5" customHeight="1">
      <c r="B789" s="547"/>
      <c r="C789" s="541"/>
      <c r="D789" s="541"/>
      <c r="E789" s="541"/>
    </row>
    <row r="790" ht="22.5" customHeight="1">
      <c r="B790" s="546"/>
      <c r="C790" s="539"/>
      <c r="D790" s="539"/>
      <c r="E790" s="539"/>
    </row>
    <row r="791" ht="22.5" customHeight="1">
      <c r="B791" s="547"/>
      <c r="C791" s="541"/>
      <c r="D791" s="541"/>
      <c r="E791" s="541"/>
    </row>
    <row r="792" ht="22.5" customHeight="1">
      <c r="B792" s="546"/>
      <c r="C792" s="539"/>
      <c r="D792" s="539"/>
      <c r="E792" s="539"/>
    </row>
    <row r="793" ht="22.5" customHeight="1">
      <c r="B793" s="547"/>
      <c r="C793" s="541"/>
      <c r="D793" s="541"/>
      <c r="E793" s="541"/>
    </row>
    <row r="794" ht="22.5" customHeight="1">
      <c r="B794" s="546"/>
      <c r="C794" s="539"/>
      <c r="D794" s="539"/>
      <c r="E794" s="539"/>
    </row>
    <row r="795" ht="22.5" customHeight="1">
      <c r="B795" s="547"/>
      <c r="C795" s="541"/>
      <c r="D795" s="541"/>
      <c r="E795" s="541"/>
    </row>
    <row r="796" ht="22.5" customHeight="1">
      <c r="B796" s="546"/>
      <c r="C796" s="539"/>
      <c r="D796" s="539"/>
      <c r="E796" s="539"/>
    </row>
    <row r="797" ht="22.5" customHeight="1">
      <c r="B797" s="547"/>
      <c r="C797" s="541"/>
      <c r="D797" s="541"/>
      <c r="E797" s="541"/>
    </row>
    <row r="798" ht="22.5" customHeight="1">
      <c r="B798" s="546"/>
      <c r="C798" s="539"/>
      <c r="D798" s="539"/>
      <c r="E798" s="539"/>
    </row>
    <row r="799" ht="22.5" customHeight="1">
      <c r="B799" s="547"/>
      <c r="C799" s="541"/>
      <c r="D799" s="541"/>
      <c r="E799" s="541"/>
    </row>
    <row r="800" ht="22.5" customHeight="1">
      <c r="B800" s="539"/>
      <c r="C800" s="539"/>
      <c r="D800" s="539"/>
      <c r="E800" s="539"/>
    </row>
    <row r="801" ht="22.5" customHeight="1">
      <c r="B801" s="547"/>
      <c r="C801" s="541"/>
      <c r="D801" s="541"/>
      <c r="E801" s="541"/>
    </row>
    <row r="802" ht="22.5" customHeight="1">
      <c r="B802" s="546"/>
      <c r="C802" s="539"/>
      <c r="D802" s="539"/>
      <c r="E802" s="539"/>
    </row>
    <row r="803" ht="22.5" customHeight="1">
      <c r="B803" s="547"/>
      <c r="C803" s="541"/>
      <c r="D803" s="541"/>
      <c r="E803" s="541"/>
    </row>
    <row r="804" ht="22.5" customHeight="1">
      <c r="B804" s="546"/>
      <c r="C804" s="539"/>
      <c r="D804" s="539"/>
      <c r="E804" s="539"/>
    </row>
    <row r="805" ht="22.5" customHeight="1">
      <c r="B805" s="547"/>
      <c r="C805" s="541"/>
      <c r="D805" s="541"/>
      <c r="E805" s="541"/>
    </row>
    <row r="806" ht="22.5" customHeight="1">
      <c r="B806" s="546"/>
      <c r="C806" s="539"/>
      <c r="D806" s="539"/>
      <c r="E806" s="539"/>
    </row>
    <row r="807" ht="22.5" customHeight="1">
      <c r="B807" s="547"/>
      <c r="C807" s="541"/>
      <c r="D807" s="541"/>
      <c r="E807" s="541"/>
    </row>
    <row r="808" ht="22.5" customHeight="1">
      <c r="B808" s="546"/>
      <c r="C808" s="539"/>
      <c r="D808" s="539"/>
      <c r="E808" s="539"/>
    </row>
    <row r="809" ht="22.5" customHeight="1">
      <c r="B809" s="547"/>
      <c r="C809" s="541"/>
      <c r="D809" s="541"/>
      <c r="E809" s="541"/>
    </row>
    <row r="810" ht="22.5" customHeight="1">
      <c r="B810" s="546"/>
      <c r="C810" s="539"/>
      <c r="D810" s="539"/>
      <c r="E810" s="539"/>
    </row>
    <row r="811" ht="22.5" customHeight="1">
      <c r="B811" s="547"/>
      <c r="C811" s="541"/>
      <c r="D811" s="541"/>
      <c r="E811" s="541"/>
    </row>
    <row r="812" ht="22.5" customHeight="1">
      <c r="B812" s="546"/>
      <c r="C812" s="539"/>
      <c r="D812" s="539"/>
      <c r="E812" s="539"/>
    </row>
    <row r="813" ht="22.5" customHeight="1">
      <c r="B813" s="547"/>
      <c r="C813" s="541"/>
      <c r="D813" s="541"/>
      <c r="E813" s="541"/>
    </row>
    <row r="814" ht="22.5" customHeight="1">
      <c r="B814" s="546"/>
      <c r="C814" s="539"/>
      <c r="D814" s="539"/>
      <c r="E814" s="539"/>
    </row>
    <row r="815" ht="22.5" customHeight="1">
      <c r="B815" s="547"/>
      <c r="C815" s="541"/>
      <c r="D815" s="541"/>
      <c r="E815" s="541"/>
    </row>
    <row r="816" ht="22.5" customHeight="1">
      <c r="B816" s="546"/>
      <c r="C816" s="539"/>
      <c r="D816" s="539"/>
      <c r="E816" s="539"/>
    </row>
    <row r="817" ht="22.5" customHeight="1">
      <c r="B817" s="547"/>
      <c r="C817" s="541"/>
      <c r="D817" s="541"/>
      <c r="E817" s="541"/>
    </row>
    <row r="818" ht="22.5" customHeight="1">
      <c r="B818" s="546"/>
      <c r="C818" s="539"/>
      <c r="D818" s="539"/>
      <c r="E818" s="539"/>
    </row>
    <row r="819" ht="22.5" customHeight="1">
      <c r="B819" s="547"/>
      <c r="C819" s="541"/>
      <c r="D819" s="541"/>
      <c r="E819" s="541"/>
    </row>
    <row r="820" ht="22.5" customHeight="1">
      <c r="B820" s="546"/>
      <c r="C820" s="539"/>
      <c r="D820" s="539"/>
      <c r="E820" s="539"/>
    </row>
    <row r="821" ht="22.5" customHeight="1">
      <c r="B821" s="547"/>
      <c r="C821" s="541"/>
      <c r="D821" s="541"/>
      <c r="E821" s="541"/>
    </row>
    <row r="822" ht="22.5" customHeight="1">
      <c r="B822" s="546"/>
      <c r="C822" s="539"/>
      <c r="D822" s="539"/>
      <c r="E822" s="539"/>
    </row>
    <row r="823" ht="22.5" customHeight="1">
      <c r="B823" s="547"/>
      <c r="C823" s="541"/>
      <c r="D823" s="541"/>
      <c r="E823" s="541"/>
    </row>
    <row r="824" ht="22.5" customHeight="1">
      <c r="B824" s="546"/>
      <c r="C824" s="539"/>
      <c r="D824" s="539"/>
      <c r="E824" s="539"/>
    </row>
    <row r="825" ht="22.5" customHeight="1">
      <c r="B825" s="547"/>
      <c r="C825" s="541"/>
      <c r="D825" s="541"/>
      <c r="E825" s="541"/>
    </row>
    <row r="826" ht="22.5" customHeight="1">
      <c r="B826" s="546"/>
      <c r="C826" s="539"/>
      <c r="D826" s="539"/>
      <c r="E826" s="539"/>
    </row>
    <row r="827" ht="22.5" customHeight="1">
      <c r="B827" s="547"/>
      <c r="C827" s="541"/>
      <c r="D827" s="541"/>
      <c r="E827" s="541"/>
    </row>
    <row r="828" ht="22.5" customHeight="1">
      <c r="B828" s="546"/>
      <c r="C828" s="539"/>
      <c r="D828" s="539"/>
      <c r="E828" s="539"/>
    </row>
    <row r="829" ht="22.5" customHeight="1">
      <c r="B829" s="547"/>
      <c r="C829" s="541"/>
      <c r="D829" s="541"/>
      <c r="E829" s="541"/>
    </row>
    <row r="830" ht="22.5" customHeight="1">
      <c r="B830" s="546"/>
      <c r="C830" s="539"/>
      <c r="D830" s="539"/>
      <c r="E830" s="539"/>
    </row>
    <row r="831" ht="22.5" customHeight="1">
      <c r="B831" s="547"/>
      <c r="C831" s="541"/>
      <c r="D831" s="541"/>
      <c r="E831" s="541"/>
    </row>
    <row r="832" ht="22.5" customHeight="1">
      <c r="B832" s="548"/>
      <c r="C832" s="549"/>
      <c r="D832" s="549"/>
      <c r="E832" s="549"/>
    </row>
    <row r="833" ht="22.5" customHeight="1">
      <c r="B833" s="547"/>
      <c r="C833" s="541"/>
      <c r="D833" s="541"/>
      <c r="E833" s="541"/>
    </row>
    <row r="834" ht="22.5" customHeight="1">
      <c r="B834" s="546"/>
      <c r="C834" s="539"/>
      <c r="D834" s="539"/>
      <c r="E834" s="539"/>
    </row>
    <row r="835" ht="22.5" customHeight="1">
      <c r="B835" s="547"/>
      <c r="C835" s="541"/>
      <c r="D835" s="541"/>
      <c r="E835" s="541"/>
    </row>
    <row r="836" ht="22.5" customHeight="1">
      <c r="B836" s="546"/>
      <c r="C836" s="539"/>
      <c r="D836" s="539"/>
      <c r="E836" s="539"/>
    </row>
    <row r="837" ht="22.5" customHeight="1">
      <c r="B837" s="547"/>
      <c r="C837" s="541"/>
      <c r="D837" s="541"/>
      <c r="E837" s="541"/>
    </row>
    <row r="838" ht="22.5" customHeight="1">
      <c r="B838" s="546"/>
      <c r="C838" s="539"/>
      <c r="D838" s="539"/>
      <c r="E838" s="539"/>
    </row>
    <row r="839" ht="22.5" customHeight="1">
      <c r="B839" s="547"/>
      <c r="C839" s="541"/>
      <c r="D839" s="541"/>
      <c r="E839" s="541"/>
    </row>
    <row r="840" ht="22.5" customHeight="1">
      <c r="B840" s="546"/>
      <c r="C840" s="539"/>
      <c r="D840" s="539"/>
      <c r="E840" s="539"/>
    </row>
    <row r="841" ht="22.5" customHeight="1">
      <c r="B841" s="547"/>
      <c r="C841" s="541"/>
      <c r="D841" s="541"/>
      <c r="E841" s="541"/>
    </row>
    <row r="842" ht="22.5" customHeight="1">
      <c r="B842" s="546"/>
      <c r="C842" s="539"/>
      <c r="D842" s="539"/>
      <c r="E842" s="539"/>
    </row>
    <row r="843" ht="22.5" customHeight="1">
      <c r="B843" s="547"/>
      <c r="C843" s="541"/>
      <c r="D843" s="541"/>
      <c r="E843" s="541"/>
    </row>
    <row r="844" ht="22.5" customHeight="1">
      <c r="B844" s="546"/>
      <c r="C844" s="539"/>
      <c r="D844" s="539"/>
      <c r="E844" s="539"/>
    </row>
    <row r="845" ht="22.5" customHeight="1">
      <c r="B845" s="547"/>
      <c r="C845" s="541"/>
      <c r="D845" s="541"/>
      <c r="E845" s="541"/>
    </row>
    <row r="846" ht="22.5" customHeight="1">
      <c r="B846" s="546"/>
      <c r="C846" s="539"/>
      <c r="D846" s="539"/>
      <c r="E846" s="539"/>
    </row>
    <row r="847" ht="22.5" customHeight="1">
      <c r="B847" s="547"/>
      <c r="C847" s="541"/>
      <c r="D847" s="541"/>
      <c r="E847" s="541"/>
    </row>
    <row r="848" ht="22.5" customHeight="1">
      <c r="B848" s="546"/>
      <c r="C848" s="539"/>
      <c r="D848" s="539"/>
      <c r="E848" s="539"/>
    </row>
    <row r="849" ht="22.5" customHeight="1">
      <c r="B849" s="547"/>
      <c r="C849" s="541"/>
      <c r="D849" s="541"/>
      <c r="E849" s="541"/>
    </row>
    <row r="850" ht="22.5" customHeight="1">
      <c r="B850" s="546"/>
      <c r="C850" s="539"/>
      <c r="D850" s="539"/>
      <c r="E850" s="539"/>
    </row>
    <row r="851" ht="22.5" customHeight="1">
      <c r="B851" s="547"/>
      <c r="C851" s="541"/>
      <c r="D851" s="541"/>
      <c r="E851" s="541"/>
    </row>
    <row r="852" ht="22.5" customHeight="1">
      <c r="B852" s="546"/>
      <c r="C852" s="539"/>
      <c r="D852" s="539"/>
      <c r="E852" s="539"/>
    </row>
    <row r="853" ht="22.5" customHeight="1">
      <c r="B853" s="547"/>
      <c r="C853" s="541"/>
      <c r="D853" s="541"/>
      <c r="E853" s="541"/>
    </row>
    <row r="854" ht="22.5" customHeight="1">
      <c r="B854" s="546"/>
      <c r="C854" s="539"/>
      <c r="D854" s="539"/>
      <c r="E854" s="539"/>
    </row>
    <row r="855" ht="22.5" customHeight="1">
      <c r="B855" s="547"/>
      <c r="C855" s="541"/>
      <c r="D855" s="541"/>
      <c r="E855" s="541"/>
    </row>
    <row r="856" ht="22.5" customHeight="1">
      <c r="B856" s="546"/>
      <c r="C856" s="539"/>
      <c r="D856" s="539"/>
      <c r="E856" s="539"/>
    </row>
    <row r="857" ht="22.5" customHeight="1">
      <c r="B857" s="547"/>
      <c r="C857" s="541"/>
      <c r="D857" s="541"/>
      <c r="E857" s="541"/>
    </row>
    <row r="858" ht="22.5" customHeight="1">
      <c r="B858" s="546"/>
      <c r="C858" s="539"/>
      <c r="D858" s="539"/>
      <c r="E858" s="539"/>
    </row>
    <row r="859" ht="22.5" customHeight="1">
      <c r="B859" s="547"/>
      <c r="C859" s="541"/>
      <c r="D859" s="541"/>
      <c r="E859" s="541"/>
    </row>
    <row r="860" ht="22.5" customHeight="1">
      <c r="B860" s="546"/>
      <c r="C860" s="539"/>
      <c r="D860" s="539"/>
      <c r="E860" s="539"/>
    </row>
    <row r="861" ht="22.5" customHeight="1">
      <c r="B861" s="547"/>
      <c r="C861" s="541"/>
      <c r="D861" s="541"/>
      <c r="E861" s="541"/>
    </row>
    <row r="862" ht="22.5" customHeight="1">
      <c r="B862" s="546"/>
      <c r="C862" s="539"/>
      <c r="D862" s="539"/>
      <c r="E862" s="539"/>
    </row>
    <row r="863" ht="22.5" customHeight="1">
      <c r="B863" s="547"/>
      <c r="C863" s="541"/>
      <c r="D863" s="541"/>
      <c r="E863" s="541"/>
    </row>
    <row r="864" ht="22.5" customHeight="1">
      <c r="B864" s="546"/>
      <c r="C864" s="539"/>
      <c r="D864" s="539"/>
      <c r="E864" s="539"/>
    </row>
    <row r="865" ht="22.5" customHeight="1">
      <c r="B865" s="547"/>
      <c r="C865" s="541"/>
      <c r="D865" s="541"/>
      <c r="E865" s="541"/>
    </row>
    <row r="866" ht="22.5" customHeight="1">
      <c r="B866" s="546"/>
      <c r="C866" s="539"/>
      <c r="D866" s="539"/>
      <c r="E866" s="539"/>
    </row>
    <row r="867" ht="22.5" customHeight="1">
      <c r="B867" s="547"/>
      <c r="C867" s="541"/>
      <c r="D867" s="541"/>
      <c r="E867" s="541"/>
    </row>
    <row r="868" ht="22.5" customHeight="1">
      <c r="B868" s="546"/>
      <c r="C868" s="539"/>
      <c r="D868" s="539"/>
      <c r="E868" s="539"/>
    </row>
    <row r="869" ht="22.5" customHeight="1">
      <c r="B869" s="547"/>
      <c r="C869" s="541"/>
      <c r="D869" s="541"/>
      <c r="E869" s="541"/>
    </row>
    <row r="870" ht="22.5" customHeight="1">
      <c r="B870" s="546"/>
      <c r="C870" s="539"/>
      <c r="D870" s="539"/>
      <c r="E870" s="539"/>
    </row>
    <row r="871" ht="22.5" customHeight="1">
      <c r="B871" s="547"/>
      <c r="C871" s="541"/>
      <c r="D871" s="541"/>
      <c r="E871" s="550"/>
    </row>
    <row r="872" ht="22.5" customHeight="1">
      <c r="B872" s="546"/>
      <c r="C872" s="539"/>
      <c r="D872" s="539"/>
      <c r="E872" s="551"/>
    </row>
    <row r="873" ht="22.5" customHeight="1">
      <c r="B873" s="547"/>
      <c r="C873" s="541"/>
      <c r="D873" s="541"/>
      <c r="E873" s="550"/>
    </row>
    <row r="874" ht="22.5" customHeight="1">
      <c r="B874" s="546"/>
      <c r="C874" s="539"/>
      <c r="D874" s="539"/>
      <c r="E874" s="551"/>
    </row>
    <row r="875" ht="22.5" customHeight="1">
      <c r="B875" s="547"/>
      <c r="C875" s="541"/>
      <c r="D875" s="541"/>
      <c r="E875" s="550"/>
    </row>
    <row r="876" ht="22.5" customHeight="1">
      <c r="B876" s="546"/>
      <c r="C876" s="539"/>
      <c r="D876" s="539"/>
      <c r="E876" s="551"/>
    </row>
    <row r="877" ht="22.5" customHeight="1">
      <c r="B877" s="547"/>
      <c r="C877" s="541"/>
      <c r="D877" s="541"/>
      <c r="E877" s="550"/>
    </row>
    <row r="878" ht="22.5" customHeight="1">
      <c r="B878" s="546"/>
      <c r="C878" s="539"/>
      <c r="D878" s="539"/>
      <c r="E878" s="551"/>
    </row>
    <row r="879" ht="22.5" customHeight="1">
      <c r="B879" s="547"/>
      <c r="C879" s="541"/>
      <c r="D879" s="541"/>
      <c r="E879" s="550"/>
    </row>
    <row r="880" ht="22.5" customHeight="1">
      <c r="B880" s="546"/>
      <c r="C880" s="539"/>
      <c r="D880" s="539"/>
      <c r="E880" s="551"/>
    </row>
    <row r="881" ht="22.5" customHeight="1">
      <c r="B881" s="547"/>
      <c r="C881" s="541"/>
      <c r="D881" s="541"/>
      <c r="E881" s="550"/>
    </row>
    <row r="882" ht="22.5" customHeight="1">
      <c r="B882" s="546"/>
      <c r="C882" s="539"/>
      <c r="D882" s="539"/>
      <c r="E882" s="551"/>
    </row>
    <row r="883" ht="22.5" customHeight="1">
      <c r="B883" s="547"/>
      <c r="C883" s="541"/>
      <c r="D883" s="541"/>
      <c r="E883" s="550"/>
    </row>
    <row r="884" ht="22.5" customHeight="1">
      <c r="B884" s="546"/>
      <c r="C884" s="539"/>
      <c r="D884" s="539"/>
      <c r="E884" s="551"/>
    </row>
    <row r="885" ht="22.5" customHeight="1">
      <c r="B885" s="547"/>
      <c r="C885" s="541"/>
      <c r="D885" s="541"/>
      <c r="E885" s="550"/>
    </row>
    <row r="886" ht="22.5" customHeight="1">
      <c r="B886" s="546"/>
      <c r="C886" s="539"/>
      <c r="D886" s="539"/>
      <c r="E886" s="551"/>
    </row>
    <row r="887" ht="22.5" customHeight="1">
      <c r="B887" s="547"/>
      <c r="C887" s="541"/>
      <c r="D887" s="541"/>
      <c r="E887" s="550"/>
    </row>
    <row r="888" ht="22.5" customHeight="1">
      <c r="B888" s="546"/>
      <c r="C888" s="539"/>
      <c r="D888" s="539"/>
      <c r="E888" s="551"/>
    </row>
    <row r="889" ht="22.5" customHeight="1">
      <c r="B889" s="547"/>
      <c r="C889" s="541"/>
      <c r="D889" s="541"/>
      <c r="E889" s="550"/>
    </row>
    <row r="890" ht="22.5" customHeight="1">
      <c r="B890" s="546"/>
      <c r="C890" s="539"/>
      <c r="D890" s="539"/>
      <c r="E890" s="551"/>
    </row>
    <row r="891" ht="22.5" customHeight="1">
      <c r="B891" s="547"/>
      <c r="C891" s="541"/>
      <c r="D891" s="541"/>
      <c r="E891" s="541"/>
    </row>
    <row r="892" ht="22.5" customHeight="1">
      <c r="B892" s="546"/>
      <c r="C892" s="539"/>
      <c r="D892" s="539"/>
      <c r="E892" s="539"/>
    </row>
    <row r="893" ht="22.5" customHeight="1">
      <c r="B893" s="547"/>
      <c r="C893" s="541"/>
      <c r="D893" s="541"/>
      <c r="E893" s="541"/>
    </row>
    <row r="894" ht="22.5" customHeight="1">
      <c r="B894" s="546"/>
      <c r="C894" s="539"/>
      <c r="D894" s="539"/>
      <c r="E894" s="539"/>
    </row>
    <row r="895" ht="22.5" customHeight="1">
      <c r="B895" s="547"/>
      <c r="C895" s="541"/>
      <c r="D895" s="541"/>
      <c r="E895" s="541"/>
    </row>
    <row r="896" ht="22.5" customHeight="1">
      <c r="B896" s="546"/>
      <c r="C896" s="539"/>
      <c r="D896" s="539"/>
      <c r="E896" s="539"/>
    </row>
    <row r="897" ht="22.5" customHeight="1">
      <c r="B897" s="547"/>
      <c r="C897" s="541"/>
      <c r="D897" s="541"/>
      <c r="E897" s="541"/>
    </row>
    <row r="898" ht="22.5" customHeight="1">
      <c r="B898" s="546"/>
      <c r="C898" s="539"/>
      <c r="D898" s="539"/>
      <c r="E898" s="539"/>
    </row>
    <row r="899" ht="22.5" customHeight="1">
      <c r="B899" s="547"/>
      <c r="C899" s="541"/>
      <c r="D899" s="541"/>
      <c r="E899" s="541"/>
    </row>
    <row r="900" ht="22.5" customHeight="1">
      <c r="B900" s="546"/>
      <c r="C900" s="539"/>
      <c r="D900" s="539"/>
      <c r="E900" s="539"/>
    </row>
    <row r="901" ht="22.5" customHeight="1">
      <c r="B901" s="547"/>
      <c r="C901" s="541"/>
      <c r="D901" s="541"/>
      <c r="E901" s="541"/>
    </row>
    <row r="902" ht="22.5" customHeight="1">
      <c r="B902" s="546"/>
      <c r="C902" s="539"/>
      <c r="D902" s="539"/>
      <c r="E902" s="539"/>
    </row>
    <row r="903" ht="22.5" customHeight="1">
      <c r="B903" s="547"/>
      <c r="C903" s="541"/>
      <c r="D903" s="541"/>
      <c r="E903" s="541"/>
    </row>
    <row r="904" ht="22.5" customHeight="1">
      <c r="B904" s="546"/>
      <c r="C904" s="539"/>
      <c r="D904" s="539"/>
      <c r="E904" s="539"/>
    </row>
    <row r="905" ht="22.5" customHeight="1">
      <c r="B905" s="547"/>
      <c r="C905" s="541"/>
      <c r="D905" s="541"/>
      <c r="E905" s="541"/>
    </row>
    <row r="906" ht="22.5" customHeight="1">
      <c r="B906" s="546"/>
      <c r="C906" s="539"/>
      <c r="D906" s="539"/>
      <c r="E906" s="539"/>
    </row>
    <row r="907" ht="22.5" customHeight="1">
      <c r="B907" s="547"/>
      <c r="C907" s="541"/>
      <c r="D907" s="541"/>
      <c r="E907" s="541"/>
    </row>
    <row r="908" ht="22.5" customHeight="1">
      <c r="B908" s="546"/>
      <c r="C908" s="539"/>
      <c r="D908" s="539"/>
      <c r="E908" s="539"/>
    </row>
    <row r="909" ht="22.5" customHeight="1">
      <c r="B909" s="547"/>
      <c r="C909" s="541"/>
      <c r="D909" s="541"/>
      <c r="E909" s="541"/>
    </row>
    <row r="910" ht="22.5" customHeight="1">
      <c r="B910" s="546"/>
      <c r="C910" s="539"/>
      <c r="D910" s="539"/>
      <c r="E910" s="539"/>
    </row>
    <row r="911" ht="22.5" customHeight="1">
      <c r="B911" s="547"/>
      <c r="C911" s="541"/>
      <c r="D911" s="541"/>
      <c r="E911" s="541"/>
    </row>
    <row r="912" ht="22.5" customHeight="1">
      <c r="B912" s="546"/>
      <c r="C912" s="539"/>
      <c r="D912" s="539"/>
      <c r="E912" s="539"/>
    </row>
    <row r="913" ht="22.5" customHeight="1">
      <c r="B913" s="547"/>
      <c r="C913" s="541"/>
      <c r="D913" s="541"/>
      <c r="E913" s="541"/>
    </row>
    <row r="914" ht="22.5" customHeight="1">
      <c r="B914" s="546"/>
      <c r="C914" s="539"/>
      <c r="D914" s="539"/>
      <c r="E914" s="539"/>
    </row>
    <row r="915" ht="22.5" customHeight="1">
      <c r="B915" s="547"/>
      <c r="C915" s="541"/>
      <c r="D915" s="541"/>
      <c r="E915" s="541"/>
    </row>
    <row r="916" ht="22.5" customHeight="1">
      <c r="B916" s="546"/>
      <c r="C916" s="539"/>
      <c r="D916" s="539"/>
      <c r="E916" s="539"/>
    </row>
    <row r="917" ht="22.5" customHeight="1">
      <c r="B917" s="547"/>
      <c r="C917" s="541"/>
      <c r="D917" s="541"/>
      <c r="E917" s="541"/>
    </row>
    <row r="918" ht="22.5" customHeight="1">
      <c r="B918" s="546"/>
      <c r="C918" s="539"/>
      <c r="D918" s="539"/>
      <c r="E918" s="539"/>
    </row>
    <row r="919" ht="22.5" customHeight="1">
      <c r="B919" s="547"/>
      <c r="C919" s="541"/>
      <c r="D919" s="541"/>
      <c r="E919" s="541"/>
    </row>
    <row r="920" ht="22.5" customHeight="1">
      <c r="B920" s="546"/>
      <c r="C920" s="539"/>
      <c r="D920" s="539"/>
      <c r="E920" s="539"/>
    </row>
    <row r="921" ht="22.5" customHeight="1">
      <c r="B921" s="547"/>
      <c r="C921" s="541"/>
      <c r="D921" s="541"/>
      <c r="E921" s="541"/>
    </row>
    <row r="922" ht="22.5" customHeight="1">
      <c r="B922" s="546"/>
      <c r="C922" s="539"/>
      <c r="D922" s="539"/>
      <c r="E922" s="539"/>
    </row>
    <row r="923" ht="22.5" customHeight="1">
      <c r="B923" s="547"/>
      <c r="C923" s="541"/>
      <c r="D923" s="541"/>
      <c r="E923" s="541"/>
    </row>
    <row r="924" ht="22.5" customHeight="1">
      <c r="B924" s="546"/>
      <c r="C924" s="539"/>
      <c r="D924" s="539"/>
      <c r="E924" s="539"/>
    </row>
    <row r="925" ht="22.5" customHeight="1">
      <c r="B925" s="547"/>
      <c r="C925" s="541"/>
      <c r="D925" s="541"/>
      <c r="E925" s="541"/>
    </row>
    <row r="926" ht="22.5" customHeight="1">
      <c r="B926" s="546"/>
      <c r="C926" s="539"/>
      <c r="D926" s="539"/>
      <c r="E926" s="539"/>
    </row>
    <row r="927" ht="22.5" customHeight="1">
      <c r="B927" s="547"/>
      <c r="C927" s="541"/>
      <c r="D927" s="541"/>
      <c r="E927" s="541"/>
    </row>
    <row r="928" ht="22.5" customHeight="1">
      <c r="B928" s="546"/>
      <c r="C928" s="539"/>
      <c r="D928" s="539"/>
      <c r="E928" s="539"/>
    </row>
    <row r="929" ht="22.5" customHeight="1">
      <c r="B929" s="547"/>
      <c r="C929" s="541"/>
      <c r="D929" s="541"/>
      <c r="E929" s="541"/>
    </row>
    <row r="930" ht="22.5" customHeight="1">
      <c r="B930" s="546"/>
      <c r="C930" s="539"/>
      <c r="D930" s="539"/>
      <c r="E930" s="539"/>
    </row>
    <row r="931" ht="22.5" customHeight="1">
      <c r="B931" s="547"/>
      <c r="C931" s="541"/>
      <c r="D931" s="541"/>
      <c r="E931" s="541"/>
    </row>
    <row r="932" ht="22.5" customHeight="1">
      <c r="B932" s="546"/>
      <c r="C932" s="539"/>
      <c r="D932" s="539"/>
      <c r="E932" s="539"/>
    </row>
    <row r="933" ht="22.5" customHeight="1">
      <c r="B933" s="547"/>
      <c r="C933" s="541"/>
      <c r="D933" s="541"/>
      <c r="E933" s="541"/>
    </row>
    <row r="934" ht="22.5" customHeight="1">
      <c r="B934" s="546"/>
      <c r="C934" s="539"/>
      <c r="D934" s="539"/>
      <c r="E934" s="539"/>
    </row>
    <row r="935" ht="22.5" customHeight="1">
      <c r="B935" s="547"/>
      <c r="C935" s="541"/>
      <c r="D935" s="541"/>
      <c r="E935" s="541"/>
    </row>
    <row r="936" ht="22.5" customHeight="1">
      <c r="B936" s="546"/>
      <c r="C936" s="539"/>
      <c r="D936" s="539"/>
      <c r="E936" s="539"/>
    </row>
    <row r="937" ht="22.5" customHeight="1">
      <c r="B937" s="547"/>
      <c r="C937" s="541"/>
      <c r="D937" s="541"/>
      <c r="E937" s="541"/>
    </row>
    <row r="938" ht="22.5" customHeight="1">
      <c r="B938" s="546"/>
      <c r="C938" s="539"/>
      <c r="D938" s="539"/>
      <c r="E938" s="539"/>
    </row>
    <row r="939" ht="22.5" customHeight="1">
      <c r="B939" s="547"/>
      <c r="C939" s="541"/>
      <c r="D939" s="541"/>
      <c r="E939" s="541"/>
    </row>
    <row r="940" ht="22.5" customHeight="1">
      <c r="B940" s="546"/>
      <c r="C940" s="539"/>
      <c r="D940" s="539"/>
      <c r="E940" s="539"/>
    </row>
    <row r="941" ht="22.5" customHeight="1">
      <c r="B941" s="547"/>
      <c r="C941" s="541"/>
      <c r="D941" s="541"/>
      <c r="E941" s="541"/>
    </row>
    <row r="942" ht="22.5" customHeight="1">
      <c r="B942" s="546"/>
      <c r="C942" s="539"/>
      <c r="D942" s="539"/>
      <c r="E942" s="539"/>
    </row>
    <row r="943" ht="22.5" customHeight="1">
      <c r="B943" s="547"/>
      <c r="C943" s="541"/>
      <c r="D943" s="541"/>
      <c r="E943" s="541"/>
    </row>
    <row r="944" ht="22.5" customHeight="1">
      <c r="B944" s="546"/>
      <c r="C944" s="539"/>
      <c r="D944" s="539"/>
      <c r="E944" s="539"/>
    </row>
    <row r="945" ht="22.5" customHeight="1">
      <c r="B945" s="547"/>
      <c r="C945" s="541"/>
      <c r="D945" s="541"/>
      <c r="E945" s="541"/>
    </row>
    <row r="946" ht="22.5" customHeight="1">
      <c r="B946" s="546"/>
      <c r="C946" s="539"/>
      <c r="D946" s="539"/>
      <c r="E946" s="539"/>
    </row>
    <row r="947" ht="22.5" customHeight="1">
      <c r="B947" s="547"/>
      <c r="C947" s="541"/>
      <c r="D947" s="541"/>
      <c r="E947" s="541"/>
    </row>
    <row r="948" ht="22.5" customHeight="1">
      <c r="B948" s="546"/>
      <c r="C948" s="539"/>
      <c r="D948" s="539"/>
      <c r="E948" s="539"/>
    </row>
    <row r="949" ht="22.5" customHeight="1">
      <c r="B949" s="547"/>
      <c r="C949" s="541"/>
      <c r="D949" s="541"/>
      <c r="E949" s="541"/>
    </row>
    <row r="950" ht="22.5" customHeight="1">
      <c r="B950" s="546"/>
      <c r="C950" s="539"/>
      <c r="D950" s="539"/>
      <c r="E950" s="539"/>
    </row>
    <row r="951" ht="22.5" customHeight="1">
      <c r="B951" s="547"/>
      <c r="C951" s="541"/>
      <c r="D951" s="541"/>
      <c r="E951" s="541"/>
    </row>
    <row r="952" ht="22.5" customHeight="1">
      <c r="B952" s="546"/>
      <c r="C952" s="539"/>
      <c r="D952" s="539"/>
      <c r="E952" s="539"/>
    </row>
    <row r="953" ht="22.5" customHeight="1">
      <c r="B953" s="547"/>
      <c r="C953" s="541"/>
      <c r="D953" s="541"/>
      <c r="E953" s="541"/>
    </row>
    <row r="954" ht="22.5" customHeight="1">
      <c r="B954" s="546"/>
      <c r="C954" s="539"/>
      <c r="D954" s="539"/>
      <c r="E954" s="539"/>
    </row>
    <row r="955" ht="22.5" customHeight="1">
      <c r="B955" s="547"/>
      <c r="C955" s="541"/>
      <c r="D955" s="541"/>
      <c r="E955" s="541"/>
    </row>
    <row r="956" ht="22.5" customHeight="1">
      <c r="B956" s="546"/>
      <c r="C956" s="539"/>
      <c r="D956" s="539"/>
      <c r="E956" s="539"/>
    </row>
    <row r="957" ht="22.5" customHeight="1">
      <c r="B957" s="547"/>
      <c r="C957" s="541"/>
      <c r="D957" s="541"/>
      <c r="E957" s="541"/>
    </row>
    <row r="958" ht="22.5" customHeight="1">
      <c r="B958" s="546"/>
      <c r="C958" s="539"/>
      <c r="D958" s="539"/>
      <c r="E958" s="539"/>
    </row>
    <row r="959" ht="22.5" customHeight="1">
      <c r="B959" s="547"/>
      <c r="C959" s="541"/>
      <c r="D959" s="541"/>
      <c r="E959" s="541"/>
    </row>
    <row r="960" ht="22.5" customHeight="1">
      <c r="B960" s="546"/>
      <c r="C960" s="539"/>
      <c r="D960" s="539"/>
      <c r="E960" s="539"/>
    </row>
    <row r="961" ht="22.5" customHeight="1">
      <c r="B961" s="547"/>
      <c r="C961" s="541"/>
      <c r="D961" s="541"/>
      <c r="E961" s="541"/>
    </row>
    <row r="962" ht="22.5" customHeight="1">
      <c r="B962" s="546"/>
      <c r="C962" s="539"/>
      <c r="D962" s="539"/>
      <c r="E962" s="539"/>
    </row>
    <row r="963" ht="22.5" customHeight="1">
      <c r="B963" s="547"/>
      <c r="C963" s="541"/>
      <c r="D963" s="541"/>
      <c r="E963" s="541"/>
    </row>
    <row r="964" ht="22.5" customHeight="1">
      <c r="B964" s="546"/>
      <c r="C964" s="539"/>
      <c r="D964" s="539"/>
      <c r="E964" s="539"/>
    </row>
    <row r="965" ht="22.5" customHeight="1">
      <c r="B965" s="547"/>
      <c r="C965" s="541"/>
      <c r="D965" s="541"/>
      <c r="E965" s="541"/>
    </row>
    <row r="966" ht="22.5" customHeight="1">
      <c r="B966" s="546"/>
      <c r="C966" s="539"/>
      <c r="D966" s="539"/>
      <c r="E966" s="539"/>
    </row>
    <row r="967" ht="22.5" customHeight="1">
      <c r="B967" s="547"/>
      <c r="C967" s="541"/>
      <c r="D967" s="541"/>
      <c r="E967" s="541"/>
    </row>
    <row r="968" ht="22.5" customHeight="1">
      <c r="B968" s="546"/>
      <c r="C968" s="539"/>
      <c r="D968" s="539"/>
      <c r="E968" s="539"/>
    </row>
    <row r="969" ht="22.5" customHeight="1">
      <c r="B969" s="547"/>
      <c r="C969" s="541"/>
      <c r="D969" s="541"/>
      <c r="E969" s="541"/>
    </row>
    <row r="970" ht="22.5" customHeight="1">
      <c r="B970" s="546"/>
      <c r="C970" s="539"/>
      <c r="D970" s="539"/>
      <c r="E970" s="539"/>
    </row>
    <row r="971" ht="22.5" customHeight="1">
      <c r="B971" s="547"/>
      <c r="C971" s="541"/>
      <c r="D971" s="541"/>
      <c r="E971" s="541"/>
    </row>
    <row r="972" ht="22.5" customHeight="1">
      <c r="B972" s="546"/>
      <c r="C972" s="539"/>
      <c r="D972" s="539"/>
      <c r="E972" s="539"/>
    </row>
    <row r="973" ht="22.5" customHeight="1">
      <c r="B973" s="547"/>
      <c r="C973" s="541"/>
      <c r="D973" s="541"/>
      <c r="E973" s="541"/>
    </row>
    <row r="974" ht="22.5" customHeight="1">
      <c r="B974" s="546"/>
      <c r="C974" s="539"/>
      <c r="D974" s="539"/>
      <c r="E974" s="539"/>
    </row>
    <row r="975" ht="22.5" customHeight="1">
      <c r="B975" s="547"/>
      <c r="C975" s="541"/>
      <c r="D975" s="541"/>
      <c r="E975" s="541"/>
    </row>
    <row r="976" ht="22.5" customHeight="1">
      <c r="B976" s="546"/>
      <c r="C976" s="539"/>
      <c r="D976" s="539"/>
      <c r="E976" s="539"/>
    </row>
    <row r="977" ht="22.5" customHeight="1">
      <c r="B977" s="547"/>
      <c r="C977" s="541"/>
      <c r="D977" s="541"/>
      <c r="E977" s="541"/>
    </row>
    <row r="978" ht="22.5" customHeight="1">
      <c r="B978" s="546"/>
      <c r="C978" s="539"/>
      <c r="D978" s="539"/>
      <c r="E978" s="539"/>
    </row>
    <row r="979" ht="22.5" customHeight="1">
      <c r="B979" s="547"/>
      <c r="C979" s="541"/>
      <c r="D979" s="541"/>
      <c r="E979" s="541"/>
    </row>
    <row r="980" ht="22.5" customHeight="1">
      <c r="B980" s="546"/>
      <c r="C980" s="539"/>
      <c r="D980" s="539"/>
      <c r="E980" s="539"/>
    </row>
    <row r="981" ht="22.5" customHeight="1">
      <c r="B981" s="547"/>
      <c r="C981" s="541"/>
      <c r="D981" s="541"/>
      <c r="E981" s="541"/>
    </row>
    <row r="982" ht="22.5" customHeight="1">
      <c r="B982" s="546"/>
      <c r="C982" s="539"/>
      <c r="D982" s="539"/>
      <c r="E982" s="539"/>
    </row>
    <row r="983" ht="22.5" customHeight="1">
      <c r="B983" s="547"/>
      <c r="C983" s="541"/>
      <c r="D983" s="541"/>
      <c r="E983" s="541"/>
    </row>
    <row r="984" ht="22.5" customHeight="1">
      <c r="B984" s="546"/>
      <c r="C984" s="539"/>
      <c r="D984" s="539"/>
      <c r="E984" s="539"/>
    </row>
    <row r="985" ht="22.5" customHeight="1">
      <c r="B985" s="547"/>
      <c r="C985" s="541"/>
      <c r="D985" s="541"/>
      <c r="E985" s="541"/>
    </row>
    <row r="986" ht="22.5" customHeight="1">
      <c r="B986" s="546"/>
      <c r="C986" s="539"/>
      <c r="D986" s="539"/>
      <c r="E986" s="539"/>
    </row>
    <row r="987" ht="22.5" customHeight="1">
      <c r="B987" s="547"/>
      <c r="C987" s="541"/>
      <c r="D987" s="541"/>
      <c r="E987" s="541"/>
    </row>
    <row r="988" ht="22.5" customHeight="1">
      <c r="B988" s="546"/>
      <c r="C988" s="539"/>
      <c r="D988" s="539"/>
      <c r="E988" s="539"/>
    </row>
    <row r="989" ht="22.5" customHeight="1">
      <c r="B989" s="547"/>
      <c r="C989" s="541"/>
      <c r="D989" s="541"/>
      <c r="E989" s="541"/>
    </row>
    <row r="990" ht="22.5" customHeight="1">
      <c r="B990" s="546"/>
      <c r="C990" s="539"/>
      <c r="D990" s="539"/>
      <c r="E990" s="539"/>
    </row>
    <row r="991" ht="22.5" customHeight="1">
      <c r="B991" s="547"/>
      <c r="C991" s="541"/>
      <c r="D991" s="541"/>
      <c r="E991" s="541"/>
    </row>
    <row r="992" ht="22.5" customHeight="1">
      <c r="B992" s="546"/>
      <c r="C992" s="539"/>
      <c r="D992" s="539"/>
      <c r="E992" s="539"/>
    </row>
    <row r="993" ht="22.5" customHeight="1">
      <c r="B993" s="547"/>
      <c r="C993" s="541"/>
      <c r="D993" s="541"/>
      <c r="E993" s="541"/>
    </row>
    <row r="994" ht="22.5" customHeight="1">
      <c r="B994" s="546"/>
      <c r="C994" s="539"/>
      <c r="D994" s="539"/>
      <c r="E994" s="539"/>
    </row>
    <row r="995" ht="22.5" customHeight="1">
      <c r="B995" s="547"/>
      <c r="C995" s="541"/>
      <c r="D995" s="541"/>
      <c r="E995" s="541"/>
    </row>
    <row r="996" ht="22.5" customHeight="1">
      <c r="B996" s="546"/>
      <c r="C996" s="539"/>
      <c r="D996" s="539"/>
      <c r="E996" s="539"/>
    </row>
    <row r="997" ht="22.5" customHeight="1">
      <c r="B997" s="547"/>
      <c r="C997" s="541"/>
      <c r="D997" s="541"/>
      <c r="E997" s="541"/>
    </row>
    <row r="998" ht="22.5" customHeight="1">
      <c r="B998" s="546"/>
      <c r="C998" s="539"/>
      <c r="D998" s="539"/>
      <c r="E998" s="539"/>
    </row>
    <row r="999" ht="22.5" customHeight="1">
      <c r="B999" s="547"/>
      <c r="C999" s="541"/>
      <c r="D999" s="541"/>
      <c r="E999" s="541"/>
    </row>
    <row r="1000" ht="22.5" customHeight="1">
      <c r="B1000" s="546"/>
      <c r="C1000" s="539"/>
      <c r="D1000" s="539"/>
      <c r="E1000" s="539"/>
    </row>
    <row r="1001" ht="22.5" customHeight="1">
      <c r="B1001" s="547"/>
      <c r="C1001" s="541"/>
      <c r="D1001" s="541"/>
      <c r="E1001" s="541"/>
    </row>
    <row r="1002" ht="22.5" customHeight="1">
      <c r="B1002" s="546"/>
      <c r="C1002" s="539"/>
      <c r="D1002" s="539"/>
      <c r="E1002" s="539"/>
    </row>
    <row r="1003" ht="22.5" customHeight="1">
      <c r="B1003" s="547"/>
      <c r="C1003" s="541"/>
      <c r="D1003" s="541"/>
      <c r="E1003" s="541"/>
    </row>
    <row r="1004" ht="22.5" customHeight="1">
      <c r="B1004" s="546"/>
      <c r="C1004" s="539"/>
      <c r="D1004" s="539"/>
      <c r="E1004" s="539"/>
    </row>
    <row r="1005" ht="22.5" customHeight="1">
      <c r="B1005" s="547"/>
      <c r="C1005" s="541"/>
      <c r="D1005" s="541"/>
      <c r="E1005" s="541"/>
    </row>
    <row r="1006" ht="22.5" customHeight="1">
      <c r="B1006" s="546"/>
      <c r="C1006" s="539"/>
      <c r="D1006" s="539"/>
      <c r="E1006" s="539"/>
    </row>
    <row r="1007" ht="22.5" customHeight="1">
      <c r="B1007" s="547"/>
      <c r="C1007" s="541"/>
      <c r="D1007" s="541"/>
      <c r="E1007" s="541"/>
    </row>
    <row r="1008" ht="22.5" customHeight="1">
      <c r="B1008" s="546"/>
      <c r="C1008" s="539"/>
      <c r="D1008" s="539"/>
      <c r="E1008" s="539"/>
    </row>
    <row r="1009" ht="22.5" customHeight="1">
      <c r="B1009" s="547"/>
      <c r="C1009" s="541"/>
      <c r="D1009" s="541"/>
      <c r="E1009" s="541"/>
    </row>
    <row r="1010" ht="22.5" customHeight="1">
      <c r="B1010" s="546"/>
      <c r="C1010" s="539"/>
      <c r="D1010" s="539"/>
      <c r="E1010" s="539"/>
    </row>
    <row r="1011" ht="22.5" customHeight="1">
      <c r="B1011" s="547"/>
      <c r="C1011" s="541"/>
      <c r="D1011" s="541"/>
      <c r="E1011" s="541"/>
    </row>
    <row r="1012" ht="22.5" customHeight="1">
      <c r="B1012" s="546"/>
      <c r="C1012" s="539"/>
      <c r="D1012" s="539"/>
      <c r="E1012" s="539"/>
    </row>
    <row r="1013" ht="22.5" customHeight="1">
      <c r="B1013" s="547"/>
      <c r="C1013" s="541"/>
      <c r="D1013" s="541"/>
      <c r="E1013" s="541"/>
    </row>
    <row r="1014" ht="22.5" customHeight="1">
      <c r="B1014" s="546"/>
      <c r="C1014" s="539"/>
      <c r="D1014" s="539"/>
      <c r="E1014" s="539"/>
    </row>
    <row r="1015" ht="22.5" customHeight="1">
      <c r="B1015" s="547"/>
      <c r="C1015" s="541"/>
      <c r="D1015" s="541"/>
      <c r="E1015" s="541"/>
    </row>
    <row r="1016" ht="22.5" customHeight="1">
      <c r="B1016" s="546"/>
      <c r="C1016" s="539"/>
      <c r="D1016" s="539"/>
      <c r="E1016" s="539"/>
    </row>
    <row r="1017" ht="22.5" customHeight="1">
      <c r="B1017" s="547"/>
      <c r="C1017" s="541"/>
      <c r="D1017" s="541"/>
      <c r="E1017" s="541"/>
    </row>
    <row r="1018" ht="22.5" customHeight="1">
      <c r="B1018" s="546"/>
      <c r="C1018" s="539"/>
      <c r="D1018" s="539"/>
      <c r="E1018" s="539"/>
    </row>
    <row r="1019" ht="22.5" customHeight="1">
      <c r="B1019" s="547"/>
      <c r="C1019" s="541"/>
      <c r="D1019" s="541"/>
      <c r="E1019" s="541"/>
    </row>
    <row r="1020" ht="22.5" customHeight="1">
      <c r="B1020" s="546"/>
      <c r="C1020" s="539"/>
      <c r="D1020" s="539"/>
      <c r="E1020" s="539"/>
    </row>
    <row r="1021" ht="22.5" customHeight="1">
      <c r="B1021" s="547"/>
      <c r="C1021" s="541"/>
      <c r="D1021" s="541"/>
      <c r="E1021" s="541"/>
    </row>
    <row r="1022" ht="22.5" customHeight="1">
      <c r="B1022" s="546"/>
      <c r="C1022" s="539"/>
      <c r="D1022" s="539"/>
      <c r="E1022" s="539"/>
    </row>
    <row r="1023" ht="22.5" customHeight="1">
      <c r="B1023" s="547"/>
      <c r="C1023" s="541"/>
      <c r="D1023" s="541"/>
      <c r="E1023" s="541"/>
    </row>
    <row r="1024" ht="22.5" customHeight="1">
      <c r="B1024" s="546"/>
      <c r="C1024" s="539"/>
      <c r="D1024" s="539"/>
      <c r="E1024" s="539"/>
    </row>
    <row r="1025" ht="22.5" customHeight="1">
      <c r="B1025" s="547"/>
      <c r="C1025" s="541"/>
      <c r="D1025" s="541"/>
      <c r="E1025" s="541"/>
    </row>
    <row r="1026" ht="22.5" customHeight="1">
      <c r="B1026" s="546"/>
      <c r="C1026" s="539"/>
      <c r="D1026" s="539"/>
      <c r="E1026" s="539"/>
    </row>
    <row r="1027" ht="22.5" customHeight="1">
      <c r="B1027" s="547"/>
      <c r="C1027" s="541"/>
      <c r="D1027" s="541"/>
      <c r="E1027" s="541"/>
    </row>
    <row r="1028" ht="22.5" customHeight="1">
      <c r="B1028" s="546"/>
      <c r="C1028" s="539"/>
      <c r="D1028" s="539"/>
      <c r="E1028" s="539"/>
    </row>
    <row r="1029" ht="22.5" customHeight="1">
      <c r="B1029" s="547"/>
      <c r="C1029" s="541"/>
      <c r="D1029" s="541"/>
      <c r="E1029" s="541"/>
    </row>
    <row r="1030" ht="22.5" customHeight="1">
      <c r="B1030" s="546"/>
      <c r="C1030" s="539"/>
      <c r="D1030" s="539"/>
      <c r="E1030" s="539"/>
    </row>
    <row r="1031" ht="22.5" customHeight="1">
      <c r="B1031" s="547"/>
      <c r="C1031" s="541"/>
      <c r="D1031" s="541"/>
      <c r="E1031" s="541"/>
    </row>
    <row r="1032" ht="22.5" customHeight="1">
      <c r="B1032" s="546"/>
      <c r="C1032" s="539"/>
      <c r="D1032" s="539"/>
      <c r="E1032" s="539"/>
    </row>
    <row r="1033" ht="22.5" customHeight="1">
      <c r="B1033" s="547"/>
      <c r="C1033" s="541"/>
      <c r="D1033" s="541"/>
      <c r="E1033" s="541"/>
    </row>
    <row r="1034" ht="22.5" customHeight="1">
      <c r="B1034" s="546"/>
      <c r="C1034" s="539"/>
      <c r="D1034" s="539"/>
      <c r="E1034" s="539"/>
    </row>
    <row r="1035" ht="22.5" customHeight="1">
      <c r="B1035" s="547"/>
      <c r="C1035" s="541"/>
      <c r="D1035" s="541"/>
      <c r="E1035" s="541"/>
    </row>
    <row r="1036" ht="22.5" customHeight="1">
      <c r="B1036" s="546"/>
      <c r="C1036" s="539"/>
      <c r="D1036" s="539"/>
      <c r="E1036" s="539"/>
    </row>
    <row r="1037" ht="22.5" customHeight="1">
      <c r="B1037" s="547"/>
      <c r="C1037" s="541"/>
      <c r="D1037" s="541"/>
      <c r="E1037" s="541"/>
    </row>
    <row r="1038" ht="22.5" customHeight="1">
      <c r="B1038" s="546"/>
      <c r="C1038" s="539"/>
      <c r="D1038" s="539"/>
      <c r="E1038" s="539"/>
    </row>
    <row r="1039" ht="22.5" customHeight="1">
      <c r="B1039" s="547"/>
      <c r="C1039" s="541"/>
      <c r="D1039" s="541"/>
      <c r="E1039" s="541"/>
    </row>
    <row r="1040" ht="22.5" customHeight="1">
      <c r="B1040" s="546"/>
      <c r="C1040" s="539"/>
      <c r="D1040" s="539"/>
      <c r="E1040" s="539"/>
    </row>
    <row r="1041" ht="22.5" customHeight="1">
      <c r="B1041" s="547"/>
      <c r="C1041" s="541"/>
      <c r="D1041" s="541"/>
      <c r="E1041" s="541"/>
    </row>
    <row r="1042" ht="22.5" customHeight="1">
      <c r="B1042" s="546"/>
      <c r="C1042" s="539"/>
      <c r="D1042" s="539"/>
      <c r="E1042" s="539"/>
    </row>
    <row r="1043" ht="22.5" customHeight="1">
      <c r="B1043" s="547"/>
      <c r="C1043" s="541"/>
      <c r="D1043" s="541"/>
      <c r="E1043" s="541"/>
    </row>
    <row r="1044" ht="22.5" customHeight="1">
      <c r="B1044" s="546"/>
      <c r="C1044" s="539"/>
      <c r="D1044" s="539"/>
      <c r="E1044" s="539"/>
    </row>
    <row r="1045" ht="22.5" customHeight="1">
      <c r="B1045" s="547"/>
      <c r="C1045" s="541"/>
      <c r="D1045" s="541"/>
      <c r="E1045" s="541"/>
    </row>
    <row r="1046" ht="22.5" customHeight="1">
      <c r="B1046" s="546"/>
      <c r="C1046" s="539"/>
      <c r="D1046" s="539"/>
      <c r="E1046" s="539"/>
    </row>
    <row r="1047" ht="22.5" customHeight="1">
      <c r="B1047" s="547"/>
      <c r="C1047" s="541"/>
      <c r="D1047" s="541"/>
      <c r="E1047" s="541"/>
    </row>
    <row r="1048" ht="22.5" customHeight="1">
      <c r="B1048" s="546"/>
      <c r="C1048" s="539"/>
      <c r="D1048" s="539"/>
      <c r="E1048" s="539"/>
    </row>
    <row r="1049" ht="22.5" customHeight="1">
      <c r="B1049" s="547"/>
      <c r="C1049" s="541"/>
      <c r="D1049" s="541"/>
      <c r="E1049" s="541"/>
    </row>
    <row r="1050" ht="22.5" customHeight="1">
      <c r="B1050" s="546"/>
      <c r="C1050" s="539"/>
      <c r="D1050" s="539"/>
      <c r="E1050" s="539"/>
    </row>
    <row r="1051" ht="22.5" customHeight="1">
      <c r="B1051" s="547"/>
      <c r="C1051" s="541"/>
      <c r="D1051" s="541"/>
      <c r="E1051" s="541"/>
    </row>
    <row r="1052" ht="22.5" customHeight="1">
      <c r="B1052" s="546"/>
      <c r="C1052" s="539"/>
      <c r="D1052" s="539"/>
      <c r="E1052" s="539"/>
    </row>
    <row r="1053" ht="22.5" customHeight="1">
      <c r="B1053" s="547"/>
      <c r="C1053" s="541"/>
      <c r="D1053" s="541"/>
      <c r="E1053" s="541"/>
    </row>
    <row r="1054" ht="22.5" customHeight="1">
      <c r="B1054" s="546"/>
      <c r="C1054" s="539"/>
      <c r="D1054" s="539"/>
      <c r="E1054" s="539"/>
    </row>
    <row r="1055" ht="22.5" customHeight="1">
      <c r="B1055" s="547"/>
      <c r="C1055" s="541"/>
      <c r="D1055" s="541"/>
      <c r="E1055" s="541"/>
    </row>
    <row r="1056" ht="22.5" customHeight="1">
      <c r="B1056" s="546"/>
      <c r="C1056" s="539"/>
      <c r="D1056" s="539"/>
      <c r="E1056" s="539"/>
    </row>
    <row r="1057" ht="22.5" customHeight="1">
      <c r="B1057" s="547"/>
      <c r="C1057" s="541"/>
      <c r="D1057" s="541"/>
      <c r="E1057" s="541"/>
    </row>
    <row r="1058" ht="22.5" customHeight="1">
      <c r="B1058" s="546"/>
      <c r="C1058" s="539"/>
      <c r="D1058" s="539"/>
      <c r="E1058" s="539"/>
    </row>
    <row r="1059" ht="22.5" customHeight="1">
      <c r="B1059" s="547"/>
      <c r="C1059" s="541"/>
      <c r="D1059" s="541"/>
      <c r="E1059" s="541"/>
    </row>
    <row r="1060" ht="22.5" customHeight="1">
      <c r="B1060" s="546"/>
      <c r="C1060" s="539"/>
      <c r="D1060" s="539"/>
      <c r="E1060" s="539"/>
    </row>
    <row r="1061" ht="22.5" customHeight="1">
      <c r="B1061" s="547"/>
      <c r="C1061" s="541"/>
      <c r="D1061" s="541"/>
      <c r="E1061" s="541"/>
    </row>
    <row r="1062" ht="22.5" customHeight="1">
      <c r="B1062" s="546"/>
      <c r="C1062" s="539"/>
      <c r="D1062" s="539"/>
      <c r="E1062" s="539"/>
    </row>
    <row r="1063" ht="22.5" customHeight="1">
      <c r="B1063" s="547"/>
      <c r="C1063" s="541"/>
      <c r="D1063" s="541"/>
      <c r="E1063" s="541"/>
    </row>
    <row r="1064" ht="22.5" customHeight="1">
      <c r="B1064" s="546"/>
      <c r="C1064" s="539"/>
      <c r="D1064" s="539"/>
      <c r="E1064" s="539"/>
    </row>
    <row r="1065" ht="22.5" customHeight="1">
      <c r="B1065" s="547"/>
      <c r="C1065" s="541"/>
      <c r="D1065" s="541"/>
      <c r="E1065" s="541"/>
    </row>
    <row r="1066" ht="22.5" customHeight="1">
      <c r="B1066" s="546"/>
      <c r="C1066" s="539"/>
      <c r="D1066" s="539"/>
      <c r="E1066" s="539"/>
    </row>
    <row r="1067" ht="22.5" customHeight="1">
      <c r="B1067" s="547"/>
      <c r="C1067" s="541"/>
      <c r="D1067" s="541"/>
      <c r="E1067" s="541"/>
    </row>
    <row r="1068" ht="22.5" customHeight="1">
      <c r="B1068" s="546"/>
      <c r="C1068" s="539"/>
      <c r="D1068" s="539"/>
      <c r="E1068" s="539"/>
    </row>
    <row r="1069" ht="22.5" customHeight="1">
      <c r="B1069" s="547"/>
      <c r="C1069" s="541"/>
      <c r="D1069" s="541"/>
      <c r="E1069" s="541"/>
    </row>
    <row r="1070" ht="22.5" customHeight="1">
      <c r="B1070" s="546"/>
      <c r="C1070" s="539"/>
      <c r="D1070" s="539"/>
      <c r="E1070" s="539"/>
    </row>
    <row r="1071" ht="22.5" customHeight="1">
      <c r="B1071" s="547"/>
      <c r="C1071" s="541"/>
      <c r="D1071" s="541"/>
      <c r="E1071" s="541"/>
    </row>
    <row r="1072" ht="22.5" customHeight="1">
      <c r="B1072" s="546"/>
      <c r="C1072" s="539"/>
      <c r="D1072" s="539"/>
      <c r="E1072" s="539"/>
    </row>
    <row r="1073" ht="22.5" customHeight="1">
      <c r="B1073" s="547"/>
      <c r="C1073" s="541"/>
      <c r="D1073" s="541"/>
      <c r="E1073" s="541"/>
    </row>
    <row r="1074" ht="22.5" customHeight="1">
      <c r="B1074" s="546"/>
      <c r="C1074" s="539"/>
      <c r="D1074" s="539"/>
      <c r="E1074" s="539"/>
    </row>
    <row r="1075" ht="22.5" customHeight="1">
      <c r="B1075" s="547"/>
      <c r="C1075" s="541"/>
      <c r="D1075" s="541"/>
      <c r="E1075" s="541"/>
    </row>
    <row r="1076" ht="22.5" customHeight="1">
      <c r="B1076" s="546"/>
      <c r="C1076" s="539"/>
      <c r="D1076" s="539"/>
      <c r="E1076" s="539"/>
    </row>
    <row r="1077" ht="22.5" customHeight="1">
      <c r="B1077" s="547"/>
      <c r="C1077" s="541"/>
      <c r="D1077" s="541"/>
      <c r="E1077" s="541"/>
    </row>
    <row r="1078" ht="22.5" customHeight="1">
      <c r="B1078" s="546"/>
      <c r="C1078" s="539"/>
      <c r="D1078" s="539"/>
      <c r="E1078" s="539"/>
    </row>
    <row r="1079" ht="22.5" customHeight="1">
      <c r="B1079" s="547"/>
      <c r="C1079" s="541"/>
      <c r="D1079" s="541"/>
      <c r="E1079" s="541"/>
    </row>
    <row r="1080" ht="22.5" customHeight="1">
      <c r="B1080" s="546"/>
      <c r="C1080" s="539"/>
      <c r="D1080" s="539"/>
      <c r="E1080" s="539"/>
    </row>
    <row r="1081" ht="22.5" customHeight="1">
      <c r="B1081" s="547"/>
      <c r="C1081" s="541"/>
      <c r="D1081" s="541"/>
      <c r="E1081" s="541"/>
    </row>
    <row r="1082" ht="22.5" customHeight="1">
      <c r="B1082" s="546"/>
      <c r="C1082" s="539"/>
      <c r="D1082" s="539"/>
      <c r="E1082" s="539"/>
    </row>
    <row r="1083" ht="22.5" customHeight="1">
      <c r="B1083" s="547"/>
      <c r="C1083" s="541"/>
      <c r="D1083" s="541"/>
      <c r="E1083" s="541"/>
    </row>
    <row r="1084" ht="22.5" customHeight="1">
      <c r="B1084" s="546"/>
      <c r="C1084" s="539"/>
      <c r="D1084" s="539"/>
      <c r="E1084" s="539"/>
    </row>
    <row r="1085" ht="22.5" customHeight="1">
      <c r="B1085" s="547"/>
      <c r="C1085" s="541"/>
      <c r="D1085" s="541"/>
      <c r="E1085" s="541"/>
    </row>
    <row r="1086" ht="22.5" customHeight="1">
      <c r="B1086" s="546"/>
      <c r="C1086" s="539"/>
      <c r="D1086" s="539"/>
      <c r="E1086" s="539"/>
    </row>
    <row r="1087" ht="22.5" customHeight="1">
      <c r="B1087" s="547"/>
      <c r="C1087" s="541"/>
      <c r="D1087" s="541"/>
      <c r="E1087" s="541"/>
    </row>
    <row r="1088" ht="22.5" customHeight="1">
      <c r="B1088" s="546"/>
      <c r="C1088" s="539"/>
      <c r="D1088" s="539"/>
      <c r="E1088" s="539"/>
    </row>
    <row r="1089" ht="22.5" customHeight="1">
      <c r="B1089" s="547"/>
      <c r="C1089" s="541"/>
      <c r="D1089" s="541"/>
      <c r="E1089" s="541"/>
    </row>
    <row r="1090" ht="22.5" customHeight="1">
      <c r="B1090" s="546"/>
      <c r="C1090" s="539"/>
      <c r="D1090" s="539"/>
      <c r="E1090" s="539"/>
    </row>
    <row r="1091" ht="22.5" customHeight="1">
      <c r="B1091" s="547"/>
      <c r="C1091" s="541"/>
      <c r="D1091" s="541"/>
      <c r="E1091" s="541"/>
    </row>
    <row r="1092" ht="22.5" customHeight="1">
      <c r="B1092" s="546"/>
      <c r="C1092" s="539"/>
      <c r="D1092" s="539"/>
      <c r="E1092" s="539"/>
    </row>
    <row r="1093" ht="22.5" customHeight="1">
      <c r="B1093" s="547"/>
      <c r="C1093" s="541"/>
      <c r="D1093" s="541"/>
      <c r="E1093" s="541"/>
    </row>
    <row r="1094" ht="22.5" customHeight="1">
      <c r="B1094" s="546"/>
      <c r="C1094" s="539"/>
      <c r="D1094" s="539"/>
      <c r="E1094" s="539"/>
    </row>
    <row r="1095" ht="22.5" customHeight="1">
      <c r="B1095" s="547"/>
      <c r="C1095" s="541"/>
      <c r="D1095" s="541"/>
      <c r="E1095" s="541"/>
    </row>
    <row r="1096" ht="22.5" customHeight="1">
      <c r="B1096" s="546"/>
      <c r="C1096" s="539"/>
      <c r="D1096" s="539"/>
      <c r="E1096" s="539"/>
    </row>
    <row r="1097" ht="22.5" customHeight="1">
      <c r="B1097" s="547"/>
      <c r="C1097" s="541"/>
      <c r="D1097" s="541"/>
      <c r="E1097" s="541"/>
    </row>
    <row r="1098" ht="22.5" customHeight="1">
      <c r="B1098" s="546"/>
      <c r="C1098" s="539"/>
      <c r="D1098" s="539"/>
      <c r="E1098" s="539"/>
    </row>
    <row r="1099" ht="22.5" customHeight="1">
      <c r="B1099" s="547"/>
      <c r="C1099" s="541"/>
      <c r="D1099" s="541"/>
      <c r="E1099" s="541"/>
    </row>
    <row r="1100" ht="22.5" customHeight="1">
      <c r="B1100" s="546"/>
      <c r="C1100" s="539"/>
      <c r="D1100" s="539"/>
      <c r="E1100" s="539"/>
    </row>
    <row r="1101" ht="22.5" customHeight="1">
      <c r="B1101" s="547"/>
      <c r="C1101" s="541"/>
      <c r="D1101" s="541"/>
      <c r="E1101" s="541"/>
    </row>
    <row r="1102" ht="22.5" customHeight="1">
      <c r="B1102" s="546"/>
      <c r="C1102" s="539"/>
      <c r="D1102" s="539"/>
      <c r="E1102" s="539"/>
    </row>
    <row r="1103" ht="22.5" customHeight="1">
      <c r="B1103" s="547"/>
      <c r="C1103" s="541"/>
      <c r="D1103" s="541"/>
      <c r="E1103" s="541"/>
    </row>
    <row r="1104" ht="22.5" customHeight="1">
      <c r="B1104" s="546"/>
      <c r="C1104" s="539"/>
      <c r="D1104" s="539"/>
      <c r="E1104" s="539"/>
    </row>
    <row r="1105" ht="22.5" customHeight="1">
      <c r="B1105" s="547"/>
      <c r="C1105" s="541"/>
      <c r="D1105" s="541"/>
      <c r="E1105" s="541"/>
    </row>
    <row r="1106" ht="22.5" customHeight="1">
      <c r="B1106" s="546"/>
      <c r="C1106" s="539"/>
      <c r="D1106" s="539"/>
      <c r="E1106" s="539"/>
    </row>
    <row r="1107" ht="22.5" customHeight="1">
      <c r="B1107" s="547"/>
      <c r="C1107" s="541"/>
      <c r="D1107" s="541"/>
      <c r="E1107" s="541"/>
    </row>
    <row r="1108" ht="22.5" customHeight="1">
      <c r="B1108" s="546"/>
      <c r="C1108" s="539"/>
      <c r="D1108" s="539"/>
      <c r="E1108" s="539"/>
    </row>
    <row r="1109" ht="22.5" customHeight="1">
      <c r="B1109" s="547"/>
      <c r="C1109" s="541"/>
      <c r="D1109" s="541"/>
      <c r="E1109" s="541"/>
    </row>
    <row r="1110" ht="22.5" customHeight="1">
      <c r="B1110" s="546"/>
      <c r="C1110" s="539"/>
      <c r="D1110" s="539"/>
      <c r="E1110" s="539"/>
    </row>
    <row r="1111" ht="22.5" customHeight="1">
      <c r="B1111" s="547"/>
      <c r="C1111" s="541"/>
      <c r="D1111" s="541"/>
      <c r="E1111" s="541"/>
    </row>
    <row r="1112" ht="22.5" customHeight="1">
      <c r="B1112" s="546"/>
      <c r="C1112" s="539"/>
      <c r="D1112" s="539"/>
      <c r="E1112" s="539"/>
    </row>
    <row r="1113" ht="22.5" customHeight="1">
      <c r="B1113" s="547"/>
      <c r="C1113" s="541"/>
      <c r="D1113" s="541"/>
      <c r="E1113" s="541"/>
    </row>
    <row r="1114" ht="22.5" customHeight="1">
      <c r="B1114" s="546"/>
      <c r="C1114" s="539"/>
      <c r="D1114" s="539"/>
      <c r="E1114" s="539"/>
    </row>
    <row r="1115" ht="22.5" customHeight="1">
      <c r="B1115" s="547"/>
      <c r="C1115" s="541"/>
      <c r="D1115" s="541"/>
      <c r="E1115" s="541"/>
    </row>
    <row r="1116" ht="22.5" customHeight="1">
      <c r="B1116" s="546"/>
      <c r="C1116" s="539"/>
      <c r="D1116" s="539"/>
      <c r="E1116" s="539"/>
    </row>
    <row r="1117" ht="22.5" customHeight="1">
      <c r="B1117" s="547"/>
      <c r="C1117" s="541"/>
      <c r="D1117" s="541"/>
      <c r="E1117" s="541"/>
    </row>
    <row r="1118" ht="22.5" customHeight="1">
      <c r="B1118" s="546"/>
      <c r="C1118" s="539"/>
      <c r="D1118" s="539"/>
      <c r="E1118" s="539"/>
    </row>
    <row r="1119" ht="22.5" customHeight="1">
      <c r="B1119" s="547"/>
      <c r="C1119" s="541"/>
      <c r="D1119" s="541"/>
      <c r="E1119" s="541"/>
    </row>
    <row r="1120" ht="22.5" customHeight="1">
      <c r="B1120" s="546"/>
      <c r="C1120" s="539"/>
      <c r="D1120" s="539"/>
      <c r="E1120" s="539"/>
    </row>
    <row r="1121" ht="22.5" customHeight="1">
      <c r="B1121" s="547"/>
      <c r="C1121" s="541"/>
      <c r="D1121" s="541"/>
      <c r="E1121" s="541"/>
    </row>
    <row r="1122" ht="22.5" customHeight="1">
      <c r="B1122" s="546"/>
      <c r="C1122" s="539"/>
      <c r="D1122" s="539"/>
      <c r="E1122" s="539"/>
    </row>
    <row r="1123" ht="22.5" customHeight="1">
      <c r="B1123" s="547"/>
      <c r="C1123" s="541"/>
      <c r="D1123" s="541"/>
      <c r="E1123" s="541"/>
    </row>
    <row r="1124" ht="22.5" customHeight="1">
      <c r="B1124" s="546"/>
      <c r="C1124" s="539"/>
      <c r="D1124" s="539"/>
      <c r="E1124" s="539"/>
    </row>
    <row r="1125" ht="22.5" customHeight="1">
      <c r="B1125" s="547"/>
      <c r="C1125" s="541"/>
      <c r="D1125" s="541"/>
      <c r="E1125" s="541"/>
    </row>
    <row r="1126" ht="22.5" customHeight="1">
      <c r="B1126" s="546"/>
      <c r="C1126" s="539"/>
      <c r="D1126" s="539"/>
      <c r="E1126" s="539"/>
    </row>
    <row r="1127" ht="22.5" customHeight="1">
      <c r="B1127" s="547"/>
      <c r="C1127" s="541"/>
      <c r="D1127" s="541"/>
      <c r="E1127" s="541"/>
    </row>
    <row r="1128" ht="22.5" customHeight="1">
      <c r="B1128" s="546"/>
      <c r="C1128" s="539"/>
      <c r="D1128" s="539"/>
      <c r="E1128" s="539"/>
    </row>
    <row r="1129" ht="22.5" customHeight="1">
      <c r="B1129" s="547"/>
      <c r="C1129" s="541"/>
      <c r="D1129" s="541"/>
      <c r="E1129" s="541"/>
    </row>
    <row r="1130" ht="22.5" customHeight="1">
      <c r="B1130" s="546"/>
      <c r="C1130" s="539"/>
      <c r="D1130" s="539"/>
      <c r="E1130" s="539"/>
    </row>
    <row r="1131" ht="22.5" customHeight="1">
      <c r="B1131" s="547"/>
      <c r="C1131" s="541"/>
      <c r="D1131" s="541"/>
      <c r="E1131" s="541"/>
    </row>
    <row r="1132" ht="22.5" customHeight="1">
      <c r="B1132" s="546"/>
      <c r="C1132" s="539"/>
      <c r="D1132" s="539"/>
      <c r="E1132" s="539"/>
    </row>
    <row r="1133" ht="22.5" customHeight="1">
      <c r="B1133" s="547"/>
      <c r="C1133" s="541"/>
      <c r="D1133" s="541"/>
      <c r="E1133" s="541"/>
    </row>
    <row r="1134" ht="22.5" customHeight="1">
      <c r="B1134" s="546"/>
      <c r="C1134" s="539"/>
      <c r="D1134" s="539"/>
      <c r="E1134" s="539"/>
    </row>
    <row r="1135" ht="22.5" customHeight="1">
      <c r="B1135" s="547"/>
      <c r="C1135" s="541"/>
      <c r="D1135" s="541"/>
      <c r="E1135" s="541"/>
    </row>
    <row r="1136" ht="22.5" customHeight="1">
      <c r="B1136" s="546"/>
      <c r="C1136" s="539"/>
      <c r="D1136" s="539"/>
      <c r="E1136" s="539"/>
    </row>
    <row r="1137" ht="22.5" customHeight="1">
      <c r="B1137" s="547"/>
      <c r="C1137" s="541"/>
      <c r="D1137" s="541"/>
      <c r="E1137" s="541"/>
    </row>
    <row r="1138" ht="22.5" customHeight="1">
      <c r="B1138" s="546"/>
      <c r="C1138" s="539"/>
      <c r="D1138" s="539"/>
      <c r="E1138" s="539"/>
    </row>
    <row r="1139" ht="22.5" customHeight="1">
      <c r="B1139" s="547"/>
      <c r="C1139" s="541"/>
      <c r="D1139" s="541"/>
      <c r="E1139" s="541"/>
    </row>
    <row r="1140" ht="22.5" customHeight="1">
      <c r="B1140" s="546"/>
      <c r="C1140" s="539"/>
      <c r="D1140" s="539"/>
      <c r="E1140" s="539"/>
    </row>
    <row r="1141" ht="22.5" customHeight="1">
      <c r="B1141" s="547"/>
      <c r="C1141" s="541"/>
      <c r="D1141" s="541"/>
      <c r="E1141" s="541"/>
    </row>
    <row r="1142" ht="22.5" customHeight="1">
      <c r="B1142" s="546"/>
      <c r="C1142" s="539"/>
      <c r="D1142" s="539"/>
      <c r="E1142" s="539"/>
    </row>
    <row r="1143" ht="22.5" customHeight="1">
      <c r="B1143" s="547"/>
      <c r="C1143" s="541"/>
      <c r="D1143" s="541"/>
      <c r="E1143" s="541"/>
    </row>
    <row r="1144" ht="22.5" customHeight="1">
      <c r="B1144" s="546"/>
      <c r="C1144" s="539"/>
      <c r="D1144" s="539"/>
      <c r="E1144" s="539"/>
    </row>
    <row r="1145" ht="22.5" customHeight="1">
      <c r="B1145" s="547"/>
      <c r="C1145" s="541"/>
      <c r="D1145" s="541"/>
      <c r="E1145" s="541"/>
    </row>
    <row r="1146" ht="22.5" customHeight="1">
      <c r="B1146" s="546"/>
      <c r="C1146" s="539"/>
      <c r="D1146" s="539"/>
      <c r="E1146" s="539"/>
    </row>
    <row r="1147" ht="22.5" customHeight="1">
      <c r="B1147" s="547"/>
      <c r="C1147" s="541"/>
      <c r="D1147" s="541"/>
      <c r="E1147" s="541"/>
    </row>
    <row r="1148" ht="22.5" customHeight="1">
      <c r="B1148" s="546"/>
      <c r="C1148" s="539"/>
      <c r="D1148" s="539"/>
      <c r="E1148" s="539"/>
    </row>
    <row r="1149" ht="22.5" customHeight="1">
      <c r="B1149" s="547"/>
      <c r="C1149" s="541"/>
      <c r="D1149" s="541"/>
      <c r="E1149" s="541"/>
    </row>
    <row r="1150" ht="22.5" customHeight="1">
      <c r="B1150" s="546"/>
      <c r="C1150" s="539"/>
      <c r="D1150" s="539"/>
      <c r="E1150" s="539"/>
    </row>
    <row r="1151" ht="22.5" customHeight="1">
      <c r="B1151" s="547"/>
      <c r="C1151" s="541"/>
      <c r="D1151" s="541"/>
      <c r="E1151" s="541"/>
    </row>
    <row r="1152" ht="22.5" customHeight="1">
      <c r="B1152" s="546"/>
      <c r="C1152" s="539"/>
      <c r="D1152" s="539"/>
      <c r="E1152" s="539"/>
    </row>
    <row r="1153" ht="22.5" customHeight="1">
      <c r="B1153" s="547"/>
      <c r="C1153" s="541"/>
      <c r="D1153" s="541"/>
      <c r="E1153" s="541"/>
    </row>
    <row r="1154" ht="22.5" customHeight="1">
      <c r="B1154" s="546"/>
      <c r="C1154" s="539"/>
      <c r="D1154" s="539"/>
      <c r="E1154" s="539"/>
    </row>
    <row r="1155" ht="22.5" customHeight="1">
      <c r="B1155" s="547"/>
      <c r="C1155" s="541"/>
      <c r="D1155" s="541"/>
      <c r="E1155" s="541"/>
    </row>
    <row r="1156" ht="22.5" customHeight="1">
      <c r="B1156" s="546"/>
      <c r="C1156" s="539"/>
      <c r="D1156" s="539"/>
      <c r="E1156" s="539"/>
    </row>
    <row r="1157" ht="22.5" customHeight="1">
      <c r="B1157" s="547"/>
      <c r="C1157" s="541"/>
      <c r="D1157" s="541"/>
      <c r="E1157" s="541"/>
    </row>
    <row r="1158" ht="22.5" customHeight="1">
      <c r="B1158" s="546"/>
      <c r="C1158" s="539"/>
      <c r="D1158" s="539"/>
      <c r="E1158" s="539"/>
    </row>
    <row r="1159" ht="22.5" customHeight="1">
      <c r="B1159" s="547"/>
      <c r="C1159" s="541"/>
      <c r="D1159" s="541"/>
      <c r="E1159" s="541"/>
    </row>
    <row r="1160" ht="22.5" customHeight="1">
      <c r="B1160" s="546"/>
      <c r="C1160" s="539"/>
      <c r="D1160" s="539"/>
      <c r="E1160" s="539"/>
    </row>
    <row r="1161" ht="22.5" customHeight="1">
      <c r="B1161" s="547"/>
      <c r="C1161" s="541"/>
      <c r="D1161" s="541"/>
      <c r="E1161" s="541"/>
    </row>
    <row r="1162" ht="22.5" customHeight="1">
      <c r="B1162" s="546"/>
      <c r="C1162" s="539"/>
      <c r="D1162" s="539"/>
      <c r="E1162" s="539"/>
    </row>
    <row r="1163" ht="22.5" customHeight="1">
      <c r="B1163" s="547"/>
      <c r="C1163" s="541"/>
      <c r="D1163" s="541"/>
      <c r="E1163" s="541"/>
    </row>
    <row r="1164" ht="22.5" customHeight="1">
      <c r="B1164" s="546"/>
      <c r="C1164" s="539"/>
      <c r="D1164" s="539"/>
      <c r="E1164" s="539"/>
    </row>
    <row r="1165" ht="22.5" customHeight="1">
      <c r="B1165" s="547"/>
      <c r="C1165" s="541"/>
      <c r="D1165" s="541"/>
      <c r="E1165" s="541"/>
    </row>
  </sheetData>
  <autoFilter ref="$B$1:$E$317"/>
  <dataValidations>
    <dataValidation type="custom" allowBlank="1" showDropDown="1" sqref="B2:B1165">
      <formula1>OR(NOT(ISERROR(DATEVALUE(B2))), AND(ISNUMBER(B2), LEFT(CELL("format", B2))="D"))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8.63"/>
    <col customWidth="1" min="3" max="3" width="47.0"/>
    <col customWidth="1" min="4" max="4" width="13.5"/>
    <col customWidth="1" min="5" max="5" width="22.38"/>
    <col customWidth="1" min="6" max="6" width="19.25"/>
  </cols>
  <sheetData>
    <row r="1" ht="15.75" customHeight="1"/>
    <row r="2" ht="15.75" hidden="1" customHeight="1">
      <c r="B2" s="552" t="s">
        <v>1523</v>
      </c>
      <c r="C2" s="553"/>
      <c r="D2" s="553"/>
      <c r="E2" s="132"/>
    </row>
    <row r="3" ht="15.75" hidden="1" customHeight="1">
      <c r="B3" s="554" t="s">
        <v>1321</v>
      </c>
      <c r="C3" s="554" t="s">
        <v>1323</v>
      </c>
      <c r="D3" s="554" t="s">
        <v>1324</v>
      </c>
      <c r="E3" s="554" t="s">
        <v>1524</v>
      </c>
    </row>
    <row r="4" ht="15.75" hidden="1" customHeight="1">
      <c r="B4" s="555">
        <v>46071.0</v>
      </c>
      <c r="C4" s="556" t="s">
        <v>1525</v>
      </c>
      <c r="D4" s="556">
        <v>902.0</v>
      </c>
      <c r="E4" s="557"/>
    </row>
    <row r="5" ht="15.75" hidden="1" customHeight="1">
      <c r="B5" s="557"/>
      <c r="C5" s="556" t="s">
        <v>1526</v>
      </c>
      <c r="D5" s="556">
        <v>160.0</v>
      </c>
      <c r="E5" s="556" t="s">
        <v>1527</v>
      </c>
    </row>
    <row r="6" ht="15.75" hidden="1" customHeight="1">
      <c r="B6" s="557"/>
      <c r="C6" s="556" t="s">
        <v>1528</v>
      </c>
      <c r="D6" s="558">
        <v>150.0</v>
      </c>
      <c r="E6" s="556" t="s">
        <v>1527</v>
      </c>
    </row>
    <row r="7" ht="15.75" hidden="1" customHeight="1">
      <c r="B7" s="557"/>
      <c r="C7" s="556" t="s">
        <v>1529</v>
      </c>
      <c r="D7" s="558">
        <v>1258.0</v>
      </c>
      <c r="E7" s="556" t="s">
        <v>1530</v>
      </c>
    </row>
    <row r="8" ht="15.75" hidden="1" customHeight="1">
      <c r="B8" s="555"/>
      <c r="C8" s="556" t="s">
        <v>1531</v>
      </c>
      <c r="D8" s="558">
        <v>486.0</v>
      </c>
      <c r="E8" s="556" t="s">
        <v>1527</v>
      </c>
    </row>
    <row r="9" ht="15.75" hidden="1" customHeight="1">
      <c r="B9" s="555">
        <v>46072.0</v>
      </c>
      <c r="C9" s="556" t="s">
        <v>1529</v>
      </c>
      <c r="D9" s="558">
        <v>401.0</v>
      </c>
      <c r="E9" s="556" t="s">
        <v>1527</v>
      </c>
    </row>
    <row r="10" ht="15.75" hidden="1" customHeight="1">
      <c r="B10" s="557"/>
      <c r="C10" s="556" t="s">
        <v>1532</v>
      </c>
      <c r="D10" s="558">
        <v>1001.0</v>
      </c>
      <c r="E10" s="556" t="s">
        <v>1527</v>
      </c>
    </row>
    <row r="11" ht="15.75" hidden="1" customHeight="1">
      <c r="B11" s="555"/>
      <c r="C11" s="556" t="s">
        <v>1533</v>
      </c>
      <c r="D11" s="558">
        <v>300.0</v>
      </c>
      <c r="E11" s="556" t="s">
        <v>1527</v>
      </c>
    </row>
    <row r="12" ht="15.75" hidden="1" customHeight="1">
      <c r="B12" s="555">
        <v>46073.0</v>
      </c>
      <c r="C12" s="556" t="s">
        <v>1533</v>
      </c>
      <c r="D12" s="558">
        <v>1100.0</v>
      </c>
      <c r="E12" s="556" t="s">
        <v>1527</v>
      </c>
    </row>
    <row r="13" ht="15.75" hidden="1" customHeight="1">
      <c r="B13" s="557"/>
      <c r="C13" s="556" t="s">
        <v>1534</v>
      </c>
      <c r="D13" s="558">
        <v>1552.0</v>
      </c>
      <c r="E13" s="557"/>
    </row>
    <row r="14" ht="15.75" hidden="1" customHeight="1">
      <c r="B14" s="557"/>
      <c r="C14" s="556" t="s">
        <v>1535</v>
      </c>
      <c r="D14" s="558">
        <v>300.0</v>
      </c>
      <c r="E14" s="556" t="s">
        <v>1527</v>
      </c>
    </row>
    <row r="15" ht="15.75" hidden="1" customHeight="1">
      <c r="B15" s="557"/>
      <c r="C15" s="556" t="s">
        <v>1536</v>
      </c>
      <c r="D15" s="558">
        <v>500.0</v>
      </c>
      <c r="E15" s="556" t="s">
        <v>1530</v>
      </c>
    </row>
    <row r="16" ht="15.75" hidden="1" customHeight="1">
      <c r="B16" s="559">
        <v>46076.0</v>
      </c>
      <c r="C16" s="556" t="s">
        <v>1536</v>
      </c>
      <c r="D16" s="558">
        <v>600.0</v>
      </c>
      <c r="E16" s="556" t="s">
        <v>1530</v>
      </c>
    </row>
    <row r="17" ht="15.75" hidden="1" customHeight="1">
      <c r="B17" s="557"/>
      <c r="C17" s="556" t="s">
        <v>1537</v>
      </c>
      <c r="D17" s="558">
        <v>300.0</v>
      </c>
      <c r="E17" s="556" t="s">
        <v>1527</v>
      </c>
    </row>
    <row r="18" ht="15.75" hidden="1" customHeight="1">
      <c r="B18" s="557"/>
      <c r="C18" s="556" t="s">
        <v>1538</v>
      </c>
      <c r="D18" s="558">
        <v>300.0</v>
      </c>
      <c r="E18" s="556" t="s">
        <v>1527</v>
      </c>
    </row>
    <row r="19" ht="15.75" hidden="1" customHeight="1">
      <c r="B19" s="557"/>
      <c r="C19" s="556" t="s">
        <v>1539</v>
      </c>
      <c r="D19" s="558">
        <v>944.0</v>
      </c>
      <c r="E19" s="556" t="s">
        <v>1530</v>
      </c>
    </row>
    <row r="20" ht="15.75" hidden="1" customHeight="1">
      <c r="B20" s="557"/>
      <c r="C20" s="556" t="s">
        <v>1539</v>
      </c>
      <c r="D20" s="558">
        <v>1000.0</v>
      </c>
      <c r="E20" s="556" t="s">
        <v>1540</v>
      </c>
    </row>
    <row r="21" ht="15.75" hidden="1" customHeight="1">
      <c r="B21" s="559"/>
      <c r="C21" s="556" t="s">
        <v>1536</v>
      </c>
      <c r="D21" s="558">
        <v>500.0</v>
      </c>
      <c r="E21" s="556" t="s">
        <v>1540</v>
      </c>
    </row>
    <row r="22" ht="15.75" hidden="1" customHeight="1">
      <c r="B22" s="559">
        <v>46077.0</v>
      </c>
      <c r="C22" s="556" t="s">
        <v>1541</v>
      </c>
      <c r="D22" s="558">
        <v>384.0</v>
      </c>
      <c r="E22" s="556" t="s">
        <v>1540</v>
      </c>
    </row>
    <row r="23" ht="15.75" hidden="1" customHeight="1">
      <c r="B23" s="557"/>
      <c r="C23" s="556" t="s">
        <v>1542</v>
      </c>
      <c r="D23" s="558">
        <v>1000.0</v>
      </c>
      <c r="E23" s="556" t="s">
        <v>1527</v>
      </c>
    </row>
    <row r="24" ht="15.75" hidden="1" customHeight="1">
      <c r="B24" s="557"/>
      <c r="C24" s="556" t="s">
        <v>1543</v>
      </c>
      <c r="D24" s="558">
        <v>997.0</v>
      </c>
      <c r="E24" s="556" t="s">
        <v>1530</v>
      </c>
    </row>
    <row r="25" ht="15.75" hidden="1" customHeight="1">
      <c r="B25" s="555"/>
      <c r="C25" s="556" t="s">
        <v>1544</v>
      </c>
      <c r="D25" s="558">
        <v>1200.0</v>
      </c>
      <c r="E25" s="556" t="s">
        <v>1540</v>
      </c>
    </row>
    <row r="26" ht="15.75" hidden="1" customHeight="1">
      <c r="B26" s="555"/>
      <c r="C26" s="556" t="s">
        <v>1545</v>
      </c>
      <c r="D26" s="558">
        <v>954.0</v>
      </c>
      <c r="E26" s="556" t="s">
        <v>1546</v>
      </c>
    </row>
    <row r="27" ht="15.75" hidden="1" customHeight="1">
      <c r="B27" s="557"/>
      <c r="C27" s="556" t="s">
        <v>1547</v>
      </c>
      <c r="D27" s="558">
        <v>1074.0</v>
      </c>
      <c r="E27" s="556" t="s">
        <v>1546</v>
      </c>
    </row>
    <row r="28" ht="15.75" hidden="1" customHeight="1">
      <c r="B28" s="559">
        <v>46078.0</v>
      </c>
      <c r="C28" s="556" t="s">
        <v>1548</v>
      </c>
      <c r="D28" s="558">
        <v>1073.0</v>
      </c>
      <c r="E28" s="556" t="s">
        <v>1527</v>
      </c>
    </row>
    <row r="29" ht="15.75" hidden="1" customHeight="1">
      <c r="B29" s="557"/>
      <c r="C29" s="556" t="s">
        <v>1548</v>
      </c>
      <c r="D29" s="558">
        <v>1073.0</v>
      </c>
      <c r="E29" s="556" t="s">
        <v>1530</v>
      </c>
    </row>
    <row r="30" ht="15.75" hidden="1" customHeight="1">
      <c r="B30" s="557"/>
      <c r="C30" s="556" t="s">
        <v>1541</v>
      </c>
      <c r="D30" s="558">
        <v>1011.0</v>
      </c>
      <c r="E30" s="556" t="s">
        <v>1540</v>
      </c>
    </row>
    <row r="31" ht="15.75" hidden="1" customHeight="1">
      <c r="B31" s="557"/>
      <c r="C31" s="556" t="s">
        <v>1549</v>
      </c>
      <c r="D31" s="558">
        <v>346.0</v>
      </c>
      <c r="E31" s="556" t="s">
        <v>1546</v>
      </c>
    </row>
    <row r="32" ht="15.75" hidden="1" customHeight="1">
      <c r="B32" s="557"/>
      <c r="C32" s="556" t="s">
        <v>1550</v>
      </c>
      <c r="D32" s="558">
        <v>200.0</v>
      </c>
      <c r="E32" s="556" t="s">
        <v>1546</v>
      </c>
    </row>
    <row r="33" ht="15.75" hidden="1" customHeight="1">
      <c r="B33" s="557"/>
      <c r="C33" s="556" t="s">
        <v>1551</v>
      </c>
      <c r="D33" s="558">
        <v>197.0</v>
      </c>
      <c r="E33" s="556" t="s">
        <v>1546</v>
      </c>
    </row>
    <row r="34" ht="15.75" hidden="1" customHeight="1">
      <c r="B34" s="557"/>
      <c r="C34" s="556" t="s">
        <v>1552</v>
      </c>
      <c r="D34" s="558">
        <v>200.0</v>
      </c>
      <c r="E34" s="556" t="s">
        <v>1540</v>
      </c>
    </row>
    <row r="35" ht="15.75" hidden="1" customHeight="1">
      <c r="B35" s="557"/>
      <c r="C35" s="556" t="s">
        <v>1553</v>
      </c>
      <c r="D35" s="558">
        <v>450.0</v>
      </c>
      <c r="E35" s="556" t="s">
        <v>1540</v>
      </c>
    </row>
    <row r="36" ht="15.75" hidden="1" customHeight="1">
      <c r="B36" s="559">
        <v>46079.0</v>
      </c>
      <c r="C36" s="556" t="s">
        <v>1548</v>
      </c>
      <c r="D36" s="558">
        <v>156.0</v>
      </c>
      <c r="E36" s="556" t="s">
        <v>1530</v>
      </c>
    </row>
    <row r="37" ht="15.75" hidden="1" customHeight="1">
      <c r="B37" s="557"/>
      <c r="C37" s="556" t="s">
        <v>1548</v>
      </c>
      <c r="D37" s="558">
        <v>156.0</v>
      </c>
      <c r="E37" s="556" t="s">
        <v>1527</v>
      </c>
    </row>
    <row r="38" ht="15.75" hidden="1" customHeight="1">
      <c r="B38" s="557"/>
      <c r="C38" s="556" t="s">
        <v>1554</v>
      </c>
      <c r="D38" s="558">
        <v>594.0</v>
      </c>
      <c r="E38" s="556" t="s">
        <v>1540</v>
      </c>
    </row>
    <row r="39" ht="15.75" hidden="1" customHeight="1">
      <c r="B39" s="557"/>
      <c r="C39" s="556" t="s">
        <v>1555</v>
      </c>
      <c r="D39" s="558">
        <v>970.0</v>
      </c>
      <c r="E39" s="556" t="s">
        <v>1540</v>
      </c>
    </row>
    <row r="40" ht="15.75" hidden="1" customHeight="1">
      <c r="B40" s="557"/>
      <c r="C40" s="556" t="s">
        <v>1556</v>
      </c>
      <c r="D40" s="558">
        <v>450.0</v>
      </c>
      <c r="E40" s="556" t="s">
        <v>1530</v>
      </c>
    </row>
    <row r="41" ht="15.75" hidden="1" customHeight="1">
      <c r="B41" s="557"/>
      <c r="C41" s="556" t="s">
        <v>1557</v>
      </c>
      <c r="D41" s="558">
        <v>600.0</v>
      </c>
      <c r="E41" s="556" t="s">
        <v>1527</v>
      </c>
    </row>
    <row r="42" ht="15.75" hidden="1" customHeight="1">
      <c r="B42" s="557"/>
      <c r="C42" s="556" t="s">
        <v>1552</v>
      </c>
      <c r="D42" s="558">
        <v>832.0</v>
      </c>
      <c r="E42" s="556" t="s">
        <v>1546</v>
      </c>
    </row>
    <row r="43" ht="15.75" hidden="1" customHeight="1">
      <c r="B43" s="557"/>
      <c r="C43" s="556" t="s">
        <v>1558</v>
      </c>
      <c r="D43" s="558">
        <v>1074.0</v>
      </c>
      <c r="E43" s="556" t="s">
        <v>1546</v>
      </c>
    </row>
    <row r="44" ht="15.75" hidden="1" customHeight="1">
      <c r="B44" s="557"/>
      <c r="C44" s="556" t="s">
        <v>1559</v>
      </c>
      <c r="D44" s="558">
        <v>154.0</v>
      </c>
      <c r="E44" s="556" t="s">
        <v>1546</v>
      </c>
    </row>
    <row r="45" ht="15.75" hidden="1" customHeight="1">
      <c r="B45" s="560"/>
      <c r="C45" s="556" t="s">
        <v>1560</v>
      </c>
      <c r="D45" s="558">
        <v>334.0</v>
      </c>
      <c r="E45" s="556" t="s">
        <v>1540</v>
      </c>
    </row>
    <row r="46" ht="15.75" hidden="1" customHeight="1">
      <c r="B46" s="560">
        <v>46080.0</v>
      </c>
      <c r="C46" s="556" t="s">
        <v>1559</v>
      </c>
      <c r="D46" s="558">
        <v>2100.0</v>
      </c>
      <c r="E46" s="556" t="s">
        <v>1546</v>
      </c>
    </row>
    <row r="47" ht="15.75" hidden="1" customHeight="1">
      <c r="B47" s="557"/>
      <c r="C47" s="556" t="s">
        <v>1561</v>
      </c>
      <c r="D47" s="558">
        <v>1050.0</v>
      </c>
      <c r="E47" s="556" t="s">
        <v>1546</v>
      </c>
    </row>
    <row r="48" ht="15.75" hidden="1" customHeight="1">
      <c r="B48" s="557"/>
      <c r="C48" s="556" t="s">
        <v>1556</v>
      </c>
      <c r="D48" s="558">
        <v>135.0</v>
      </c>
      <c r="E48" s="556" t="s">
        <v>1530</v>
      </c>
    </row>
    <row r="49" ht="15.75" hidden="1" customHeight="1">
      <c r="B49" s="557"/>
      <c r="C49" s="556" t="s">
        <v>1562</v>
      </c>
      <c r="D49" s="558">
        <v>1170.0</v>
      </c>
      <c r="E49" s="556" t="s">
        <v>1540</v>
      </c>
    </row>
    <row r="50" ht="15.75" hidden="1" customHeight="1">
      <c r="B50" s="557"/>
      <c r="C50" s="556" t="s">
        <v>1557</v>
      </c>
      <c r="D50" s="558">
        <v>883.0</v>
      </c>
      <c r="E50" s="556" t="s">
        <v>1527</v>
      </c>
    </row>
    <row r="51" ht="15.75" hidden="1" customHeight="1">
      <c r="B51" s="557"/>
      <c r="C51" s="556" t="s">
        <v>1539</v>
      </c>
      <c r="D51" s="558">
        <v>168.0</v>
      </c>
      <c r="E51" s="556" t="s">
        <v>1540</v>
      </c>
    </row>
    <row r="52" ht="15.75" hidden="1" customHeight="1">
      <c r="B52" s="561"/>
      <c r="C52" s="562" t="s">
        <v>1563</v>
      </c>
      <c r="D52" s="563">
        <v>300.0</v>
      </c>
      <c r="E52" s="562"/>
    </row>
    <row r="53" ht="15.75" customHeight="1">
      <c r="B53" s="564" t="s">
        <v>1564</v>
      </c>
      <c r="D53" s="565" t="s">
        <v>1565</v>
      </c>
      <c r="E53" s="566">
        <f>SUM(D3:D52)</f>
        <v>33039</v>
      </c>
    </row>
    <row r="54" ht="15.75" customHeight="1">
      <c r="B54" s="567"/>
      <c r="C54" s="567"/>
      <c r="D54" s="567"/>
      <c r="E54" s="567"/>
    </row>
    <row r="55" ht="15.75" hidden="1" customHeight="1">
      <c r="B55" s="552" t="s">
        <v>1566</v>
      </c>
      <c r="C55" s="553"/>
      <c r="D55" s="553"/>
      <c r="E55" s="132"/>
    </row>
    <row r="56" ht="15.75" hidden="1" customHeight="1">
      <c r="B56" s="554" t="s">
        <v>1321</v>
      </c>
      <c r="C56" s="554" t="s">
        <v>1323</v>
      </c>
      <c r="D56" s="554" t="s">
        <v>1324</v>
      </c>
      <c r="E56" s="554" t="s">
        <v>1524</v>
      </c>
    </row>
    <row r="57" ht="15.75" hidden="1" customHeight="1">
      <c r="B57" s="560">
        <v>46083.0</v>
      </c>
      <c r="C57" s="556" t="s">
        <v>1567</v>
      </c>
      <c r="D57" s="558">
        <v>2150.0</v>
      </c>
      <c r="E57" s="556" t="s">
        <v>1546</v>
      </c>
    </row>
    <row r="58" ht="15.75" hidden="1" customHeight="1">
      <c r="B58" s="557"/>
      <c r="C58" s="556" t="s">
        <v>1559</v>
      </c>
      <c r="D58" s="558">
        <v>380.0</v>
      </c>
      <c r="E58" s="556" t="s">
        <v>1546</v>
      </c>
    </row>
    <row r="59" ht="15.75" hidden="1" customHeight="1">
      <c r="B59" s="557"/>
      <c r="C59" s="556" t="s">
        <v>1562</v>
      </c>
      <c r="D59" s="558">
        <v>1742.0</v>
      </c>
      <c r="E59" s="556" t="s">
        <v>1540</v>
      </c>
    </row>
    <row r="60" ht="15.75" hidden="1" customHeight="1">
      <c r="B60" s="557"/>
      <c r="C60" s="556" t="s">
        <v>1568</v>
      </c>
      <c r="D60" s="558">
        <v>630.0</v>
      </c>
      <c r="E60" s="556"/>
    </row>
    <row r="61" ht="15.75" hidden="1" customHeight="1">
      <c r="B61" s="557"/>
      <c r="C61" s="556" t="s">
        <v>1563</v>
      </c>
      <c r="D61" s="558">
        <v>913.0</v>
      </c>
      <c r="E61" s="556" t="s">
        <v>1530</v>
      </c>
    </row>
    <row r="62" ht="15.75" hidden="1" customHeight="1">
      <c r="B62" s="557"/>
      <c r="C62" s="556" t="s">
        <v>1569</v>
      </c>
      <c r="D62" s="558">
        <v>642.0</v>
      </c>
      <c r="E62" s="556" t="s">
        <v>1527</v>
      </c>
    </row>
    <row r="63" ht="15.75" hidden="1" customHeight="1">
      <c r="B63" s="557"/>
      <c r="C63" s="556" t="s">
        <v>1570</v>
      </c>
      <c r="D63" s="558">
        <v>306.0</v>
      </c>
      <c r="E63" s="556" t="s">
        <v>1527</v>
      </c>
    </row>
    <row r="64" ht="15.75" hidden="1" customHeight="1">
      <c r="B64" s="557"/>
      <c r="C64" s="556" t="s">
        <v>1571</v>
      </c>
      <c r="D64" s="558">
        <v>648.0</v>
      </c>
      <c r="E64" s="556" t="s">
        <v>1530</v>
      </c>
    </row>
    <row r="65" ht="15.75" hidden="1" customHeight="1">
      <c r="B65" s="560">
        <v>46084.0</v>
      </c>
      <c r="C65" s="556" t="s">
        <v>1572</v>
      </c>
      <c r="D65" s="558">
        <v>505.0</v>
      </c>
      <c r="E65" s="556" t="s">
        <v>1546</v>
      </c>
    </row>
    <row r="66" ht="15.75" hidden="1" customHeight="1">
      <c r="B66" s="557"/>
      <c r="C66" s="556" t="s">
        <v>1573</v>
      </c>
      <c r="D66" s="558">
        <v>296.0</v>
      </c>
      <c r="E66" s="556" t="s">
        <v>1546</v>
      </c>
    </row>
    <row r="67" ht="15.75" hidden="1" customHeight="1">
      <c r="B67" s="557"/>
      <c r="C67" s="556" t="s">
        <v>1570</v>
      </c>
      <c r="D67" s="558">
        <v>1476.0</v>
      </c>
      <c r="E67" s="556" t="s">
        <v>1527</v>
      </c>
    </row>
    <row r="68" ht="15.75" hidden="1" customHeight="1">
      <c r="B68" s="557"/>
      <c r="C68" s="556" t="s">
        <v>1568</v>
      </c>
      <c r="D68" s="558">
        <v>1470.0</v>
      </c>
      <c r="E68" s="556" t="s">
        <v>1540</v>
      </c>
    </row>
    <row r="69" ht="15.75" hidden="1" customHeight="1">
      <c r="B69" s="557"/>
      <c r="C69" s="556" t="s">
        <v>1574</v>
      </c>
      <c r="D69" s="558">
        <v>2100.0</v>
      </c>
      <c r="E69" s="556" t="s">
        <v>1540</v>
      </c>
    </row>
    <row r="70" ht="15.75" hidden="1" customHeight="1">
      <c r="B70" s="557"/>
      <c r="C70" s="556" t="s">
        <v>1571</v>
      </c>
      <c r="D70" s="558">
        <v>1260.0</v>
      </c>
      <c r="E70" s="556" t="s">
        <v>1530</v>
      </c>
    </row>
    <row r="71" ht="15.75" hidden="1" customHeight="1">
      <c r="B71" s="560"/>
      <c r="C71" s="556" t="s">
        <v>1575</v>
      </c>
      <c r="D71" s="558">
        <v>200.0</v>
      </c>
      <c r="E71" s="556" t="s">
        <v>1530</v>
      </c>
    </row>
    <row r="72" ht="15.75" hidden="1" customHeight="1">
      <c r="B72" s="560">
        <v>46085.0</v>
      </c>
      <c r="C72" s="556" t="s">
        <v>1576</v>
      </c>
      <c r="D72" s="558">
        <v>508.0</v>
      </c>
      <c r="E72" s="556" t="s">
        <v>1546</v>
      </c>
    </row>
    <row r="73" ht="15.75" hidden="1" customHeight="1">
      <c r="B73" s="557"/>
      <c r="C73" s="556" t="s">
        <v>1577</v>
      </c>
      <c r="D73" s="558">
        <v>1000.0</v>
      </c>
      <c r="E73" s="556" t="s">
        <v>1546</v>
      </c>
    </row>
    <row r="74" ht="15.75" hidden="1" customHeight="1">
      <c r="B74" s="557"/>
      <c r="C74" s="556" t="s">
        <v>1578</v>
      </c>
      <c r="D74" s="558">
        <v>532.0</v>
      </c>
      <c r="E74" s="556" t="s">
        <v>1540</v>
      </c>
    </row>
    <row r="75" ht="15.75" hidden="1" customHeight="1">
      <c r="B75" s="557"/>
      <c r="C75" s="556" t="s">
        <v>1575</v>
      </c>
      <c r="D75" s="558">
        <v>2685.0</v>
      </c>
      <c r="E75" s="556" t="s">
        <v>1530</v>
      </c>
    </row>
    <row r="76" ht="15.75" hidden="1" customHeight="1">
      <c r="B76" s="557"/>
      <c r="C76" s="556" t="s">
        <v>1570</v>
      </c>
      <c r="D76" s="558">
        <v>218.0</v>
      </c>
      <c r="E76" s="556" t="s">
        <v>1527</v>
      </c>
    </row>
    <row r="77" ht="15.75" hidden="1" customHeight="1">
      <c r="B77" s="557"/>
      <c r="C77" s="556" t="s">
        <v>1579</v>
      </c>
      <c r="D77" s="558">
        <v>500.0</v>
      </c>
      <c r="E77" s="556" t="s">
        <v>1527</v>
      </c>
    </row>
    <row r="78" ht="15.75" hidden="1" customHeight="1">
      <c r="B78" s="557"/>
      <c r="C78" s="556" t="s">
        <v>1580</v>
      </c>
      <c r="D78" s="558">
        <v>90.0</v>
      </c>
      <c r="E78" s="556" t="s">
        <v>1527</v>
      </c>
    </row>
    <row r="79" ht="15.75" hidden="1" customHeight="1">
      <c r="B79" s="560">
        <v>46086.0</v>
      </c>
      <c r="C79" s="556" t="s">
        <v>1581</v>
      </c>
      <c r="D79" s="558">
        <v>2000.0</v>
      </c>
      <c r="E79" s="556" t="s">
        <v>1546</v>
      </c>
    </row>
    <row r="80" ht="15.75" hidden="1" customHeight="1">
      <c r="B80" s="560"/>
      <c r="C80" s="556" t="s">
        <v>1580</v>
      </c>
      <c r="D80" s="558">
        <v>230.0</v>
      </c>
      <c r="E80" s="556" t="s">
        <v>1527</v>
      </c>
    </row>
    <row r="81" ht="15.75" hidden="1" customHeight="1">
      <c r="B81" s="560"/>
      <c r="C81" s="556" t="s">
        <v>1582</v>
      </c>
      <c r="D81" s="558">
        <v>350.0</v>
      </c>
      <c r="E81" s="556" t="s">
        <v>1527</v>
      </c>
    </row>
    <row r="82" ht="15.75" hidden="1" customHeight="1">
      <c r="B82" s="560"/>
      <c r="C82" s="556" t="s">
        <v>725</v>
      </c>
      <c r="D82" s="558">
        <v>2889.0</v>
      </c>
      <c r="E82" s="556" t="s">
        <v>1530</v>
      </c>
    </row>
    <row r="83" ht="15.75" hidden="1" customHeight="1">
      <c r="B83" s="560"/>
      <c r="C83" s="556" t="s">
        <v>1582</v>
      </c>
      <c r="D83" s="558">
        <v>675.0</v>
      </c>
      <c r="E83" s="556" t="s">
        <v>1540</v>
      </c>
    </row>
    <row r="84" ht="15.75" hidden="1" customHeight="1">
      <c r="B84" s="560">
        <v>46087.0</v>
      </c>
      <c r="C84" s="556" t="s">
        <v>1561</v>
      </c>
      <c r="D84" s="558">
        <v>350.0</v>
      </c>
      <c r="E84" s="556" t="s">
        <v>1546</v>
      </c>
    </row>
    <row r="85" ht="15.75" hidden="1" customHeight="1">
      <c r="B85" s="560"/>
      <c r="C85" s="556" t="s">
        <v>1583</v>
      </c>
      <c r="D85" s="558">
        <v>1635.0</v>
      </c>
      <c r="E85" s="556" t="s">
        <v>1540</v>
      </c>
    </row>
    <row r="86" ht="15.75" hidden="1" customHeight="1">
      <c r="B86" s="560"/>
      <c r="C86" s="556" t="s">
        <v>1584</v>
      </c>
      <c r="D86" s="558">
        <v>220.0</v>
      </c>
      <c r="E86" s="556" t="s">
        <v>1527</v>
      </c>
    </row>
    <row r="87" ht="15.75" hidden="1" customHeight="1">
      <c r="B87" s="560"/>
      <c r="C87" s="556" t="s">
        <v>1585</v>
      </c>
      <c r="D87" s="558">
        <v>336.0</v>
      </c>
      <c r="E87" s="556" t="s">
        <v>1527</v>
      </c>
    </row>
    <row r="88" ht="15.75" hidden="1" customHeight="1">
      <c r="B88" s="560">
        <v>46090.0</v>
      </c>
      <c r="C88" s="556" t="s">
        <v>1586</v>
      </c>
      <c r="D88" s="558">
        <v>571.0</v>
      </c>
      <c r="E88" s="556" t="s">
        <v>1546</v>
      </c>
    </row>
    <row r="89" ht="15.75" hidden="1" customHeight="1">
      <c r="B89" s="560"/>
      <c r="C89" s="556" t="s">
        <v>1585</v>
      </c>
      <c r="D89" s="558">
        <v>667.0</v>
      </c>
      <c r="E89" s="556" t="s">
        <v>1527</v>
      </c>
    </row>
    <row r="90" ht="15.75" hidden="1" customHeight="1">
      <c r="B90" s="560"/>
      <c r="C90" s="556" t="s">
        <v>1587</v>
      </c>
      <c r="D90" s="558">
        <v>300.0</v>
      </c>
      <c r="E90" s="556" t="s">
        <v>1530</v>
      </c>
    </row>
    <row r="91" ht="15.75" hidden="1" customHeight="1">
      <c r="B91" s="560"/>
      <c r="C91" s="556" t="s">
        <v>1583</v>
      </c>
      <c r="D91" s="558">
        <v>1445.0</v>
      </c>
      <c r="E91" s="556" t="s">
        <v>1540</v>
      </c>
    </row>
    <row r="92" ht="15.75" hidden="1" customHeight="1">
      <c r="B92" s="560">
        <v>46091.0</v>
      </c>
      <c r="C92" s="556" t="s">
        <v>1588</v>
      </c>
      <c r="D92" s="558">
        <v>1050.0</v>
      </c>
      <c r="E92" s="556" t="s">
        <v>1546</v>
      </c>
    </row>
    <row r="93" ht="15.75" hidden="1" customHeight="1">
      <c r="B93" s="557"/>
      <c r="C93" s="556" t="s">
        <v>1589</v>
      </c>
      <c r="D93" s="558">
        <v>349.0</v>
      </c>
      <c r="E93" s="556" t="s">
        <v>1546</v>
      </c>
    </row>
    <row r="94" ht="15.75" hidden="1" customHeight="1">
      <c r="B94" s="560"/>
      <c r="C94" s="556" t="s">
        <v>1590</v>
      </c>
      <c r="D94" s="558">
        <v>1800.0</v>
      </c>
      <c r="E94" s="556" t="s">
        <v>1530</v>
      </c>
    </row>
    <row r="95" ht="15.75" hidden="1" customHeight="1">
      <c r="B95" s="560"/>
      <c r="C95" s="556" t="s">
        <v>1587</v>
      </c>
      <c r="D95" s="558">
        <v>204.0</v>
      </c>
      <c r="E95" s="556" t="s">
        <v>1527</v>
      </c>
    </row>
    <row r="96" ht="15.75" hidden="1" customHeight="1">
      <c r="B96" s="560"/>
      <c r="C96" s="556" t="s">
        <v>1591</v>
      </c>
      <c r="D96" s="558">
        <v>2015.0</v>
      </c>
      <c r="E96" s="556" t="s">
        <v>1527</v>
      </c>
    </row>
    <row r="97" ht="15.75" hidden="1" customHeight="1">
      <c r="B97" s="560"/>
      <c r="C97" s="556" t="s">
        <v>1592</v>
      </c>
      <c r="D97" s="558">
        <v>490.0</v>
      </c>
      <c r="E97" s="556" t="s">
        <v>1540</v>
      </c>
    </row>
    <row r="98" ht="15.75" hidden="1" customHeight="1">
      <c r="B98" s="560">
        <v>46092.0</v>
      </c>
      <c r="C98" s="556" t="s">
        <v>1593</v>
      </c>
      <c r="D98" s="558">
        <v>498.0</v>
      </c>
      <c r="E98" s="556" t="s">
        <v>1546</v>
      </c>
    </row>
    <row r="99" ht="15.75" hidden="1" customHeight="1">
      <c r="B99" s="557"/>
      <c r="C99" s="556" t="s">
        <v>1594</v>
      </c>
      <c r="D99" s="558">
        <v>483.0</v>
      </c>
      <c r="E99" s="556" t="s">
        <v>1546</v>
      </c>
    </row>
    <row r="100" ht="15.75" hidden="1" customHeight="1">
      <c r="B100" s="560"/>
      <c r="C100" s="556" t="s">
        <v>1590</v>
      </c>
      <c r="D100" s="558">
        <v>1214.0</v>
      </c>
      <c r="E100" s="556" t="s">
        <v>1530</v>
      </c>
    </row>
    <row r="101" ht="15.75" hidden="1" customHeight="1">
      <c r="B101" s="560"/>
      <c r="C101" s="556" t="s">
        <v>1595</v>
      </c>
      <c r="D101" s="558">
        <v>384.0</v>
      </c>
      <c r="E101" s="556" t="s">
        <v>1527</v>
      </c>
    </row>
    <row r="102" ht="15.75" hidden="1" customHeight="1">
      <c r="B102" s="560"/>
      <c r="C102" s="568" t="s">
        <v>1596</v>
      </c>
      <c r="D102" s="558">
        <v>106.0</v>
      </c>
      <c r="E102" s="556" t="s">
        <v>1527</v>
      </c>
    </row>
    <row r="103" ht="15.75" hidden="1" customHeight="1">
      <c r="B103" s="560"/>
      <c r="C103" s="556" t="s">
        <v>1597</v>
      </c>
      <c r="D103" s="558">
        <v>556.0</v>
      </c>
      <c r="E103" s="556" t="s">
        <v>1540</v>
      </c>
    </row>
    <row r="104" ht="15.75" hidden="1" customHeight="1">
      <c r="B104" s="560">
        <v>46093.0</v>
      </c>
      <c r="C104" s="556" t="s">
        <v>1598</v>
      </c>
      <c r="D104" s="558">
        <v>312.0</v>
      </c>
      <c r="E104" s="556" t="s">
        <v>1546</v>
      </c>
    </row>
    <row r="105" ht="15.75" hidden="1" customHeight="1">
      <c r="B105" s="557"/>
      <c r="C105" s="556" t="s">
        <v>1599</v>
      </c>
      <c r="D105" s="558">
        <v>239.0</v>
      </c>
      <c r="E105" s="556" t="s">
        <v>1546</v>
      </c>
    </row>
    <row r="106" ht="15.75" hidden="1" customHeight="1">
      <c r="B106" s="557"/>
      <c r="C106" s="556" t="s">
        <v>1600</v>
      </c>
      <c r="D106" s="558">
        <v>265.0</v>
      </c>
      <c r="E106" s="556" t="s">
        <v>1546</v>
      </c>
    </row>
    <row r="107" ht="15.75" hidden="1" customHeight="1">
      <c r="B107" s="557"/>
      <c r="C107" s="556" t="s">
        <v>1595</v>
      </c>
      <c r="D107" s="558">
        <v>618.0</v>
      </c>
      <c r="E107" s="556" t="s">
        <v>1527</v>
      </c>
    </row>
    <row r="108" ht="15.75" hidden="1" customHeight="1">
      <c r="B108" s="557"/>
      <c r="C108" s="556" t="s">
        <v>1601</v>
      </c>
      <c r="D108" s="558">
        <v>923.0</v>
      </c>
      <c r="E108" s="556" t="s">
        <v>1527</v>
      </c>
    </row>
    <row r="109" ht="15.75" hidden="1" customHeight="1">
      <c r="B109" s="557"/>
      <c r="C109" s="556" t="s">
        <v>1602</v>
      </c>
      <c r="D109" s="558">
        <v>364.0</v>
      </c>
      <c r="E109" s="556" t="s">
        <v>1530</v>
      </c>
    </row>
    <row r="110" ht="15.75" hidden="1" customHeight="1">
      <c r="B110" s="557"/>
      <c r="C110" s="556" t="s">
        <v>1603</v>
      </c>
      <c r="D110" s="558">
        <v>316.0</v>
      </c>
      <c r="E110" s="556" t="s">
        <v>1546</v>
      </c>
    </row>
    <row r="111" ht="15.75" hidden="1" customHeight="1">
      <c r="B111" s="569">
        <v>46094.0</v>
      </c>
      <c r="C111" s="556" t="s">
        <v>1604</v>
      </c>
      <c r="D111" s="558">
        <v>702.0</v>
      </c>
      <c r="E111" s="556" t="s">
        <v>1527</v>
      </c>
    </row>
    <row r="112" ht="15.75" hidden="1" customHeight="1">
      <c r="B112" s="557"/>
      <c r="C112" s="556" t="s">
        <v>1604</v>
      </c>
      <c r="D112" s="558">
        <v>1170.0</v>
      </c>
      <c r="E112" s="556" t="s">
        <v>1530</v>
      </c>
    </row>
    <row r="113" ht="15.75" hidden="1" customHeight="1">
      <c r="B113" s="557"/>
      <c r="C113" s="556" t="s">
        <v>1605</v>
      </c>
      <c r="D113" s="558">
        <v>250.0</v>
      </c>
      <c r="E113" s="556" t="s">
        <v>1527</v>
      </c>
    </row>
    <row r="114" ht="15.75" hidden="1" customHeight="1">
      <c r="B114" s="557"/>
      <c r="C114" s="556" t="s">
        <v>1606</v>
      </c>
      <c r="D114" s="558">
        <v>272.0</v>
      </c>
      <c r="E114" s="556" t="s">
        <v>1530</v>
      </c>
    </row>
    <row r="115" ht="15.75" hidden="1" customHeight="1">
      <c r="B115" s="557"/>
      <c r="C115" s="556" t="s">
        <v>1607</v>
      </c>
      <c r="D115" s="558">
        <v>300.0</v>
      </c>
      <c r="E115" s="556" t="s">
        <v>1540</v>
      </c>
    </row>
    <row r="116" ht="15.75" hidden="1" customHeight="1">
      <c r="B116" s="560">
        <v>46097.0</v>
      </c>
      <c r="C116" s="556" t="s">
        <v>1603</v>
      </c>
      <c r="D116" s="558">
        <v>239.0</v>
      </c>
      <c r="E116" s="556" t="s">
        <v>1546</v>
      </c>
    </row>
    <row r="117" ht="15.75" hidden="1" customHeight="1">
      <c r="B117" s="557"/>
      <c r="C117" s="556" t="s">
        <v>1608</v>
      </c>
      <c r="D117" s="558">
        <v>2002.0</v>
      </c>
      <c r="E117" s="556" t="s">
        <v>1546</v>
      </c>
    </row>
    <row r="118" ht="15.75" hidden="1" customHeight="1">
      <c r="B118" s="557"/>
      <c r="C118" s="556" t="s">
        <v>1609</v>
      </c>
      <c r="D118" s="558">
        <v>1004.0</v>
      </c>
      <c r="E118" s="556" t="s">
        <v>1540</v>
      </c>
    </row>
    <row r="119" ht="15.75" hidden="1" customHeight="1">
      <c r="B119" s="557"/>
      <c r="C119" s="556" t="s">
        <v>1610</v>
      </c>
      <c r="D119" s="558">
        <v>397.0</v>
      </c>
      <c r="E119" s="556" t="s">
        <v>1527</v>
      </c>
    </row>
    <row r="120" ht="15.75" hidden="1" customHeight="1">
      <c r="B120" s="557"/>
      <c r="C120" s="556" t="s">
        <v>1611</v>
      </c>
      <c r="D120" s="558">
        <v>200.0</v>
      </c>
      <c r="E120" s="556" t="s">
        <v>1527</v>
      </c>
    </row>
    <row r="121" ht="15.75" hidden="1" customHeight="1">
      <c r="B121" s="557"/>
      <c r="C121" s="556" t="s">
        <v>1604</v>
      </c>
      <c r="D121" s="558">
        <v>1638.0</v>
      </c>
      <c r="E121" s="556" t="s">
        <v>1530</v>
      </c>
    </row>
    <row r="122" ht="15.75" hidden="1" customHeight="1">
      <c r="B122" s="557"/>
      <c r="C122" s="556" t="s">
        <v>1612</v>
      </c>
      <c r="D122" s="558">
        <v>225.0</v>
      </c>
      <c r="E122" s="556" t="s">
        <v>1540</v>
      </c>
    </row>
    <row r="123" ht="15.75" hidden="1" customHeight="1">
      <c r="B123" s="557"/>
      <c r="C123" s="556" t="s">
        <v>1613</v>
      </c>
      <c r="D123" s="558">
        <v>497.0</v>
      </c>
      <c r="E123" s="556" t="s">
        <v>1546</v>
      </c>
    </row>
    <row r="124" ht="15.75" hidden="1" customHeight="1">
      <c r="B124" s="557"/>
      <c r="C124" s="556" t="s">
        <v>1614</v>
      </c>
      <c r="D124" s="558">
        <v>498.0</v>
      </c>
      <c r="E124" s="556" t="s">
        <v>1546</v>
      </c>
    </row>
    <row r="125" ht="15.75" hidden="1" customHeight="1">
      <c r="B125" s="560">
        <v>46098.0</v>
      </c>
      <c r="C125" s="556" t="s">
        <v>1615</v>
      </c>
      <c r="D125" s="558">
        <v>202.0</v>
      </c>
      <c r="E125" s="556" t="s">
        <v>1527</v>
      </c>
    </row>
    <row r="126" ht="15.75" hidden="1" customHeight="1">
      <c r="B126" s="557"/>
      <c r="C126" s="556" t="s">
        <v>1616</v>
      </c>
      <c r="D126" s="558">
        <v>214.0</v>
      </c>
      <c r="E126" s="556" t="s">
        <v>1527</v>
      </c>
    </row>
    <row r="127" ht="15.75" hidden="1" customHeight="1">
      <c r="B127" s="557"/>
      <c r="C127" s="556" t="s">
        <v>1604</v>
      </c>
      <c r="D127" s="558">
        <v>2288.0</v>
      </c>
      <c r="E127" s="556" t="s">
        <v>1530</v>
      </c>
    </row>
    <row r="128" ht="15.75" hidden="1" customHeight="1">
      <c r="B128" s="557"/>
      <c r="C128" s="556" t="s">
        <v>1612</v>
      </c>
      <c r="D128" s="558">
        <v>92.0</v>
      </c>
      <c r="E128" s="556" t="s">
        <v>1540</v>
      </c>
    </row>
    <row r="129" ht="15.75" hidden="1" customHeight="1">
      <c r="B129" s="557"/>
      <c r="C129" s="556" t="s">
        <v>1617</v>
      </c>
      <c r="D129" s="558">
        <v>999.0</v>
      </c>
      <c r="E129" s="556" t="s">
        <v>1540</v>
      </c>
    </row>
    <row r="130" ht="15.75" hidden="1" customHeight="1">
      <c r="B130" s="557"/>
      <c r="C130" s="556" t="s">
        <v>1618</v>
      </c>
      <c r="D130" s="558">
        <v>449.0</v>
      </c>
      <c r="E130" s="556" t="s">
        <v>1546</v>
      </c>
    </row>
    <row r="131" ht="15.75" hidden="1" customHeight="1">
      <c r="B131" s="557"/>
      <c r="C131" s="556" t="s">
        <v>1619</v>
      </c>
      <c r="D131" s="558">
        <v>1506.0</v>
      </c>
      <c r="E131" s="556" t="s">
        <v>1546</v>
      </c>
    </row>
    <row r="132" ht="15.75" hidden="1" customHeight="1">
      <c r="B132" s="557"/>
      <c r="C132" s="556" t="s">
        <v>1620</v>
      </c>
      <c r="D132" s="558">
        <v>250.0</v>
      </c>
      <c r="E132" s="556" t="s">
        <v>1546</v>
      </c>
    </row>
    <row r="133" ht="15.75" hidden="1" customHeight="1">
      <c r="B133" s="557"/>
      <c r="C133" s="556" t="s">
        <v>1621</v>
      </c>
      <c r="D133" s="558">
        <v>455.0</v>
      </c>
      <c r="E133" s="556" t="s">
        <v>1527</v>
      </c>
    </row>
    <row r="134" ht="15.75" hidden="1" customHeight="1">
      <c r="B134" s="560">
        <v>46099.0</v>
      </c>
      <c r="C134" s="556" t="s">
        <v>1620</v>
      </c>
      <c r="D134" s="558">
        <v>267.0</v>
      </c>
      <c r="E134" s="556" t="s">
        <v>1546</v>
      </c>
    </row>
    <row r="135" ht="15.75" hidden="1" customHeight="1">
      <c r="B135" s="557"/>
      <c r="C135" s="556" t="s">
        <v>1622</v>
      </c>
      <c r="D135" s="558">
        <v>359.0</v>
      </c>
      <c r="E135" s="556" t="s">
        <v>1546</v>
      </c>
    </row>
    <row r="136" ht="15.75" hidden="1" customHeight="1">
      <c r="B136" s="557"/>
      <c r="C136" s="556" t="s">
        <v>1623</v>
      </c>
      <c r="D136" s="558">
        <v>256.0</v>
      </c>
      <c r="E136" s="556" t="s">
        <v>1546</v>
      </c>
    </row>
    <row r="137" ht="15.75" hidden="1" customHeight="1">
      <c r="B137" s="560"/>
      <c r="C137" s="556" t="s">
        <v>1624</v>
      </c>
      <c r="D137" s="558">
        <v>1200.0</v>
      </c>
      <c r="E137" s="556" t="s">
        <v>1540</v>
      </c>
    </row>
    <row r="138" ht="15.75" hidden="1" customHeight="1">
      <c r="B138" s="560"/>
      <c r="C138" s="556" t="s">
        <v>1621</v>
      </c>
      <c r="D138" s="558">
        <v>630.0</v>
      </c>
      <c r="E138" s="556" t="s">
        <v>1527</v>
      </c>
    </row>
    <row r="139" ht="15.75" hidden="1" customHeight="1">
      <c r="B139" s="560"/>
      <c r="C139" s="556" t="s">
        <v>1625</v>
      </c>
      <c r="D139" s="558">
        <v>1989.0</v>
      </c>
      <c r="E139" s="556" t="s">
        <v>1530</v>
      </c>
    </row>
    <row r="140" ht="15.75" hidden="1" customHeight="1">
      <c r="B140" s="560">
        <v>46100.0</v>
      </c>
      <c r="C140" s="556" t="s">
        <v>1626</v>
      </c>
      <c r="D140" s="558">
        <v>500.0</v>
      </c>
      <c r="E140" s="556" t="s">
        <v>1546</v>
      </c>
    </row>
    <row r="141" ht="15.75" hidden="1" customHeight="1">
      <c r="B141" s="560"/>
      <c r="C141" s="556" t="s">
        <v>1624</v>
      </c>
      <c r="D141" s="558">
        <v>280.0</v>
      </c>
      <c r="E141" s="556" t="s">
        <v>1540</v>
      </c>
      <c r="G141" s="96" t="s">
        <v>1627</v>
      </c>
    </row>
    <row r="142" ht="15.75" hidden="1" customHeight="1">
      <c r="B142" s="560"/>
      <c r="C142" s="556" t="s">
        <v>1628</v>
      </c>
      <c r="D142" s="558">
        <v>3018.0</v>
      </c>
      <c r="E142" s="556" t="s">
        <v>1530</v>
      </c>
    </row>
    <row r="143" ht="15.75" hidden="1" customHeight="1">
      <c r="B143" s="560"/>
      <c r="C143" s="570" t="s">
        <v>1629</v>
      </c>
      <c r="D143" s="558">
        <v>282.0</v>
      </c>
      <c r="E143" s="556" t="s">
        <v>1530</v>
      </c>
    </row>
    <row r="144" ht="15.75" hidden="1" customHeight="1">
      <c r="B144" s="560"/>
      <c r="C144" s="570" t="s">
        <v>1630</v>
      </c>
      <c r="D144" s="558">
        <v>346.0</v>
      </c>
      <c r="E144" s="556" t="s">
        <v>1527</v>
      </c>
    </row>
    <row r="145" ht="15.75" hidden="1" customHeight="1">
      <c r="B145" s="560"/>
      <c r="C145" s="96" t="s">
        <v>1631</v>
      </c>
      <c r="D145" s="558">
        <v>151.0</v>
      </c>
      <c r="E145" s="556" t="s">
        <v>1527</v>
      </c>
    </row>
    <row r="146" ht="15.75" hidden="1" customHeight="1">
      <c r="B146" s="560">
        <v>46101.0</v>
      </c>
      <c r="C146" s="556" t="s">
        <v>1626</v>
      </c>
      <c r="D146" s="558">
        <v>1487.0</v>
      </c>
      <c r="E146" s="556" t="s">
        <v>1546</v>
      </c>
    </row>
    <row r="147" ht="15.75" hidden="1" customHeight="1">
      <c r="B147" s="557"/>
      <c r="C147" s="556" t="s">
        <v>1632</v>
      </c>
      <c r="D147" s="558">
        <v>486.0</v>
      </c>
      <c r="E147" s="556" t="s">
        <v>1527</v>
      </c>
    </row>
    <row r="148" ht="15.75" hidden="1" customHeight="1">
      <c r="B148" s="557"/>
      <c r="C148" s="556" t="s">
        <v>1633</v>
      </c>
      <c r="D148" s="558">
        <v>505.0</v>
      </c>
      <c r="E148" s="556" t="s">
        <v>1527</v>
      </c>
    </row>
    <row r="149" ht="15.75" hidden="1" customHeight="1">
      <c r="B149" s="557"/>
      <c r="C149" s="556" t="s">
        <v>1634</v>
      </c>
      <c r="D149" s="558">
        <v>3018.0</v>
      </c>
      <c r="E149" s="556" t="s">
        <v>1530</v>
      </c>
    </row>
    <row r="150" ht="15.75" hidden="1" customHeight="1">
      <c r="B150" s="557"/>
      <c r="C150" s="556" t="s">
        <v>1635</v>
      </c>
      <c r="D150" s="571"/>
      <c r="E150" s="556" t="s">
        <v>1527</v>
      </c>
    </row>
    <row r="151" ht="15.75" hidden="1" customHeight="1">
      <c r="B151" s="560">
        <v>46106.0</v>
      </c>
      <c r="C151" s="556" t="s">
        <v>1636</v>
      </c>
      <c r="D151" s="558">
        <v>504.0</v>
      </c>
      <c r="E151" s="556" t="s">
        <v>1546</v>
      </c>
    </row>
    <row r="152" ht="15.75" hidden="1" customHeight="1">
      <c r="B152" s="557"/>
      <c r="C152" s="556" t="s">
        <v>1637</v>
      </c>
      <c r="D152" s="558">
        <v>484.0</v>
      </c>
      <c r="E152" s="556" t="s">
        <v>1546</v>
      </c>
    </row>
    <row r="153" ht="15.75" hidden="1" customHeight="1">
      <c r="B153" s="557"/>
      <c r="C153" s="556" t="s">
        <v>1638</v>
      </c>
      <c r="D153" s="558">
        <v>502.0</v>
      </c>
      <c r="E153" s="556" t="s">
        <v>1546</v>
      </c>
    </row>
    <row r="154" ht="15.75" hidden="1" customHeight="1">
      <c r="B154" s="560">
        <v>46107.0</v>
      </c>
      <c r="C154" s="556" t="s">
        <v>1639</v>
      </c>
      <c r="D154" s="558">
        <v>498.0</v>
      </c>
      <c r="E154" s="556" t="s">
        <v>1546</v>
      </c>
    </row>
    <row r="155" ht="15.75" hidden="1" customHeight="1">
      <c r="B155" s="557"/>
      <c r="C155" s="556" t="s">
        <v>1640</v>
      </c>
      <c r="D155" s="558">
        <v>513.0</v>
      </c>
      <c r="E155" s="556" t="s">
        <v>1546</v>
      </c>
    </row>
    <row r="156" ht="15.75" hidden="1" customHeight="1">
      <c r="B156" s="557"/>
      <c r="C156" s="556" t="s">
        <v>1641</v>
      </c>
      <c r="D156" s="558">
        <v>531.0</v>
      </c>
      <c r="E156" s="556" t="s">
        <v>1546</v>
      </c>
    </row>
    <row r="157" ht="15.75" hidden="1" customHeight="1">
      <c r="B157" s="557"/>
      <c r="C157" s="556" t="s">
        <v>1642</v>
      </c>
      <c r="D157" s="558">
        <v>402.0</v>
      </c>
      <c r="E157" s="556" t="s">
        <v>1546</v>
      </c>
    </row>
    <row r="158" ht="15.75" hidden="1" customHeight="1">
      <c r="B158" s="560">
        <v>46108.0</v>
      </c>
      <c r="C158" s="556" t="s">
        <v>1643</v>
      </c>
      <c r="D158" s="558">
        <v>3458.0</v>
      </c>
      <c r="E158" s="556" t="s">
        <v>1546</v>
      </c>
    </row>
    <row r="159" ht="15.75" hidden="1" customHeight="1">
      <c r="B159" s="560">
        <v>46111.0</v>
      </c>
      <c r="C159" s="556" t="s">
        <v>1643</v>
      </c>
      <c r="D159" s="558">
        <v>816.0</v>
      </c>
      <c r="E159" s="556" t="s">
        <v>1546</v>
      </c>
    </row>
    <row r="160" ht="15.75" hidden="1" customHeight="1">
      <c r="B160" s="557"/>
      <c r="C160" s="556" t="s">
        <v>1644</v>
      </c>
      <c r="D160" s="558">
        <v>203.0</v>
      </c>
      <c r="E160" s="556" t="s">
        <v>1546</v>
      </c>
    </row>
    <row r="161" ht="15.75" hidden="1" customHeight="1">
      <c r="B161" s="557"/>
      <c r="C161" s="556" t="s">
        <v>1645</v>
      </c>
      <c r="D161" s="558">
        <v>527.0</v>
      </c>
      <c r="E161" s="556" t="s">
        <v>1546</v>
      </c>
    </row>
    <row r="162" ht="15.75" hidden="1" customHeight="1">
      <c r="B162" s="557"/>
      <c r="C162" s="556" t="s">
        <v>1646</v>
      </c>
      <c r="D162" s="558">
        <v>417.0</v>
      </c>
      <c r="E162" s="556" t="s">
        <v>1546</v>
      </c>
    </row>
    <row r="163" ht="15.75" hidden="1" customHeight="1">
      <c r="B163" s="560">
        <v>46112.0</v>
      </c>
      <c r="C163" s="556" t="s">
        <v>1647</v>
      </c>
      <c r="D163" s="558">
        <v>441.0</v>
      </c>
      <c r="E163" s="556" t="s">
        <v>1546</v>
      </c>
    </row>
    <row r="164" ht="15.75" hidden="1" customHeight="1">
      <c r="B164" s="557"/>
      <c r="C164" s="556" t="s">
        <v>1648</v>
      </c>
      <c r="D164" s="558">
        <v>304.0</v>
      </c>
      <c r="E164" s="556" t="s">
        <v>1546</v>
      </c>
    </row>
    <row r="165" ht="15.75" hidden="1" customHeight="1">
      <c r="B165" s="561"/>
      <c r="C165" s="562" t="s">
        <v>1649</v>
      </c>
      <c r="D165" s="563">
        <v>505.0</v>
      </c>
      <c r="E165" s="562" t="s">
        <v>1546</v>
      </c>
    </row>
    <row r="166" ht="15.75" customHeight="1">
      <c r="B166" s="572" t="s">
        <v>1650</v>
      </c>
      <c r="E166" s="572">
        <f>SUM(D57:D165)</f>
        <v>84833</v>
      </c>
    </row>
    <row r="167" ht="15.75" customHeight="1">
      <c r="B167" s="573"/>
      <c r="C167" s="573"/>
      <c r="D167" s="573"/>
      <c r="E167" s="567"/>
    </row>
    <row r="168" ht="15.75" hidden="1" customHeight="1">
      <c r="B168" s="552" t="s">
        <v>1651</v>
      </c>
      <c r="C168" s="553"/>
      <c r="D168" s="553"/>
      <c r="E168" s="132"/>
    </row>
    <row r="169" ht="15.75" hidden="1" customHeight="1">
      <c r="B169" s="554" t="s">
        <v>1321</v>
      </c>
      <c r="C169" s="554" t="s">
        <v>1323</v>
      </c>
      <c r="D169" s="554" t="s">
        <v>1324</v>
      </c>
      <c r="E169" s="554" t="s">
        <v>1524</v>
      </c>
    </row>
    <row r="170" ht="15.75" hidden="1" customHeight="1">
      <c r="B170" s="560">
        <v>46113.0</v>
      </c>
      <c r="C170" s="556" t="s">
        <v>1652</v>
      </c>
      <c r="D170" s="558">
        <v>486.0</v>
      </c>
      <c r="E170" s="556" t="s">
        <v>1546</v>
      </c>
    </row>
    <row r="171" ht="15.75" hidden="1" customHeight="1">
      <c r="B171" s="557"/>
      <c r="C171" s="556" t="s">
        <v>1653</v>
      </c>
      <c r="D171" s="558">
        <v>651.0</v>
      </c>
      <c r="E171" s="556" t="s">
        <v>1546</v>
      </c>
    </row>
    <row r="172" ht="15.75" hidden="1" customHeight="1">
      <c r="B172" s="557"/>
      <c r="C172" s="556" t="s">
        <v>863</v>
      </c>
      <c r="D172" s="558">
        <v>494.0</v>
      </c>
      <c r="E172" s="556" t="s">
        <v>1546</v>
      </c>
    </row>
    <row r="173" ht="15.75" hidden="1" customHeight="1">
      <c r="B173" s="560"/>
      <c r="C173" s="556" t="s">
        <v>1654</v>
      </c>
      <c r="D173" s="558">
        <v>118.0</v>
      </c>
      <c r="E173" s="556" t="s">
        <v>1530</v>
      </c>
    </row>
    <row r="174" ht="15.75" hidden="1" customHeight="1">
      <c r="B174" s="560"/>
      <c r="C174" s="556" t="s">
        <v>1655</v>
      </c>
      <c r="D174" s="558">
        <v>462.0</v>
      </c>
      <c r="E174" s="556" t="s">
        <v>1530</v>
      </c>
    </row>
    <row r="175" ht="15.75" hidden="1" customHeight="1">
      <c r="B175" s="560"/>
      <c r="C175" s="556" t="s">
        <v>1656</v>
      </c>
      <c r="D175" s="558">
        <v>1152.0</v>
      </c>
      <c r="E175" s="556" t="s">
        <v>1540</v>
      </c>
    </row>
    <row r="176" ht="15.75" hidden="1" customHeight="1">
      <c r="B176" s="560">
        <v>46118.0</v>
      </c>
      <c r="C176" s="556" t="s">
        <v>1657</v>
      </c>
      <c r="D176" s="558">
        <v>1000.0</v>
      </c>
      <c r="E176" s="556" t="s">
        <v>1546</v>
      </c>
    </row>
    <row r="177" ht="15.75" hidden="1" customHeight="1">
      <c r="B177" s="560"/>
      <c r="C177" s="556" t="s">
        <v>1655</v>
      </c>
      <c r="D177" s="558">
        <v>558.0</v>
      </c>
      <c r="E177" s="556" t="s">
        <v>1530</v>
      </c>
    </row>
    <row r="178" ht="15.75" hidden="1" customHeight="1">
      <c r="B178" s="560"/>
      <c r="C178" s="556" t="s">
        <v>1658</v>
      </c>
      <c r="D178" s="558">
        <v>2520.0</v>
      </c>
      <c r="E178" s="556" t="s">
        <v>1540</v>
      </c>
    </row>
    <row r="179" ht="15.75" hidden="1" customHeight="1">
      <c r="B179" s="560">
        <v>46119.0</v>
      </c>
      <c r="C179" s="556" t="s">
        <v>1657</v>
      </c>
      <c r="D179" s="558">
        <v>2000.0</v>
      </c>
      <c r="E179" s="556" t="s">
        <v>1546</v>
      </c>
    </row>
    <row r="180" ht="15.75" hidden="1" customHeight="1">
      <c r="B180" s="557"/>
      <c r="C180" s="556" t="s">
        <v>1653</v>
      </c>
      <c r="D180" s="558">
        <v>338.0</v>
      </c>
      <c r="E180" s="556" t="s">
        <v>1546</v>
      </c>
    </row>
    <row r="181" ht="15.75" hidden="1" customHeight="1">
      <c r="B181" s="560"/>
      <c r="C181" s="556" t="s">
        <v>1659</v>
      </c>
      <c r="D181" s="558">
        <v>1600.0</v>
      </c>
      <c r="E181" s="556" t="s">
        <v>1530</v>
      </c>
    </row>
    <row r="182" ht="15.75" hidden="1" customHeight="1">
      <c r="B182" s="560"/>
      <c r="C182" s="556" t="s">
        <v>1658</v>
      </c>
      <c r="D182" s="558">
        <v>2216.0</v>
      </c>
      <c r="E182" s="556" t="s">
        <v>1530</v>
      </c>
    </row>
    <row r="183" ht="15.75" hidden="1" customHeight="1">
      <c r="B183" s="560">
        <v>46120.0</v>
      </c>
      <c r="C183" s="556" t="s">
        <v>1660</v>
      </c>
      <c r="D183" s="558">
        <v>2989.0</v>
      </c>
      <c r="E183" s="556" t="s">
        <v>1546</v>
      </c>
    </row>
    <row r="184" ht="15.75" hidden="1" customHeight="1">
      <c r="B184" s="560"/>
      <c r="C184" s="556" t="s">
        <v>1659</v>
      </c>
      <c r="D184" s="558">
        <v>1399.0</v>
      </c>
      <c r="E184" s="556" t="s">
        <v>1530</v>
      </c>
    </row>
    <row r="185" ht="15.75" hidden="1" customHeight="1">
      <c r="B185" s="560"/>
      <c r="C185" s="556" t="s">
        <v>1661</v>
      </c>
      <c r="D185" s="558">
        <v>999.0</v>
      </c>
      <c r="E185" s="556" t="s">
        <v>1540</v>
      </c>
    </row>
    <row r="186" ht="15.75" hidden="1" customHeight="1">
      <c r="B186" s="560">
        <v>46121.0</v>
      </c>
      <c r="C186" s="556" t="s">
        <v>1662</v>
      </c>
      <c r="D186" s="558">
        <v>550.0</v>
      </c>
      <c r="E186" s="556" t="s">
        <v>1546</v>
      </c>
    </row>
    <row r="187" ht="15.75" hidden="1" customHeight="1">
      <c r="B187" s="560"/>
      <c r="C187" s="556" t="s">
        <v>1663</v>
      </c>
      <c r="D187" s="558">
        <v>446.0</v>
      </c>
      <c r="E187" s="556" t="s">
        <v>1530</v>
      </c>
    </row>
    <row r="188" ht="15.75" hidden="1" customHeight="1">
      <c r="B188" s="560"/>
      <c r="C188" s="556" t="s">
        <v>1661</v>
      </c>
      <c r="D188" s="558">
        <v>2811.0</v>
      </c>
      <c r="E188" s="556" t="s">
        <v>1540</v>
      </c>
    </row>
    <row r="189" ht="15.75" hidden="1" customHeight="1">
      <c r="B189" s="560"/>
      <c r="C189" s="556" t="s">
        <v>1664</v>
      </c>
      <c r="D189" s="558">
        <v>148.0</v>
      </c>
      <c r="E189" s="556" t="s">
        <v>1530</v>
      </c>
    </row>
    <row r="190" ht="15.75" hidden="1" customHeight="1">
      <c r="B190" s="560">
        <v>46122.0</v>
      </c>
      <c r="C190" s="556" t="s">
        <v>1662</v>
      </c>
      <c r="D190" s="558">
        <v>1511.0</v>
      </c>
      <c r="E190" s="556" t="s">
        <v>1546</v>
      </c>
    </row>
    <row r="191" ht="15.75" hidden="1" customHeight="1">
      <c r="B191" s="557"/>
      <c r="C191" s="556" t="s">
        <v>1665</v>
      </c>
      <c r="D191" s="558">
        <v>512.0</v>
      </c>
      <c r="E191" s="556" t="s">
        <v>1546</v>
      </c>
    </row>
    <row r="192" ht="15.75" hidden="1" customHeight="1">
      <c r="B192" s="560"/>
      <c r="C192" s="556" t="s">
        <v>1666</v>
      </c>
      <c r="D192" s="558">
        <v>1000.0</v>
      </c>
      <c r="E192" s="556" t="s">
        <v>1530</v>
      </c>
    </row>
    <row r="193" ht="15.75" hidden="1" customHeight="1">
      <c r="B193" s="560"/>
      <c r="C193" s="96" t="s">
        <v>1667</v>
      </c>
      <c r="D193" s="558">
        <v>3540.0</v>
      </c>
      <c r="E193" s="556" t="s">
        <v>1540</v>
      </c>
    </row>
    <row r="194" ht="15.75" hidden="1" customHeight="1">
      <c r="B194" s="560">
        <v>46125.0</v>
      </c>
      <c r="C194" s="556" t="s">
        <v>1668</v>
      </c>
      <c r="D194" s="558">
        <v>547.0</v>
      </c>
      <c r="E194" s="556" t="s">
        <v>1546</v>
      </c>
    </row>
    <row r="195" ht="15.75" hidden="1" customHeight="1">
      <c r="B195" s="557"/>
      <c r="C195" s="556" t="s">
        <v>1669</v>
      </c>
      <c r="D195" s="558">
        <v>1029.0</v>
      </c>
      <c r="E195" s="556" t="s">
        <v>1546</v>
      </c>
    </row>
    <row r="196" ht="15.75" hidden="1" customHeight="1">
      <c r="B196" s="560"/>
      <c r="C196" s="556" t="s">
        <v>1666</v>
      </c>
      <c r="D196" s="558">
        <v>620.0</v>
      </c>
      <c r="E196" s="556" t="s">
        <v>1530</v>
      </c>
    </row>
    <row r="197" ht="15.75" hidden="1" customHeight="1">
      <c r="B197" s="560"/>
      <c r="C197" s="96" t="s">
        <v>1667</v>
      </c>
      <c r="D197" s="558">
        <v>3500.0</v>
      </c>
      <c r="E197" s="556" t="s">
        <v>1540</v>
      </c>
    </row>
    <row r="198" ht="15.75" hidden="1" customHeight="1">
      <c r="B198" s="560">
        <v>46126.0</v>
      </c>
      <c r="C198" s="556" t="s">
        <v>1669</v>
      </c>
      <c r="D198" s="558">
        <v>1052.0</v>
      </c>
      <c r="E198" s="556" t="s">
        <v>1546</v>
      </c>
    </row>
    <row r="199" ht="15.75" hidden="1" customHeight="1">
      <c r="B199" s="557"/>
      <c r="C199" s="556" t="s">
        <v>1670</v>
      </c>
      <c r="D199" s="558">
        <v>438.0</v>
      </c>
      <c r="E199" s="556" t="s">
        <v>1546</v>
      </c>
    </row>
    <row r="200" ht="15.75" hidden="1" customHeight="1">
      <c r="B200" s="560"/>
      <c r="C200" s="96" t="s">
        <v>1662</v>
      </c>
      <c r="D200" s="558">
        <v>882.0</v>
      </c>
      <c r="E200" s="556" t="s">
        <v>1530</v>
      </c>
    </row>
    <row r="201" ht="15.75" hidden="1" customHeight="1">
      <c r="B201" s="560">
        <v>46127.0</v>
      </c>
      <c r="C201" s="556" t="s">
        <v>1671</v>
      </c>
      <c r="D201" s="558">
        <v>2114.0</v>
      </c>
      <c r="E201" s="556" t="s">
        <v>1546</v>
      </c>
    </row>
    <row r="202" ht="15.75" hidden="1" customHeight="1">
      <c r="B202" s="557"/>
      <c r="C202" s="556" t="s">
        <v>1672</v>
      </c>
      <c r="D202" s="558">
        <v>496.0</v>
      </c>
      <c r="E202" s="556" t="s">
        <v>1546</v>
      </c>
    </row>
    <row r="203" ht="15.75" hidden="1" customHeight="1">
      <c r="B203" s="560"/>
      <c r="C203" s="96" t="s">
        <v>1673</v>
      </c>
      <c r="D203" s="558">
        <v>300.0</v>
      </c>
      <c r="E203" s="556" t="s">
        <v>1540</v>
      </c>
    </row>
    <row r="204" ht="15.75" hidden="1" customHeight="1">
      <c r="B204" s="560"/>
      <c r="C204" s="96" t="s">
        <v>1662</v>
      </c>
      <c r="D204" s="558">
        <v>987.0</v>
      </c>
      <c r="E204" s="556" t="s">
        <v>1530</v>
      </c>
    </row>
    <row r="205" ht="15.75" hidden="1" customHeight="1">
      <c r="B205" s="560">
        <v>46128.0</v>
      </c>
      <c r="C205" s="556" t="s">
        <v>1674</v>
      </c>
      <c r="D205" s="558">
        <v>1989.0</v>
      </c>
      <c r="E205" s="556" t="s">
        <v>1546</v>
      </c>
    </row>
    <row r="206" ht="15.75" hidden="1" customHeight="1">
      <c r="B206" s="557"/>
      <c r="C206" s="556" t="s">
        <v>1675</v>
      </c>
      <c r="D206" s="558">
        <v>507.0</v>
      </c>
      <c r="E206" s="556" t="s">
        <v>1546</v>
      </c>
    </row>
    <row r="207" ht="15.75" hidden="1" customHeight="1">
      <c r="B207" s="560"/>
      <c r="C207" s="556" t="s">
        <v>1666</v>
      </c>
      <c r="D207" s="558">
        <v>1217.0</v>
      </c>
      <c r="E207" s="556" t="s">
        <v>1530</v>
      </c>
    </row>
    <row r="208" ht="15.75" hidden="1" customHeight="1">
      <c r="B208" s="560"/>
      <c r="C208" s="96" t="s">
        <v>1673</v>
      </c>
      <c r="D208" s="558">
        <v>4480.0</v>
      </c>
      <c r="E208" s="556" t="s">
        <v>1540</v>
      </c>
    </row>
    <row r="209" ht="15.75" hidden="1" customHeight="1">
      <c r="B209" s="560">
        <v>46129.0</v>
      </c>
      <c r="C209" s="556" t="s">
        <v>1676</v>
      </c>
      <c r="D209" s="558">
        <v>602.0</v>
      </c>
      <c r="E209" s="556" t="s">
        <v>1546</v>
      </c>
    </row>
    <row r="210" ht="15.75" hidden="1" customHeight="1">
      <c r="B210" s="557"/>
      <c r="C210" s="556" t="s">
        <v>1677</v>
      </c>
      <c r="D210" s="558">
        <v>550.0</v>
      </c>
      <c r="E210" s="556" t="s">
        <v>1546</v>
      </c>
    </row>
    <row r="211" ht="15.75" hidden="1" customHeight="1">
      <c r="B211" s="560"/>
      <c r="C211" s="96" t="s">
        <v>1673</v>
      </c>
      <c r="D211" s="558">
        <v>2378.0</v>
      </c>
      <c r="E211" s="556" t="s">
        <v>1540</v>
      </c>
    </row>
    <row r="212" ht="15.75" hidden="1" customHeight="1">
      <c r="B212" s="560"/>
      <c r="C212" s="556" t="s">
        <v>1678</v>
      </c>
      <c r="D212" s="558">
        <v>297.0</v>
      </c>
      <c r="E212" s="556" t="s">
        <v>1530</v>
      </c>
    </row>
    <row r="213" ht="15.75" hidden="1" customHeight="1">
      <c r="B213" s="560"/>
      <c r="C213" s="556" t="s">
        <v>1679</v>
      </c>
      <c r="D213" s="558">
        <v>248.0</v>
      </c>
      <c r="E213" s="556" t="s">
        <v>1530</v>
      </c>
    </row>
    <row r="214" ht="15.75" hidden="1" customHeight="1">
      <c r="B214" s="560"/>
      <c r="C214" s="556" t="s">
        <v>1680</v>
      </c>
      <c r="D214" s="558">
        <v>72.0</v>
      </c>
      <c r="E214" s="556" t="s">
        <v>1530</v>
      </c>
    </row>
    <row r="215" ht="15.75" hidden="1" customHeight="1">
      <c r="B215" s="560"/>
      <c r="C215" s="556" t="s">
        <v>1681</v>
      </c>
      <c r="D215" s="558">
        <v>340.0</v>
      </c>
      <c r="E215" s="556" t="s">
        <v>1540</v>
      </c>
    </row>
    <row r="216" ht="15.75" hidden="1" customHeight="1">
      <c r="B216" s="560">
        <v>46132.0</v>
      </c>
      <c r="C216" s="556" t="s">
        <v>1682</v>
      </c>
      <c r="D216" s="558">
        <v>522.0</v>
      </c>
      <c r="E216" s="556" t="s">
        <v>1546</v>
      </c>
    </row>
    <row r="217" ht="15.75" hidden="1" customHeight="1">
      <c r="B217" s="557"/>
      <c r="C217" s="556" t="s">
        <v>1677</v>
      </c>
      <c r="D217" s="558">
        <v>638.0</v>
      </c>
      <c r="E217" s="556" t="s">
        <v>1546</v>
      </c>
    </row>
    <row r="218" ht="15.75" hidden="1" customHeight="1">
      <c r="B218" s="557"/>
      <c r="C218" s="556" t="s">
        <v>1683</v>
      </c>
      <c r="D218" s="558">
        <v>1006.0</v>
      </c>
      <c r="E218" s="556" t="s">
        <v>1546</v>
      </c>
    </row>
    <row r="219" ht="15.75" hidden="1" customHeight="1">
      <c r="B219" s="557"/>
      <c r="C219" s="556" t="s">
        <v>1684</v>
      </c>
      <c r="D219" s="558">
        <v>550.0</v>
      </c>
      <c r="E219" s="556" t="s">
        <v>1546</v>
      </c>
    </row>
    <row r="220" ht="15.75" hidden="1" customHeight="1">
      <c r="B220" s="560"/>
      <c r="C220" s="556" t="s">
        <v>1685</v>
      </c>
      <c r="D220" s="558">
        <v>918.0</v>
      </c>
      <c r="E220" s="556" t="s">
        <v>1530</v>
      </c>
    </row>
    <row r="221" ht="15.75" hidden="1" customHeight="1">
      <c r="B221" s="560"/>
      <c r="C221" s="556" t="s">
        <v>1686</v>
      </c>
      <c r="D221" s="558">
        <v>3000.0</v>
      </c>
      <c r="E221" s="556" t="s">
        <v>1540</v>
      </c>
    </row>
    <row r="222" ht="15.75" hidden="1" customHeight="1">
      <c r="B222" s="560">
        <v>46133.0</v>
      </c>
      <c r="C222" s="556" t="s">
        <v>1684</v>
      </c>
      <c r="D222" s="558">
        <v>461.0</v>
      </c>
      <c r="E222" s="556" t="s">
        <v>1546</v>
      </c>
    </row>
    <row r="223" ht="15.75" hidden="1" customHeight="1">
      <c r="B223" s="557"/>
      <c r="C223" s="556" t="s">
        <v>1687</v>
      </c>
      <c r="D223" s="558">
        <v>765.0</v>
      </c>
      <c r="E223" s="556" t="s">
        <v>1546</v>
      </c>
    </row>
    <row r="224" ht="15.75" hidden="1" customHeight="1">
      <c r="B224" s="557"/>
      <c r="C224" s="556" t="s">
        <v>1688</v>
      </c>
      <c r="D224" s="558">
        <v>1000.0</v>
      </c>
      <c r="E224" s="556" t="s">
        <v>1546</v>
      </c>
    </row>
    <row r="225" ht="15.75" hidden="1" customHeight="1">
      <c r="B225" s="560"/>
      <c r="C225" s="556" t="s">
        <v>1681</v>
      </c>
      <c r="D225" s="558">
        <v>2820.0</v>
      </c>
      <c r="E225" s="556" t="s">
        <v>1540</v>
      </c>
    </row>
    <row r="226" ht="15.75" hidden="1" customHeight="1">
      <c r="B226" s="560"/>
      <c r="C226" s="556" t="s">
        <v>1685</v>
      </c>
      <c r="D226" s="558">
        <v>540.0</v>
      </c>
      <c r="E226" s="556" t="s">
        <v>1530</v>
      </c>
    </row>
    <row r="227" ht="15.75" hidden="1" customHeight="1">
      <c r="B227" s="560">
        <v>46134.0</v>
      </c>
      <c r="C227" s="556" t="s">
        <v>1688</v>
      </c>
      <c r="D227" s="558">
        <v>1786.0</v>
      </c>
      <c r="E227" s="556" t="s">
        <v>1546</v>
      </c>
    </row>
    <row r="228" ht="15.75" hidden="1" customHeight="1">
      <c r="B228" s="557"/>
      <c r="C228" s="556" t="s">
        <v>1689</v>
      </c>
      <c r="D228" s="558">
        <v>717.0</v>
      </c>
      <c r="E228" s="556" t="s">
        <v>1546</v>
      </c>
    </row>
    <row r="229" ht="15.75" hidden="1" customHeight="1">
      <c r="B229" s="560"/>
      <c r="C229" s="556" t="s">
        <v>1690</v>
      </c>
      <c r="D229" s="558">
        <v>982.0</v>
      </c>
      <c r="E229" s="556" t="s">
        <v>1530</v>
      </c>
    </row>
    <row r="230" ht="15.75" hidden="1" customHeight="1">
      <c r="B230" s="560"/>
      <c r="C230" s="556" t="s">
        <v>1674</v>
      </c>
      <c r="D230" s="558">
        <v>3500.0</v>
      </c>
      <c r="E230" s="556" t="s">
        <v>1540</v>
      </c>
    </row>
    <row r="231" ht="15.75" hidden="1" customHeight="1">
      <c r="B231" s="560"/>
      <c r="C231" s="556" t="s">
        <v>1691</v>
      </c>
      <c r="D231" s="558">
        <v>751.0</v>
      </c>
      <c r="E231" s="556" t="s">
        <v>1527</v>
      </c>
    </row>
    <row r="232" ht="15.75" hidden="1" customHeight="1">
      <c r="B232" s="560"/>
      <c r="C232" s="556" t="s">
        <v>1692</v>
      </c>
      <c r="D232" s="558">
        <v>261.0</v>
      </c>
      <c r="E232" s="556" t="s">
        <v>1527</v>
      </c>
    </row>
    <row r="233" ht="15.75" hidden="1" customHeight="1">
      <c r="B233" s="560">
        <v>46135.0</v>
      </c>
      <c r="C233" s="556" t="s">
        <v>1636</v>
      </c>
      <c r="D233" s="558">
        <v>504.0</v>
      </c>
      <c r="E233" s="556" t="s">
        <v>1546</v>
      </c>
    </row>
    <row r="234" ht="15.75" hidden="1" customHeight="1">
      <c r="B234" s="557"/>
      <c r="C234" s="556" t="s">
        <v>1693</v>
      </c>
      <c r="D234" s="558">
        <v>501.0</v>
      </c>
      <c r="E234" s="556" t="s">
        <v>1546</v>
      </c>
    </row>
    <row r="235" ht="15.75" hidden="1" customHeight="1">
      <c r="B235" s="557"/>
      <c r="C235" s="556" t="s">
        <v>1637</v>
      </c>
      <c r="D235" s="558">
        <v>510.0</v>
      </c>
      <c r="E235" s="556" t="s">
        <v>1546</v>
      </c>
    </row>
    <row r="236" ht="15.75" hidden="1" customHeight="1">
      <c r="B236" s="560"/>
      <c r="C236" s="556" t="s">
        <v>1674</v>
      </c>
      <c r="D236" s="558">
        <v>3500.0</v>
      </c>
      <c r="E236" s="556" t="s">
        <v>1540</v>
      </c>
    </row>
    <row r="237" ht="15.75" hidden="1" customHeight="1">
      <c r="B237" s="560"/>
      <c r="C237" s="556" t="s">
        <v>1694</v>
      </c>
      <c r="D237" s="558">
        <v>379.0</v>
      </c>
      <c r="E237" s="556" t="s">
        <v>1530</v>
      </c>
    </row>
    <row r="238" ht="15.75" hidden="1" customHeight="1">
      <c r="B238" s="560"/>
      <c r="C238" s="556" t="s">
        <v>1691</v>
      </c>
      <c r="D238" s="558">
        <v>750.0</v>
      </c>
      <c r="E238" s="556" t="s">
        <v>1527</v>
      </c>
    </row>
    <row r="239" ht="15.75" hidden="1" customHeight="1">
      <c r="B239" s="560"/>
      <c r="C239" s="556" t="s">
        <v>1692</v>
      </c>
      <c r="D239" s="558">
        <v>262.0</v>
      </c>
      <c r="E239" s="556" t="s">
        <v>1527</v>
      </c>
    </row>
    <row r="240" ht="15.75" hidden="1" customHeight="1">
      <c r="B240" s="560">
        <v>46136.0</v>
      </c>
      <c r="C240" s="556" t="s">
        <v>1682</v>
      </c>
      <c r="D240" s="558">
        <v>514.0</v>
      </c>
      <c r="E240" s="556" t="s">
        <v>1546</v>
      </c>
    </row>
    <row r="241" ht="15.75" hidden="1" customHeight="1">
      <c r="B241" s="557"/>
      <c r="C241" s="556" t="s">
        <v>1695</v>
      </c>
      <c r="D241" s="558">
        <v>497.0</v>
      </c>
      <c r="E241" s="556" t="s">
        <v>1546</v>
      </c>
    </row>
    <row r="242" ht="15.75" hidden="1" customHeight="1">
      <c r="B242" s="557"/>
      <c r="C242" s="556" t="s">
        <v>1696</v>
      </c>
      <c r="D242" s="558">
        <v>514.0</v>
      </c>
      <c r="E242" s="556" t="s">
        <v>1546</v>
      </c>
    </row>
    <row r="243" ht="15.75" hidden="1" customHeight="1">
      <c r="B243" s="560"/>
      <c r="C243" s="556" t="s">
        <v>1697</v>
      </c>
      <c r="D243" s="558">
        <v>1014.0</v>
      </c>
      <c r="E243" s="556" t="s">
        <v>1530</v>
      </c>
    </row>
    <row r="244" ht="15.75" hidden="1" customHeight="1">
      <c r="B244" s="560"/>
      <c r="C244" s="556" t="s">
        <v>1674</v>
      </c>
      <c r="D244" s="558">
        <v>3500.0</v>
      </c>
      <c r="E244" s="556" t="s">
        <v>1540</v>
      </c>
    </row>
    <row r="245" ht="15.75" hidden="1" customHeight="1">
      <c r="B245" s="560"/>
      <c r="C245" s="556" t="s">
        <v>1691</v>
      </c>
      <c r="D245" s="558">
        <v>750.0</v>
      </c>
      <c r="E245" s="556" t="s">
        <v>1527</v>
      </c>
    </row>
    <row r="246" ht="15.75" hidden="1" customHeight="1">
      <c r="B246" s="560"/>
      <c r="C246" s="556" t="s">
        <v>1692</v>
      </c>
      <c r="D246" s="558">
        <v>263.0</v>
      </c>
      <c r="E246" s="556" t="s">
        <v>1527</v>
      </c>
    </row>
    <row r="247" ht="15.75" hidden="1" customHeight="1">
      <c r="B247" s="560">
        <v>46139.0</v>
      </c>
      <c r="C247" s="556" t="s">
        <v>1698</v>
      </c>
      <c r="D247" s="558">
        <v>495.0</v>
      </c>
      <c r="E247" s="556" t="s">
        <v>1546</v>
      </c>
    </row>
    <row r="248" ht="15.75" hidden="1" customHeight="1">
      <c r="B248" s="557"/>
      <c r="C248" s="556" t="s">
        <v>1699</v>
      </c>
      <c r="D248" s="558">
        <v>506.0</v>
      </c>
      <c r="E248" s="556" t="s">
        <v>1546</v>
      </c>
    </row>
    <row r="249" ht="15.75" hidden="1" customHeight="1">
      <c r="B249" s="557"/>
      <c r="C249" s="556" t="s">
        <v>1700</v>
      </c>
      <c r="D249" s="558">
        <v>328.0</v>
      </c>
      <c r="E249" s="556" t="s">
        <v>1546</v>
      </c>
    </row>
    <row r="250" ht="15.75" hidden="1" customHeight="1">
      <c r="B250" s="557"/>
      <c r="C250" s="556" t="s">
        <v>1701</v>
      </c>
      <c r="D250" s="558">
        <v>300.0</v>
      </c>
      <c r="E250" s="556" t="s">
        <v>1546</v>
      </c>
    </row>
    <row r="251" ht="15.75" hidden="1" customHeight="1">
      <c r="B251" s="560"/>
      <c r="C251" s="556" t="s">
        <v>1702</v>
      </c>
      <c r="D251" s="558">
        <v>2994.0</v>
      </c>
      <c r="E251" s="556" t="s">
        <v>1540</v>
      </c>
    </row>
    <row r="252" ht="15.75" hidden="1" customHeight="1">
      <c r="B252" s="560"/>
      <c r="C252" s="556" t="s">
        <v>1703</v>
      </c>
      <c r="D252" s="558">
        <v>285.0</v>
      </c>
      <c r="E252" s="556" t="s">
        <v>1530</v>
      </c>
    </row>
    <row r="253" ht="15.75" hidden="1" customHeight="1">
      <c r="B253" s="560"/>
      <c r="C253" s="556" t="s">
        <v>1704</v>
      </c>
      <c r="D253" s="558">
        <v>993.0</v>
      </c>
      <c r="E253" s="556" t="s">
        <v>1527</v>
      </c>
    </row>
    <row r="254" ht="15.75" hidden="1" customHeight="1">
      <c r="B254" s="560"/>
      <c r="C254" s="568" t="s">
        <v>1705</v>
      </c>
      <c r="D254" s="574">
        <v>289.0</v>
      </c>
      <c r="E254" s="556" t="s">
        <v>1530</v>
      </c>
    </row>
    <row r="255" ht="15.75" hidden="1" customHeight="1">
      <c r="B255" s="560">
        <v>46140.0</v>
      </c>
      <c r="C255" s="556" t="s">
        <v>1701</v>
      </c>
      <c r="D255" s="558">
        <v>764.0</v>
      </c>
      <c r="E255" s="556" t="s">
        <v>1546</v>
      </c>
    </row>
    <row r="256" ht="15.75" hidden="1" customHeight="1">
      <c r="B256" s="557"/>
      <c r="C256" s="556" t="s">
        <v>1706</v>
      </c>
      <c r="D256" s="558">
        <v>309.0</v>
      </c>
      <c r="E256" s="556" t="s">
        <v>1546</v>
      </c>
    </row>
    <row r="257" ht="15.75" hidden="1" customHeight="1">
      <c r="B257" s="557"/>
      <c r="C257" s="556" t="s">
        <v>1707</v>
      </c>
      <c r="D257" s="558">
        <v>236.0</v>
      </c>
      <c r="E257" s="556" t="s">
        <v>1546</v>
      </c>
    </row>
    <row r="258" ht="15.75" hidden="1" customHeight="1">
      <c r="B258" s="560"/>
      <c r="C258" s="556" t="s">
        <v>1702</v>
      </c>
      <c r="D258" s="558">
        <v>524.0</v>
      </c>
      <c r="E258" s="556" t="s">
        <v>1540</v>
      </c>
    </row>
    <row r="259" ht="15.75" hidden="1" customHeight="1">
      <c r="B259" s="560"/>
      <c r="C259" s="568" t="s">
        <v>1708</v>
      </c>
      <c r="D259" s="574">
        <v>291.0</v>
      </c>
      <c r="E259" s="556" t="s">
        <v>1530</v>
      </c>
    </row>
    <row r="260" ht="15.75" hidden="1" customHeight="1">
      <c r="B260" s="560"/>
      <c r="C260" s="568" t="s">
        <v>1709</v>
      </c>
      <c r="D260" s="574">
        <v>216.0</v>
      </c>
      <c r="E260" s="556" t="s">
        <v>1530</v>
      </c>
    </row>
    <row r="261" ht="15.75" hidden="1" customHeight="1">
      <c r="B261" s="560"/>
      <c r="C261" s="556" t="s">
        <v>1681</v>
      </c>
      <c r="D261" s="558">
        <v>2088.0</v>
      </c>
      <c r="E261" s="556" t="s">
        <v>1540</v>
      </c>
    </row>
    <row r="262" ht="15.75" hidden="1" customHeight="1">
      <c r="B262" s="560">
        <v>46141.0</v>
      </c>
      <c r="C262" s="556" t="s">
        <v>1710</v>
      </c>
      <c r="D262" s="558">
        <v>236.0</v>
      </c>
      <c r="E262" s="556" t="s">
        <v>1546</v>
      </c>
    </row>
    <row r="263" ht="15.75" hidden="1" customHeight="1">
      <c r="B263" s="557"/>
      <c r="C263" s="556" t="s">
        <v>1711</v>
      </c>
      <c r="D263" s="558">
        <v>510.0</v>
      </c>
      <c r="E263" s="556" t="s">
        <v>1546</v>
      </c>
    </row>
    <row r="264" ht="15.75" hidden="1" customHeight="1">
      <c r="B264" s="557"/>
      <c r="C264" s="556" t="s">
        <v>1712</v>
      </c>
      <c r="D264" s="558">
        <v>1024.0</v>
      </c>
      <c r="E264" s="556" t="s">
        <v>1546</v>
      </c>
    </row>
    <row r="265" ht="15.75" hidden="1" customHeight="1">
      <c r="B265" s="560"/>
      <c r="C265" s="556" t="s">
        <v>1708</v>
      </c>
      <c r="D265" s="558">
        <v>291.0</v>
      </c>
      <c r="E265" s="556" t="s">
        <v>1530</v>
      </c>
    </row>
    <row r="266" ht="15.75" hidden="1" customHeight="1">
      <c r="B266" s="560"/>
      <c r="C266" s="556" t="s">
        <v>1709</v>
      </c>
      <c r="D266" s="558">
        <v>216.0</v>
      </c>
      <c r="E266" s="556" t="s">
        <v>1530</v>
      </c>
    </row>
    <row r="267" ht="15.75" hidden="1" customHeight="1">
      <c r="B267" s="560"/>
      <c r="C267" s="556" t="s">
        <v>1681</v>
      </c>
      <c r="D267" s="558">
        <v>2626.0</v>
      </c>
      <c r="E267" s="556" t="s">
        <v>1540</v>
      </c>
    </row>
    <row r="268" ht="15.75" hidden="1" customHeight="1">
      <c r="B268" s="560"/>
      <c r="C268" s="556" t="s">
        <v>1713</v>
      </c>
      <c r="D268" s="558">
        <v>183.0</v>
      </c>
      <c r="E268" s="556" t="s">
        <v>1540</v>
      </c>
    </row>
    <row r="269" ht="15.75" hidden="1" customHeight="1">
      <c r="B269" s="560"/>
      <c r="C269" s="556" t="s">
        <v>1714</v>
      </c>
      <c r="D269" s="558">
        <v>818.0</v>
      </c>
      <c r="E269" s="556" t="s">
        <v>1527</v>
      </c>
    </row>
    <row r="270" ht="15.75" hidden="1" customHeight="1">
      <c r="B270" s="560"/>
      <c r="C270" s="556" t="s">
        <v>1715</v>
      </c>
      <c r="D270" s="558">
        <v>3283.0</v>
      </c>
      <c r="E270" s="556" t="s">
        <v>1530</v>
      </c>
    </row>
    <row r="271" ht="15.75" hidden="1" customHeight="1">
      <c r="B271" s="560">
        <v>46142.0</v>
      </c>
      <c r="C271" s="556" t="s">
        <v>1716</v>
      </c>
      <c r="D271" s="558">
        <v>1009.0</v>
      </c>
      <c r="E271" s="556" t="s">
        <v>1546</v>
      </c>
    </row>
    <row r="272" ht="15.75" hidden="1" customHeight="1">
      <c r="B272" s="557"/>
      <c r="C272" s="556" t="s">
        <v>1717</v>
      </c>
      <c r="D272" s="558">
        <v>973.0</v>
      </c>
      <c r="E272" s="556" t="s">
        <v>1546</v>
      </c>
    </row>
    <row r="273" ht="15.75" hidden="1" customHeight="1">
      <c r="B273" s="557"/>
      <c r="C273" s="556" t="s">
        <v>1706</v>
      </c>
      <c r="D273" s="558">
        <v>191.0</v>
      </c>
      <c r="E273" s="556" t="s">
        <v>1546</v>
      </c>
    </row>
    <row r="274" ht="15.75" hidden="1" customHeight="1">
      <c r="B274" s="557"/>
      <c r="C274" s="556" t="s">
        <v>1718</v>
      </c>
      <c r="D274" s="558">
        <v>306.0</v>
      </c>
      <c r="E274" s="556" t="s">
        <v>1540</v>
      </c>
    </row>
    <row r="275" ht="15.75" hidden="1" customHeight="1">
      <c r="B275" s="557"/>
      <c r="C275" s="556" t="s">
        <v>1681</v>
      </c>
      <c r="D275" s="558">
        <v>3084.0</v>
      </c>
      <c r="E275" s="556" t="s">
        <v>1540</v>
      </c>
    </row>
    <row r="276" ht="15.75" hidden="1" customHeight="1">
      <c r="B276" s="557"/>
      <c r="C276" s="556" t="s">
        <v>1719</v>
      </c>
      <c r="D276" s="558">
        <v>2300.0</v>
      </c>
      <c r="E276" s="556" t="s">
        <v>1530</v>
      </c>
    </row>
    <row r="277" ht="15.75" customHeight="1">
      <c r="B277" s="575" t="s">
        <v>1720</v>
      </c>
      <c r="E277" s="576">
        <f>SUM(D170:D276)</f>
        <v>115488</v>
      </c>
    </row>
    <row r="278" ht="15.75" customHeight="1">
      <c r="D278" s="577"/>
    </row>
    <row r="279" ht="15.75" hidden="1" customHeight="1">
      <c r="B279" s="552" t="s">
        <v>1721</v>
      </c>
      <c r="C279" s="553"/>
      <c r="D279" s="553"/>
      <c r="E279" s="132"/>
    </row>
    <row r="280" ht="15.75" hidden="1" customHeight="1">
      <c r="B280" s="554" t="s">
        <v>1321</v>
      </c>
      <c r="C280" s="554" t="s">
        <v>1323</v>
      </c>
      <c r="D280" s="554" t="s">
        <v>1324</v>
      </c>
      <c r="E280" s="554" t="s">
        <v>1524</v>
      </c>
    </row>
    <row r="281" ht="15.75" hidden="1" customHeight="1">
      <c r="B281" s="560">
        <v>46146.0</v>
      </c>
      <c r="C281" s="556" t="s">
        <v>1722</v>
      </c>
      <c r="D281" s="558">
        <v>200.0</v>
      </c>
      <c r="E281" s="556" t="s">
        <v>1546</v>
      </c>
    </row>
    <row r="282" ht="15.75" hidden="1" customHeight="1">
      <c r="B282" s="557"/>
      <c r="C282" s="556" t="s">
        <v>1723</v>
      </c>
      <c r="D282" s="558">
        <v>942.0</v>
      </c>
      <c r="E282" s="556" t="s">
        <v>1546</v>
      </c>
    </row>
    <row r="283" ht="15.75" hidden="1" customHeight="1">
      <c r="B283" s="560"/>
      <c r="C283" s="556" t="s">
        <v>1719</v>
      </c>
      <c r="D283" s="558">
        <v>630.0</v>
      </c>
      <c r="E283" s="556" t="s">
        <v>1527</v>
      </c>
    </row>
    <row r="284" ht="15.75" hidden="1" customHeight="1">
      <c r="B284" s="560"/>
      <c r="C284" s="556" t="s">
        <v>1724</v>
      </c>
      <c r="D284" s="558">
        <v>295.0</v>
      </c>
      <c r="E284" s="556" t="s">
        <v>1527</v>
      </c>
    </row>
    <row r="285" ht="15.75" hidden="1" customHeight="1">
      <c r="B285" s="560"/>
      <c r="C285" s="556" t="s">
        <v>1725</v>
      </c>
      <c r="D285" s="558">
        <v>205.0</v>
      </c>
      <c r="E285" s="556" t="s">
        <v>1527</v>
      </c>
    </row>
    <row r="286" ht="15.75" hidden="1" customHeight="1">
      <c r="B286" s="560"/>
      <c r="C286" s="556" t="s">
        <v>1726</v>
      </c>
      <c r="D286" s="558">
        <v>1056.0</v>
      </c>
      <c r="E286" s="556" t="s">
        <v>1530</v>
      </c>
    </row>
    <row r="287" ht="15.75" hidden="1" customHeight="1">
      <c r="B287" s="560">
        <v>46147.0</v>
      </c>
      <c r="C287" s="556" t="s">
        <v>1727</v>
      </c>
      <c r="D287" s="558">
        <v>955.0</v>
      </c>
      <c r="E287" s="556" t="s">
        <v>1546</v>
      </c>
    </row>
    <row r="288" ht="15.75" hidden="1" customHeight="1">
      <c r="B288" s="557"/>
      <c r="C288" s="556" t="s">
        <v>1728</v>
      </c>
      <c r="D288" s="558">
        <v>980.0</v>
      </c>
      <c r="E288" s="556" t="s">
        <v>1546</v>
      </c>
    </row>
    <row r="289" ht="15.75" hidden="1" customHeight="1">
      <c r="B289" s="557"/>
      <c r="C289" s="556" t="s">
        <v>1729</v>
      </c>
      <c r="D289" s="558">
        <v>519.0</v>
      </c>
      <c r="E289" s="556" t="s">
        <v>1546</v>
      </c>
    </row>
    <row r="290" ht="15.75" hidden="1" customHeight="1">
      <c r="B290" s="560"/>
      <c r="C290" s="556" t="s">
        <v>1730</v>
      </c>
      <c r="D290" s="558">
        <v>552.0</v>
      </c>
      <c r="E290" s="556" t="s">
        <v>1527</v>
      </c>
    </row>
    <row r="291" ht="15.75" hidden="1" customHeight="1">
      <c r="B291" s="560"/>
      <c r="C291" s="556" t="s">
        <v>1731</v>
      </c>
      <c r="D291" s="558">
        <v>524.0</v>
      </c>
      <c r="E291" s="556" t="s">
        <v>1540</v>
      </c>
    </row>
    <row r="292" ht="15.75" hidden="1" customHeight="1">
      <c r="B292" s="560"/>
      <c r="C292" s="556" t="s">
        <v>1726</v>
      </c>
      <c r="D292" s="558">
        <v>1456.0</v>
      </c>
      <c r="E292" s="556" t="s">
        <v>1530</v>
      </c>
    </row>
    <row r="293" ht="15.75" hidden="1" customHeight="1">
      <c r="B293" s="560"/>
      <c r="C293" s="556" t="s">
        <v>1732</v>
      </c>
      <c r="D293" s="558">
        <v>2565.0</v>
      </c>
      <c r="E293" s="556" t="s">
        <v>1527</v>
      </c>
    </row>
    <row r="294" ht="15.75" hidden="1" customHeight="1">
      <c r="B294" s="560">
        <v>46148.0</v>
      </c>
      <c r="C294" s="556" t="s">
        <v>1733</v>
      </c>
      <c r="D294" s="558">
        <v>491.0</v>
      </c>
      <c r="E294" s="556" t="s">
        <v>1546</v>
      </c>
    </row>
    <row r="295" ht="15.75" hidden="1" customHeight="1">
      <c r="B295" s="557"/>
      <c r="C295" s="556" t="s">
        <v>1734</v>
      </c>
      <c r="D295" s="558">
        <v>499.0</v>
      </c>
      <c r="E295" s="556" t="s">
        <v>1546</v>
      </c>
    </row>
    <row r="296" ht="15.75" hidden="1" customHeight="1">
      <c r="B296" s="557"/>
      <c r="C296" s="556" t="s">
        <v>1735</v>
      </c>
      <c r="D296" s="558">
        <v>511.0</v>
      </c>
      <c r="E296" s="556" t="s">
        <v>1546</v>
      </c>
    </row>
    <row r="297" ht="15.75" hidden="1" customHeight="1">
      <c r="B297" s="557"/>
      <c r="C297" s="556" t="s">
        <v>1736</v>
      </c>
      <c r="D297" s="558">
        <v>499.0</v>
      </c>
      <c r="E297" s="556" t="s">
        <v>1546</v>
      </c>
    </row>
    <row r="298" ht="15.75" hidden="1" customHeight="1">
      <c r="B298" s="560"/>
      <c r="C298" s="556" t="s">
        <v>1737</v>
      </c>
      <c r="D298" s="558">
        <v>746.0</v>
      </c>
      <c r="E298" s="556" t="s">
        <v>1530</v>
      </c>
    </row>
    <row r="299" ht="15.75" hidden="1" customHeight="1">
      <c r="B299" s="560"/>
      <c r="C299" s="556" t="s">
        <v>1738</v>
      </c>
      <c r="D299" s="558">
        <v>749.0</v>
      </c>
      <c r="E299" s="556" t="s">
        <v>1530</v>
      </c>
    </row>
    <row r="300" ht="15.75" hidden="1" customHeight="1">
      <c r="B300" s="560"/>
      <c r="C300" s="556" t="s">
        <v>1739</v>
      </c>
      <c r="D300" s="558">
        <v>534.0</v>
      </c>
      <c r="E300" s="556" t="s">
        <v>1540</v>
      </c>
    </row>
    <row r="301" ht="15.75" hidden="1" customHeight="1">
      <c r="B301" s="560"/>
      <c r="C301" s="556" t="s">
        <v>1732</v>
      </c>
      <c r="D301" s="558">
        <v>2565.0</v>
      </c>
      <c r="E301" s="556" t="s">
        <v>1527</v>
      </c>
    </row>
    <row r="302" ht="15.75" hidden="1" customHeight="1">
      <c r="B302" s="560">
        <v>46149.0</v>
      </c>
      <c r="C302" s="556" t="s">
        <v>1740</v>
      </c>
      <c r="D302" s="558">
        <v>488.0</v>
      </c>
      <c r="E302" s="556" t="s">
        <v>1546</v>
      </c>
    </row>
    <row r="303" ht="15.75" hidden="1" customHeight="1">
      <c r="B303" s="557"/>
      <c r="C303" s="556" t="s">
        <v>1741</v>
      </c>
      <c r="D303" s="558">
        <v>990.0</v>
      </c>
      <c r="E303" s="556" t="s">
        <v>1546</v>
      </c>
    </row>
    <row r="304" ht="15.75" hidden="1" customHeight="1">
      <c r="B304" s="557"/>
      <c r="C304" s="556" t="s">
        <v>1742</v>
      </c>
      <c r="D304" s="558">
        <v>1030.0</v>
      </c>
      <c r="E304" s="556" t="s">
        <v>1546</v>
      </c>
    </row>
    <row r="305" ht="15.75" hidden="1" customHeight="1">
      <c r="B305" s="557"/>
      <c r="C305" s="556" t="s">
        <v>1743</v>
      </c>
      <c r="D305" s="558">
        <v>269.0</v>
      </c>
      <c r="E305" s="556" t="s">
        <v>1546</v>
      </c>
    </row>
    <row r="306" ht="15.75" hidden="1" customHeight="1">
      <c r="B306" s="560"/>
      <c r="C306" s="556" t="s">
        <v>1732</v>
      </c>
      <c r="D306" s="558">
        <v>2565.0</v>
      </c>
      <c r="E306" s="556" t="s">
        <v>1527</v>
      </c>
    </row>
    <row r="307" ht="15.75" hidden="1" customHeight="1">
      <c r="B307" s="560"/>
      <c r="C307" s="556" t="s">
        <v>1744</v>
      </c>
      <c r="D307" s="558">
        <v>2300.0</v>
      </c>
      <c r="E307" s="556" t="s">
        <v>1540</v>
      </c>
    </row>
    <row r="308" ht="15.75" hidden="1" customHeight="1">
      <c r="B308" s="560"/>
      <c r="C308" s="556" t="s">
        <v>1745</v>
      </c>
      <c r="D308" s="558">
        <v>328.0</v>
      </c>
      <c r="E308" s="556" t="s">
        <v>1530</v>
      </c>
    </row>
    <row r="309" ht="15.75" hidden="1" customHeight="1">
      <c r="B309" s="560"/>
      <c r="C309" s="556" t="s">
        <v>1746</v>
      </c>
      <c r="D309" s="558">
        <v>310.0</v>
      </c>
      <c r="E309" s="556" t="s">
        <v>1530</v>
      </c>
    </row>
    <row r="310" ht="15.75" hidden="1" customHeight="1">
      <c r="B310" s="560">
        <v>46150.0</v>
      </c>
      <c r="C310" s="556" t="s">
        <v>1747</v>
      </c>
      <c r="D310" s="558">
        <v>1700.0</v>
      </c>
      <c r="E310" s="556" t="s">
        <v>1546</v>
      </c>
    </row>
    <row r="311" ht="15.75" hidden="1" customHeight="1">
      <c r="B311" s="560"/>
      <c r="C311" s="556" t="s">
        <v>1748</v>
      </c>
      <c r="D311" s="558">
        <v>1200.0</v>
      </c>
      <c r="E311" s="556" t="s">
        <v>1527</v>
      </c>
    </row>
    <row r="312" ht="15.75" hidden="1" customHeight="1">
      <c r="B312" s="560"/>
      <c r="C312" s="556" t="s">
        <v>1744</v>
      </c>
      <c r="D312" s="558">
        <v>1588.0</v>
      </c>
      <c r="E312" s="556" t="s">
        <v>1540</v>
      </c>
    </row>
    <row r="313" ht="15.75" hidden="1" customHeight="1">
      <c r="B313" s="560"/>
      <c r="C313" s="556" t="s">
        <v>1749</v>
      </c>
      <c r="D313" s="558">
        <v>114.0</v>
      </c>
      <c r="E313" s="556" t="s">
        <v>1530</v>
      </c>
    </row>
    <row r="314" ht="15.75" hidden="1" customHeight="1">
      <c r="B314" s="560"/>
      <c r="C314" s="556" t="s">
        <v>1750</v>
      </c>
      <c r="D314" s="558">
        <v>172.0</v>
      </c>
      <c r="E314" s="556" t="s">
        <v>1530</v>
      </c>
    </row>
    <row r="315" ht="15.75" hidden="1" customHeight="1">
      <c r="B315" s="560">
        <v>46153.0</v>
      </c>
      <c r="C315" s="556" t="s">
        <v>1747</v>
      </c>
      <c r="D315" s="558">
        <v>2026.0</v>
      </c>
      <c r="E315" s="556" t="s">
        <v>1546</v>
      </c>
    </row>
    <row r="316" ht="15.75" hidden="1" customHeight="1">
      <c r="B316" s="557"/>
      <c r="C316" s="556" t="s">
        <v>1750</v>
      </c>
      <c r="D316" s="558">
        <v>227.0</v>
      </c>
      <c r="E316" s="556" t="s">
        <v>1530</v>
      </c>
    </row>
    <row r="317" ht="15.75" hidden="1" customHeight="1">
      <c r="B317" s="557"/>
      <c r="C317" s="556" t="s">
        <v>1751</v>
      </c>
      <c r="D317" s="558">
        <v>3466.0</v>
      </c>
      <c r="E317" s="556" t="s">
        <v>1540</v>
      </c>
    </row>
    <row r="318" ht="15.75" hidden="1" customHeight="1">
      <c r="B318" s="557"/>
      <c r="C318" s="556" t="s">
        <v>1748</v>
      </c>
      <c r="D318" s="558">
        <v>3140.0</v>
      </c>
      <c r="E318" s="556" t="s">
        <v>1527</v>
      </c>
    </row>
    <row r="319" ht="15.75" hidden="1" customHeight="1">
      <c r="B319" s="557"/>
      <c r="C319" s="556" t="s">
        <v>1752</v>
      </c>
      <c r="D319" s="558">
        <v>402.0</v>
      </c>
      <c r="E319" s="556" t="s">
        <v>1530</v>
      </c>
    </row>
    <row r="320" ht="15.75" hidden="1" customHeight="1">
      <c r="B320" s="557"/>
      <c r="C320" s="556" t="s">
        <v>1753</v>
      </c>
      <c r="D320" s="558">
        <v>152.0</v>
      </c>
      <c r="E320" s="556" t="s">
        <v>1530</v>
      </c>
    </row>
    <row r="321" ht="15.75" hidden="1" customHeight="1">
      <c r="B321" s="569">
        <v>46154.0</v>
      </c>
      <c r="C321" s="556" t="s">
        <v>1754</v>
      </c>
      <c r="D321" s="558">
        <v>152.0</v>
      </c>
      <c r="E321" s="556" t="s">
        <v>1530</v>
      </c>
    </row>
    <row r="322" ht="15.75" hidden="1" customHeight="1">
      <c r="B322" s="560"/>
      <c r="C322" s="556" t="s">
        <v>1755</v>
      </c>
      <c r="D322" s="558">
        <v>1808.0</v>
      </c>
      <c r="E322" s="556" t="s">
        <v>1540</v>
      </c>
    </row>
    <row r="323" ht="15.75" hidden="1" customHeight="1">
      <c r="B323" s="560"/>
      <c r="C323" s="556" t="s">
        <v>1756</v>
      </c>
      <c r="D323" s="558">
        <v>1296.0</v>
      </c>
      <c r="E323" s="556" t="s">
        <v>1527</v>
      </c>
    </row>
    <row r="324" ht="15.75" hidden="1" customHeight="1">
      <c r="B324" s="560"/>
      <c r="C324" s="556" t="s">
        <v>1751</v>
      </c>
      <c r="D324" s="558">
        <v>700.0</v>
      </c>
      <c r="E324" s="556" t="s">
        <v>1540</v>
      </c>
    </row>
    <row r="325" ht="15.75" hidden="1" customHeight="1">
      <c r="B325" s="560"/>
      <c r="C325" s="556" t="s">
        <v>1757</v>
      </c>
      <c r="D325" s="558">
        <v>403.0</v>
      </c>
      <c r="E325" s="556" t="s">
        <v>1530</v>
      </c>
    </row>
    <row r="326" ht="15.75" hidden="1" customHeight="1">
      <c r="B326" s="560"/>
      <c r="C326" s="556" t="s">
        <v>1747</v>
      </c>
      <c r="D326" s="558">
        <v>584.0</v>
      </c>
      <c r="E326" s="556" t="s">
        <v>1546</v>
      </c>
    </row>
    <row r="327" ht="15.75" hidden="1" customHeight="1">
      <c r="B327" s="560"/>
      <c r="C327" s="556" t="s">
        <v>1758</v>
      </c>
      <c r="D327" s="558">
        <v>574.0</v>
      </c>
      <c r="E327" s="556" t="s">
        <v>1546</v>
      </c>
    </row>
    <row r="328" ht="15.75" hidden="1" customHeight="1">
      <c r="B328" s="560"/>
      <c r="C328" s="556" t="s">
        <v>1756</v>
      </c>
      <c r="D328" s="558">
        <v>576.0</v>
      </c>
      <c r="E328" s="556" t="s">
        <v>1530</v>
      </c>
    </row>
    <row r="329" ht="15.75" hidden="1" customHeight="1">
      <c r="B329" s="560">
        <v>46155.0</v>
      </c>
      <c r="C329" s="556" t="s">
        <v>1759</v>
      </c>
      <c r="D329" s="558">
        <v>493.0</v>
      </c>
      <c r="E329" s="556" t="s">
        <v>1546</v>
      </c>
    </row>
    <row r="330" ht="15.75" hidden="1" customHeight="1">
      <c r="B330" s="560"/>
      <c r="C330" s="556" t="s">
        <v>1760</v>
      </c>
      <c r="D330" s="558">
        <v>347.0</v>
      </c>
      <c r="E330" s="556" t="s">
        <v>1546</v>
      </c>
    </row>
    <row r="331" ht="15.75" hidden="1" customHeight="1">
      <c r="B331" s="560"/>
      <c r="C331" s="556" t="s">
        <v>1761</v>
      </c>
      <c r="D331" s="558">
        <v>105.0</v>
      </c>
      <c r="E331" s="556" t="s">
        <v>1527</v>
      </c>
    </row>
    <row r="332" ht="15.75" hidden="1" customHeight="1">
      <c r="B332" s="560"/>
      <c r="C332" s="556" t="s">
        <v>1762</v>
      </c>
      <c r="D332" s="558">
        <v>147.0</v>
      </c>
      <c r="E332" s="556" t="s">
        <v>1527</v>
      </c>
    </row>
    <row r="333" ht="15.75" hidden="1" customHeight="1">
      <c r="B333" s="560"/>
      <c r="C333" s="556" t="s">
        <v>1763</v>
      </c>
      <c r="D333" s="558">
        <v>2500.0</v>
      </c>
      <c r="E333" s="556" t="s">
        <v>1540</v>
      </c>
    </row>
    <row r="334" ht="15.75" hidden="1" customHeight="1">
      <c r="B334" s="560"/>
      <c r="C334" s="556" t="s">
        <v>1756</v>
      </c>
      <c r="D334" s="558">
        <v>1584.0</v>
      </c>
      <c r="E334" s="556" t="s">
        <v>1530</v>
      </c>
    </row>
    <row r="335" ht="15.75" hidden="1" customHeight="1">
      <c r="B335" s="560">
        <v>46156.0</v>
      </c>
      <c r="C335" s="556" t="s">
        <v>1710</v>
      </c>
      <c r="D335" s="558">
        <v>959.0</v>
      </c>
      <c r="E335" s="556" t="s">
        <v>1546</v>
      </c>
    </row>
    <row r="336" ht="15.75" hidden="1" customHeight="1">
      <c r="B336" s="560"/>
      <c r="C336" s="556" t="s">
        <v>1764</v>
      </c>
      <c r="D336" s="558">
        <v>322.0</v>
      </c>
      <c r="E336" s="556" t="s">
        <v>1546</v>
      </c>
    </row>
    <row r="337" ht="15.75" hidden="1" customHeight="1">
      <c r="B337" s="560"/>
      <c r="C337" s="556" t="s">
        <v>1765</v>
      </c>
      <c r="D337" s="558">
        <v>229.0</v>
      </c>
      <c r="E337" s="556" t="s">
        <v>1527</v>
      </c>
    </row>
    <row r="338" ht="15.75" hidden="1" customHeight="1">
      <c r="B338" s="560"/>
      <c r="C338" s="556" t="s">
        <v>1753</v>
      </c>
      <c r="D338" s="558">
        <v>114.0</v>
      </c>
      <c r="E338" s="556" t="s">
        <v>1527</v>
      </c>
    </row>
    <row r="339" ht="15.75" hidden="1" customHeight="1">
      <c r="B339" s="560"/>
      <c r="C339" s="556" t="s">
        <v>1756</v>
      </c>
      <c r="D339" s="558">
        <v>1539.0</v>
      </c>
      <c r="E339" s="556" t="s">
        <v>1530</v>
      </c>
    </row>
    <row r="340" ht="15.75" hidden="1" customHeight="1">
      <c r="B340" s="560"/>
      <c r="C340" s="556" t="s">
        <v>1562</v>
      </c>
      <c r="D340" s="558">
        <v>2354.0</v>
      </c>
      <c r="E340" s="556" t="s">
        <v>1540</v>
      </c>
    </row>
    <row r="341" ht="15.75" hidden="1" customHeight="1">
      <c r="B341" s="560"/>
      <c r="C341" s="556" t="s">
        <v>1750</v>
      </c>
      <c r="D341" s="558">
        <v>135.0</v>
      </c>
      <c r="E341" s="556" t="s">
        <v>1527</v>
      </c>
    </row>
    <row r="342" ht="15.75" hidden="1" customHeight="1">
      <c r="B342" s="560">
        <v>46157.0</v>
      </c>
      <c r="C342" s="556" t="s">
        <v>1562</v>
      </c>
      <c r="D342" s="558">
        <v>2650.0</v>
      </c>
      <c r="E342" s="556" t="s">
        <v>1540</v>
      </c>
    </row>
    <row r="343" ht="15.75" hidden="1" customHeight="1">
      <c r="B343" s="560"/>
      <c r="C343" s="556" t="s">
        <v>1766</v>
      </c>
      <c r="D343" s="558">
        <v>1512.0</v>
      </c>
      <c r="E343" s="556" t="s">
        <v>1530</v>
      </c>
    </row>
    <row r="344" ht="15.75" hidden="1" customHeight="1">
      <c r="B344" s="560"/>
      <c r="C344" s="556" t="s">
        <v>1767</v>
      </c>
      <c r="D344" s="558">
        <v>350.0</v>
      </c>
      <c r="E344" s="556" t="s">
        <v>1527</v>
      </c>
    </row>
    <row r="345" ht="15.75" hidden="1" customHeight="1">
      <c r="B345" s="560"/>
      <c r="C345" s="556" t="s">
        <v>1768</v>
      </c>
      <c r="D345" s="558">
        <v>140.0</v>
      </c>
      <c r="E345" s="556" t="s">
        <v>1530</v>
      </c>
    </row>
    <row r="346" ht="15.75" hidden="1" customHeight="1">
      <c r="B346" s="560"/>
      <c r="C346" s="556" t="s">
        <v>1769</v>
      </c>
      <c r="D346" s="558">
        <v>481.0</v>
      </c>
      <c r="E346" s="556" t="s">
        <v>1546</v>
      </c>
    </row>
    <row r="347" ht="15.75" hidden="1" customHeight="1">
      <c r="B347" s="560"/>
      <c r="C347" s="556" t="s">
        <v>1770</v>
      </c>
      <c r="D347" s="558">
        <v>499.0</v>
      </c>
      <c r="E347" s="556" t="s">
        <v>1546</v>
      </c>
    </row>
    <row r="348" ht="15.75" hidden="1" customHeight="1">
      <c r="B348" s="560">
        <v>46160.0</v>
      </c>
      <c r="C348" s="556" t="s">
        <v>1771</v>
      </c>
      <c r="D348" s="558">
        <v>274.0</v>
      </c>
      <c r="E348" s="556" t="s">
        <v>1546</v>
      </c>
    </row>
    <row r="349" ht="15.75" hidden="1" customHeight="1">
      <c r="B349" s="560"/>
      <c r="C349" s="556" t="s">
        <v>1772</v>
      </c>
      <c r="D349" s="558">
        <v>2000.0</v>
      </c>
      <c r="E349" s="556" t="s">
        <v>1546</v>
      </c>
    </row>
    <row r="350" ht="15.75" hidden="1" customHeight="1">
      <c r="B350" s="560"/>
      <c r="C350" s="556" t="s">
        <v>1767</v>
      </c>
      <c r="D350" s="558">
        <v>112.0</v>
      </c>
      <c r="E350" s="556" t="s">
        <v>1527</v>
      </c>
    </row>
    <row r="351" ht="15.75" hidden="1" customHeight="1">
      <c r="B351" s="560"/>
      <c r="C351" s="556" t="s">
        <v>1766</v>
      </c>
      <c r="D351" s="558">
        <v>3456.0</v>
      </c>
      <c r="E351" s="556" t="s">
        <v>1530</v>
      </c>
    </row>
    <row r="352" ht="15.75" hidden="1" customHeight="1">
      <c r="B352" s="560"/>
      <c r="C352" s="556" t="s">
        <v>1773</v>
      </c>
      <c r="D352" s="558">
        <v>1000.0</v>
      </c>
      <c r="E352" s="556" t="s">
        <v>1540</v>
      </c>
      <c r="H352" s="96"/>
    </row>
    <row r="353" ht="15.75" hidden="1" customHeight="1">
      <c r="B353" s="560"/>
      <c r="C353" s="556" t="s">
        <v>1774</v>
      </c>
      <c r="D353" s="558">
        <v>1528.0</v>
      </c>
      <c r="E353" s="556" t="s">
        <v>1540</v>
      </c>
    </row>
    <row r="354" ht="15.75" hidden="1" customHeight="1">
      <c r="B354" s="560"/>
      <c r="C354" s="556" t="s">
        <v>1750</v>
      </c>
      <c r="D354" s="558">
        <v>75.0</v>
      </c>
      <c r="E354" s="556" t="s">
        <v>1527</v>
      </c>
    </row>
    <row r="355" ht="15.75" hidden="1" customHeight="1">
      <c r="B355" s="560">
        <v>46161.0</v>
      </c>
      <c r="C355" s="556" t="s">
        <v>1766</v>
      </c>
      <c r="D355" s="558">
        <v>3456.0</v>
      </c>
      <c r="E355" s="556" t="s">
        <v>1530</v>
      </c>
    </row>
    <row r="356" ht="15.75" hidden="1" customHeight="1">
      <c r="B356" s="560"/>
      <c r="C356" s="556" t="s">
        <v>1775</v>
      </c>
      <c r="D356" s="558">
        <v>188.0</v>
      </c>
      <c r="E356" s="556" t="s">
        <v>1527</v>
      </c>
    </row>
    <row r="357" ht="15.75" hidden="1" customHeight="1">
      <c r="B357" s="560"/>
      <c r="C357" s="556" t="s">
        <v>1539</v>
      </c>
      <c r="D357" s="558">
        <v>1464.0</v>
      </c>
      <c r="E357" s="556" t="s">
        <v>1540</v>
      </c>
    </row>
    <row r="358" ht="15.75" hidden="1" customHeight="1">
      <c r="B358" s="560"/>
      <c r="C358" s="556" t="s">
        <v>1776</v>
      </c>
      <c r="D358" s="558">
        <v>298.0</v>
      </c>
      <c r="E358" s="556" t="s">
        <v>1546</v>
      </c>
    </row>
    <row r="359" ht="15.75" hidden="1" customHeight="1">
      <c r="B359" s="560"/>
      <c r="C359" s="556" t="s">
        <v>1772</v>
      </c>
      <c r="D359" s="558">
        <v>1000.0</v>
      </c>
      <c r="E359" s="556" t="s">
        <v>1546</v>
      </c>
    </row>
    <row r="360" ht="15.75" hidden="1" customHeight="1">
      <c r="B360" s="560"/>
      <c r="C360" s="556" t="s">
        <v>1777</v>
      </c>
      <c r="D360" s="558">
        <v>149.0</v>
      </c>
      <c r="E360" s="556" t="s">
        <v>1546</v>
      </c>
    </row>
    <row r="361" ht="15.75" hidden="1" customHeight="1">
      <c r="B361" s="560"/>
      <c r="C361" s="556" t="s">
        <v>1778</v>
      </c>
      <c r="D361" s="558">
        <v>288.0</v>
      </c>
      <c r="E361" s="556" t="s">
        <v>1527</v>
      </c>
    </row>
    <row r="362" ht="15.75" hidden="1" customHeight="1">
      <c r="B362" s="560"/>
      <c r="C362" s="556" t="s">
        <v>1778</v>
      </c>
      <c r="D362" s="558">
        <v>336.0</v>
      </c>
      <c r="E362" s="556" t="s">
        <v>1540</v>
      </c>
    </row>
    <row r="363" ht="15.75" hidden="1" customHeight="1">
      <c r="B363" s="560"/>
      <c r="C363" s="556" t="s">
        <v>1539</v>
      </c>
      <c r="D363" s="558">
        <v>528.0</v>
      </c>
      <c r="E363" s="556" t="s">
        <v>1527</v>
      </c>
    </row>
    <row r="364" ht="15.75" hidden="1" customHeight="1">
      <c r="B364" s="560">
        <v>46162.0</v>
      </c>
      <c r="C364" s="556" t="s">
        <v>1779</v>
      </c>
      <c r="D364" s="558">
        <v>306.0</v>
      </c>
      <c r="E364" s="556" t="s">
        <v>1546</v>
      </c>
    </row>
    <row r="365" ht="15.75" hidden="1" customHeight="1">
      <c r="B365" s="560"/>
      <c r="C365" s="556" t="s">
        <v>1780</v>
      </c>
      <c r="D365" s="558">
        <v>1210.0</v>
      </c>
      <c r="E365" s="556" t="s">
        <v>1546</v>
      </c>
    </row>
    <row r="366" ht="15.75" hidden="1" customHeight="1">
      <c r="B366" s="560"/>
      <c r="C366" s="556" t="s">
        <v>1743</v>
      </c>
      <c r="D366" s="558">
        <v>1218.0</v>
      </c>
      <c r="E366" s="556" t="s">
        <v>1546</v>
      </c>
    </row>
    <row r="367" ht="15.75" hidden="1" customHeight="1">
      <c r="B367" s="560"/>
      <c r="C367" s="556" t="s">
        <v>1778</v>
      </c>
      <c r="D367" s="558">
        <v>596.0</v>
      </c>
      <c r="E367" s="556" t="s">
        <v>1540</v>
      </c>
    </row>
    <row r="368" ht="15.75" hidden="1" customHeight="1">
      <c r="B368" s="560"/>
      <c r="C368" s="556" t="s">
        <v>1781</v>
      </c>
      <c r="D368" s="558">
        <v>1628.0</v>
      </c>
      <c r="E368" s="556" t="s">
        <v>1530</v>
      </c>
    </row>
    <row r="369" ht="15.75" hidden="1" customHeight="1">
      <c r="B369" s="560"/>
      <c r="C369" s="556" t="s">
        <v>1782</v>
      </c>
      <c r="D369" s="558">
        <v>391.0</v>
      </c>
      <c r="E369" s="556" t="s">
        <v>1527</v>
      </c>
    </row>
    <row r="370" ht="15.75" hidden="1" customHeight="1">
      <c r="B370" s="560"/>
      <c r="C370" s="556" t="s">
        <v>1783</v>
      </c>
      <c r="D370" s="558">
        <v>489.0</v>
      </c>
      <c r="E370" s="556" t="s">
        <v>1527</v>
      </c>
    </row>
    <row r="371" ht="15.75" hidden="1" customHeight="1">
      <c r="B371" s="560"/>
      <c r="C371" s="556" t="s">
        <v>1766</v>
      </c>
      <c r="D371" s="558">
        <v>1458.0</v>
      </c>
      <c r="E371" s="556" t="s">
        <v>1530</v>
      </c>
    </row>
    <row r="372" ht="15.75" hidden="1" customHeight="1">
      <c r="B372" s="569"/>
      <c r="C372" s="556" t="s">
        <v>1778</v>
      </c>
      <c r="D372" s="558">
        <v>738.0</v>
      </c>
      <c r="E372" s="556"/>
    </row>
    <row r="373" ht="15.75" hidden="1" customHeight="1">
      <c r="B373" s="569"/>
      <c r="C373" s="556" t="s">
        <v>1784</v>
      </c>
      <c r="D373" s="558">
        <v>948.0</v>
      </c>
      <c r="E373" s="556"/>
    </row>
    <row r="374" ht="15.75" hidden="1" customHeight="1">
      <c r="B374" s="569">
        <v>46163.0</v>
      </c>
      <c r="C374" s="556" t="s">
        <v>1785</v>
      </c>
      <c r="D374" s="558">
        <v>520.0</v>
      </c>
      <c r="E374" s="556" t="s">
        <v>1546</v>
      </c>
    </row>
    <row r="375" ht="15.75" hidden="1" customHeight="1">
      <c r="B375" s="569"/>
      <c r="C375" s="556" t="s">
        <v>1675</v>
      </c>
      <c r="D375" s="558">
        <v>522.0</v>
      </c>
      <c r="E375" s="556" t="s">
        <v>1546</v>
      </c>
    </row>
    <row r="376" ht="15.75" hidden="1" customHeight="1">
      <c r="B376" s="569"/>
      <c r="C376" s="556" t="s">
        <v>1696</v>
      </c>
      <c r="D376" s="558">
        <v>517.0</v>
      </c>
      <c r="E376" s="556" t="s">
        <v>1546</v>
      </c>
    </row>
    <row r="377" ht="15.75" hidden="1" customHeight="1">
      <c r="B377" s="569"/>
      <c r="C377" s="556" t="s">
        <v>1786</v>
      </c>
      <c r="D377" s="558">
        <v>521.0</v>
      </c>
      <c r="E377" s="556" t="s">
        <v>1546</v>
      </c>
    </row>
    <row r="378" ht="15.75" hidden="1" customHeight="1">
      <c r="B378" s="569"/>
      <c r="C378" s="556" t="s">
        <v>1778</v>
      </c>
      <c r="D378" s="558">
        <v>756.0</v>
      </c>
      <c r="E378" s="556"/>
    </row>
    <row r="379" ht="15.75" hidden="1" customHeight="1">
      <c r="B379" s="569"/>
      <c r="C379" s="556" t="s">
        <v>1784</v>
      </c>
      <c r="D379" s="558">
        <v>1284.0</v>
      </c>
      <c r="E379" s="556"/>
    </row>
    <row r="380" ht="15.75" hidden="1" customHeight="1">
      <c r="B380" s="569"/>
      <c r="C380" s="556" t="s">
        <v>1781</v>
      </c>
      <c r="D380" s="558">
        <v>346.0</v>
      </c>
      <c r="E380" s="556" t="s">
        <v>1530</v>
      </c>
    </row>
    <row r="381" ht="15.75" hidden="1" customHeight="1">
      <c r="B381" s="569"/>
      <c r="C381" s="556" t="s">
        <v>1787</v>
      </c>
      <c r="D381" s="558">
        <v>2808.0</v>
      </c>
      <c r="E381" s="556" t="s">
        <v>1530</v>
      </c>
    </row>
    <row r="382" ht="15.75" hidden="1" customHeight="1">
      <c r="B382" s="569"/>
      <c r="C382" s="556" t="s">
        <v>1788</v>
      </c>
      <c r="D382" s="558">
        <v>998.0</v>
      </c>
      <c r="E382" s="556" t="s">
        <v>1527</v>
      </c>
    </row>
    <row r="383" ht="15.75" hidden="1" customHeight="1">
      <c r="B383" s="569">
        <v>46164.0</v>
      </c>
      <c r="C383" s="556" t="s">
        <v>1789</v>
      </c>
      <c r="D383" s="558">
        <v>1300.0</v>
      </c>
      <c r="E383" s="556" t="s">
        <v>1527</v>
      </c>
    </row>
    <row r="384" ht="15.75" hidden="1" customHeight="1">
      <c r="B384" s="569"/>
      <c r="C384" s="556" t="s">
        <v>1539</v>
      </c>
      <c r="D384" s="558">
        <v>1752.0</v>
      </c>
      <c r="E384" s="556"/>
    </row>
    <row r="385" ht="15.75" hidden="1" customHeight="1">
      <c r="B385" s="569"/>
      <c r="C385" s="556" t="s">
        <v>1787</v>
      </c>
      <c r="D385" s="558">
        <v>2808.0</v>
      </c>
      <c r="E385" s="556" t="s">
        <v>1530</v>
      </c>
    </row>
    <row r="386" ht="15.75" hidden="1" customHeight="1">
      <c r="B386" s="569"/>
      <c r="C386" s="556" t="s">
        <v>1790</v>
      </c>
      <c r="D386" s="558">
        <v>1053.0</v>
      </c>
      <c r="E386" s="556" t="s">
        <v>1527</v>
      </c>
    </row>
    <row r="387" ht="15.75" hidden="1" customHeight="1">
      <c r="B387" s="569"/>
      <c r="C387" s="556" t="s">
        <v>1791</v>
      </c>
      <c r="D387" s="558">
        <v>1053.0</v>
      </c>
      <c r="E387" s="556" t="s">
        <v>1546</v>
      </c>
    </row>
    <row r="388" ht="15.75" hidden="1" customHeight="1">
      <c r="B388" s="569"/>
      <c r="C388" s="556" t="s">
        <v>1792</v>
      </c>
      <c r="D388" s="558">
        <v>505.0</v>
      </c>
      <c r="E388" s="556" t="s">
        <v>1546</v>
      </c>
    </row>
    <row r="389" ht="15.75" hidden="1" customHeight="1">
      <c r="B389" s="569"/>
      <c r="C389" s="556" t="s">
        <v>1793</v>
      </c>
      <c r="D389" s="558">
        <v>505.0</v>
      </c>
      <c r="E389" s="556" t="s">
        <v>1546</v>
      </c>
    </row>
    <row r="390" ht="15.75" hidden="1" customHeight="1">
      <c r="B390" s="569"/>
      <c r="C390" s="556" t="s">
        <v>1536</v>
      </c>
      <c r="D390" s="558">
        <v>1008.0</v>
      </c>
      <c r="E390" s="556"/>
    </row>
    <row r="391" ht="15.75" hidden="1" customHeight="1">
      <c r="B391" s="569">
        <v>46168.0</v>
      </c>
      <c r="C391" s="556" t="s">
        <v>1784</v>
      </c>
      <c r="D391" s="558">
        <v>279.0</v>
      </c>
      <c r="E391" s="556"/>
    </row>
    <row r="392" ht="15.75" hidden="1" customHeight="1">
      <c r="B392" s="569"/>
      <c r="C392" s="556" t="s">
        <v>1790</v>
      </c>
      <c r="D392" s="558">
        <v>255.0</v>
      </c>
      <c r="E392" s="556" t="s">
        <v>1540</v>
      </c>
    </row>
    <row r="393" ht="15.75" hidden="1" customHeight="1">
      <c r="B393" s="569"/>
      <c r="C393" s="556" t="s">
        <v>1787</v>
      </c>
      <c r="D393" s="558">
        <v>3456.0</v>
      </c>
      <c r="E393" s="556" t="s">
        <v>1530</v>
      </c>
    </row>
    <row r="394" ht="15.75" hidden="1" customHeight="1">
      <c r="B394" s="569"/>
      <c r="C394" s="556" t="s">
        <v>1794</v>
      </c>
      <c r="D394" s="558">
        <v>1000.0</v>
      </c>
      <c r="E394" s="556" t="s">
        <v>1527</v>
      </c>
    </row>
    <row r="395" ht="15.75" hidden="1" customHeight="1">
      <c r="B395" s="569"/>
      <c r="C395" s="556" t="s">
        <v>1795</v>
      </c>
      <c r="D395" s="558">
        <v>1000.0</v>
      </c>
      <c r="E395" s="556" t="s">
        <v>1546</v>
      </c>
    </row>
    <row r="396" ht="15.75" hidden="1" customHeight="1">
      <c r="B396" s="569"/>
      <c r="C396" s="556" t="s">
        <v>1796</v>
      </c>
      <c r="D396" s="558">
        <v>2350.0</v>
      </c>
      <c r="E396" s="556" t="s">
        <v>1540</v>
      </c>
    </row>
    <row r="397" ht="15.75" hidden="1" customHeight="1">
      <c r="B397" s="569">
        <v>46169.0</v>
      </c>
      <c r="C397" s="556" t="s">
        <v>1795</v>
      </c>
      <c r="D397" s="558">
        <v>967.0</v>
      </c>
      <c r="E397" s="556" t="s">
        <v>1546</v>
      </c>
    </row>
    <row r="398" ht="15.75" hidden="1" customHeight="1">
      <c r="B398" s="569"/>
      <c r="C398" s="556" t="s">
        <v>1797</v>
      </c>
      <c r="D398" s="558">
        <v>1100.0</v>
      </c>
      <c r="E398" s="556" t="s">
        <v>1546</v>
      </c>
    </row>
    <row r="399" ht="15.75" hidden="1" customHeight="1">
      <c r="B399" s="569"/>
      <c r="C399" s="556" t="s">
        <v>1787</v>
      </c>
      <c r="D399" s="558">
        <v>858.0</v>
      </c>
      <c r="E399" s="556" t="s">
        <v>1530</v>
      </c>
    </row>
    <row r="400" ht="15.75" hidden="1" customHeight="1">
      <c r="B400" s="569"/>
      <c r="C400" s="556" t="s">
        <v>1796</v>
      </c>
      <c r="D400" s="558">
        <v>2650.0</v>
      </c>
      <c r="E400" s="556" t="s">
        <v>1540</v>
      </c>
    </row>
    <row r="401" ht="15.75" hidden="1" customHeight="1">
      <c r="B401" s="569"/>
      <c r="C401" s="556" t="s">
        <v>1798</v>
      </c>
      <c r="D401" s="558">
        <v>990.0</v>
      </c>
      <c r="E401" s="556" t="s">
        <v>1527</v>
      </c>
    </row>
    <row r="402" ht="15.75" hidden="1" customHeight="1">
      <c r="B402" s="569"/>
      <c r="C402" s="556" t="s">
        <v>1799</v>
      </c>
      <c r="D402" s="558">
        <v>583.0</v>
      </c>
      <c r="E402" s="556" t="s">
        <v>1527</v>
      </c>
    </row>
    <row r="403" ht="15.75" hidden="1" customHeight="1">
      <c r="B403" s="569"/>
      <c r="C403" s="556" t="s">
        <v>1800</v>
      </c>
      <c r="D403" s="558">
        <v>1997.0</v>
      </c>
      <c r="E403" s="556" t="s">
        <v>1530</v>
      </c>
    </row>
    <row r="404" ht="15.75" hidden="1" customHeight="1">
      <c r="B404" s="569"/>
      <c r="C404" s="556" t="s">
        <v>1801</v>
      </c>
      <c r="D404" s="558">
        <v>216.0</v>
      </c>
      <c r="E404" s="556" t="s">
        <v>1530</v>
      </c>
    </row>
    <row r="405" ht="15.75" hidden="1" customHeight="1">
      <c r="B405" s="569">
        <v>46170.0</v>
      </c>
      <c r="C405" s="556" t="s">
        <v>1802</v>
      </c>
      <c r="D405" s="558">
        <v>2610.0</v>
      </c>
      <c r="E405" s="556" t="s">
        <v>1540</v>
      </c>
    </row>
    <row r="406" ht="15.75" hidden="1" customHeight="1">
      <c r="B406" s="569"/>
      <c r="C406" s="556" t="s">
        <v>1801</v>
      </c>
      <c r="D406" s="558">
        <v>2108.0</v>
      </c>
      <c r="E406" s="556" t="s">
        <v>1530</v>
      </c>
    </row>
    <row r="407" ht="15.75" hidden="1" customHeight="1">
      <c r="B407" s="569"/>
      <c r="C407" s="556" t="s">
        <v>1750</v>
      </c>
      <c r="D407" s="558">
        <v>70.0</v>
      </c>
      <c r="E407" s="556" t="s">
        <v>1527</v>
      </c>
    </row>
    <row r="408" ht="15.75" hidden="1" customHeight="1">
      <c r="B408" s="569"/>
      <c r="C408" s="556" t="s">
        <v>1797</v>
      </c>
      <c r="D408" s="558">
        <v>402.0</v>
      </c>
      <c r="E408" s="556" t="s">
        <v>1546</v>
      </c>
    </row>
    <row r="409" ht="15.75" hidden="1" customHeight="1">
      <c r="B409" s="569"/>
      <c r="C409" s="556" t="s">
        <v>1803</v>
      </c>
      <c r="D409" s="558">
        <v>1582.0</v>
      </c>
      <c r="E409" s="556" t="s">
        <v>1546</v>
      </c>
    </row>
    <row r="410" ht="15.75" hidden="1" customHeight="1">
      <c r="B410" s="569"/>
      <c r="C410" s="556" t="s">
        <v>1804</v>
      </c>
      <c r="D410" s="558"/>
      <c r="E410" s="556" t="s">
        <v>1546</v>
      </c>
    </row>
    <row r="411" ht="15.75" hidden="1" customHeight="1">
      <c r="B411" s="569"/>
      <c r="C411" s="556" t="s">
        <v>1796</v>
      </c>
      <c r="D411" s="558">
        <v>212.0</v>
      </c>
      <c r="E411" s="556" t="s">
        <v>1540</v>
      </c>
    </row>
    <row r="412" ht="15.75" hidden="1" customHeight="1">
      <c r="B412" s="569"/>
      <c r="C412" s="556" t="s">
        <v>1805</v>
      </c>
      <c r="D412" s="558">
        <v>1080.0</v>
      </c>
      <c r="E412" s="556" t="s">
        <v>1530</v>
      </c>
    </row>
    <row r="413" ht="15.75" hidden="1" customHeight="1">
      <c r="B413" s="569"/>
      <c r="C413" s="556" t="s">
        <v>1806</v>
      </c>
      <c r="D413" s="558">
        <v>949.0</v>
      </c>
      <c r="E413" s="556" t="s">
        <v>1527</v>
      </c>
    </row>
    <row r="414" ht="15.75" hidden="1" customHeight="1">
      <c r="B414" s="569">
        <v>46171.0</v>
      </c>
      <c r="C414" s="556" t="s">
        <v>1805</v>
      </c>
      <c r="D414" s="558">
        <v>894.0</v>
      </c>
      <c r="E414" s="556" t="s">
        <v>1530</v>
      </c>
    </row>
    <row r="415" ht="15.75" hidden="1" customHeight="1">
      <c r="B415" s="569"/>
      <c r="C415" s="556" t="s">
        <v>1807</v>
      </c>
      <c r="D415" s="558">
        <v>987.0</v>
      </c>
      <c r="E415" s="556" t="s">
        <v>1527</v>
      </c>
    </row>
    <row r="416" ht="15.75" hidden="1" customHeight="1">
      <c r="B416" s="569"/>
      <c r="C416" s="556" t="s">
        <v>1808</v>
      </c>
      <c r="D416" s="558"/>
      <c r="E416" s="556" t="s">
        <v>1530</v>
      </c>
    </row>
    <row r="417" ht="15.75" hidden="1" customHeight="1">
      <c r="B417" s="569"/>
      <c r="C417" s="556" t="s">
        <v>1802</v>
      </c>
      <c r="D417" s="558">
        <v>2318.0</v>
      </c>
      <c r="E417" s="556"/>
    </row>
    <row r="418" ht="15.75" hidden="1" customHeight="1">
      <c r="B418" s="569"/>
      <c r="C418" s="556" t="s">
        <v>1804</v>
      </c>
      <c r="D418" s="558"/>
      <c r="E418" s="556" t="s">
        <v>1546</v>
      </c>
    </row>
    <row r="419" ht="15.75" hidden="1" customHeight="1">
      <c r="B419" s="569"/>
      <c r="C419" s="556" t="s">
        <v>1678</v>
      </c>
      <c r="D419" s="558">
        <v>386.0</v>
      </c>
      <c r="E419" s="556" t="s">
        <v>1527</v>
      </c>
    </row>
    <row r="420" ht="15.75" hidden="1" customHeight="1">
      <c r="B420" s="569"/>
      <c r="C420" s="556"/>
      <c r="D420" s="558"/>
      <c r="E420" s="556"/>
    </row>
    <row r="421" ht="15.75" hidden="1" customHeight="1">
      <c r="B421" s="569"/>
      <c r="C421" s="556"/>
      <c r="D421" s="558"/>
      <c r="E421" s="556"/>
    </row>
    <row r="422" ht="15.75" hidden="1" customHeight="1">
      <c r="B422" s="569"/>
      <c r="C422" s="556"/>
      <c r="D422" s="558"/>
      <c r="E422" s="556"/>
    </row>
    <row r="423" ht="15.75" hidden="1" customHeight="1">
      <c r="B423" s="569"/>
      <c r="C423" s="556"/>
      <c r="D423" s="558"/>
      <c r="E423" s="556"/>
    </row>
    <row r="424" ht="15.75" hidden="1" customHeight="1">
      <c r="B424" s="569"/>
      <c r="C424" s="556"/>
      <c r="D424" s="558"/>
      <c r="E424" s="556"/>
    </row>
    <row r="425" ht="15.75" hidden="1" customHeight="1">
      <c r="B425" s="569"/>
      <c r="C425" s="556"/>
      <c r="D425" s="558"/>
      <c r="E425" s="556"/>
    </row>
    <row r="426" ht="15.75" hidden="1" customHeight="1">
      <c r="B426" s="569"/>
      <c r="C426" s="556"/>
      <c r="D426" s="558"/>
      <c r="E426" s="556"/>
    </row>
    <row r="427" ht="15.75" hidden="1" customHeight="1">
      <c r="B427" s="569"/>
      <c r="C427" s="556"/>
      <c r="D427" s="558"/>
      <c r="E427" s="556"/>
    </row>
    <row r="428" ht="15.75" hidden="1" customHeight="1">
      <c r="B428" s="560"/>
      <c r="C428" s="556"/>
      <c r="D428" s="558"/>
      <c r="E428" s="556"/>
    </row>
    <row r="429" ht="15.75" customHeight="1">
      <c r="B429" s="578" t="s">
        <v>1809</v>
      </c>
      <c r="E429" s="579">
        <f>SUM(D281:D420)</f>
        <v>137182</v>
      </c>
    </row>
    <row r="430" ht="15.75" customHeight="1">
      <c r="D430" s="577"/>
    </row>
    <row r="431" ht="15.75" customHeight="1">
      <c r="B431" s="552" t="s">
        <v>1810</v>
      </c>
      <c r="C431" s="553"/>
      <c r="D431" s="553"/>
      <c r="E431" s="132"/>
    </row>
    <row r="432" ht="15.75" customHeight="1">
      <c r="B432" s="554" t="s">
        <v>1321</v>
      </c>
      <c r="C432" s="554" t="s">
        <v>1323</v>
      </c>
      <c r="D432" s="554" t="s">
        <v>1324</v>
      </c>
      <c r="E432" s="554" t="s">
        <v>1524</v>
      </c>
    </row>
    <row r="433" ht="15.75" customHeight="1">
      <c r="B433" s="560">
        <v>46174.0</v>
      </c>
      <c r="C433" s="556" t="s">
        <v>1804</v>
      </c>
      <c r="D433" s="558">
        <v>3143.0</v>
      </c>
      <c r="E433" s="556" t="s">
        <v>1546</v>
      </c>
    </row>
    <row r="434" ht="15.75" customHeight="1">
      <c r="B434" s="557"/>
      <c r="C434" s="556" t="s">
        <v>1588</v>
      </c>
      <c r="D434" s="558">
        <v>580.0</v>
      </c>
      <c r="E434" s="556" t="s">
        <v>1546</v>
      </c>
    </row>
    <row r="435" ht="15.75" customHeight="1">
      <c r="B435" s="560"/>
      <c r="C435" s="556" t="s">
        <v>1811</v>
      </c>
      <c r="D435" s="558">
        <v>157.0</v>
      </c>
      <c r="E435" s="556" t="s">
        <v>1546</v>
      </c>
    </row>
    <row r="436" ht="15.75" customHeight="1">
      <c r="B436" s="560"/>
      <c r="C436" s="556" t="s">
        <v>1812</v>
      </c>
      <c r="D436" s="558">
        <v>2084.0</v>
      </c>
      <c r="E436" s="556" t="s">
        <v>1530</v>
      </c>
    </row>
    <row r="437" ht="15.75" customHeight="1">
      <c r="B437" s="560"/>
      <c r="C437" s="556" t="s">
        <v>1813</v>
      </c>
      <c r="D437" s="558">
        <v>320.0</v>
      </c>
      <c r="E437" s="556" t="s">
        <v>1530</v>
      </c>
    </row>
    <row r="438" ht="15.75" customHeight="1">
      <c r="B438" s="560"/>
      <c r="C438" s="556" t="s">
        <v>1814</v>
      </c>
      <c r="D438" s="558">
        <v>359.0</v>
      </c>
      <c r="E438" s="556" t="s">
        <v>1527</v>
      </c>
    </row>
    <row r="439" ht="15.75" customHeight="1">
      <c r="B439" s="560"/>
      <c r="C439" s="556" t="s">
        <v>1815</v>
      </c>
      <c r="D439" s="558">
        <v>290.0</v>
      </c>
      <c r="E439" s="556" t="s">
        <v>1527</v>
      </c>
    </row>
    <row r="440" ht="15.75" customHeight="1">
      <c r="B440" s="560"/>
      <c r="C440" s="556" t="s">
        <v>1816</v>
      </c>
      <c r="D440" s="558">
        <v>645.0</v>
      </c>
      <c r="E440" s="556" t="s">
        <v>1540</v>
      </c>
    </row>
    <row r="441" ht="15.75" customHeight="1">
      <c r="B441" s="560">
        <v>46175.0</v>
      </c>
      <c r="C441" s="556" t="s">
        <v>1588</v>
      </c>
      <c r="D441" s="558">
        <v>1123.0</v>
      </c>
      <c r="E441" s="556" t="s">
        <v>1546</v>
      </c>
    </row>
    <row r="442" ht="15.75" customHeight="1">
      <c r="B442" s="560"/>
      <c r="C442" s="556" t="s">
        <v>1811</v>
      </c>
      <c r="D442" s="558">
        <v>480.0</v>
      </c>
      <c r="E442" s="556" t="s">
        <v>1546</v>
      </c>
    </row>
    <row r="443" ht="15.75" customHeight="1">
      <c r="B443" s="560"/>
      <c r="C443" s="556" t="s">
        <v>1817</v>
      </c>
      <c r="D443" s="558">
        <v>979.0</v>
      </c>
      <c r="E443" s="556" t="s">
        <v>1546</v>
      </c>
    </row>
    <row r="444" ht="15.75" customHeight="1">
      <c r="B444" s="560"/>
      <c r="C444" s="556" t="s">
        <v>1815</v>
      </c>
      <c r="D444" s="558">
        <v>476.0</v>
      </c>
      <c r="E444" s="556" t="s">
        <v>1527</v>
      </c>
    </row>
    <row r="445" ht="15.75" customHeight="1">
      <c r="B445" s="560"/>
      <c r="C445" s="556" t="s">
        <v>1818</v>
      </c>
      <c r="D445" s="558">
        <v>1502.0</v>
      </c>
      <c r="E445" s="556" t="s">
        <v>1530</v>
      </c>
    </row>
    <row r="446" ht="15.75" customHeight="1">
      <c r="B446" s="560"/>
      <c r="C446" s="556" t="s">
        <v>1819</v>
      </c>
      <c r="D446" s="558">
        <v>491.0</v>
      </c>
      <c r="E446" s="556" t="s">
        <v>1530</v>
      </c>
    </row>
    <row r="447" ht="15.75" customHeight="1">
      <c r="B447" s="560"/>
      <c r="C447" s="556" t="s">
        <v>1536</v>
      </c>
      <c r="D447" s="558">
        <v>1640.0</v>
      </c>
      <c r="E447" s="556" t="s">
        <v>1540</v>
      </c>
    </row>
    <row r="448" ht="15.75" customHeight="1">
      <c r="B448" s="560"/>
      <c r="C448" s="556" t="s">
        <v>1816</v>
      </c>
      <c r="D448" s="558">
        <v>84.0</v>
      </c>
      <c r="E448" s="556" t="s">
        <v>1540</v>
      </c>
    </row>
    <row r="449" ht="15.75" customHeight="1">
      <c r="B449" s="560"/>
      <c r="C449" s="556" t="s">
        <v>1694</v>
      </c>
      <c r="D449" s="558">
        <v>500.0</v>
      </c>
      <c r="E449" s="556" t="s">
        <v>1527</v>
      </c>
    </row>
    <row r="450" ht="15.75" customHeight="1">
      <c r="B450" s="560">
        <v>46176.0</v>
      </c>
      <c r="C450" s="556" t="s">
        <v>1820</v>
      </c>
      <c r="D450" s="558">
        <v>511.0</v>
      </c>
      <c r="E450" s="556" t="s">
        <v>1546</v>
      </c>
    </row>
    <row r="451" ht="15.75" customHeight="1">
      <c r="B451" s="560"/>
      <c r="C451" s="556" t="s">
        <v>1821</v>
      </c>
      <c r="D451" s="558">
        <v>503.0</v>
      </c>
      <c r="E451" s="556" t="s">
        <v>1546</v>
      </c>
    </row>
    <row r="452" ht="15.75" customHeight="1">
      <c r="B452" s="560"/>
      <c r="C452" s="556" t="s">
        <v>1822</v>
      </c>
      <c r="D452" s="558">
        <v>512.0</v>
      </c>
      <c r="E452" s="556" t="s">
        <v>1546</v>
      </c>
    </row>
    <row r="453" ht="15.75" customHeight="1">
      <c r="B453" s="560"/>
      <c r="C453" s="556" t="s">
        <v>1823</v>
      </c>
      <c r="D453" s="558">
        <v>539.0</v>
      </c>
      <c r="E453" s="556" t="s">
        <v>1546</v>
      </c>
    </row>
    <row r="454" ht="15.75" customHeight="1">
      <c r="B454" s="560"/>
      <c r="C454" s="556" t="s">
        <v>1824</v>
      </c>
      <c r="D454" s="558">
        <v>612.0</v>
      </c>
      <c r="E454" s="556" t="s">
        <v>1546</v>
      </c>
    </row>
    <row r="455" ht="15.75" customHeight="1">
      <c r="B455" s="560"/>
      <c r="C455" s="556" t="s">
        <v>1536</v>
      </c>
      <c r="D455" s="558">
        <v>812.0</v>
      </c>
      <c r="E455" s="556" t="s">
        <v>1540</v>
      </c>
    </row>
    <row r="456" ht="15.75" customHeight="1">
      <c r="B456" s="560"/>
      <c r="C456" s="556" t="s">
        <v>1825</v>
      </c>
      <c r="D456" s="558">
        <v>977.0</v>
      </c>
      <c r="E456" s="556" t="s">
        <v>1527</v>
      </c>
    </row>
    <row r="457" ht="15.75" customHeight="1">
      <c r="B457" s="560"/>
      <c r="C457" s="556" t="s">
        <v>1826</v>
      </c>
      <c r="D457" s="558">
        <v>312.0</v>
      </c>
      <c r="E457" s="556" t="s">
        <v>1527</v>
      </c>
    </row>
    <row r="458" ht="15.75" customHeight="1">
      <c r="B458" s="560"/>
      <c r="C458" s="556" t="s">
        <v>1827</v>
      </c>
      <c r="D458" s="558">
        <v>792.0</v>
      </c>
      <c r="E458" s="556" t="s">
        <v>1530</v>
      </c>
    </row>
    <row r="459" ht="15.75" customHeight="1">
      <c r="B459" s="560">
        <v>46177.0</v>
      </c>
      <c r="C459" s="556" t="s">
        <v>1826</v>
      </c>
      <c r="D459" s="558">
        <v>680.0</v>
      </c>
      <c r="E459" s="556" t="s">
        <v>1527</v>
      </c>
    </row>
    <row r="460" ht="15.75" customHeight="1">
      <c r="B460" s="560"/>
      <c r="C460" s="556" t="s">
        <v>1827</v>
      </c>
      <c r="D460" s="558">
        <v>202.0</v>
      </c>
      <c r="E460" s="556" t="s">
        <v>1530</v>
      </c>
    </row>
    <row r="461" ht="15.75" customHeight="1">
      <c r="B461" s="560"/>
      <c r="C461" s="556" t="s">
        <v>1828</v>
      </c>
      <c r="D461" s="558">
        <v>1020.0</v>
      </c>
      <c r="E461" s="556" t="s">
        <v>1530</v>
      </c>
    </row>
    <row r="462" ht="15.75" customHeight="1">
      <c r="B462" s="560"/>
      <c r="C462" s="556" t="s">
        <v>1811</v>
      </c>
      <c r="D462" s="558">
        <v>195.0</v>
      </c>
      <c r="E462" s="556" t="s">
        <v>1546</v>
      </c>
    </row>
    <row r="463" ht="15.75" customHeight="1">
      <c r="B463" s="560"/>
      <c r="C463" s="556" t="s">
        <v>1829</v>
      </c>
      <c r="D463" s="558">
        <v>1200.0</v>
      </c>
      <c r="E463" s="556" t="s">
        <v>1546</v>
      </c>
    </row>
    <row r="464" ht="15.75" customHeight="1">
      <c r="B464" s="560"/>
      <c r="C464" s="556" t="s">
        <v>1830</v>
      </c>
      <c r="D464" s="558">
        <v>436.0</v>
      </c>
      <c r="E464" s="556" t="s">
        <v>1546</v>
      </c>
    </row>
    <row r="465" ht="15.75" customHeight="1">
      <c r="B465" s="560"/>
      <c r="C465" s="556" t="s">
        <v>1831</v>
      </c>
      <c r="D465" s="558">
        <v>997.0</v>
      </c>
      <c r="E465" s="556" t="s">
        <v>1527</v>
      </c>
    </row>
    <row r="466" ht="15.75" customHeight="1">
      <c r="B466" s="560">
        <v>46178.0</v>
      </c>
      <c r="C466" s="556" t="s">
        <v>1830</v>
      </c>
      <c r="D466" s="558">
        <v>89.0</v>
      </c>
      <c r="E466" s="556" t="s">
        <v>1546</v>
      </c>
    </row>
    <row r="467" ht="15.75" customHeight="1">
      <c r="B467" s="560"/>
      <c r="C467" s="556" t="s">
        <v>1829</v>
      </c>
      <c r="D467" s="558">
        <v>714.0</v>
      </c>
      <c r="E467" s="556" t="s">
        <v>1546</v>
      </c>
    </row>
    <row r="468" ht="15.75" customHeight="1">
      <c r="B468" s="560"/>
      <c r="C468" s="556" t="s">
        <v>1832</v>
      </c>
      <c r="D468" s="558">
        <v>999.0</v>
      </c>
      <c r="E468" s="556" t="s">
        <v>1546</v>
      </c>
    </row>
    <row r="469" ht="15.75" customHeight="1">
      <c r="B469" s="560"/>
      <c r="C469" s="556" t="s">
        <v>1833</v>
      </c>
      <c r="D469" s="558">
        <v>550.0</v>
      </c>
      <c r="E469" s="556" t="s">
        <v>1546</v>
      </c>
    </row>
    <row r="470" ht="15.75" customHeight="1">
      <c r="B470" s="560"/>
      <c r="C470" s="556" t="s">
        <v>1834</v>
      </c>
      <c r="D470" s="558">
        <v>546.0</v>
      </c>
      <c r="E470" s="556" t="s">
        <v>1530</v>
      </c>
    </row>
    <row r="471" ht="15.75" customHeight="1">
      <c r="B471" s="560"/>
      <c r="C471" s="556" t="s">
        <v>1835</v>
      </c>
      <c r="D471" s="558">
        <v>1300.0</v>
      </c>
      <c r="E471" s="556" t="s">
        <v>1527</v>
      </c>
    </row>
    <row r="472" ht="15.75" customHeight="1">
      <c r="B472" s="560">
        <v>46181.0</v>
      </c>
      <c r="C472" s="556" t="s">
        <v>1833</v>
      </c>
      <c r="D472" s="558">
        <v>472.0</v>
      </c>
      <c r="E472" s="556" t="s">
        <v>1546</v>
      </c>
    </row>
    <row r="473" ht="15.75" customHeight="1">
      <c r="B473" s="560"/>
      <c r="C473" s="556" t="s">
        <v>1836</v>
      </c>
      <c r="D473" s="558">
        <v>511.0</v>
      </c>
      <c r="E473" s="556" t="s">
        <v>1546</v>
      </c>
    </row>
    <row r="474" ht="15.75" customHeight="1">
      <c r="B474" s="560"/>
      <c r="C474" s="556" t="s">
        <v>1834</v>
      </c>
      <c r="D474" s="558">
        <v>922.0</v>
      </c>
      <c r="E474" s="556" t="s">
        <v>1530</v>
      </c>
    </row>
    <row r="475" ht="15.75" customHeight="1">
      <c r="B475" s="560"/>
      <c r="C475" s="556" t="s">
        <v>1837</v>
      </c>
      <c r="D475" s="558">
        <v>1000.0</v>
      </c>
      <c r="E475" s="556" t="s">
        <v>1540</v>
      </c>
    </row>
    <row r="476" ht="15.75" customHeight="1">
      <c r="B476" s="560"/>
      <c r="C476" s="556" t="s">
        <v>1539</v>
      </c>
      <c r="D476" s="558">
        <v>708.0</v>
      </c>
      <c r="E476" s="556" t="s">
        <v>1530</v>
      </c>
    </row>
    <row r="477" ht="15.75" customHeight="1">
      <c r="B477" s="560">
        <v>46182.0</v>
      </c>
      <c r="C477" s="556" t="s">
        <v>1539</v>
      </c>
      <c r="D477" s="558">
        <v>708.0</v>
      </c>
      <c r="E477" s="556" t="s">
        <v>1540</v>
      </c>
    </row>
    <row r="478" ht="15.75" customHeight="1">
      <c r="B478" s="560"/>
      <c r="C478" s="556" t="s">
        <v>1838</v>
      </c>
      <c r="D478" s="558">
        <v>240.0</v>
      </c>
      <c r="E478" s="556" t="s">
        <v>1546</v>
      </c>
    </row>
    <row r="479" ht="15.75" customHeight="1">
      <c r="B479" s="560"/>
      <c r="C479" s="556" t="s">
        <v>1839</v>
      </c>
      <c r="D479" s="558">
        <v>1200.0</v>
      </c>
      <c r="E479" s="556" t="s">
        <v>1527</v>
      </c>
    </row>
    <row r="480" ht="15.75" customHeight="1">
      <c r="B480" s="560"/>
      <c r="C480" s="556" t="s">
        <v>1840</v>
      </c>
      <c r="D480" s="558">
        <v>350.0</v>
      </c>
      <c r="E480" s="556" t="s">
        <v>1530</v>
      </c>
    </row>
    <row r="481" ht="15.75" customHeight="1">
      <c r="B481" s="560">
        <v>46183.0</v>
      </c>
      <c r="C481" s="556" t="s">
        <v>1539</v>
      </c>
      <c r="D481" s="558">
        <v>708.0</v>
      </c>
      <c r="E481" s="556" t="s">
        <v>1540</v>
      </c>
    </row>
    <row r="482" ht="15.75" customHeight="1">
      <c r="B482" s="560"/>
      <c r="C482" s="556" t="s">
        <v>1837</v>
      </c>
      <c r="D482" s="558">
        <v>336.0</v>
      </c>
      <c r="E482" s="556" t="s">
        <v>1540</v>
      </c>
    </row>
    <row r="483" ht="15.75" customHeight="1">
      <c r="B483" s="560"/>
      <c r="C483" s="556" t="s">
        <v>1730</v>
      </c>
      <c r="D483" s="558">
        <v>432.0</v>
      </c>
      <c r="E483" s="556" t="s">
        <v>1530</v>
      </c>
    </row>
    <row r="484" ht="15.75" customHeight="1">
      <c r="B484" s="560"/>
      <c r="C484" s="556" t="s">
        <v>1839</v>
      </c>
      <c r="D484" s="558">
        <v>1400.0</v>
      </c>
      <c r="E484" s="556" t="s">
        <v>1527</v>
      </c>
    </row>
    <row r="485" ht="15.75" customHeight="1">
      <c r="B485" s="560">
        <v>46184.0</v>
      </c>
      <c r="C485" s="556" t="s">
        <v>1841</v>
      </c>
      <c r="D485" s="558">
        <v>100.0</v>
      </c>
      <c r="E485" s="556" t="s">
        <v>1546</v>
      </c>
    </row>
    <row r="486" ht="15.75" customHeight="1">
      <c r="B486" s="560"/>
      <c r="C486" s="556" t="s">
        <v>1842</v>
      </c>
      <c r="D486" s="558">
        <v>399.0</v>
      </c>
      <c r="E486" s="556" t="s">
        <v>1546</v>
      </c>
    </row>
    <row r="487" ht="15.75" customHeight="1">
      <c r="B487" s="560"/>
      <c r="C487" s="556" t="s">
        <v>1843</v>
      </c>
      <c r="D487" s="558">
        <v>499.0</v>
      </c>
      <c r="E487" s="556" t="s">
        <v>1546</v>
      </c>
    </row>
    <row r="488" ht="15.75" customHeight="1">
      <c r="B488" s="560"/>
      <c r="C488" s="556" t="s">
        <v>1536</v>
      </c>
      <c r="D488" s="558">
        <v>768.0</v>
      </c>
      <c r="E488" s="556" t="s">
        <v>1530</v>
      </c>
    </row>
    <row r="489" ht="15.75" customHeight="1">
      <c r="B489" s="560"/>
      <c r="C489" s="556" t="s">
        <v>1844</v>
      </c>
      <c r="D489" s="558">
        <v>120.0</v>
      </c>
      <c r="E489" s="556" t="s">
        <v>1527</v>
      </c>
    </row>
    <row r="490" ht="15.75" customHeight="1">
      <c r="B490" s="560"/>
      <c r="C490" s="556" t="s">
        <v>1845</v>
      </c>
      <c r="D490" s="558">
        <v>1034.0</v>
      </c>
      <c r="E490" s="556" t="s">
        <v>1846</v>
      </c>
    </row>
    <row r="491" ht="15.75" customHeight="1">
      <c r="B491" s="560">
        <v>46185.0</v>
      </c>
      <c r="C491" s="556" t="s">
        <v>1847</v>
      </c>
      <c r="D491" s="558">
        <v>554.0</v>
      </c>
      <c r="E491" s="556" t="s">
        <v>1546</v>
      </c>
    </row>
    <row r="492" ht="15.75" customHeight="1">
      <c r="B492" s="560"/>
      <c r="C492" s="556" t="s">
        <v>1848</v>
      </c>
      <c r="D492" s="558">
        <v>270.0</v>
      </c>
      <c r="E492" s="556" t="s">
        <v>1546</v>
      </c>
    </row>
    <row r="493" ht="15.75" customHeight="1">
      <c r="B493" s="560"/>
      <c r="C493" s="556" t="s">
        <v>1844</v>
      </c>
      <c r="D493" s="558">
        <v>501.0</v>
      </c>
      <c r="E493" s="556" t="s">
        <v>1540</v>
      </c>
    </row>
    <row r="494" ht="15.75" customHeight="1">
      <c r="B494" s="560"/>
      <c r="C494" s="556" t="s">
        <v>1845</v>
      </c>
      <c r="D494" s="558">
        <v>166.0</v>
      </c>
      <c r="E494" s="556" t="s">
        <v>1846</v>
      </c>
    </row>
    <row r="495" ht="15.75" customHeight="1">
      <c r="B495" s="560"/>
      <c r="C495" s="556" t="s">
        <v>1536</v>
      </c>
      <c r="D495" s="558">
        <v>564.0</v>
      </c>
      <c r="E495" s="556" t="s">
        <v>1530</v>
      </c>
    </row>
    <row r="496" ht="15.75" customHeight="1">
      <c r="B496" s="560"/>
      <c r="C496" s="556" t="s">
        <v>1837</v>
      </c>
      <c r="D496" s="558">
        <v>432.0</v>
      </c>
      <c r="E496" s="556" t="s">
        <v>1527</v>
      </c>
    </row>
    <row r="497" ht="15.75" customHeight="1">
      <c r="B497" s="560"/>
      <c r="C497" s="556" t="s">
        <v>1849</v>
      </c>
      <c r="D497" s="558">
        <v>984.0</v>
      </c>
      <c r="E497" s="556" t="s">
        <v>1540</v>
      </c>
    </row>
    <row r="498" ht="15.75" customHeight="1">
      <c r="B498" s="560"/>
      <c r="C498" s="556" t="s">
        <v>1835</v>
      </c>
      <c r="D498" s="558">
        <v>362.0</v>
      </c>
      <c r="E498" s="556" t="s">
        <v>1527</v>
      </c>
    </row>
    <row r="499" ht="15.75" customHeight="1">
      <c r="B499" s="560">
        <v>46189.0</v>
      </c>
      <c r="C499" s="556" t="s">
        <v>1536</v>
      </c>
      <c r="D499" s="558">
        <v>1032.0</v>
      </c>
      <c r="E499" s="556" t="s">
        <v>1540</v>
      </c>
    </row>
    <row r="500" ht="15.75" customHeight="1">
      <c r="B500" s="560"/>
      <c r="C500" s="556" t="s">
        <v>1850</v>
      </c>
      <c r="D500" s="558">
        <v>1260.0</v>
      </c>
      <c r="E500" s="556" t="s">
        <v>1530</v>
      </c>
    </row>
    <row r="501" ht="15.75" customHeight="1">
      <c r="B501" s="560"/>
      <c r="C501" s="556" t="s">
        <v>1816</v>
      </c>
      <c r="D501" s="558">
        <v>1850.0</v>
      </c>
      <c r="E501" s="556" t="s">
        <v>1540</v>
      </c>
    </row>
    <row r="502" ht="15.75" customHeight="1">
      <c r="B502" s="560"/>
      <c r="C502" s="556" t="s">
        <v>1848</v>
      </c>
      <c r="D502" s="558">
        <v>1715.0</v>
      </c>
      <c r="E502" s="556" t="s">
        <v>1546</v>
      </c>
    </row>
    <row r="503" ht="15.75" customHeight="1">
      <c r="B503" s="560"/>
      <c r="C503" s="556" t="s">
        <v>1704</v>
      </c>
      <c r="D503" s="558">
        <v>531.0</v>
      </c>
      <c r="E503" s="556" t="s">
        <v>1546</v>
      </c>
    </row>
    <row r="504" ht="15.75" customHeight="1">
      <c r="B504" s="560">
        <v>46190.0</v>
      </c>
      <c r="C504" s="556" t="s">
        <v>1851</v>
      </c>
      <c r="D504" s="558">
        <v>2147.0</v>
      </c>
      <c r="E504" s="556" t="s">
        <v>1546</v>
      </c>
    </row>
    <row r="505" ht="15.75" customHeight="1">
      <c r="B505" s="560"/>
      <c r="C505" s="556" t="s">
        <v>1704</v>
      </c>
      <c r="D505" s="558">
        <v>475.0</v>
      </c>
      <c r="E505" s="556" t="s">
        <v>1546</v>
      </c>
    </row>
    <row r="506" ht="15.75" customHeight="1">
      <c r="B506" s="560"/>
      <c r="C506" s="556" t="s">
        <v>1816</v>
      </c>
      <c r="D506" s="558">
        <v>1230.0</v>
      </c>
      <c r="E506" s="556" t="s">
        <v>1540</v>
      </c>
    </row>
    <row r="507" ht="15.75" customHeight="1">
      <c r="B507" s="560"/>
      <c r="C507" s="556" t="s">
        <v>1850</v>
      </c>
      <c r="D507" s="558">
        <v>1480.0</v>
      </c>
      <c r="E507" s="556" t="s">
        <v>1530</v>
      </c>
    </row>
    <row r="508" ht="15.75" customHeight="1">
      <c r="B508" s="560"/>
      <c r="C508" s="556" t="s">
        <v>1837</v>
      </c>
      <c r="D508" s="558">
        <v>900.0</v>
      </c>
      <c r="E508" s="556" t="s">
        <v>1527</v>
      </c>
    </row>
    <row r="509" ht="15.75" customHeight="1">
      <c r="B509" s="560"/>
      <c r="C509" s="556" t="s">
        <v>1536</v>
      </c>
      <c r="D509" s="558">
        <v>444.0</v>
      </c>
      <c r="E509" s="556" t="s">
        <v>1527</v>
      </c>
    </row>
    <row r="510" ht="15.75" customHeight="1">
      <c r="B510" s="560">
        <v>46191.0</v>
      </c>
      <c r="C510" s="556" t="s">
        <v>1704</v>
      </c>
      <c r="D510" s="558">
        <v>475.0</v>
      </c>
      <c r="E510" s="556" t="s">
        <v>1546</v>
      </c>
    </row>
    <row r="511" ht="15.75" customHeight="1">
      <c r="B511" s="560"/>
      <c r="C511" s="556" t="s">
        <v>1852</v>
      </c>
      <c r="D511" s="558">
        <v>997.0</v>
      </c>
      <c r="E511" s="556" t="s">
        <v>1546</v>
      </c>
    </row>
    <row r="512" ht="15.75" customHeight="1">
      <c r="B512" s="560"/>
      <c r="C512" s="556" t="s">
        <v>1850</v>
      </c>
      <c r="D512" s="558">
        <v>254.0</v>
      </c>
      <c r="E512" s="556" t="s">
        <v>1530</v>
      </c>
    </row>
    <row r="513" ht="15.75" customHeight="1">
      <c r="B513" s="560"/>
      <c r="C513" s="556" t="s">
        <v>1536</v>
      </c>
      <c r="D513" s="558">
        <v>984.0</v>
      </c>
      <c r="E513" s="556" t="s">
        <v>1540</v>
      </c>
      <c r="I513" s="580" t="str">
        <f>D515534</f>
        <v/>
      </c>
    </row>
    <row r="514" ht="15.75" customHeight="1">
      <c r="B514" s="560"/>
      <c r="C514" s="556" t="s">
        <v>1816</v>
      </c>
      <c r="D514" s="558">
        <v>840.0</v>
      </c>
      <c r="E514" s="556" t="s">
        <v>1540</v>
      </c>
    </row>
    <row r="515" ht="15.75" customHeight="1">
      <c r="B515" s="560"/>
      <c r="C515" s="556" t="s">
        <v>1853</v>
      </c>
      <c r="D515" s="558">
        <v>600.0</v>
      </c>
      <c r="E515" s="556" t="s">
        <v>1546</v>
      </c>
    </row>
    <row r="516" ht="15.75" customHeight="1">
      <c r="B516" s="560">
        <v>46192.0</v>
      </c>
      <c r="C516" s="556" t="s">
        <v>1853</v>
      </c>
      <c r="D516" s="558">
        <v>382.0</v>
      </c>
      <c r="E516" s="556" t="s">
        <v>1546</v>
      </c>
    </row>
    <row r="517" ht="15.75" customHeight="1">
      <c r="B517" s="560"/>
      <c r="C517" s="556" t="s">
        <v>1854</v>
      </c>
      <c r="D517" s="558">
        <v>305.0</v>
      </c>
      <c r="E517" s="556" t="s">
        <v>1546</v>
      </c>
    </row>
    <row r="518" ht="15.75" customHeight="1">
      <c r="B518" s="560"/>
      <c r="C518" s="556" t="s">
        <v>1855</v>
      </c>
      <c r="D518" s="558">
        <v>500.0</v>
      </c>
      <c r="E518" s="556" t="s">
        <v>1546</v>
      </c>
    </row>
    <row r="519" ht="15.75" customHeight="1">
      <c r="B519" s="560"/>
      <c r="C519" s="556" t="s">
        <v>1837</v>
      </c>
      <c r="D519" s="558">
        <v>1346.0</v>
      </c>
      <c r="E519" s="556" t="s">
        <v>1540</v>
      </c>
    </row>
    <row r="520" ht="15.75" customHeight="1">
      <c r="B520" s="560"/>
      <c r="C520" s="556" t="s">
        <v>1816</v>
      </c>
      <c r="D520" s="558">
        <v>1256.0</v>
      </c>
      <c r="E520" s="556" t="s">
        <v>1540</v>
      </c>
    </row>
    <row r="521" ht="15.75" customHeight="1">
      <c r="B521" s="560"/>
      <c r="C521" s="556" t="s">
        <v>1856</v>
      </c>
      <c r="D521" s="558">
        <v>864.0</v>
      </c>
      <c r="E521" s="556" t="s">
        <v>1527</v>
      </c>
    </row>
    <row r="522" ht="15.75" customHeight="1">
      <c r="B522" s="560">
        <v>46195.0</v>
      </c>
      <c r="C522" s="556" t="s">
        <v>1855</v>
      </c>
      <c r="D522" s="558"/>
      <c r="E522" s="556" t="s">
        <v>1546</v>
      </c>
    </row>
    <row r="523" ht="15.75" customHeight="1">
      <c r="B523" s="560"/>
      <c r="C523" s="556" t="s">
        <v>1857</v>
      </c>
      <c r="D523" s="558">
        <v>73.0</v>
      </c>
      <c r="E523" s="556" t="s">
        <v>1546</v>
      </c>
    </row>
    <row r="524" ht="15.75" customHeight="1">
      <c r="B524" s="560"/>
      <c r="C524" s="556" t="s">
        <v>1856</v>
      </c>
      <c r="D524" s="558">
        <v>1728.0</v>
      </c>
      <c r="E524" s="556" t="s">
        <v>1527</v>
      </c>
    </row>
    <row r="525" ht="15.75" customHeight="1">
      <c r="B525" s="560"/>
      <c r="C525" s="556" t="s">
        <v>1858</v>
      </c>
      <c r="D525" s="558">
        <v>1517.0</v>
      </c>
      <c r="E525" s="556" t="s">
        <v>1530</v>
      </c>
    </row>
    <row r="526" ht="15.75" customHeight="1">
      <c r="B526" s="560"/>
      <c r="C526" s="556" t="s">
        <v>1784</v>
      </c>
      <c r="D526" s="558">
        <v>696.0</v>
      </c>
      <c r="E526" s="556" t="s">
        <v>1540</v>
      </c>
    </row>
    <row r="527" ht="15.75" customHeight="1">
      <c r="B527" s="560"/>
      <c r="C527" s="556" t="s">
        <v>1539</v>
      </c>
      <c r="D527" s="558">
        <v>984.0</v>
      </c>
      <c r="E527" s="556" t="s">
        <v>1540</v>
      </c>
    </row>
    <row r="528" ht="15.75" customHeight="1">
      <c r="B528" s="560">
        <v>46196.0</v>
      </c>
      <c r="C528" s="556" t="s">
        <v>1539</v>
      </c>
      <c r="D528" s="558">
        <v>1854.0</v>
      </c>
      <c r="E528" s="556" t="s">
        <v>1540</v>
      </c>
    </row>
    <row r="529" ht="15.75" customHeight="1">
      <c r="B529" s="560"/>
      <c r="C529" s="556" t="s">
        <v>1858</v>
      </c>
      <c r="D529" s="558">
        <v>1739.0</v>
      </c>
      <c r="E529" s="556" t="s">
        <v>1530</v>
      </c>
    </row>
    <row r="530" ht="15.75" customHeight="1">
      <c r="B530" s="560"/>
      <c r="C530" s="556" t="s">
        <v>1856</v>
      </c>
      <c r="D530" s="558">
        <v>3202.0</v>
      </c>
      <c r="E530" s="556" t="s">
        <v>1527</v>
      </c>
    </row>
    <row r="531" ht="15.75" customHeight="1">
      <c r="B531" s="560">
        <v>46197.0</v>
      </c>
      <c r="C531" s="556" t="s">
        <v>1859</v>
      </c>
      <c r="D531" s="558">
        <v>729.0</v>
      </c>
      <c r="E531" s="556" t="s">
        <v>1546</v>
      </c>
    </row>
    <row r="532" ht="15.75" customHeight="1">
      <c r="B532" s="560"/>
      <c r="C532" s="556" t="s">
        <v>1860</v>
      </c>
      <c r="D532" s="558">
        <v>695.0</v>
      </c>
      <c r="E532" s="556" t="s">
        <v>1546</v>
      </c>
    </row>
    <row r="533" ht="15.75" customHeight="1">
      <c r="B533" s="560"/>
      <c r="C533" s="556" t="s">
        <v>1536</v>
      </c>
      <c r="D533" s="558">
        <v>1476.0</v>
      </c>
      <c r="E533" s="556" t="s">
        <v>1540</v>
      </c>
    </row>
    <row r="534" ht="15.75" customHeight="1">
      <c r="B534" s="560"/>
      <c r="C534" s="556" t="s">
        <v>1861</v>
      </c>
      <c r="D534" s="558">
        <v>420.0</v>
      </c>
      <c r="E534" s="556" t="s">
        <v>1530</v>
      </c>
    </row>
    <row r="535" ht="15.75" customHeight="1">
      <c r="B535" s="560"/>
      <c r="C535" s="556" t="s">
        <v>1862</v>
      </c>
      <c r="D535" s="558">
        <v>300.0</v>
      </c>
      <c r="E535" s="556" t="s">
        <v>1530</v>
      </c>
    </row>
    <row r="536" ht="15.75" customHeight="1">
      <c r="B536" s="560"/>
      <c r="C536" s="556" t="s">
        <v>1863</v>
      </c>
      <c r="D536" s="558">
        <v>1665.0</v>
      </c>
      <c r="E536" s="556" t="s">
        <v>1527</v>
      </c>
    </row>
    <row r="537" ht="15.75" customHeight="1">
      <c r="B537" s="560">
        <v>46198.0</v>
      </c>
      <c r="C537" s="556" t="s">
        <v>1861</v>
      </c>
      <c r="D537" s="558">
        <v>498.0</v>
      </c>
      <c r="E537" s="556" t="s">
        <v>1530</v>
      </c>
    </row>
    <row r="538" ht="15.75" customHeight="1">
      <c r="B538" s="560"/>
      <c r="C538" s="556" t="s">
        <v>1864</v>
      </c>
      <c r="D538" s="558">
        <v>540.0</v>
      </c>
      <c r="E538" s="556" t="s">
        <v>1530</v>
      </c>
    </row>
    <row r="539" ht="15.75" customHeight="1">
      <c r="B539" s="560"/>
      <c r="C539" s="556" t="s">
        <v>1536</v>
      </c>
      <c r="D539" s="558">
        <v>1584.0</v>
      </c>
      <c r="E539" s="556" t="s">
        <v>1540</v>
      </c>
    </row>
    <row r="540" ht="15.75" customHeight="1">
      <c r="B540" s="560"/>
      <c r="C540" s="556" t="s">
        <v>1865</v>
      </c>
      <c r="D540" s="558">
        <v>368.0</v>
      </c>
      <c r="E540" s="556" t="s">
        <v>1546</v>
      </c>
    </row>
    <row r="541" ht="15.75" customHeight="1">
      <c r="B541" s="560"/>
      <c r="C541" s="556" t="s">
        <v>1866</v>
      </c>
      <c r="D541" s="558">
        <v>510.0</v>
      </c>
      <c r="E541" s="556" t="s">
        <v>1546</v>
      </c>
    </row>
    <row r="542" ht="15.75" customHeight="1">
      <c r="B542" s="560"/>
      <c r="C542" s="556" t="s">
        <v>1867</v>
      </c>
      <c r="D542" s="558">
        <v>487.0</v>
      </c>
      <c r="E542" s="556" t="s">
        <v>1546</v>
      </c>
    </row>
    <row r="543" ht="15.75" customHeight="1">
      <c r="B543" s="560">
        <v>46199.0</v>
      </c>
      <c r="C543" s="556" t="s">
        <v>1868</v>
      </c>
      <c r="D543" s="558">
        <v>1054.0</v>
      </c>
      <c r="E543" s="556" t="s">
        <v>1546</v>
      </c>
    </row>
    <row r="544" ht="15.75" customHeight="1">
      <c r="B544" s="560"/>
      <c r="C544" s="556" t="s">
        <v>1869</v>
      </c>
      <c r="D544" s="558">
        <v>211.0</v>
      </c>
      <c r="E544" s="556" t="s">
        <v>1546</v>
      </c>
    </row>
    <row r="545" ht="15.75" customHeight="1">
      <c r="B545" s="560"/>
      <c r="C545" s="556" t="s">
        <v>1864</v>
      </c>
      <c r="D545" s="558">
        <v>1232.0</v>
      </c>
      <c r="E545" s="556" t="s">
        <v>1530</v>
      </c>
    </row>
    <row r="546" ht="15.75" customHeight="1">
      <c r="B546" s="560"/>
      <c r="C546" s="556" t="s">
        <v>1536</v>
      </c>
      <c r="D546" s="558">
        <v>832.0</v>
      </c>
      <c r="E546" s="556" t="s">
        <v>1540</v>
      </c>
    </row>
    <row r="547" ht="15.75" customHeight="1">
      <c r="B547" s="560"/>
      <c r="C547" s="556" t="s">
        <v>1870</v>
      </c>
      <c r="D547" s="558">
        <v>607.0</v>
      </c>
      <c r="E547" s="556" t="s">
        <v>1540</v>
      </c>
    </row>
    <row r="548" ht="15.75" customHeight="1">
      <c r="B548" s="560">
        <v>46202.0</v>
      </c>
      <c r="C548" s="556" t="s">
        <v>1871</v>
      </c>
      <c r="D548" s="558">
        <v>1505.0</v>
      </c>
      <c r="E548" s="556" t="s">
        <v>1527</v>
      </c>
    </row>
    <row r="549" ht="15.75" customHeight="1">
      <c r="B549" s="560"/>
      <c r="C549" s="556" t="s">
        <v>1870</v>
      </c>
      <c r="D549" s="558">
        <v>920.0</v>
      </c>
      <c r="E549" s="556" t="s">
        <v>1540</v>
      </c>
    </row>
    <row r="550" ht="15.75" customHeight="1">
      <c r="B550" s="560"/>
      <c r="C550" s="556" t="s">
        <v>1872</v>
      </c>
      <c r="D550" s="558">
        <v>1508.0</v>
      </c>
      <c r="E550" s="556" t="s">
        <v>1540</v>
      </c>
    </row>
    <row r="551" ht="15.75" customHeight="1">
      <c r="B551" s="560"/>
      <c r="C551" s="556" t="s">
        <v>1864</v>
      </c>
      <c r="D551" s="558">
        <v>1230.0</v>
      </c>
      <c r="E551" s="556" t="s">
        <v>1530</v>
      </c>
    </row>
    <row r="552" ht="15.75" customHeight="1">
      <c r="B552" s="569"/>
      <c r="C552" s="556" t="s">
        <v>1760</v>
      </c>
      <c r="D552" s="558">
        <v>288.0</v>
      </c>
      <c r="E552" s="556" t="s">
        <v>1546</v>
      </c>
    </row>
    <row r="553" ht="15.75" customHeight="1">
      <c r="B553" s="569">
        <v>46203.0</v>
      </c>
      <c r="C553" s="556" t="s">
        <v>1873</v>
      </c>
      <c r="D553" s="558">
        <v>1509.0</v>
      </c>
      <c r="E553" s="556" t="s">
        <v>1540</v>
      </c>
    </row>
    <row r="554" ht="15.75" customHeight="1">
      <c r="B554" s="560"/>
      <c r="C554" s="556" t="s">
        <v>1874</v>
      </c>
      <c r="D554" s="558">
        <v>514.0</v>
      </c>
      <c r="E554" s="556" t="s">
        <v>1527</v>
      </c>
    </row>
    <row r="555" ht="15.75" customHeight="1">
      <c r="B555" s="560"/>
      <c r="C555" s="556" t="s">
        <v>1875</v>
      </c>
      <c r="D555" s="558">
        <v>84.0</v>
      </c>
      <c r="E555" s="556" t="s">
        <v>1530</v>
      </c>
    </row>
    <row r="556" ht="15.75" customHeight="1">
      <c r="B556" s="560"/>
      <c r="C556" s="556" t="s">
        <v>1876</v>
      </c>
      <c r="D556" s="558">
        <v>136.0</v>
      </c>
      <c r="E556" s="556" t="s">
        <v>1527</v>
      </c>
    </row>
    <row r="557" ht="15.75" customHeight="1">
      <c r="B557" s="560"/>
      <c r="C557" s="556" t="s">
        <v>1877</v>
      </c>
      <c r="D557" s="558">
        <v>320.0</v>
      </c>
      <c r="E557" s="556" t="s">
        <v>1527</v>
      </c>
    </row>
    <row r="558" ht="15.75" customHeight="1">
      <c r="B558" s="556"/>
      <c r="C558" s="556" t="s">
        <v>1878</v>
      </c>
      <c r="D558" s="558">
        <v>1840.0</v>
      </c>
      <c r="E558" s="556" t="s">
        <v>1540</v>
      </c>
    </row>
    <row r="559" ht="15.75" customHeight="1">
      <c r="B559" s="581"/>
      <c r="C559" s="556" t="s">
        <v>1879</v>
      </c>
      <c r="D559" s="558">
        <v>310.0</v>
      </c>
      <c r="E559" s="556" t="s">
        <v>1546</v>
      </c>
    </row>
    <row r="560" ht="15.75" customHeight="1">
      <c r="B560" s="581"/>
      <c r="C560" s="556" t="s">
        <v>1880</v>
      </c>
      <c r="D560" s="558">
        <v>525.0</v>
      </c>
      <c r="E560" s="556" t="s">
        <v>1546</v>
      </c>
    </row>
    <row r="561" ht="15.75" customHeight="1">
      <c r="D561" s="577"/>
    </row>
    <row r="562" ht="15.75" customHeight="1">
      <c r="B562" s="582" t="s">
        <v>1881</v>
      </c>
      <c r="E562" s="583">
        <f>SUM(D433:D560)</f>
        <v>102648</v>
      </c>
    </row>
    <row r="563" ht="15.75" customHeight="1">
      <c r="D563" s="577"/>
    </row>
    <row r="564" ht="15.75" customHeight="1">
      <c r="B564" s="552" t="s">
        <v>1882</v>
      </c>
      <c r="C564" s="553"/>
      <c r="D564" s="553"/>
      <c r="E564" s="132"/>
    </row>
    <row r="565" ht="15.75" customHeight="1">
      <c r="B565" s="554" t="s">
        <v>1321</v>
      </c>
      <c r="C565" s="554" t="s">
        <v>1323</v>
      </c>
      <c r="D565" s="554" t="s">
        <v>1324</v>
      </c>
      <c r="E565" s="554" t="s">
        <v>1524</v>
      </c>
    </row>
    <row r="566" ht="15.75" customHeight="1">
      <c r="B566" s="560">
        <v>46204.0</v>
      </c>
      <c r="C566" s="556" t="s">
        <v>1883</v>
      </c>
      <c r="D566" s="558">
        <v>304.0</v>
      </c>
      <c r="E566" s="556" t="s">
        <v>1546</v>
      </c>
    </row>
    <row r="567" ht="15.75" customHeight="1">
      <c r="B567" s="557"/>
      <c r="C567" s="556" t="s">
        <v>1884</v>
      </c>
      <c r="D567" s="558"/>
      <c r="E567" s="556" t="s">
        <v>1546</v>
      </c>
    </row>
    <row r="568" ht="15.75" customHeight="1">
      <c r="B568" s="560"/>
      <c r="C568" s="568" t="s">
        <v>1877</v>
      </c>
      <c r="D568" s="558"/>
      <c r="E568" s="556" t="s">
        <v>1527</v>
      </c>
    </row>
    <row r="569" ht="15.75" customHeight="1">
      <c r="B569" s="560"/>
      <c r="C569" s="568" t="s">
        <v>1885</v>
      </c>
      <c r="D569" s="558">
        <v>1095.0</v>
      </c>
      <c r="E569" s="556" t="s">
        <v>1527</v>
      </c>
    </row>
    <row r="570" ht="15.75" customHeight="1">
      <c r="B570" s="560"/>
      <c r="C570" s="568" t="s">
        <v>1878</v>
      </c>
      <c r="D570" s="558"/>
      <c r="E570" s="556" t="s">
        <v>1540</v>
      </c>
    </row>
    <row r="571" ht="15.75" customHeight="1">
      <c r="B571" s="560"/>
      <c r="C571" s="568" t="s">
        <v>1875</v>
      </c>
      <c r="D571" s="558">
        <v>201.0</v>
      </c>
      <c r="E571" s="556" t="s">
        <v>1530</v>
      </c>
    </row>
    <row r="572" ht="15.75" customHeight="1">
      <c r="B572" s="560"/>
      <c r="C572" s="556" t="s">
        <v>1886</v>
      </c>
      <c r="D572" s="558">
        <v>502.0</v>
      </c>
      <c r="E572" s="556" t="s">
        <v>1530</v>
      </c>
    </row>
    <row r="573" ht="15.75" customHeight="1">
      <c r="B573" s="560"/>
      <c r="C573" s="556" t="s">
        <v>1887</v>
      </c>
      <c r="D573" s="558">
        <v>108.0</v>
      </c>
      <c r="E573" s="556" t="s">
        <v>1530</v>
      </c>
    </row>
    <row r="574" ht="15.75" customHeight="1">
      <c r="B574" s="560"/>
      <c r="C574" s="556"/>
      <c r="D574" s="558"/>
      <c r="E574" s="556"/>
    </row>
    <row r="575" ht="15.75" customHeight="1">
      <c r="B575" s="560"/>
      <c r="C575" s="556"/>
      <c r="D575" s="558"/>
      <c r="E575" s="556"/>
    </row>
    <row r="576" ht="15.75" customHeight="1">
      <c r="B576" s="560"/>
      <c r="C576" s="556"/>
      <c r="D576" s="558"/>
      <c r="E576" s="556"/>
    </row>
    <row r="577" ht="15.75" customHeight="1">
      <c r="B577" s="560"/>
      <c r="C577" s="556"/>
      <c r="D577" s="558"/>
      <c r="E577" s="556"/>
    </row>
    <row r="578" ht="15.75" customHeight="1">
      <c r="B578" s="560"/>
      <c r="C578" s="556"/>
      <c r="D578" s="558"/>
      <c r="E578" s="556"/>
    </row>
    <row r="579" ht="15.75" customHeight="1">
      <c r="B579" s="560"/>
      <c r="C579" s="556"/>
      <c r="D579" s="558"/>
      <c r="E579" s="556"/>
    </row>
    <row r="580" ht="15.75" customHeight="1">
      <c r="B580" s="560"/>
      <c r="C580" s="556"/>
      <c r="D580" s="558"/>
      <c r="E580" s="556"/>
    </row>
    <row r="581" ht="15.75" customHeight="1">
      <c r="B581" s="560"/>
      <c r="C581" s="556"/>
      <c r="D581" s="558"/>
      <c r="E581" s="556"/>
    </row>
    <row r="582" ht="15.75" customHeight="1">
      <c r="B582" s="560"/>
      <c r="C582" s="556"/>
      <c r="D582" s="558"/>
      <c r="E582" s="556"/>
    </row>
    <row r="583" ht="15.75" customHeight="1">
      <c r="B583" s="560"/>
      <c r="C583" s="556"/>
      <c r="D583" s="558"/>
      <c r="E583" s="556"/>
    </row>
    <row r="584" ht="15.75" customHeight="1">
      <c r="B584" s="560"/>
      <c r="C584" s="556"/>
      <c r="D584" s="558"/>
      <c r="E584" s="556"/>
    </row>
    <row r="585" ht="15.75" customHeight="1">
      <c r="B585" s="560"/>
      <c r="C585" s="556"/>
      <c r="D585" s="558"/>
      <c r="E585" s="556"/>
    </row>
    <row r="586" ht="15.75" customHeight="1">
      <c r="B586" s="560"/>
      <c r="C586" s="556"/>
      <c r="D586" s="558"/>
      <c r="E586" s="556"/>
    </row>
    <row r="587" ht="15.75" customHeight="1">
      <c r="B587" s="560"/>
      <c r="C587" s="556"/>
      <c r="D587" s="558"/>
      <c r="E587" s="556"/>
    </row>
    <row r="588" ht="15.75" customHeight="1">
      <c r="B588" s="560"/>
      <c r="C588" s="556"/>
      <c r="D588" s="558"/>
      <c r="E588" s="556"/>
    </row>
    <row r="589" ht="15.75" customHeight="1">
      <c r="B589" s="560"/>
      <c r="C589" s="556"/>
      <c r="D589" s="558"/>
      <c r="E589" s="556"/>
    </row>
    <row r="590" ht="15.75" customHeight="1">
      <c r="B590" s="560"/>
      <c r="C590" s="556"/>
      <c r="D590" s="558"/>
      <c r="E590" s="556"/>
    </row>
    <row r="591" ht="15.75" customHeight="1">
      <c r="B591" s="560"/>
      <c r="C591" s="556"/>
      <c r="D591" s="558"/>
      <c r="E591" s="556"/>
    </row>
    <row r="592" ht="15.75" customHeight="1">
      <c r="B592" s="560"/>
      <c r="C592" s="556"/>
      <c r="D592" s="558"/>
      <c r="E592" s="556"/>
    </row>
    <row r="593" ht="15.75" customHeight="1">
      <c r="B593" s="560"/>
      <c r="C593" s="556"/>
      <c r="D593" s="558"/>
      <c r="E593" s="556"/>
    </row>
    <row r="594" ht="15.75" customHeight="1">
      <c r="B594" s="560"/>
      <c r="C594" s="556"/>
      <c r="D594" s="558"/>
      <c r="E594" s="556"/>
    </row>
    <row r="595" ht="15.75" customHeight="1">
      <c r="B595" s="560"/>
      <c r="C595" s="556"/>
      <c r="D595" s="558"/>
      <c r="E595" s="556"/>
    </row>
    <row r="596" ht="15.75" customHeight="1">
      <c r="B596" s="560"/>
      <c r="C596" s="556"/>
      <c r="D596" s="558"/>
      <c r="E596" s="556"/>
    </row>
    <row r="597" ht="15.75" customHeight="1">
      <c r="B597" s="560"/>
      <c r="C597" s="556"/>
      <c r="D597" s="558"/>
      <c r="E597" s="556"/>
    </row>
    <row r="598" ht="15.75" customHeight="1">
      <c r="B598" s="560"/>
      <c r="C598" s="556"/>
      <c r="D598" s="558"/>
      <c r="E598" s="556"/>
    </row>
    <row r="599" ht="15.75" customHeight="1">
      <c r="B599" s="560"/>
      <c r="C599" s="556"/>
      <c r="D599" s="558"/>
      <c r="E599" s="556"/>
    </row>
    <row r="600" ht="15.75" customHeight="1">
      <c r="B600" s="560"/>
      <c r="C600" s="556"/>
      <c r="D600" s="558"/>
      <c r="E600" s="556"/>
    </row>
    <row r="601" ht="15.75" customHeight="1">
      <c r="B601" s="560"/>
      <c r="C601" s="556"/>
      <c r="D601" s="558"/>
      <c r="E601" s="556"/>
    </row>
    <row r="602" ht="15.75" customHeight="1">
      <c r="B602" s="560"/>
      <c r="C602" s="556"/>
      <c r="D602" s="558"/>
      <c r="E602" s="556"/>
    </row>
    <row r="603" ht="15.75" customHeight="1">
      <c r="B603" s="560"/>
      <c r="C603" s="556"/>
      <c r="D603" s="558"/>
      <c r="E603" s="556"/>
    </row>
    <row r="604" ht="15.75" customHeight="1">
      <c r="B604" s="560"/>
      <c r="C604" s="556"/>
      <c r="D604" s="558"/>
      <c r="E604" s="556"/>
    </row>
    <row r="605" ht="15.75" customHeight="1">
      <c r="D605" s="577"/>
    </row>
    <row r="606" ht="15.75" customHeight="1">
      <c r="D606" s="577"/>
    </row>
    <row r="607" ht="15.75" customHeight="1">
      <c r="D607" s="577"/>
    </row>
    <row r="608" ht="15.75" customHeight="1">
      <c r="D608" s="577"/>
    </row>
    <row r="609" ht="15.75" customHeight="1">
      <c r="D609" s="577"/>
    </row>
    <row r="610" ht="15.75" customHeight="1">
      <c r="D610" s="577"/>
    </row>
    <row r="611" ht="15.75" customHeight="1">
      <c r="D611" s="577"/>
    </row>
    <row r="612" ht="15.75" customHeight="1">
      <c r="D612" s="577"/>
    </row>
    <row r="613" ht="15.75" customHeight="1">
      <c r="D613" s="577"/>
    </row>
    <row r="614" ht="15.75" customHeight="1">
      <c r="D614" s="577"/>
    </row>
    <row r="615" ht="15.75" customHeight="1">
      <c r="D615" s="577"/>
    </row>
    <row r="616" ht="15.75" customHeight="1">
      <c r="D616" s="577"/>
    </row>
    <row r="617" ht="15.75" customHeight="1">
      <c r="D617" s="577"/>
    </row>
    <row r="618" ht="15.75" customHeight="1">
      <c r="D618" s="577"/>
    </row>
    <row r="619" ht="15.75" customHeight="1">
      <c r="D619" s="577"/>
    </row>
    <row r="620" ht="15.75" customHeight="1">
      <c r="D620" s="577"/>
    </row>
    <row r="621" ht="15.75" customHeight="1">
      <c r="D621" s="577"/>
    </row>
    <row r="622" ht="15.75" customHeight="1">
      <c r="D622" s="577"/>
    </row>
    <row r="623" ht="15.75" customHeight="1">
      <c r="D623" s="577"/>
    </row>
    <row r="624" ht="15.75" customHeight="1">
      <c r="D624" s="577"/>
    </row>
    <row r="625" ht="15.75" customHeight="1">
      <c r="D625" s="577"/>
    </row>
    <row r="626" ht="15.75" customHeight="1">
      <c r="D626" s="577"/>
    </row>
    <row r="627" ht="15.75" customHeight="1">
      <c r="D627" s="577"/>
    </row>
    <row r="628" ht="15.75" customHeight="1">
      <c r="D628" s="577"/>
    </row>
    <row r="629" ht="15.75" customHeight="1">
      <c r="D629" s="577"/>
    </row>
    <row r="630" ht="15.75" customHeight="1">
      <c r="D630" s="577"/>
    </row>
    <row r="631" ht="15.75" customHeight="1">
      <c r="D631" s="577"/>
    </row>
    <row r="632" ht="15.75" customHeight="1">
      <c r="D632" s="577"/>
    </row>
    <row r="633" ht="15.75" customHeight="1">
      <c r="D633" s="577"/>
    </row>
    <row r="634" ht="15.75" customHeight="1">
      <c r="D634" s="577"/>
    </row>
    <row r="635" ht="15.75" customHeight="1">
      <c r="D635" s="577"/>
    </row>
    <row r="636" ht="15.75" customHeight="1">
      <c r="D636" s="577"/>
    </row>
    <row r="637" ht="15.75" customHeight="1">
      <c r="D637" s="577"/>
    </row>
    <row r="638" ht="15.75" customHeight="1">
      <c r="D638" s="577"/>
    </row>
    <row r="639" ht="15.75" customHeight="1">
      <c r="D639" s="577"/>
    </row>
    <row r="640" ht="15.75" customHeight="1">
      <c r="D640" s="577"/>
    </row>
    <row r="641" ht="15.75" customHeight="1">
      <c r="D641" s="577"/>
    </row>
    <row r="642" ht="15.75" customHeight="1">
      <c r="D642" s="577"/>
    </row>
    <row r="643" ht="15.75" customHeight="1">
      <c r="D643" s="577"/>
    </row>
    <row r="644" ht="15.75" customHeight="1">
      <c r="D644" s="577"/>
    </row>
    <row r="645" ht="15.75" customHeight="1">
      <c r="D645" s="577"/>
    </row>
    <row r="646" ht="15.75" customHeight="1">
      <c r="D646" s="577"/>
    </row>
    <row r="647" ht="15.75" customHeight="1">
      <c r="D647" s="577"/>
    </row>
    <row r="648" ht="15.75" customHeight="1">
      <c r="D648" s="577"/>
    </row>
    <row r="649" ht="15.75" customHeight="1">
      <c r="D649" s="577"/>
    </row>
    <row r="650" ht="15.75" customHeight="1">
      <c r="D650" s="577"/>
    </row>
    <row r="651" ht="15.75" customHeight="1">
      <c r="D651" s="577"/>
    </row>
    <row r="652" ht="15.75" customHeight="1">
      <c r="D652" s="577"/>
    </row>
    <row r="653" ht="15.75" customHeight="1">
      <c r="D653" s="577"/>
    </row>
    <row r="654" ht="15.75" customHeight="1">
      <c r="D654" s="577"/>
    </row>
    <row r="655" ht="15.75" customHeight="1">
      <c r="D655" s="577"/>
    </row>
    <row r="656" ht="15.75" customHeight="1">
      <c r="D656" s="577"/>
    </row>
    <row r="657" ht="15.75" customHeight="1">
      <c r="D657" s="577"/>
    </row>
    <row r="658" ht="15.75" customHeight="1">
      <c r="D658" s="577"/>
    </row>
    <row r="659" ht="15.75" customHeight="1">
      <c r="D659" s="577"/>
    </row>
    <row r="660" ht="15.75" customHeight="1">
      <c r="D660" s="577"/>
    </row>
    <row r="661" ht="15.75" customHeight="1">
      <c r="D661" s="577"/>
    </row>
    <row r="662" ht="15.75" customHeight="1">
      <c r="D662" s="577"/>
    </row>
    <row r="663" ht="15.75" customHeight="1">
      <c r="D663" s="577"/>
    </row>
    <row r="664" ht="15.75" customHeight="1">
      <c r="D664" s="577"/>
    </row>
    <row r="665" ht="15.75" customHeight="1">
      <c r="D665" s="577"/>
    </row>
    <row r="666" ht="15.75" customHeight="1">
      <c r="D666" s="577"/>
    </row>
    <row r="667" ht="15.75" customHeight="1">
      <c r="D667" s="577"/>
    </row>
    <row r="668" ht="15.75" customHeight="1">
      <c r="D668" s="577"/>
    </row>
    <row r="669" ht="15.75" customHeight="1">
      <c r="D669" s="577"/>
    </row>
    <row r="670" ht="15.75" customHeight="1">
      <c r="D670" s="577"/>
    </row>
    <row r="671" ht="15.75" customHeight="1">
      <c r="D671" s="577"/>
    </row>
    <row r="672" ht="15.75" customHeight="1">
      <c r="D672" s="577"/>
    </row>
    <row r="673" ht="15.75" customHeight="1">
      <c r="D673" s="577"/>
    </row>
    <row r="674" ht="15.75" customHeight="1">
      <c r="D674" s="577"/>
    </row>
    <row r="675" ht="15.75" customHeight="1">
      <c r="D675" s="577"/>
    </row>
    <row r="676" ht="15.75" customHeight="1">
      <c r="D676" s="577"/>
    </row>
    <row r="677" ht="15.75" customHeight="1">
      <c r="D677" s="577"/>
    </row>
    <row r="678" ht="15.75" customHeight="1">
      <c r="D678" s="577"/>
    </row>
    <row r="679" ht="15.75" customHeight="1">
      <c r="D679" s="577"/>
    </row>
    <row r="680" ht="15.75" customHeight="1">
      <c r="D680" s="577"/>
    </row>
    <row r="681" ht="15.75" customHeight="1">
      <c r="D681" s="577"/>
    </row>
    <row r="682" ht="15.75" customHeight="1">
      <c r="D682" s="577"/>
    </row>
    <row r="683" ht="15.75" customHeight="1">
      <c r="D683" s="577"/>
    </row>
    <row r="684" ht="15.75" customHeight="1">
      <c r="D684" s="577"/>
    </row>
    <row r="685" ht="15.75" customHeight="1">
      <c r="D685" s="577"/>
    </row>
    <row r="686" ht="15.75" customHeight="1">
      <c r="D686" s="577"/>
    </row>
    <row r="687" ht="15.75" customHeight="1">
      <c r="D687" s="577"/>
    </row>
    <row r="688" ht="15.75" customHeight="1">
      <c r="D688" s="577"/>
    </row>
    <row r="689" ht="15.75" customHeight="1">
      <c r="D689" s="577"/>
    </row>
    <row r="690" ht="15.75" customHeight="1">
      <c r="D690" s="577"/>
    </row>
    <row r="691" ht="15.75" customHeight="1">
      <c r="D691" s="577"/>
    </row>
    <row r="692" ht="15.75" customHeight="1">
      <c r="D692" s="577"/>
    </row>
    <row r="693" ht="15.75" customHeight="1">
      <c r="D693" s="577"/>
    </row>
    <row r="694" ht="15.75" customHeight="1">
      <c r="D694" s="577"/>
    </row>
    <row r="695" ht="15.75" customHeight="1">
      <c r="D695" s="577"/>
    </row>
    <row r="696" ht="15.75" customHeight="1">
      <c r="D696" s="577"/>
    </row>
    <row r="697" ht="15.75" customHeight="1">
      <c r="D697" s="577"/>
    </row>
    <row r="698" ht="15.75" customHeight="1">
      <c r="D698" s="577"/>
    </row>
    <row r="699" ht="15.75" customHeight="1">
      <c r="D699" s="577"/>
    </row>
    <row r="700" ht="15.75" customHeight="1">
      <c r="D700" s="577"/>
    </row>
    <row r="701" ht="15.75" customHeight="1">
      <c r="D701" s="577"/>
    </row>
    <row r="702" ht="15.75" customHeight="1">
      <c r="D702" s="577"/>
    </row>
    <row r="703" ht="15.75" customHeight="1">
      <c r="D703" s="577"/>
    </row>
    <row r="704" ht="15.75" customHeight="1">
      <c r="D704" s="577"/>
    </row>
    <row r="705" ht="15.75" customHeight="1">
      <c r="D705" s="577"/>
    </row>
    <row r="706" ht="15.75" customHeight="1">
      <c r="D706" s="577"/>
    </row>
    <row r="707" ht="15.75" customHeight="1">
      <c r="D707" s="577"/>
    </row>
    <row r="708" ht="15.75" customHeight="1">
      <c r="D708" s="577"/>
    </row>
    <row r="709" ht="15.75" customHeight="1">
      <c r="D709" s="577"/>
    </row>
    <row r="710" ht="15.75" customHeight="1">
      <c r="D710" s="577"/>
    </row>
    <row r="711" ht="15.75" customHeight="1">
      <c r="D711" s="577"/>
    </row>
    <row r="712" ht="15.75" customHeight="1">
      <c r="D712" s="577"/>
    </row>
    <row r="713" ht="15.75" customHeight="1">
      <c r="D713" s="577"/>
    </row>
    <row r="714" ht="15.75" customHeight="1">
      <c r="D714" s="577"/>
    </row>
    <row r="715" ht="15.75" customHeight="1">
      <c r="D715" s="577"/>
    </row>
    <row r="716" ht="15.75" customHeight="1">
      <c r="D716" s="577"/>
    </row>
    <row r="717" ht="15.75" customHeight="1">
      <c r="D717" s="577"/>
    </row>
    <row r="718" ht="15.75" customHeight="1">
      <c r="D718" s="577"/>
    </row>
    <row r="719" ht="15.75" customHeight="1">
      <c r="D719" s="577"/>
    </row>
    <row r="720" ht="15.75" customHeight="1">
      <c r="D720" s="577"/>
    </row>
    <row r="721" ht="15.75" customHeight="1">
      <c r="D721" s="577"/>
    </row>
    <row r="722" ht="15.75" customHeight="1">
      <c r="D722" s="577"/>
    </row>
    <row r="723" ht="15.75" customHeight="1">
      <c r="D723" s="577"/>
    </row>
    <row r="724" ht="15.75" customHeight="1">
      <c r="D724" s="577"/>
    </row>
    <row r="725" ht="15.75" customHeight="1">
      <c r="D725" s="577"/>
    </row>
    <row r="726" ht="15.75" customHeight="1">
      <c r="D726" s="577"/>
    </row>
    <row r="727" ht="15.75" customHeight="1">
      <c r="D727" s="577"/>
    </row>
    <row r="728" ht="15.75" customHeight="1">
      <c r="D728" s="577"/>
    </row>
    <row r="729" ht="15.75" customHeight="1">
      <c r="D729" s="577"/>
    </row>
    <row r="730" ht="15.75" customHeight="1">
      <c r="D730" s="577"/>
    </row>
    <row r="731" ht="15.75" customHeight="1">
      <c r="D731" s="577"/>
    </row>
    <row r="732" ht="15.75" customHeight="1">
      <c r="D732" s="577"/>
    </row>
    <row r="733" ht="15.75" customHeight="1">
      <c r="D733" s="577"/>
    </row>
    <row r="734" ht="15.75" customHeight="1">
      <c r="D734" s="577"/>
    </row>
    <row r="735" ht="15.75" customHeight="1">
      <c r="D735" s="577"/>
    </row>
    <row r="736" ht="15.75" customHeight="1">
      <c r="D736" s="577"/>
    </row>
    <row r="737" ht="15.75" customHeight="1">
      <c r="D737" s="577"/>
    </row>
    <row r="738" ht="15.75" customHeight="1">
      <c r="D738" s="577"/>
    </row>
    <row r="739" ht="15.75" customHeight="1">
      <c r="D739" s="577"/>
    </row>
    <row r="740" ht="15.75" customHeight="1">
      <c r="D740" s="577"/>
    </row>
    <row r="741" ht="15.75" customHeight="1">
      <c r="D741" s="577"/>
    </row>
    <row r="742" ht="15.75" customHeight="1">
      <c r="D742" s="577"/>
    </row>
    <row r="743" ht="15.75" customHeight="1">
      <c r="D743" s="577"/>
    </row>
    <row r="744" ht="15.75" customHeight="1">
      <c r="D744" s="577"/>
    </row>
    <row r="745" ht="15.75" customHeight="1">
      <c r="D745" s="577"/>
    </row>
    <row r="746" ht="15.75" customHeight="1">
      <c r="D746" s="577"/>
    </row>
    <row r="747" ht="15.75" customHeight="1">
      <c r="D747" s="577"/>
    </row>
    <row r="748" ht="15.75" customHeight="1">
      <c r="D748" s="577"/>
    </row>
    <row r="749" ht="15.75" customHeight="1">
      <c r="D749" s="577"/>
    </row>
    <row r="750" ht="15.75" customHeight="1">
      <c r="D750" s="577"/>
    </row>
    <row r="751" ht="15.75" customHeight="1">
      <c r="D751" s="577"/>
    </row>
    <row r="752" ht="15.75" customHeight="1">
      <c r="D752" s="577"/>
    </row>
    <row r="753" ht="15.75" customHeight="1">
      <c r="D753" s="577"/>
    </row>
    <row r="754" ht="15.75" customHeight="1">
      <c r="D754" s="577"/>
    </row>
    <row r="755" ht="15.75" customHeight="1">
      <c r="D755" s="577"/>
    </row>
    <row r="756" ht="15.75" customHeight="1">
      <c r="D756" s="577"/>
    </row>
    <row r="757" ht="15.75" customHeight="1">
      <c r="D757" s="577"/>
    </row>
    <row r="758" ht="15.75" customHeight="1">
      <c r="D758" s="577"/>
    </row>
    <row r="759" ht="15.75" customHeight="1">
      <c r="D759" s="577"/>
    </row>
    <row r="760" ht="15.75" customHeight="1">
      <c r="D760" s="577"/>
    </row>
    <row r="761" ht="15.75" customHeight="1">
      <c r="D761" s="577"/>
    </row>
    <row r="762" ht="15.75" customHeight="1">
      <c r="D762" s="577"/>
    </row>
    <row r="763" ht="15.75" customHeight="1">
      <c r="D763" s="577"/>
    </row>
    <row r="764" ht="15.75" customHeight="1">
      <c r="D764" s="577"/>
    </row>
    <row r="765" ht="15.75" customHeight="1">
      <c r="D765" s="577"/>
    </row>
    <row r="766" ht="15.75" customHeight="1">
      <c r="D766" s="577"/>
    </row>
    <row r="767" ht="15.75" customHeight="1">
      <c r="D767" s="577"/>
    </row>
    <row r="768" ht="15.75" customHeight="1">
      <c r="D768" s="577"/>
    </row>
    <row r="769" ht="15.75" customHeight="1">
      <c r="D769" s="577"/>
    </row>
    <row r="770" ht="15.75" customHeight="1">
      <c r="D770" s="577"/>
    </row>
    <row r="771" ht="15.75" customHeight="1">
      <c r="D771" s="577"/>
    </row>
    <row r="772" ht="15.75" customHeight="1">
      <c r="D772" s="577"/>
    </row>
    <row r="773" ht="15.75" customHeight="1">
      <c r="D773" s="577"/>
    </row>
    <row r="774" ht="15.75" customHeight="1">
      <c r="D774" s="577"/>
    </row>
    <row r="775" ht="15.75" customHeight="1">
      <c r="D775" s="577"/>
    </row>
    <row r="776" ht="15.75" customHeight="1">
      <c r="D776" s="577"/>
    </row>
    <row r="777" ht="15.75" customHeight="1">
      <c r="D777" s="577"/>
    </row>
    <row r="778" ht="15.75" customHeight="1">
      <c r="D778" s="577"/>
    </row>
    <row r="779" ht="15.75" customHeight="1">
      <c r="D779" s="577"/>
    </row>
    <row r="780" ht="15.75" customHeight="1">
      <c r="D780" s="577"/>
    </row>
    <row r="781" ht="15.75" customHeight="1">
      <c r="D781" s="577"/>
    </row>
    <row r="782" ht="15.75" customHeight="1">
      <c r="D782" s="577"/>
    </row>
    <row r="783" ht="15.75" customHeight="1">
      <c r="D783" s="577"/>
    </row>
    <row r="784" ht="15.75" customHeight="1">
      <c r="D784" s="577"/>
    </row>
    <row r="785" ht="15.75" customHeight="1">
      <c r="D785" s="577"/>
    </row>
    <row r="786" ht="15.75" customHeight="1">
      <c r="D786" s="577"/>
    </row>
    <row r="787" ht="15.75" customHeight="1">
      <c r="D787" s="577"/>
    </row>
    <row r="788" ht="15.75" customHeight="1">
      <c r="D788" s="577"/>
    </row>
    <row r="789" ht="15.75" customHeight="1">
      <c r="D789" s="577"/>
    </row>
    <row r="790" ht="15.75" customHeight="1">
      <c r="D790" s="577"/>
    </row>
    <row r="791" ht="15.75" customHeight="1">
      <c r="D791" s="577"/>
    </row>
    <row r="792" ht="15.75" customHeight="1">
      <c r="D792" s="577"/>
    </row>
    <row r="793" ht="15.75" customHeight="1">
      <c r="D793" s="577"/>
    </row>
    <row r="794" ht="15.75" customHeight="1">
      <c r="D794" s="577"/>
    </row>
    <row r="795" ht="15.75" customHeight="1">
      <c r="D795" s="577"/>
    </row>
    <row r="796" ht="15.75" customHeight="1">
      <c r="D796" s="577"/>
    </row>
    <row r="797" ht="15.75" customHeight="1">
      <c r="D797" s="577"/>
    </row>
    <row r="798" ht="15.75" customHeight="1">
      <c r="D798" s="577"/>
    </row>
    <row r="799" ht="15.75" customHeight="1">
      <c r="D799" s="577"/>
    </row>
    <row r="800" ht="15.75" customHeight="1">
      <c r="D800" s="577"/>
    </row>
    <row r="801" ht="15.75" customHeight="1">
      <c r="D801" s="577"/>
    </row>
    <row r="802" ht="15.75" customHeight="1">
      <c r="D802" s="577"/>
    </row>
    <row r="803" ht="15.75" customHeight="1">
      <c r="D803" s="577"/>
    </row>
    <row r="804" ht="15.75" customHeight="1">
      <c r="D804" s="577"/>
    </row>
    <row r="805" ht="15.75" customHeight="1">
      <c r="D805" s="577"/>
    </row>
    <row r="806" ht="15.75" customHeight="1">
      <c r="D806" s="577"/>
    </row>
    <row r="807" ht="15.75" customHeight="1">
      <c r="D807" s="577"/>
    </row>
    <row r="808" ht="15.75" customHeight="1">
      <c r="D808" s="577"/>
    </row>
    <row r="809" ht="15.75" customHeight="1">
      <c r="D809" s="577"/>
    </row>
    <row r="810" ht="15.75" customHeight="1">
      <c r="D810" s="577"/>
    </row>
    <row r="811" ht="15.75" customHeight="1">
      <c r="D811" s="577"/>
    </row>
    <row r="812" ht="15.75" customHeight="1">
      <c r="D812" s="577"/>
    </row>
    <row r="813" ht="15.75" customHeight="1">
      <c r="D813" s="577"/>
    </row>
    <row r="814" ht="15.75" customHeight="1">
      <c r="D814" s="577"/>
    </row>
    <row r="815" ht="15.75" customHeight="1">
      <c r="D815" s="577"/>
    </row>
    <row r="816" ht="15.75" customHeight="1">
      <c r="D816" s="577"/>
    </row>
    <row r="817" ht="15.75" customHeight="1">
      <c r="D817" s="577"/>
    </row>
    <row r="818" ht="15.75" customHeight="1">
      <c r="D818" s="577"/>
    </row>
    <row r="819" ht="15.75" customHeight="1">
      <c r="D819" s="577"/>
    </row>
    <row r="820" ht="15.75" customHeight="1">
      <c r="D820" s="577"/>
    </row>
    <row r="821" ht="15.75" customHeight="1">
      <c r="D821" s="577"/>
    </row>
    <row r="822" ht="15.75" customHeight="1">
      <c r="D822" s="577"/>
    </row>
    <row r="823" ht="15.75" customHeight="1">
      <c r="D823" s="577"/>
    </row>
    <row r="824" ht="15.75" customHeight="1">
      <c r="D824" s="577"/>
    </row>
    <row r="825" ht="15.75" customHeight="1">
      <c r="D825" s="577"/>
    </row>
    <row r="826" ht="15.75" customHeight="1">
      <c r="D826" s="577"/>
    </row>
    <row r="827" ht="15.75" customHeight="1">
      <c r="D827" s="577"/>
    </row>
    <row r="828" ht="15.75" customHeight="1">
      <c r="D828" s="577"/>
    </row>
    <row r="829" ht="15.75" customHeight="1">
      <c r="D829" s="577"/>
    </row>
    <row r="830" ht="15.75" customHeight="1">
      <c r="D830" s="577"/>
    </row>
    <row r="831" ht="15.75" customHeight="1">
      <c r="D831" s="577"/>
    </row>
    <row r="832" ht="15.75" customHeight="1">
      <c r="D832" s="577"/>
    </row>
    <row r="833" ht="15.75" customHeight="1">
      <c r="D833" s="577"/>
    </row>
    <row r="834" ht="15.75" customHeight="1">
      <c r="D834" s="577"/>
    </row>
    <row r="835" ht="15.75" customHeight="1">
      <c r="D835" s="577"/>
    </row>
    <row r="836" ht="15.75" customHeight="1">
      <c r="D836" s="577"/>
    </row>
    <row r="837" ht="15.75" customHeight="1">
      <c r="D837" s="577"/>
    </row>
    <row r="838" ht="15.75" customHeight="1">
      <c r="D838" s="577"/>
    </row>
    <row r="839" ht="15.75" customHeight="1">
      <c r="D839" s="577"/>
    </row>
    <row r="840" ht="15.75" customHeight="1">
      <c r="D840" s="577"/>
    </row>
    <row r="841" ht="15.75" customHeight="1">
      <c r="D841" s="577"/>
    </row>
    <row r="842" ht="15.75" customHeight="1">
      <c r="D842" s="577"/>
    </row>
    <row r="843" ht="15.75" customHeight="1">
      <c r="D843" s="577"/>
    </row>
    <row r="844" ht="15.75" customHeight="1">
      <c r="D844" s="577"/>
    </row>
    <row r="845" ht="15.75" customHeight="1">
      <c r="D845" s="577"/>
    </row>
    <row r="846" ht="15.75" customHeight="1">
      <c r="D846" s="577"/>
    </row>
    <row r="847" ht="15.75" customHeight="1">
      <c r="D847" s="577"/>
    </row>
    <row r="848" ht="15.75" customHeight="1">
      <c r="D848" s="577"/>
    </row>
    <row r="849" ht="15.75" customHeight="1">
      <c r="D849" s="577"/>
    </row>
    <row r="850" ht="15.75" customHeight="1">
      <c r="D850" s="577"/>
    </row>
    <row r="851" ht="15.75" customHeight="1">
      <c r="D851" s="577"/>
    </row>
    <row r="852" ht="15.75" customHeight="1">
      <c r="D852" s="577"/>
    </row>
    <row r="853" ht="15.75" customHeight="1">
      <c r="D853" s="577"/>
    </row>
    <row r="854" ht="15.75" customHeight="1">
      <c r="D854" s="577"/>
    </row>
    <row r="855" ht="15.75" customHeight="1">
      <c r="D855" s="577"/>
    </row>
    <row r="856" ht="15.75" customHeight="1">
      <c r="D856" s="577"/>
    </row>
    <row r="857" ht="15.75" customHeight="1">
      <c r="D857" s="577"/>
    </row>
    <row r="858" ht="15.75" customHeight="1">
      <c r="D858" s="577"/>
    </row>
    <row r="859" ht="15.75" customHeight="1">
      <c r="D859" s="577"/>
    </row>
    <row r="860" ht="15.75" customHeight="1">
      <c r="D860" s="577"/>
    </row>
    <row r="861" ht="15.75" customHeight="1">
      <c r="D861" s="577"/>
    </row>
    <row r="862" ht="15.75" customHeight="1">
      <c r="D862" s="577"/>
    </row>
    <row r="863" ht="15.75" customHeight="1">
      <c r="D863" s="577"/>
    </row>
    <row r="864" ht="15.75" customHeight="1">
      <c r="D864" s="577"/>
    </row>
    <row r="865" ht="15.75" customHeight="1">
      <c r="D865" s="577"/>
    </row>
    <row r="866" ht="15.75" customHeight="1">
      <c r="D866" s="577"/>
    </row>
    <row r="867" ht="15.75" customHeight="1">
      <c r="D867" s="577"/>
    </row>
    <row r="868" ht="15.75" customHeight="1">
      <c r="D868" s="577"/>
    </row>
    <row r="869" ht="15.75" customHeight="1">
      <c r="D869" s="577"/>
    </row>
    <row r="870" ht="15.75" customHeight="1">
      <c r="D870" s="577"/>
    </row>
    <row r="871" ht="15.75" customHeight="1">
      <c r="D871" s="577"/>
    </row>
    <row r="872" ht="15.75" customHeight="1">
      <c r="D872" s="577"/>
    </row>
    <row r="873" ht="15.75" customHeight="1">
      <c r="D873" s="577"/>
    </row>
    <row r="874" ht="15.75" customHeight="1">
      <c r="D874" s="577"/>
    </row>
    <row r="875" ht="15.75" customHeight="1">
      <c r="D875" s="577"/>
    </row>
    <row r="876" ht="15.75" customHeight="1">
      <c r="D876" s="577"/>
    </row>
    <row r="877" ht="15.75" customHeight="1">
      <c r="D877" s="577"/>
    </row>
    <row r="878" ht="15.75" customHeight="1">
      <c r="D878" s="577"/>
    </row>
    <row r="879" ht="15.75" customHeight="1">
      <c r="D879" s="577"/>
    </row>
    <row r="880" ht="15.75" customHeight="1">
      <c r="D880" s="577"/>
    </row>
    <row r="881" ht="15.75" customHeight="1">
      <c r="D881" s="577"/>
    </row>
    <row r="882" ht="15.75" customHeight="1">
      <c r="D882" s="577"/>
    </row>
    <row r="883" ht="15.75" customHeight="1">
      <c r="D883" s="577"/>
    </row>
    <row r="884" ht="15.75" customHeight="1">
      <c r="D884" s="577"/>
    </row>
    <row r="885" ht="15.75" customHeight="1">
      <c r="D885" s="577"/>
    </row>
    <row r="886" ht="15.75" customHeight="1">
      <c r="D886" s="577"/>
    </row>
    <row r="887" ht="15.75" customHeight="1">
      <c r="D887" s="577"/>
    </row>
    <row r="888" ht="15.75" customHeight="1">
      <c r="D888" s="577"/>
    </row>
    <row r="889" ht="15.75" customHeight="1">
      <c r="D889" s="577"/>
    </row>
    <row r="890" ht="15.75" customHeight="1">
      <c r="D890" s="577"/>
    </row>
    <row r="891" ht="15.75" customHeight="1">
      <c r="D891" s="577"/>
    </row>
    <row r="892" ht="15.75" customHeight="1">
      <c r="D892" s="577"/>
    </row>
    <row r="893" ht="15.75" customHeight="1">
      <c r="D893" s="577"/>
    </row>
    <row r="894" ht="15.75" customHeight="1">
      <c r="D894" s="577"/>
    </row>
    <row r="895" ht="15.75" customHeight="1">
      <c r="D895" s="577"/>
    </row>
    <row r="896" ht="15.75" customHeight="1">
      <c r="D896" s="577"/>
    </row>
    <row r="897" ht="15.75" customHeight="1">
      <c r="D897" s="577"/>
    </row>
    <row r="898" ht="15.75" customHeight="1">
      <c r="D898" s="577"/>
    </row>
    <row r="899" ht="15.75" customHeight="1">
      <c r="D899" s="577"/>
    </row>
    <row r="900" ht="15.75" customHeight="1">
      <c r="D900" s="577"/>
    </row>
    <row r="901" ht="15.75" customHeight="1">
      <c r="D901" s="577"/>
    </row>
    <row r="902" ht="15.75" customHeight="1">
      <c r="D902" s="577"/>
    </row>
    <row r="903" ht="15.75" customHeight="1">
      <c r="D903" s="577"/>
    </row>
    <row r="904" ht="15.75" customHeight="1">
      <c r="D904" s="577"/>
    </row>
    <row r="905" ht="15.75" customHeight="1">
      <c r="D905" s="577"/>
    </row>
    <row r="906" ht="15.75" customHeight="1">
      <c r="D906" s="577"/>
    </row>
    <row r="907" ht="15.75" customHeight="1">
      <c r="D907" s="577"/>
    </row>
    <row r="908" ht="15.75" customHeight="1">
      <c r="D908" s="577"/>
    </row>
    <row r="909" ht="15.75" customHeight="1">
      <c r="D909" s="577"/>
    </row>
    <row r="910" ht="15.75" customHeight="1">
      <c r="D910" s="577"/>
    </row>
    <row r="911" ht="15.75" customHeight="1">
      <c r="D911" s="577"/>
    </row>
    <row r="912" ht="15.75" customHeight="1">
      <c r="D912" s="577"/>
    </row>
    <row r="913" ht="15.75" customHeight="1">
      <c r="D913" s="577"/>
    </row>
    <row r="914" ht="15.75" customHeight="1">
      <c r="D914" s="577"/>
    </row>
    <row r="915" ht="15.75" customHeight="1">
      <c r="D915" s="577"/>
    </row>
    <row r="916" ht="15.75" customHeight="1">
      <c r="D916" s="577"/>
    </row>
    <row r="917" ht="15.75" customHeight="1">
      <c r="D917" s="577"/>
    </row>
    <row r="918" ht="15.75" customHeight="1">
      <c r="D918" s="577"/>
    </row>
    <row r="919" ht="15.75" customHeight="1">
      <c r="D919" s="577"/>
    </row>
    <row r="920" ht="15.75" customHeight="1">
      <c r="D920" s="577"/>
    </row>
    <row r="921" ht="15.75" customHeight="1">
      <c r="D921" s="577"/>
    </row>
    <row r="922" ht="15.75" customHeight="1">
      <c r="D922" s="577"/>
    </row>
    <row r="923" ht="15.75" customHeight="1">
      <c r="D923" s="577"/>
    </row>
    <row r="924" ht="15.75" customHeight="1">
      <c r="D924" s="577"/>
    </row>
    <row r="925" ht="15.75" customHeight="1">
      <c r="D925" s="577"/>
    </row>
    <row r="926" ht="15.75" customHeight="1">
      <c r="D926" s="577"/>
    </row>
    <row r="927" ht="15.75" customHeight="1">
      <c r="D927" s="577"/>
    </row>
    <row r="928" ht="15.75" customHeight="1">
      <c r="D928" s="577"/>
    </row>
    <row r="929" ht="15.75" customHeight="1">
      <c r="D929" s="577"/>
    </row>
    <row r="930" ht="15.75" customHeight="1">
      <c r="D930" s="577"/>
    </row>
    <row r="931" ht="15.75" customHeight="1">
      <c r="D931" s="577"/>
    </row>
    <row r="932" ht="15.75" customHeight="1">
      <c r="D932" s="577"/>
    </row>
    <row r="933" ht="15.75" customHeight="1">
      <c r="D933" s="577"/>
    </row>
    <row r="934" ht="15.75" customHeight="1">
      <c r="D934" s="577"/>
    </row>
    <row r="935" ht="15.75" customHeight="1">
      <c r="D935" s="577"/>
    </row>
    <row r="936" ht="15.75" customHeight="1">
      <c r="D936" s="577"/>
    </row>
    <row r="937" ht="15.75" customHeight="1">
      <c r="D937" s="577"/>
    </row>
    <row r="938" ht="15.75" customHeight="1">
      <c r="D938" s="577"/>
    </row>
    <row r="939" ht="15.75" customHeight="1">
      <c r="D939" s="577"/>
    </row>
    <row r="940" ht="15.75" customHeight="1">
      <c r="D940" s="577"/>
    </row>
    <row r="941" ht="15.75" customHeight="1">
      <c r="D941" s="577"/>
    </row>
    <row r="942" ht="15.75" customHeight="1">
      <c r="D942" s="577"/>
    </row>
    <row r="943" ht="15.75" customHeight="1">
      <c r="D943" s="577"/>
    </row>
    <row r="944" ht="15.75" customHeight="1">
      <c r="D944" s="577"/>
    </row>
    <row r="945" ht="15.75" customHeight="1">
      <c r="D945" s="577"/>
    </row>
    <row r="946" ht="15.75" customHeight="1">
      <c r="D946" s="577"/>
    </row>
    <row r="947" ht="15.75" customHeight="1">
      <c r="D947" s="577"/>
    </row>
    <row r="948" ht="15.75" customHeight="1">
      <c r="D948" s="577"/>
    </row>
    <row r="949" ht="15.75" customHeight="1">
      <c r="D949" s="577"/>
    </row>
    <row r="950" ht="15.75" customHeight="1">
      <c r="D950" s="577"/>
    </row>
    <row r="951" ht="15.75" customHeight="1">
      <c r="D951" s="577"/>
    </row>
    <row r="952" ht="15.75" customHeight="1">
      <c r="D952" s="577"/>
    </row>
    <row r="953" ht="15.75" customHeight="1">
      <c r="D953" s="577"/>
    </row>
    <row r="954" ht="15.75" customHeight="1">
      <c r="D954" s="577"/>
    </row>
    <row r="955" ht="15.75" customHeight="1">
      <c r="D955" s="577"/>
    </row>
    <row r="956" ht="15.75" customHeight="1">
      <c r="D956" s="577"/>
    </row>
    <row r="957" ht="15.75" customHeight="1">
      <c r="D957" s="577"/>
    </row>
    <row r="958" ht="15.75" customHeight="1">
      <c r="D958" s="577"/>
    </row>
    <row r="959" ht="15.75" customHeight="1">
      <c r="D959" s="577"/>
    </row>
    <row r="960" ht="15.75" customHeight="1">
      <c r="D960" s="577"/>
    </row>
    <row r="961" ht="15.75" customHeight="1">
      <c r="D961" s="577"/>
    </row>
    <row r="962" ht="15.75" customHeight="1">
      <c r="D962" s="577"/>
    </row>
    <row r="963" ht="15.75" customHeight="1">
      <c r="D963" s="577"/>
    </row>
    <row r="964" ht="15.75" customHeight="1">
      <c r="D964" s="577"/>
    </row>
    <row r="965" ht="15.75" customHeight="1">
      <c r="D965" s="577"/>
    </row>
    <row r="966" ht="15.75" customHeight="1">
      <c r="D966" s="577"/>
    </row>
    <row r="967" ht="15.75" customHeight="1">
      <c r="D967" s="577"/>
    </row>
    <row r="968" ht="15.75" customHeight="1">
      <c r="D968" s="577"/>
    </row>
    <row r="969" ht="15.75" customHeight="1">
      <c r="D969" s="577"/>
    </row>
    <row r="970" ht="15.75" customHeight="1">
      <c r="D970" s="577"/>
    </row>
    <row r="971" ht="15.75" customHeight="1">
      <c r="D971" s="577"/>
    </row>
    <row r="972" ht="15.75" customHeight="1">
      <c r="D972" s="577"/>
    </row>
    <row r="973" ht="15.75" customHeight="1">
      <c r="D973" s="577"/>
    </row>
    <row r="974" ht="15.75" customHeight="1">
      <c r="D974" s="577"/>
    </row>
    <row r="975" ht="15.75" customHeight="1">
      <c r="D975" s="577"/>
    </row>
    <row r="976" ht="15.75" customHeight="1">
      <c r="D976" s="577"/>
    </row>
    <row r="977" ht="15.75" customHeight="1">
      <c r="D977" s="577"/>
    </row>
    <row r="978" ht="15.75" customHeight="1">
      <c r="D978" s="577"/>
    </row>
    <row r="979" ht="15.75" customHeight="1">
      <c r="D979" s="577"/>
    </row>
    <row r="980" ht="15.75" customHeight="1">
      <c r="D980" s="577"/>
    </row>
    <row r="981" ht="15.75" customHeight="1">
      <c r="D981" s="577"/>
    </row>
    <row r="982" ht="15.75" customHeight="1">
      <c r="D982" s="577"/>
    </row>
    <row r="983" ht="15.75" customHeight="1">
      <c r="D983" s="577"/>
    </row>
    <row r="984" ht="15.75" customHeight="1">
      <c r="D984" s="577"/>
    </row>
    <row r="985" ht="15.75" customHeight="1">
      <c r="D985" s="577"/>
    </row>
    <row r="986" ht="15.75" customHeight="1">
      <c r="D986" s="577"/>
    </row>
    <row r="987" ht="15.75" customHeight="1">
      <c r="D987" s="577"/>
    </row>
    <row r="988" ht="15.75" customHeight="1">
      <c r="D988" s="577"/>
    </row>
    <row r="989" ht="15.75" customHeight="1">
      <c r="D989" s="577"/>
    </row>
    <row r="990" ht="15.75" customHeight="1">
      <c r="D990" s="577"/>
    </row>
    <row r="991" ht="15.75" customHeight="1">
      <c r="D991" s="577"/>
    </row>
    <row r="992" ht="15.75" customHeight="1">
      <c r="D992" s="577"/>
    </row>
    <row r="993" ht="15.75" customHeight="1">
      <c r="D993" s="577"/>
    </row>
    <row r="994" ht="15.75" customHeight="1">
      <c r="D994" s="577"/>
    </row>
    <row r="995" ht="15.75" customHeight="1">
      <c r="D995" s="577"/>
    </row>
    <row r="996" ht="15.75" customHeight="1">
      <c r="D996" s="577"/>
    </row>
    <row r="997" ht="15.75" customHeight="1">
      <c r="D997" s="577"/>
    </row>
    <row r="998" ht="15.75" customHeight="1">
      <c r="D998" s="577"/>
    </row>
    <row r="999" ht="15.75" customHeight="1">
      <c r="D999" s="577"/>
    </row>
    <row r="1000" ht="15.75" customHeight="1">
      <c r="D1000" s="577"/>
    </row>
    <row r="1001" ht="15.75" customHeight="1">
      <c r="D1001" s="577"/>
    </row>
    <row r="1002" ht="15.75" customHeight="1">
      <c r="D1002" s="577"/>
    </row>
    <row r="1003" ht="15.75" customHeight="1">
      <c r="D1003" s="577"/>
    </row>
    <row r="1004" ht="15.75" customHeight="1">
      <c r="D1004" s="577"/>
    </row>
    <row r="1005" ht="15.75" customHeight="1">
      <c r="D1005" s="577"/>
    </row>
    <row r="1006" ht="15.75" customHeight="1">
      <c r="D1006" s="577"/>
    </row>
    <row r="1007" ht="15.75" customHeight="1">
      <c r="D1007" s="577"/>
    </row>
    <row r="1008" ht="15.75" customHeight="1">
      <c r="D1008" s="577"/>
    </row>
    <row r="1009" ht="15.75" customHeight="1">
      <c r="D1009" s="577"/>
    </row>
    <row r="1010" ht="15.75" customHeight="1">
      <c r="D1010" s="577"/>
    </row>
    <row r="1011" ht="15.75" customHeight="1">
      <c r="D1011" s="577"/>
    </row>
    <row r="1012" ht="15.75" customHeight="1">
      <c r="D1012" s="577"/>
    </row>
    <row r="1013" ht="15.75" customHeight="1">
      <c r="D1013" s="577"/>
    </row>
    <row r="1014" ht="15.75" customHeight="1">
      <c r="D1014" s="577"/>
    </row>
    <row r="1015" ht="15.75" customHeight="1">
      <c r="D1015" s="577"/>
    </row>
    <row r="1016" ht="15.75" customHeight="1">
      <c r="D1016" s="577"/>
    </row>
    <row r="1017" ht="15.75" customHeight="1">
      <c r="D1017" s="577"/>
    </row>
    <row r="1018" ht="15.75" customHeight="1">
      <c r="D1018" s="577"/>
    </row>
    <row r="1019" ht="15.75" customHeight="1">
      <c r="D1019" s="577"/>
    </row>
    <row r="1020" ht="15.75" customHeight="1">
      <c r="D1020" s="577"/>
    </row>
    <row r="1021" ht="15.75" customHeight="1">
      <c r="D1021" s="577"/>
    </row>
    <row r="1022" ht="15.75" customHeight="1">
      <c r="D1022" s="577"/>
    </row>
    <row r="1023" ht="15.75" customHeight="1">
      <c r="D1023" s="577"/>
    </row>
    <row r="1024" ht="15.75" customHeight="1">
      <c r="D1024" s="577"/>
    </row>
    <row r="1025" ht="15.75" customHeight="1">
      <c r="D1025" s="577"/>
    </row>
    <row r="1026" ht="15.75" customHeight="1">
      <c r="D1026" s="577"/>
    </row>
    <row r="1027" ht="15.75" customHeight="1">
      <c r="D1027" s="577"/>
    </row>
    <row r="1028" ht="15.75" customHeight="1">
      <c r="D1028" s="577"/>
    </row>
    <row r="1029" ht="15.75" customHeight="1">
      <c r="D1029" s="577"/>
    </row>
    <row r="1030" ht="15.75" customHeight="1">
      <c r="D1030" s="577"/>
    </row>
    <row r="1031" ht="15.75" customHeight="1">
      <c r="D1031" s="577"/>
    </row>
    <row r="1032" ht="15.75" customHeight="1">
      <c r="D1032" s="577"/>
    </row>
    <row r="1033" ht="15.75" customHeight="1">
      <c r="D1033" s="577"/>
    </row>
    <row r="1034" ht="15.75" customHeight="1">
      <c r="D1034" s="577"/>
    </row>
    <row r="1035" ht="15.75" customHeight="1">
      <c r="D1035" s="577"/>
    </row>
    <row r="1036" ht="15.75" customHeight="1">
      <c r="D1036" s="577"/>
    </row>
    <row r="1037" ht="15.75" customHeight="1">
      <c r="D1037" s="577"/>
    </row>
    <row r="1038" ht="15.75" customHeight="1">
      <c r="D1038" s="577"/>
    </row>
    <row r="1039" ht="15.75" customHeight="1">
      <c r="D1039" s="577"/>
    </row>
    <row r="1040" ht="15.75" customHeight="1">
      <c r="D1040" s="577"/>
    </row>
    <row r="1041" ht="15.75" customHeight="1">
      <c r="D1041" s="577"/>
    </row>
    <row r="1042" ht="15.75" customHeight="1">
      <c r="D1042" s="577"/>
    </row>
    <row r="1043" ht="15.75" customHeight="1">
      <c r="D1043" s="577"/>
    </row>
    <row r="1044" ht="15.75" customHeight="1">
      <c r="D1044" s="577"/>
    </row>
    <row r="1045" ht="15.75" customHeight="1">
      <c r="D1045" s="577"/>
    </row>
    <row r="1046" ht="15.75" customHeight="1">
      <c r="D1046" s="577"/>
    </row>
    <row r="1047" ht="15.75" customHeight="1">
      <c r="D1047" s="577"/>
    </row>
    <row r="1048" ht="15.75" customHeight="1">
      <c r="D1048" s="577"/>
    </row>
    <row r="1049" ht="15.75" customHeight="1">
      <c r="D1049" s="577"/>
    </row>
    <row r="1050" ht="15.75" customHeight="1">
      <c r="D1050" s="577"/>
    </row>
    <row r="1051" ht="15.75" customHeight="1">
      <c r="D1051" s="577"/>
    </row>
    <row r="1052" ht="15.75" customHeight="1">
      <c r="D1052" s="577"/>
    </row>
    <row r="1053" ht="15.75" customHeight="1">
      <c r="D1053" s="577"/>
    </row>
    <row r="1054" ht="15.75" customHeight="1">
      <c r="D1054" s="577"/>
    </row>
    <row r="1055" ht="15.75" customHeight="1">
      <c r="D1055" s="577"/>
    </row>
    <row r="1056" ht="15.75" customHeight="1">
      <c r="D1056" s="577"/>
    </row>
    <row r="1057" ht="15.75" customHeight="1">
      <c r="D1057" s="577"/>
    </row>
    <row r="1058" ht="15.75" customHeight="1">
      <c r="D1058" s="577"/>
    </row>
    <row r="1059" ht="15.75" customHeight="1">
      <c r="D1059" s="577"/>
    </row>
    <row r="1060" ht="15.75" customHeight="1">
      <c r="D1060" s="577"/>
    </row>
    <row r="1061" ht="15.75" customHeight="1">
      <c r="D1061" s="577"/>
    </row>
    <row r="1062" ht="15.75" customHeight="1">
      <c r="D1062" s="577"/>
    </row>
    <row r="1063" ht="15.75" customHeight="1">
      <c r="D1063" s="577"/>
    </row>
    <row r="1064" ht="15.75" customHeight="1">
      <c r="D1064" s="577"/>
    </row>
    <row r="1065" ht="15.75" customHeight="1">
      <c r="D1065" s="577"/>
    </row>
    <row r="1066" ht="15.75" customHeight="1">
      <c r="D1066" s="577"/>
    </row>
    <row r="1067" ht="15.75" customHeight="1">
      <c r="D1067" s="577"/>
    </row>
    <row r="1068" ht="15.75" customHeight="1">
      <c r="D1068" s="577"/>
    </row>
    <row r="1069" ht="15.75" customHeight="1">
      <c r="D1069" s="577"/>
    </row>
    <row r="1070" ht="15.75" customHeight="1">
      <c r="D1070" s="577"/>
    </row>
    <row r="1071" ht="15.75" customHeight="1">
      <c r="D1071" s="577"/>
    </row>
    <row r="1072" ht="15.75" customHeight="1">
      <c r="D1072" s="577"/>
    </row>
    <row r="1073" ht="15.75" customHeight="1">
      <c r="D1073" s="577"/>
    </row>
    <row r="1074" ht="15.75" customHeight="1">
      <c r="D1074" s="577"/>
    </row>
    <row r="1075" ht="15.75" customHeight="1">
      <c r="D1075" s="577"/>
    </row>
    <row r="1076" ht="15.75" customHeight="1">
      <c r="D1076" s="577"/>
    </row>
    <row r="1077" ht="15.75" customHeight="1">
      <c r="D1077" s="577"/>
    </row>
    <row r="1078" ht="15.75" customHeight="1">
      <c r="D1078" s="577"/>
    </row>
    <row r="1079" ht="15.75" customHeight="1">
      <c r="D1079" s="577"/>
    </row>
    <row r="1080" ht="15.75" customHeight="1">
      <c r="D1080" s="577"/>
    </row>
    <row r="1081" ht="15.75" customHeight="1">
      <c r="D1081" s="577"/>
    </row>
    <row r="1082" ht="15.75" customHeight="1">
      <c r="D1082" s="577"/>
    </row>
    <row r="1083" ht="15.75" customHeight="1">
      <c r="D1083" s="577"/>
    </row>
    <row r="1084" ht="15.75" customHeight="1">
      <c r="D1084" s="577"/>
    </row>
    <row r="1085" ht="15.75" customHeight="1">
      <c r="D1085" s="577"/>
    </row>
    <row r="1086" ht="15.75" customHeight="1">
      <c r="D1086" s="577"/>
    </row>
    <row r="1087" ht="15.75" customHeight="1">
      <c r="D1087" s="577"/>
    </row>
    <row r="1088" ht="15.75" customHeight="1">
      <c r="D1088" s="577"/>
    </row>
    <row r="1089" ht="15.75" customHeight="1">
      <c r="D1089" s="577"/>
    </row>
    <row r="1090" ht="15.75" customHeight="1">
      <c r="D1090" s="577"/>
    </row>
    <row r="1091" ht="15.75" customHeight="1">
      <c r="D1091" s="577"/>
    </row>
    <row r="1092" ht="15.75" customHeight="1">
      <c r="D1092" s="577"/>
    </row>
    <row r="1093" ht="15.75" customHeight="1">
      <c r="D1093" s="577"/>
    </row>
    <row r="1094" ht="15.75" customHeight="1">
      <c r="D1094" s="577"/>
    </row>
    <row r="1095" ht="15.75" customHeight="1">
      <c r="D1095" s="577"/>
    </row>
    <row r="1096" ht="15.75" customHeight="1">
      <c r="D1096" s="577"/>
    </row>
    <row r="1097" ht="15.75" customHeight="1">
      <c r="D1097" s="577"/>
    </row>
    <row r="1098" ht="15.75" customHeight="1">
      <c r="D1098" s="577"/>
    </row>
    <row r="1099" ht="15.75" customHeight="1">
      <c r="D1099" s="577"/>
    </row>
    <row r="1100" ht="15.75" customHeight="1">
      <c r="D1100" s="577"/>
    </row>
    <row r="1101" ht="15.75" customHeight="1">
      <c r="D1101" s="577"/>
    </row>
    <row r="1102" ht="15.75" customHeight="1">
      <c r="D1102" s="577"/>
    </row>
    <row r="1103" ht="15.75" customHeight="1">
      <c r="D1103" s="577"/>
    </row>
    <row r="1104" ht="15.75" customHeight="1">
      <c r="D1104" s="577"/>
    </row>
    <row r="1105" ht="15.75" customHeight="1">
      <c r="D1105" s="577"/>
    </row>
    <row r="1106" ht="15.75" customHeight="1">
      <c r="D1106" s="577"/>
    </row>
    <row r="1107" ht="15.75" customHeight="1">
      <c r="D1107" s="577"/>
    </row>
    <row r="1108" ht="15.75" customHeight="1">
      <c r="D1108" s="577"/>
    </row>
    <row r="1109" ht="15.75" customHeight="1">
      <c r="D1109" s="577"/>
    </row>
    <row r="1110" ht="15.75" customHeight="1">
      <c r="D1110" s="577"/>
    </row>
    <row r="1111" ht="15.75" customHeight="1">
      <c r="D1111" s="577"/>
    </row>
    <row r="1112" ht="15.75" customHeight="1">
      <c r="D1112" s="577"/>
    </row>
    <row r="1113" ht="15.75" customHeight="1">
      <c r="D1113" s="577"/>
    </row>
    <row r="1114" ht="15.75" customHeight="1">
      <c r="D1114" s="577"/>
    </row>
    <row r="1115" ht="15.75" customHeight="1">
      <c r="D1115" s="577"/>
    </row>
    <row r="1116" ht="15.75" customHeight="1">
      <c r="D1116" s="577"/>
    </row>
    <row r="1117" ht="15.75" customHeight="1">
      <c r="D1117" s="577"/>
    </row>
    <row r="1118" ht="15.75" customHeight="1">
      <c r="D1118" s="577"/>
    </row>
    <row r="1119" ht="15.75" customHeight="1">
      <c r="D1119" s="577"/>
    </row>
    <row r="1120" ht="15.75" customHeight="1">
      <c r="D1120" s="577"/>
    </row>
    <row r="1121" ht="15.75" customHeight="1">
      <c r="D1121" s="577"/>
    </row>
    <row r="1122" ht="15.75" customHeight="1">
      <c r="D1122" s="577"/>
    </row>
    <row r="1123" ht="15.75" customHeight="1">
      <c r="D1123" s="577"/>
    </row>
    <row r="1124" ht="15.75" customHeight="1">
      <c r="D1124" s="577"/>
    </row>
    <row r="1125" ht="15.75" customHeight="1">
      <c r="D1125" s="577"/>
    </row>
    <row r="1126" ht="15.75" customHeight="1">
      <c r="D1126" s="577"/>
    </row>
    <row r="1127" ht="15.75" customHeight="1">
      <c r="D1127" s="577"/>
    </row>
    <row r="1128" ht="15.75" customHeight="1">
      <c r="D1128" s="577"/>
    </row>
    <row r="1129" ht="15.75" customHeight="1">
      <c r="D1129" s="577"/>
    </row>
    <row r="1130" ht="15.75" customHeight="1">
      <c r="D1130" s="577"/>
    </row>
    <row r="1131" ht="15.75" customHeight="1">
      <c r="D1131" s="577"/>
    </row>
    <row r="1132" ht="15.75" customHeight="1">
      <c r="D1132" s="577"/>
    </row>
    <row r="1133" ht="15.75" customHeight="1">
      <c r="D1133" s="577"/>
    </row>
    <row r="1134" ht="15.75" customHeight="1">
      <c r="D1134" s="577"/>
    </row>
    <row r="1135" ht="15.75" customHeight="1">
      <c r="D1135" s="577"/>
    </row>
    <row r="1136" ht="15.75" customHeight="1">
      <c r="D1136" s="577"/>
    </row>
    <row r="1137" ht="15.75" customHeight="1">
      <c r="D1137" s="577"/>
    </row>
    <row r="1138" ht="15.75" customHeight="1">
      <c r="D1138" s="577"/>
    </row>
    <row r="1139" ht="15.75" customHeight="1">
      <c r="D1139" s="577"/>
    </row>
    <row r="1140" ht="15.75" customHeight="1">
      <c r="D1140" s="577"/>
    </row>
    <row r="1141" ht="15.75" customHeight="1">
      <c r="D1141" s="577"/>
    </row>
    <row r="1142" ht="15.75" customHeight="1">
      <c r="D1142" s="577"/>
    </row>
    <row r="1143" ht="15.75" customHeight="1">
      <c r="D1143" s="577"/>
    </row>
    <row r="1144" ht="15.75" customHeight="1">
      <c r="D1144" s="577"/>
    </row>
    <row r="1145" ht="15.75" customHeight="1">
      <c r="D1145" s="577"/>
    </row>
    <row r="1146" ht="15.75" customHeight="1">
      <c r="D1146" s="577"/>
    </row>
    <row r="1147" ht="15.75" customHeight="1">
      <c r="D1147" s="577"/>
    </row>
    <row r="1148" ht="15.75" customHeight="1">
      <c r="D1148" s="577"/>
    </row>
    <row r="1149" ht="15.75" customHeight="1">
      <c r="D1149" s="577"/>
    </row>
    <row r="1150" ht="15.75" customHeight="1">
      <c r="D1150" s="577"/>
    </row>
    <row r="1151" ht="15.75" customHeight="1">
      <c r="D1151" s="577"/>
    </row>
    <row r="1152" ht="15.75" customHeight="1">
      <c r="D1152" s="577"/>
    </row>
    <row r="1153" ht="15.75" customHeight="1">
      <c r="D1153" s="577"/>
    </row>
    <row r="1154" ht="15.75" customHeight="1">
      <c r="D1154" s="577"/>
    </row>
    <row r="1155" ht="15.75" customHeight="1">
      <c r="D1155" s="577"/>
    </row>
    <row r="1156" ht="15.75" customHeight="1">
      <c r="D1156" s="577"/>
    </row>
    <row r="1157" ht="15.75" customHeight="1">
      <c r="D1157" s="577"/>
    </row>
    <row r="1158" ht="15.75" customHeight="1">
      <c r="D1158" s="577"/>
    </row>
    <row r="1159" ht="15.75" customHeight="1">
      <c r="D1159" s="577"/>
    </row>
    <row r="1160" ht="15.75" customHeight="1">
      <c r="D1160" s="577"/>
    </row>
    <row r="1161" ht="15.75" customHeight="1">
      <c r="D1161" s="577"/>
    </row>
    <row r="1162" ht="15.75" customHeight="1">
      <c r="D1162" s="577"/>
    </row>
    <row r="1163" ht="15.75" customHeight="1">
      <c r="D1163" s="577"/>
    </row>
    <row r="1164" ht="15.75" customHeight="1">
      <c r="D1164" s="577"/>
    </row>
    <row r="1165" ht="15.75" customHeight="1">
      <c r="D1165" s="577"/>
    </row>
    <row r="1166" ht="15.75" customHeight="1">
      <c r="D1166" s="577"/>
    </row>
    <row r="1167" ht="15.75" customHeight="1">
      <c r="D1167" s="577"/>
    </row>
    <row r="1168" ht="15.75" customHeight="1">
      <c r="D1168" s="577"/>
    </row>
    <row r="1169" ht="15.75" customHeight="1">
      <c r="D1169" s="577"/>
    </row>
    <row r="1170" ht="15.75" customHeight="1">
      <c r="D1170" s="577"/>
    </row>
    <row r="1171" ht="15.75" customHeight="1">
      <c r="D1171" s="577"/>
    </row>
    <row r="1172" ht="15.75" customHeight="1">
      <c r="D1172" s="577"/>
    </row>
    <row r="1173" ht="15.75" customHeight="1">
      <c r="D1173" s="577"/>
    </row>
    <row r="1174" ht="15.75" customHeight="1">
      <c r="D1174" s="577"/>
    </row>
    <row r="1175" ht="15.75" customHeight="1">
      <c r="D1175" s="577"/>
    </row>
    <row r="1176" ht="15.75" customHeight="1">
      <c r="D1176" s="577"/>
    </row>
    <row r="1177" ht="15.75" customHeight="1">
      <c r="D1177" s="577"/>
    </row>
    <row r="1178" ht="15.75" customHeight="1">
      <c r="D1178" s="577"/>
    </row>
    <row r="1179" ht="15.75" customHeight="1">
      <c r="D1179" s="577"/>
    </row>
    <row r="1180" ht="15.75" customHeight="1">
      <c r="D1180" s="577"/>
    </row>
    <row r="1181" ht="15.75" customHeight="1">
      <c r="D1181" s="577"/>
    </row>
    <row r="1182" ht="15.75" customHeight="1">
      <c r="D1182" s="577"/>
    </row>
    <row r="1183" ht="15.75" customHeight="1">
      <c r="D1183" s="577"/>
    </row>
    <row r="1184" ht="15.75" customHeight="1">
      <c r="D1184" s="577"/>
    </row>
    <row r="1185" ht="15.75" customHeight="1">
      <c r="D1185" s="577"/>
    </row>
    <row r="1186" ht="15.75" customHeight="1">
      <c r="D1186" s="577"/>
    </row>
    <row r="1187" ht="15.75" customHeight="1">
      <c r="D1187" s="577"/>
    </row>
    <row r="1188" ht="15.75" customHeight="1">
      <c r="D1188" s="577"/>
    </row>
    <row r="1189" ht="15.75" customHeight="1">
      <c r="D1189" s="577"/>
    </row>
    <row r="1190" ht="15.75" customHeight="1">
      <c r="D1190" s="577"/>
    </row>
    <row r="1191" ht="15.75" customHeight="1">
      <c r="D1191" s="577"/>
    </row>
    <row r="1192" ht="15.75" customHeight="1">
      <c r="D1192" s="577"/>
    </row>
    <row r="1193" ht="15.75" customHeight="1">
      <c r="D1193" s="577"/>
    </row>
    <row r="1194" ht="15.75" customHeight="1">
      <c r="D1194" s="577"/>
    </row>
    <row r="1195" ht="15.75" customHeight="1">
      <c r="D1195" s="577"/>
    </row>
    <row r="1196" ht="15.75" customHeight="1">
      <c r="D1196" s="577"/>
    </row>
    <row r="1197" ht="15.75" customHeight="1">
      <c r="D1197" s="577"/>
    </row>
    <row r="1198" ht="15.75" customHeight="1">
      <c r="D1198" s="577"/>
    </row>
    <row r="1199" ht="15.75" customHeight="1">
      <c r="D1199" s="577"/>
    </row>
    <row r="1200" ht="15.75" customHeight="1">
      <c r="D1200" s="577"/>
    </row>
    <row r="1201" ht="15.75" customHeight="1">
      <c r="D1201" s="577"/>
    </row>
    <row r="1202" ht="15.75" customHeight="1">
      <c r="D1202" s="577"/>
    </row>
    <row r="1203" ht="15.75" customHeight="1">
      <c r="D1203" s="577"/>
    </row>
    <row r="1204" ht="15.75" customHeight="1">
      <c r="D1204" s="577"/>
    </row>
    <row r="1205" ht="15.75" customHeight="1">
      <c r="D1205" s="577"/>
    </row>
    <row r="1206" ht="15.75" customHeight="1">
      <c r="D1206" s="577"/>
    </row>
    <row r="1207" ht="15.75" customHeight="1">
      <c r="D1207" s="577"/>
    </row>
    <row r="1208" ht="15.75" customHeight="1">
      <c r="D1208" s="577"/>
    </row>
    <row r="1209" ht="15.75" customHeight="1">
      <c r="D1209" s="577"/>
    </row>
    <row r="1210" ht="15.75" customHeight="1">
      <c r="D1210" s="577"/>
    </row>
    <row r="1211" ht="15.75" customHeight="1">
      <c r="D1211" s="577"/>
    </row>
    <row r="1212" ht="15.75" customHeight="1">
      <c r="D1212" s="577"/>
    </row>
    <row r="1213" ht="15.75" customHeight="1">
      <c r="D1213" s="577"/>
    </row>
    <row r="1214" ht="15.75" customHeight="1">
      <c r="D1214" s="577"/>
    </row>
    <row r="1215" ht="15.75" customHeight="1">
      <c r="D1215" s="577"/>
    </row>
    <row r="1216" ht="15.75" customHeight="1">
      <c r="D1216" s="577"/>
    </row>
    <row r="1217" ht="15.75" customHeight="1">
      <c r="D1217" s="577"/>
    </row>
    <row r="1218" ht="15.75" customHeight="1">
      <c r="D1218" s="577"/>
    </row>
    <row r="1219" ht="15.75" customHeight="1">
      <c r="D1219" s="577"/>
    </row>
    <row r="1220" ht="15.75" customHeight="1">
      <c r="D1220" s="577"/>
    </row>
    <row r="1221" ht="15.75" customHeight="1">
      <c r="D1221" s="577"/>
    </row>
    <row r="1222" ht="15.75" customHeight="1">
      <c r="D1222" s="577"/>
    </row>
    <row r="1223" ht="15.75" customHeight="1">
      <c r="D1223" s="577"/>
    </row>
    <row r="1224" ht="15.75" customHeight="1">
      <c r="D1224" s="577"/>
    </row>
    <row r="1225" ht="15.75" customHeight="1">
      <c r="D1225" s="577"/>
    </row>
    <row r="1226" ht="15.75" customHeight="1">
      <c r="D1226" s="577"/>
    </row>
    <row r="1227" ht="15.75" customHeight="1">
      <c r="D1227" s="577"/>
    </row>
    <row r="1228" ht="15.75" customHeight="1">
      <c r="D1228" s="577"/>
    </row>
    <row r="1229" ht="15.75" customHeight="1">
      <c r="D1229" s="577"/>
    </row>
    <row r="1230" ht="15.75" customHeight="1">
      <c r="D1230" s="577"/>
    </row>
    <row r="1231" ht="15.75" customHeight="1">
      <c r="D1231" s="577"/>
    </row>
    <row r="1232" ht="15.75" customHeight="1">
      <c r="D1232" s="577"/>
    </row>
    <row r="1233" ht="15.75" customHeight="1">
      <c r="D1233" s="577"/>
    </row>
    <row r="1234" ht="15.75" customHeight="1">
      <c r="D1234" s="577"/>
    </row>
    <row r="1235" ht="15.75" customHeight="1">
      <c r="D1235" s="577"/>
    </row>
    <row r="1236" ht="15.75" customHeight="1">
      <c r="D1236" s="577"/>
    </row>
    <row r="1237" ht="15.75" customHeight="1">
      <c r="D1237" s="577"/>
    </row>
    <row r="1238" ht="15.75" customHeight="1">
      <c r="D1238" s="577"/>
    </row>
    <row r="1239" ht="15.75" customHeight="1">
      <c r="D1239" s="577"/>
    </row>
    <row r="1240" ht="15.75" customHeight="1">
      <c r="D1240" s="577"/>
    </row>
    <row r="1241" ht="15.75" customHeight="1">
      <c r="D1241" s="577"/>
    </row>
    <row r="1242" ht="15.75" customHeight="1">
      <c r="D1242" s="577"/>
    </row>
    <row r="1243" ht="15.75" customHeight="1">
      <c r="D1243" s="577"/>
    </row>
    <row r="1244" ht="15.75" customHeight="1">
      <c r="D1244" s="577"/>
    </row>
    <row r="1245" ht="15.75" customHeight="1">
      <c r="D1245" s="577"/>
    </row>
    <row r="1246" ht="15.75" customHeight="1">
      <c r="D1246" s="577"/>
    </row>
    <row r="1247" ht="15.75" customHeight="1">
      <c r="D1247" s="577"/>
    </row>
    <row r="1248" ht="15.75" customHeight="1">
      <c r="D1248" s="577"/>
    </row>
    <row r="1249" ht="15.75" customHeight="1">
      <c r="D1249" s="577"/>
    </row>
    <row r="1250" ht="15.75" customHeight="1">
      <c r="D1250" s="577"/>
    </row>
    <row r="1251" ht="15.75" customHeight="1">
      <c r="D1251" s="577"/>
    </row>
    <row r="1252" ht="15.75" customHeight="1">
      <c r="D1252" s="577"/>
    </row>
    <row r="1253" ht="15.75" customHeight="1">
      <c r="D1253" s="577"/>
    </row>
    <row r="1254" ht="15.75" customHeight="1">
      <c r="D1254" s="577"/>
    </row>
    <row r="1255" ht="15.75" customHeight="1">
      <c r="D1255" s="577"/>
    </row>
    <row r="1256" ht="15.75" customHeight="1">
      <c r="D1256" s="577"/>
    </row>
    <row r="1257" ht="15.75" customHeight="1">
      <c r="D1257" s="577"/>
    </row>
    <row r="1258" ht="15.75" customHeight="1">
      <c r="D1258" s="577"/>
    </row>
    <row r="1259" ht="15.75" customHeight="1">
      <c r="D1259" s="577"/>
    </row>
    <row r="1260" ht="15.75" customHeight="1">
      <c r="D1260" s="577"/>
    </row>
    <row r="1261" ht="15.75" customHeight="1">
      <c r="D1261" s="577"/>
    </row>
    <row r="1262" ht="15.75" customHeight="1">
      <c r="D1262" s="577"/>
    </row>
    <row r="1263" ht="15.75" customHeight="1">
      <c r="D1263" s="577"/>
    </row>
    <row r="1264" ht="15.75" customHeight="1">
      <c r="D1264" s="577"/>
    </row>
    <row r="1265" ht="15.75" customHeight="1">
      <c r="D1265" s="577"/>
    </row>
    <row r="1266" ht="15.75" customHeight="1">
      <c r="D1266" s="577"/>
    </row>
    <row r="1267" ht="15.75" customHeight="1">
      <c r="D1267" s="577"/>
    </row>
    <row r="1268" ht="15.75" customHeight="1">
      <c r="D1268" s="577"/>
    </row>
    <row r="1269" ht="15.75" customHeight="1">
      <c r="D1269" s="577"/>
    </row>
    <row r="1270" ht="15.75" customHeight="1">
      <c r="D1270" s="577"/>
    </row>
    <row r="1271" ht="15.75" customHeight="1">
      <c r="D1271" s="577"/>
    </row>
    <row r="1272" ht="15.75" customHeight="1">
      <c r="D1272" s="577"/>
    </row>
    <row r="1273" ht="15.75" customHeight="1">
      <c r="D1273" s="577"/>
    </row>
    <row r="1274" ht="15.75" customHeight="1">
      <c r="D1274" s="577"/>
    </row>
    <row r="1275" ht="15.75" customHeight="1">
      <c r="D1275" s="577"/>
    </row>
    <row r="1276" ht="15.75" customHeight="1">
      <c r="D1276" s="577"/>
    </row>
    <row r="1277" ht="15.75" customHeight="1">
      <c r="D1277" s="577"/>
    </row>
    <row r="1278" ht="15.75" customHeight="1">
      <c r="D1278" s="577"/>
    </row>
    <row r="1279" ht="15.75" customHeight="1">
      <c r="D1279" s="577"/>
    </row>
    <row r="1280" ht="15.75" customHeight="1">
      <c r="D1280" s="577"/>
    </row>
    <row r="1281" ht="15.75" customHeight="1">
      <c r="D1281" s="577"/>
    </row>
    <row r="1282" ht="15.75" customHeight="1">
      <c r="D1282" s="577"/>
    </row>
    <row r="1283" ht="15.75" customHeight="1">
      <c r="D1283" s="577"/>
    </row>
    <row r="1284" ht="15.75" customHeight="1">
      <c r="D1284" s="577"/>
    </row>
    <row r="1285" ht="15.75" customHeight="1">
      <c r="D1285" s="577"/>
    </row>
    <row r="1286" ht="15.75" customHeight="1">
      <c r="D1286" s="577"/>
    </row>
    <row r="1287" ht="15.75" customHeight="1">
      <c r="D1287" s="577"/>
    </row>
    <row r="1288" ht="15.75" customHeight="1">
      <c r="D1288" s="577"/>
    </row>
    <row r="1289" ht="15.75" customHeight="1">
      <c r="D1289" s="577"/>
    </row>
    <row r="1290" ht="15.75" customHeight="1">
      <c r="D1290" s="577"/>
    </row>
    <row r="1291" ht="15.75" customHeight="1">
      <c r="D1291" s="577"/>
    </row>
    <row r="1292" ht="15.75" customHeight="1">
      <c r="D1292" s="577"/>
    </row>
    <row r="1293" ht="15.75" customHeight="1">
      <c r="D1293" s="577"/>
    </row>
    <row r="1294" ht="15.75" customHeight="1">
      <c r="D1294" s="577"/>
    </row>
    <row r="1295" ht="15.75" customHeight="1">
      <c r="D1295" s="577"/>
    </row>
    <row r="1296" ht="15.75" customHeight="1">
      <c r="D1296" s="577"/>
    </row>
    <row r="1297" ht="15.75" customHeight="1">
      <c r="D1297" s="577"/>
    </row>
    <row r="1298" ht="15.75" customHeight="1">
      <c r="D1298" s="577"/>
    </row>
    <row r="1299" ht="15.75" customHeight="1">
      <c r="D1299" s="577"/>
    </row>
    <row r="1300" ht="15.75" customHeight="1">
      <c r="D1300" s="577"/>
    </row>
    <row r="1301" ht="15.75" customHeight="1">
      <c r="D1301" s="577"/>
    </row>
    <row r="1302" ht="15.75" customHeight="1">
      <c r="D1302" s="577"/>
    </row>
    <row r="1303" ht="15.75" customHeight="1">
      <c r="D1303" s="577"/>
    </row>
    <row r="1304" ht="15.75" customHeight="1">
      <c r="D1304" s="577"/>
    </row>
    <row r="1305" ht="15.75" customHeight="1">
      <c r="D1305" s="577"/>
    </row>
    <row r="1306" ht="15.75" customHeight="1">
      <c r="D1306" s="577"/>
    </row>
    <row r="1307" ht="15.75" customHeight="1">
      <c r="D1307" s="577"/>
    </row>
    <row r="1308" ht="15.75" customHeight="1">
      <c r="D1308" s="577"/>
    </row>
    <row r="1309" ht="15.75" customHeight="1">
      <c r="D1309" s="577"/>
    </row>
    <row r="1310" ht="15.75" customHeight="1">
      <c r="D1310" s="577"/>
    </row>
    <row r="1311" ht="15.75" customHeight="1">
      <c r="D1311" s="577"/>
    </row>
    <row r="1312" ht="15.75" customHeight="1">
      <c r="D1312" s="577"/>
    </row>
    <row r="1313" ht="15.75" customHeight="1">
      <c r="D1313" s="577"/>
    </row>
    <row r="1314" ht="15.75" customHeight="1">
      <c r="D1314" s="577"/>
    </row>
    <row r="1315" ht="15.75" customHeight="1">
      <c r="D1315" s="577"/>
    </row>
    <row r="1316" ht="15.75" customHeight="1">
      <c r="D1316" s="577"/>
    </row>
    <row r="1317" ht="15.75" customHeight="1">
      <c r="D1317" s="577"/>
    </row>
    <row r="1318" ht="15.75" customHeight="1">
      <c r="D1318" s="577"/>
    </row>
    <row r="1319" ht="15.75" customHeight="1">
      <c r="D1319" s="577"/>
    </row>
    <row r="1320" ht="15.75" customHeight="1">
      <c r="D1320" s="577"/>
    </row>
    <row r="1321" ht="15.75" customHeight="1">
      <c r="D1321" s="577"/>
    </row>
    <row r="1322" ht="15.75" customHeight="1">
      <c r="D1322" s="577"/>
    </row>
    <row r="1323" ht="15.75" customHeight="1">
      <c r="D1323" s="577"/>
    </row>
    <row r="1324" ht="15.75" customHeight="1">
      <c r="D1324" s="577"/>
    </row>
    <row r="1325" ht="15.75" customHeight="1">
      <c r="D1325" s="577"/>
    </row>
    <row r="1326" ht="15.75" customHeight="1">
      <c r="D1326" s="577"/>
    </row>
    <row r="1327" ht="15.75" customHeight="1">
      <c r="D1327" s="577"/>
    </row>
    <row r="1328" ht="15.75" customHeight="1">
      <c r="D1328" s="577"/>
    </row>
    <row r="1329" ht="15.75" customHeight="1">
      <c r="D1329" s="577"/>
    </row>
    <row r="1330" ht="15.75" customHeight="1">
      <c r="D1330" s="577"/>
    </row>
    <row r="1331" ht="15.75" customHeight="1">
      <c r="D1331" s="577"/>
    </row>
    <row r="1332" ht="15.75" customHeight="1">
      <c r="D1332" s="577"/>
    </row>
    <row r="1333" ht="15.75" customHeight="1">
      <c r="D1333" s="577"/>
    </row>
    <row r="1334" ht="15.75" customHeight="1">
      <c r="D1334" s="577"/>
    </row>
    <row r="1335" ht="15.75" customHeight="1">
      <c r="D1335" s="577"/>
    </row>
    <row r="1336" ht="15.75" customHeight="1">
      <c r="D1336" s="577"/>
    </row>
    <row r="1337" ht="15.75" customHeight="1">
      <c r="D1337" s="577"/>
    </row>
    <row r="1338" ht="15.75" customHeight="1">
      <c r="D1338" s="577"/>
    </row>
    <row r="1339" ht="15.75" customHeight="1">
      <c r="D1339" s="577"/>
    </row>
    <row r="1340" ht="15.75" customHeight="1">
      <c r="D1340" s="577"/>
    </row>
    <row r="1341" ht="15.75" customHeight="1">
      <c r="D1341" s="577"/>
    </row>
    <row r="1342" ht="15.75" customHeight="1">
      <c r="D1342" s="577"/>
    </row>
    <row r="1343" ht="15.75" customHeight="1">
      <c r="D1343" s="577"/>
    </row>
    <row r="1344" ht="15.75" customHeight="1">
      <c r="D1344" s="577"/>
    </row>
    <row r="1345" ht="15.75" customHeight="1">
      <c r="D1345" s="577"/>
    </row>
    <row r="1346" ht="15.75" customHeight="1">
      <c r="D1346" s="577"/>
    </row>
    <row r="1347" ht="15.75" customHeight="1">
      <c r="D1347" s="577"/>
    </row>
    <row r="1348" ht="15.75" customHeight="1">
      <c r="D1348" s="577"/>
    </row>
    <row r="1349" ht="15.75" customHeight="1">
      <c r="D1349" s="577"/>
    </row>
    <row r="1350" ht="15.75" customHeight="1">
      <c r="D1350" s="577"/>
    </row>
    <row r="1351" ht="15.75" customHeight="1">
      <c r="D1351" s="577"/>
    </row>
    <row r="1352" ht="15.75" customHeight="1">
      <c r="D1352" s="577"/>
    </row>
    <row r="1353" ht="15.75" customHeight="1">
      <c r="D1353" s="577"/>
    </row>
    <row r="1354" ht="15.75" customHeight="1">
      <c r="D1354" s="577"/>
    </row>
    <row r="1355" ht="15.75" customHeight="1">
      <c r="D1355" s="577"/>
    </row>
    <row r="1356" ht="15.75" customHeight="1">
      <c r="D1356" s="577"/>
    </row>
    <row r="1357" ht="15.75" customHeight="1">
      <c r="D1357" s="577"/>
    </row>
    <row r="1358" ht="15.75" customHeight="1">
      <c r="D1358" s="577"/>
    </row>
    <row r="1359" ht="15.75" customHeight="1">
      <c r="D1359" s="577"/>
    </row>
    <row r="1360" ht="15.75" customHeight="1">
      <c r="D1360" s="577"/>
    </row>
    <row r="1361" ht="15.75" customHeight="1">
      <c r="D1361" s="577"/>
    </row>
    <row r="1362" ht="15.75" customHeight="1">
      <c r="D1362" s="577"/>
    </row>
    <row r="1363" ht="15.75" customHeight="1">
      <c r="D1363" s="577"/>
    </row>
    <row r="1364" ht="15.75" customHeight="1">
      <c r="D1364" s="577"/>
    </row>
    <row r="1365" ht="15.75" customHeight="1">
      <c r="D1365" s="577"/>
    </row>
    <row r="1366" ht="15.75" customHeight="1">
      <c r="D1366" s="577"/>
    </row>
    <row r="1367" ht="15.75" customHeight="1">
      <c r="D1367" s="577"/>
    </row>
    <row r="1368" ht="15.75" customHeight="1">
      <c r="D1368" s="577"/>
    </row>
    <row r="1369" ht="15.75" customHeight="1">
      <c r="D1369" s="577"/>
    </row>
    <row r="1370" ht="15.75" customHeight="1">
      <c r="D1370" s="577"/>
    </row>
    <row r="1371" ht="15.75" customHeight="1">
      <c r="D1371" s="577"/>
    </row>
    <row r="1372" ht="15.75" customHeight="1">
      <c r="D1372" s="577"/>
    </row>
    <row r="1373" ht="15.75" customHeight="1">
      <c r="D1373" s="577"/>
    </row>
    <row r="1374" ht="15.75" customHeight="1">
      <c r="D1374" s="577"/>
    </row>
    <row r="1375" ht="15.75" customHeight="1">
      <c r="D1375" s="577"/>
    </row>
    <row r="1376" ht="15.75" customHeight="1">
      <c r="D1376" s="577"/>
    </row>
    <row r="1377" ht="15.75" customHeight="1">
      <c r="D1377" s="577"/>
    </row>
    <row r="1378" ht="15.75" customHeight="1">
      <c r="D1378" s="577"/>
    </row>
    <row r="1379" ht="15.75" customHeight="1">
      <c r="D1379" s="577"/>
    </row>
    <row r="1380" ht="15.75" customHeight="1">
      <c r="D1380" s="577"/>
    </row>
    <row r="1381" ht="15.75" customHeight="1">
      <c r="D1381" s="577"/>
    </row>
    <row r="1382" ht="15.75" customHeight="1">
      <c r="D1382" s="577"/>
    </row>
    <row r="1383" ht="15.75" customHeight="1">
      <c r="D1383" s="577"/>
    </row>
    <row r="1384" ht="15.75" customHeight="1">
      <c r="D1384" s="577"/>
    </row>
    <row r="1385" ht="15.75" customHeight="1">
      <c r="D1385" s="577"/>
    </row>
    <row r="1386" ht="15.75" customHeight="1">
      <c r="D1386" s="577"/>
    </row>
    <row r="1387" ht="15.75" customHeight="1">
      <c r="D1387" s="577"/>
    </row>
    <row r="1388" ht="15.75" customHeight="1">
      <c r="D1388" s="577"/>
    </row>
    <row r="1389" ht="15.75" customHeight="1">
      <c r="D1389" s="577"/>
    </row>
    <row r="1390" ht="15.75" customHeight="1">
      <c r="D1390" s="577"/>
    </row>
    <row r="1391" ht="15.75" customHeight="1">
      <c r="D1391" s="577"/>
    </row>
    <row r="1392" ht="15.75" customHeight="1">
      <c r="D1392" s="577"/>
    </row>
    <row r="1393" ht="15.75" customHeight="1">
      <c r="D1393" s="577"/>
    </row>
    <row r="1394" ht="15.75" customHeight="1">
      <c r="D1394" s="577"/>
    </row>
    <row r="1395" ht="15.75" customHeight="1">
      <c r="D1395" s="577"/>
    </row>
    <row r="1396" ht="15.75" customHeight="1">
      <c r="D1396" s="577"/>
    </row>
    <row r="1397" ht="15.75" customHeight="1">
      <c r="D1397" s="577"/>
    </row>
    <row r="1398" ht="15.75" customHeight="1">
      <c r="D1398" s="577"/>
    </row>
    <row r="1399" ht="15.75" customHeight="1">
      <c r="D1399" s="577"/>
    </row>
    <row r="1400" ht="15.75" customHeight="1">
      <c r="D1400" s="577"/>
    </row>
    <row r="1401" ht="15.75" customHeight="1">
      <c r="D1401" s="577"/>
    </row>
    <row r="1402" ht="15.75" customHeight="1">
      <c r="D1402" s="577"/>
    </row>
    <row r="1403" ht="15.75" customHeight="1">
      <c r="D1403" s="577"/>
    </row>
    <row r="1404" ht="15.75" customHeight="1">
      <c r="D1404" s="577"/>
    </row>
    <row r="1405" ht="15.75" customHeight="1">
      <c r="D1405" s="577"/>
    </row>
    <row r="1406" ht="15.75" customHeight="1">
      <c r="D1406" s="577"/>
    </row>
    <row r="1407" ht="15.75" customHeight="1">
      <c r="D1407" s="577"/>
    </row>
    <row r="1408" ht="15.75" customHeight="1">
      <c r="D1408" s="577"/>
    </row>
    <row r="1409" ht="15.75" customHeight="1">
      <c r="D1409" s="577"/>
    </row>
    <row r="1410" ht="15.75" customHeight="1">
      <c r="D1410" s="577"/>
    </row>
    <row r="1411" ht="15.75" customHeight="1">
      <c r="D1411" s="577"/>
    </row>
    <row r="1412" ht="15.75" customHeight="1">
      <c r="D1412" s="577"/>
    </row>
    <row r="1413" ht="15.75" customHeight="1">
      <c r="D1413" s="577"/>
    </row>
    <row r="1414" ht="15.75" customHeight="1">
      <c r="D1414" s="577"/>
    </row>
    <row r="1415" ht="15.75" customHeight="1">
      <c r="D1415" s="577"/>
    </row>
    <row r="1416" ht="15.75" customHeight="1">
      <c r="D1416" s="577"/>
    </row>
    <row r="1417" ht="15.75" customHeight="1">
      <c r="D1417" s="577"/>
    </row>
    <row r="1418" ht="15.75" customHeight="1">
      <c r="D1418" s="577"/>
    </row>
    <row r="1419" ht="15.75" customHeight="1">
      <c r="D1419" s="577"/>
    </row>
    <row r="1420" ht="15.75" customHeight="1">
      <c r="D1420" s="577"/>
    </row>
    <row r="1421" ht="15.75" customHeight="1">
      <c r="D1421" s="577"/>
    </row>
    <row r="1422" ht="15.75" customHeight="1">
      <c r="D1422" s="577"/>
    </row>
    <row r="1423" ht="15.75" customHeight="1">
      <c r="D1423" s="577"/>
    </row>
    <row r="1424" ht="15.75" customHeight="1">
      <c r="D1424" s="577"/>
    </row>
    <row r="1425" ht="15.75" customHeight="1">
      <c r="D1425" s="577"/>
    </row>
    <row r="1426" ht="15.75" customHeight="1">
      <c r="D1426" s="577"/>
    </row>
    <row r="1427" ht="15.75" customHeight="1">
      <c r="D1427" s="577"/>
    </row>
    <row r="1428" ht="15.75" customHeight="1">
      <c r="D1428" s="577"/>
    </row>
    <row r="1429" ht="15.75" customHeight="1">
      <c r="D1429" s="577"/>
    </row>
    <row r="1430" ht="15.75" customHeight="1">
      <c r="D1430" s="577"/>
    </row>
    <row r="1431" ht="15.75" customHeight="1">
      <c r="D1431" s="577"/>
    </row>
    <row r="1432" ht="15.75" customHeight="1">
      <c r="D1432" s="577"/>
    </row>
    <row r="1433" ht="15.75" customHeight="1">
      <c r="D1433" s="577"/>
    </row>
    <row r="1434" ht="15.75" customHeight="1">
      <c r="D1434" s="577"/>
    </row>
    <row r="1435" ht="15.75" customHeight="1">
      <c r="D1435" s="577"/>
    </row>
    <row r="1436" ht="15.75" customHeight="1">
      <c r="D1436" s="577"/>
    </row>
    <row r="1437" ht="15.75" customHeight="1">
      <c r="D1437" s="577"/>
    </row>
    <row r="1438" ht="15.75" customHeight="1">
      <c r="D1438" s="577"/>
    </row>
    <row r="1439" ht="15.75" customHeight="1">
      <c r="D1439" s="577"/>
    </row>
    <row r="1440" ht="15.75" customHeight="1">
      <c r="D1440" s="577"/>
    </row>
    <row r="1441" ht="15.75" customHeight="1">
      <c r="D1441" s="577"/>
    </row>
    <row r="1442" ht="15.75" customHeight="1">
      <c r="D1442" s="577"/>
    </row>
    <row r="1443" ht="15.75" customHeight="1">
      <c r="D1443" s="577"/>
    </row>
    <row r="1444" ht="15.75" customHeight="1">
      <c r="D1444" s="577"/>
    </row>
    <row r="1445" ht="15.75" customHeight="1">
      <c r="D1445" s="577"/>
    </row>
    <row r="1446" ht="15.75" customHeight="1">
      <c r="D1446" s="577"/>
    </row>
    <row r="1447" ht="15.75" customHeight="1">
      <c r="D1447" s="577"/>
    </row>
    <row r="1448" ht="15.75" customHeight="1">
      <c r="D1448" s="577"/>
    </row>
    <row r="1449" ht="15.75" customHeight="1">
      <c r="D1449" s="577"/>
    </row>
    <row r="1450" ht="15.75" customHeight="1">
      <c r="D1450" s="577"/>
    </row>
    <row r="1451" ht="15.75" customHeight="1">
      <c r="D1451" s="577"/>
    </row>
    <row r="1452" ht="15.75" customHeight="1">
      <c r="D1452" s="577"/>
    </row>
    <row r="1453" ht="15.75" customHeight="1">
      <c r="D1453" s="577"/>
    </row>
    <row r="1454" ht="15.75" customHeight="1">
      <c r="D1454" s="577"/>
    </row>
    <row r="1455" ht="15.75" customHeight="1">
      <c r="D1455" s="577"/>
    </row>
    <row r="1456" ht="15.75" customHeight="1">
      <c r="D1456" s="577"/>
    </row>
    <row r="1457" ht="15.75" customHeight="1">
      <c r="D1457" s="577"/>
    </row>
    <row r="1458" ht="15.75" customHeight="1">
      <c r="D1458" s="577"/>
    </row>
    <row r="1459" ht="15.75" customHeight="1">
      <c r="D1459" s="577"/>
    </row>
    <row r="1460" ht="15.75" customHeight="1">
      <c r="D1460" s="577"/>
    </row>
    <row r="1461" ht="15.75" customHeight="1">
      <c r="D1461" s="577"/>
    </row>
    <row r="1462" ht="15.75" customHeight="1">
      <c r="D1462" s="577"/>
    </row>
    <row r="1463" ht="15.75" customHeight="1">
      <c r="D1463" s="577"/>
    </row>
    <row r="1464" ht="15.75" customHeight="1">
      <c r="D1464" s="577"/>
    </row>
    <row r="1465" ht="15.75" customHeight="1">
      <c r="D1465" s="577"/>
    </row>
    <row r="1466" ht="15.75" customHeight="1">
      <c r="D1466" s="577"/>
    </row>
    <row r="1467" ht="15.75" customHeight="1">
      <c r="D1467" s="577"/>
    </row>
    <row r="1468" ht="15.75" customHeight="1">
      <c r="D1468" s="577"/>
    </row>
    <row r="1469" ht="15.75" customHeight="1">
      <c r="D1469" s="577"/>
    </row>
    <row r="1470" ht="15.75" customHeight="1">
      <c r="D1470" s="577"/>
    </row>
    <row r="1471" ht="15.75" customHeight="1">
      <c r="D1471" s="577"/>
    </row>
    <row r="1472" ht="15.75" customHeight="1">
      <c r="D1472" s="577"/>
    </row>
    <row r="1473" ht="15.75" customHeight="1">
      <c r="D1473" s="577"/>
    </row>
    <row r="1474" ht="15.75" customHeight="1">
      <c r="D1474" s="577"/>
    </row>
    <row r="1475" ht="15.75" customHeight="1">
      <c r="D1475" s="577"/>
    </row>
    <row r="1476" ht="15.75" customHeight="1">
      <c r="D1476" s="577"/>
    </row>
    <row r="1477" ht="15.75" customHeight="1">
      <c r="D1477" s="577"/>
    </row>
    <row r="1478" ht="15.75" customHeight="1">
      <c r="D1478" s="577"/>
    </row>
    <row r="1479" ht="15.75" customHeight="1">
      <c r="D1479" s="577"/>
    </row>
    <row r="1480" ht="15.75" customHeight="1">
      <c r="D1480" s="577"/>
    </row>
    <row r="1481" ht="15.75" customHeight="1">
      <c r="D1481" s="577"/>
    </row>
    <row r="1482" ht="15.75" customHeight="1">
      <c r="D1482" s="577"/>
    </row>
    <row r="1483" ht="15.75" customHeight="1">
      <c r="D1483" s="577"/>
    </row>
    <row r="1484" ht="15.75" customHeight="1">
      <c r="D1484" s="577"/>
    </row>
    <row r="1485" ht="15.75" customHeight="1">
      <c r="D1485" s="577"/>
    </row>
    <row r="1486" ht="15.75" customHeight="1">
      <c r="D1486" s="577"/>
    </row>
    <row r="1487" ht="15.75" customHeight="1">
      <c r="D1487" s="577"/>
    </row>
    <row r="1488" ht="15.75" customHeight="1">
      <c r="D1488" s="577"/>
    </row>
    <row r="1489" ht="15.75" customHeight="1">
      <c r="D1489" s="577"/>
    </row>
    <row r="1490" ht="15.75" customHeight="1">
      <c r="D1490" s="577"/>
    </row>
    <row r="1491" ht="15.75" customHeight="1">
      <c r="D1491" s="577"/>
    </row>
    <row r="1492" ht="15.75" customHeight="1">
      <c r="D1492" s="577"/>
    </row>
    <row r="1493" ht="15.75" customHeight="1">
      <c r="D1493" s="577"/>
    </row>
    <row r="1494" ht="15.75" customHeight="1">
      <c r="D1494" s="577"/>
    </row>
    <row r="1495" ht="15.75" customHeight="1">
      <c r="D1495" s="577"/>
    </row>
    <row r="1496" ht="15.75" customHeight="1">
      <c r="D1496" s="577"/>
    </row>
    <row r="1497" ht="15.75" customHeight="1">
      <c r="D1497" s="577"/>
    </row>
    <row r="1498" ht="15.75" customHeight="1">
      <c r="D1498" s="577"/>
    </row>
  </sheetData>
  <mergeCells count="11">
    <mergeCell ref="B429:D429"/>
    <mergeCell ref="B431:E431"/>
    <mergeCell ref="B562:D562"/>
    <mergeCell ref="B564:E564"/>
    <mergeCell ref="B2:E2"/>
    <mergeCell ref="B53:C53"/>
    <mergeCell ref="B55:E55"/>
    <mergeCell ref="B166:D166"/>
    <mergeCell ref="B168:E168"/>
    <mergeCell ref="B277:D277"/>
    <mergeCell ref="B279:E279"/>
  </mergeCells>
  <dataValidations>
    <dataValidation type="list" allowBlank="1" showErrorMessage="1" sqref="E4:E52 E57:E165 E170:E276 E281:E428 E433:E489 E491 E495:E560 E566:E604">
      <formula1>"NICOLAS Y,NICOLAS M,JOAQUIN,AGUSTINA H"</formula1>
    </dataValidation>
    <dataValidation type="list" allowBlank="1" showErrorMessage="1" sqref="E492:E494">
      <formula1>"NICOLAS Y,NICOLAS M,JOAQUIN,AGUSTINA H,FRANCISCO"</formula1>
    </dataValidation>
    <dataValidation type="list" allowBlank="1" showErrorMessage="1" sqref="E490">
      <formula1>"NICOLAS Y,NICOLAS M,JOAQUIN,AGUSTINA H,FRANCISCO"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10.5"/>
    <col customWidth="1" min="5" max="5" width="8.5"/>
    <col customWidth="1" min="8" max="8" width="8.75"/>
    <col customWidth="1" min="9" max="9" width="10.38"/>
    <col customWidth="1" min="10" max="10" width="9.13"/>
    <col customWidth="1" min="11" max="11" width="9.88"/>
    <col customWidth="1" min="12" max="12" width="10.25"/>
  </cols>
  <sheetData>
    <row r="1">
      <c r="A1" s="584">
        <v>46023.0</v>
      </c>
      <c r="B1" s="585" t="s">
        <v>1888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1"/>
      <c r="U1" s="586"/>
      <c r="V1" s="587"/>
      <c r="W1" s="587"/>
      <c r="X1" s="587"/>
      <c r="Y1" s="587"/>
      <c r="Z1" s="587"/>
      <c r="AA1" s="587"/>
      <c r="AB1" s="587"/>
      <c r="AC1" s="587"/>
      <c r="AD1" s="587"/>
    </row>
    <row r="2">
      <c r="A2" s="584">
        <v>46069.0</v>
      </c>
      <c r="B2" s="588" t="s">
        <v>1889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1"/>
      <c r="U2" s="586"/>
      <c r="V2" s="587"/>
      <c r="W2" s="589" t="s">
        <v>1890</v>
      </c>
      <c r="X2" s="589" t="s">
        <v>1891</v>
      </c>
      <c r="Y2" s="589" t="s">
        <v>1527</v>
      </c>
      <c r="Z2" s="589" t="s">
        <v>1530</v>
      </c>
      <c r="AA2" s="589" t="s">
        <v>1540</v>
      </c>
      <c r="AB2" s="589" t="s">
        <v>1546</v>
      </c>
      <c r="AC2" s="589" t="s">
        <v>1892</v>
      </c>
      <c r="AD2" s="589" t="s">
        <v>1893</v>
      </c>
    </row>
    <row r="3">
      <c r="A3" s="584">
        <v>46070.0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  <c r="P3" s="590"/>
      <c r="Q3" s="590"/>
      <c r="R3" s="590"/>
      <c r="S3" s="590"/>
      <c r="T3" s="590"/>
      <c r="U3" s="586"/>
      <c r="V3" s="587"/>
      <c r="W3" s="587" t="s">
        <v>1564</v>
      </c>
      <c r="X3" s="591">
        <f>SUMIFS(QACONDDIA!$D$4:$D$52,QACONDDIA!$E$4:$E$52,"&lt;&gt;")</f>
        <v>30285</v>
      </c>
      <c r="Y3" s="591">
        <f>SUMIFS(QACONDDIA!$D$4:$D$52,QACONDDIA!$E$4:$E$52,"JOAQUIN")</f>
        <v>8210</v>
      </c>
      <c r="Z3" s="591">
        <f>SUMIFS(QACONDDIA!$D$4:$D$52,QACONDDIA!$E$4:$E$52,"NICOLAS M")</f>
        <v>6113</v>
      </c>
      <c r="AA3" s="591">
        <f>SUMIFS(QACONDDIA!$D$4:$D$52,QACONDDIA!$E$4:$E$52,"AGUSTINA H")</f>
        <v>7981</v>
      </c>
      <c r="AB3" s="591">
        <f>SUMIFS(QACONDDIA!$D$4:$D$52,QACONDDIA!$E$4:$E$52,"NICOLAS Y")</f>
        <v>7981</v>
      </c>
      <c r="AC3" s="591">
        <f t="shared" ref="AC3:AC7" si="1">Y3+Z3+AA3</f>
        <v>22304</v>
      </c>
      <c r="AD3" s="591">
        <f t="shared" ref="AD3:AD7" si="2">AB3</f>
        <v>7981</v>
      </c>
    </row>
    <row r="4">
      <c r="A4" s="584">
        <v>46105.0</v>
      </c>
      <c r="B4" s="592" t="s">
        <v>1894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586"/>
      <c r="V4" s="587"/>
      <c r="W4" s="587" t="s">
        <v>1895</v>
      </c>
      <c r="X4" s="591">
        <f>SUMIFS(QACONDDIA!$D$56:$D$167,QACONDDIA!$E$56:$E$167,"&lt;&gt;")</f>
        <v>84203</v>
      </c>
      <c r="Y4" s="591">
        <f>SUMIFS(QACONDDIA!$D$56:$D$167,QACONDDIA!$E$56:$E$167,"JOAQUIN")</f>
        <v>13823</v>
      </c>
      <c r="Z4" s="591">
        <f>SUMIFS(QACONDDIA!$D$56:$D$167,QACONDDIA!$E$56:$E$167,"NICOLAS M")</f>
        <v>25948</v>
      </c>
      <c r="AA4" s="591">
        <f>SUMIFS(QACONDDIA!$D$56:$D$167,QACONDDIA!$E$56:$E$167,"AGUSTINA H")</f>
        <v>14745</v>
      </c>
      <c r="AB4" s="591">
        <f>SUMIFS(QACONDDIA!$D$56:$D$167,QACONDDIA!$E$56:$E$167,"NICOLAS Y")</f>
        <v>29687</v>
      </c>
      <c r="AC4" s="591">
        <f t="shared" si="1"/>
        <v>54516</v>
      </c>
      <c r="AD4" s="591">
        <f t="shared" si="2"/>
        <v>29687</v>
      </c>
    </row>
    <row r="5">
      <c r="A5" s="584">
        <v>46114.0</v>
      </c>
      <c r="B5" s="593" t="s">
        <v>1896</v>
      </c>
      <c r="C5" s="594"/>
      <c r="D5" s="594"/>
      <c r="E5" s="595"/>
      <c r="F5" s="596"/>
      <c r="G5" s="597" t="s">
        <v>1897</v>
      </c>
      <c r="H5" s="594"/>
      <c r="I5" s="594"/>
      <c r="J5" s="595"/>
      <c r="K5" s="596"/>
      <c r="L5" s="598" t="s">
        <v>1898</v>
      </c>
      <c r="M5" s="594"/>
      <c r="N5" s="594"/>
      <c r="O5" s="595"/>
      <c r="P5" s="596"/>
      <c r="Q5" s="599" t="s">
        <v>1899</v>
      </c>
      <c r="R5" s="594"/>
      <c r="S5" s="594"/>
      <c r="T5" s="595"/>
      <c r="U5" s="586"/>
      <c r="V5" s="587"/>
      <c r="W5" s="587" t="s">
        <v>1900</v>
      </c>
      <c r="X5" s="591">
        <f>SUMIFS(QACONDDIA!$D$169:$D$278,QACONDDIA!$E$169:$E$278,"&lt;&gt;")</f>
        <v>115488</v>
      </c>
      <c r="Y5" s="591">
        <f>SUMIFS(QACONDDIA!$D$169:$D$278,QACONDDIA!$E$169:$E$278,"JOAQUIN")</f>
        <v>4848</v>
      </c>
      <c r="Z5" s="591">
        <f>SUMIFS(QACONDDIA!$D$169:$D$278,QACONDDIA!$E$169:$E$278,"NICOLAS M")</f>
        <v>23274</v>
      </c>
      <c r="AA5" s="591">
        <f>SUMIFS(QACONDDIA!$D$169:$D$278,QACONDDIA!$E$169:$E$278,"AGUSTINA H")</f>
        <v>50145</v>
      </c>
      <c r="AB5" s="591">
        <f>SUMIFS(QACONDDIA!$D$169:$D$278,QACONDDIA!$E$169:$E$278,"NICOLAS Y")</f>
        <v>37221</v>
      </c>
      <c r="AC5" s="591">
        <f t="shared" si="1"/>
        <v>78267</v>
      </c>
      <c r="AD5" s="591">
        <f t="shared" si="2"/>
        <v>37221</v>
      </c>
    </row>
    <row r="6">
      <c r="A6" s="584">
        <v>46115.0</v>
      </c>
      <c r="B6" s="600" t="s">
        <v>1901</v>
      </c>
      <c r="C6" s="150"/>
      <c r="D6" s="150"/>
      <c r="E6" s="601"/>
      <c r="F6" s="596"/>
      <c r="G6" s="602" t="s">
        <v>1902</v>
      </c>
      <c r="H6" s="150"/>
      <c r="I6" s="150"/>
      <c r="J6" s="601"/>
      <c r="K6" s="596"/>
      <c r="L6" s="603" t="s">
        <v>1903</v>
      </c>
      <c r="M6" s="150"/>
      <c r="N6" s="150"/>
      <c r="O6" s="601"/>
      <c r="P6" s="596"/>
      <c r="Q6" s="604" t="s">
        <v>1904</v>
      </c>
      <c r="R6" s="150"/>
      <c r="S6" s="150"/>
      <c r="T6" s="601"/>
      <c r="U6" s="586"/>
      <c r="V6" s="587"/>
      <c r="W6" s="587" t="s">
        <v>1905</v>
      </c>
      <c r="X6" s="591">
        <f>SUMIFS(QACONDDIA!$D$281:$D$420,QACONDDIA!$E$281:$E$420,"&lt;&gt;")</f>
        <v>128099</v>
      </c>
      <c r="Y6" s="591">
        <f>SUMIFS(QACONDDIA!$D$281:$D$412,QACONDDIA!$E$281:$E$412,"JOAQUIN")</f>
        <v>24158</v>
      </c>
      <c r="Z6" s="591">
        <f>SUMIFS(QACONDDIA!$D$281:$D$412,QACONDDIA!$E$281:$E$412,"NICOLAS M")</f>
        <v>37293</v>
      </c>
      <c r="AA6" s="591">
        <f>SUMIFS(QACONDDIA!$D$281:$D$412,QACONDDIA!$E$281:$E$412,"AGUSTINA H")</f>
        <v>31425</v>
      </c>
      <c r="AB6" s="591">
        <f>SUMIFS(QACONDDIA!$D$281:$D$412,QACONDDIA!$E$281:$E$412,"NICOLAS Y")</f>
        <v>32007</v>
      </c>
      <c r="AC6" s="591">
        <f t="shared" si="1"/>
        <v>92876</v>
      </c>
      <c r="AD6" s="591">
        <f t="shared" si="2"/>
        <v>32007</v>
      </c>
    </row>
    <row r="7">
      <c r="A7" s="584">
        <v>46143.0</v>
      </c>
      <c r="B7" s="605">
        <f>X18</f>
        <v>462933</v>
      </c>
      <c r="C7" s="360"/>
      <c r="D7" s="360"/>
      <c r="E7" s="606"/>
      <c r="F7" s="596"/>
      <c r="G7" s="607">
        <f>AC11</f>
        <v>321573</v>
      </c>
      <c r="H7" s="360"/>
      <c r="I7" s="360"/>
      <c r="J7" s="606"/>
      <c r="K7" s="596"/>
      <c r="L7" s="608">
        <f>AD11</f>
        <v>136944</v>
      </c>
      <c r="M7" s="360"/>
      <c r="N7" s="360"/>
      <c r="O7" s="606"/>
      <c r="P7" s="596"/>
      <c r="Q7" s="609" t="str">
        <f>X12</f>
        <v>MAYO</v>
      </c>
      <c r="R7" s="360"/>
      <c r="S7" s="360"/>
      <c r="T7" s="606"/>
      <c r="U7" s="586"/>
      <c r="V7" s="587"/>
      <c r="W7" s="96" t="s">
        <v>1906</v>
      </c>
      <c r="X7" s="591">
        <f>SUMIFS(QACONDDIA!$D$420:$D$600,QACONDDIA!$E$420:$E$600,"&lt;&gt;")</f>
        <v>104858</v>
      </c>
      <c r="Y7" s="591">
        <f>SUMIFS(QACONDDIA!$D$433:$D$600,QACONDDIA!$E$433:$E$600,"JOAQUIN")</f>
        <v>21778</v>
      </c>
      <c r="Z7" s="591">
        <f>SUMIFS(QACONDDIA!$D$433:$D$600,QACONDDIA!$E$433:$E$600,"NICOLAS M")</f>
        <v>22066</v>
      </c>
      <c r="AA7" s="591">
        <f>SUMIFS(QACONDDIA!$D$433:$D$600,QACONDDIA!$E$433:$E$600,"AGUSTINA H")</f>
        <v>29766</v>
      </c>
      <c r="AB7" s="591">
        <f>SUMIFS(QACONDDIA!$D$433:$D$600,QACONDDIA!$E$433:$E$600,"NICOLAS Y")</f>
        <v>30048</v>
      </c>
      <c r="AC7" s="591">
        <f t="shared" si="1"/>
        <v>73610</v>
      </c>
      <c r="AD7" s="591">
        <f t="shared" si="2"/>
        <v>30048</v>
      </c>
    </row>
    <row r="8">
      <c r="A8" s="584">
        <v>46167.0</v>
      </c>
      <c r="B8" s="610"/>
      <c r="C8" s="611"/>
      <c r="D8" s="611"/>
      <c r="E8" s="612"/>
      <c r="F8" s="596"/>
      <c r="G8" s="610"/>
      <c r="H8" s="611"/>
      <c r="I8" s="611"/>
      <c r="J8" s="612"/>
      <c r="K8" s="596"/>
      <c r="L8" s="610"/>
      <c r="M8" s="611"/>
      <c r="N8" s="611"/>
      <c r="O8" s="612"/>
      <c r="P8" s="596"/>
      <c r="Q8" s="610"/>
      <c r="R8" s="611"/>
      <c r="S8" s="611"/>
      <c r="T8" s="612"/>
      <c r="U8" s="586"/>
      <c r="V8" s="587"/>
      <c r="W8" s="96" t="s">
        <v>1907</v>
      </c>
    </row>
    <row r="9">
      <c r="A9" s="584">
        <v>46193.0</v>
      </c>
      <c r="B9" s="613"/>
      <c r="C9" s="613"/>
      <c r="D9" s="613"/>
      <c r="E9" s="613"/>
      <c r="F9" s="613"/>
      <c r="G9" s="613"/>
      <c r="H9" s="613"/>
      <c r="I9" s="613"/>
      <c r="J9" s="613"/>
      <c r="K9" s="613"/>
      <c r="L9" s="613"/>
      <c r="M9" s="613"/>
      <c r="N9" s="613"/>
      <c r="O9" s="613"/>
      <c r="P9" s="613"/>
      <c r="Q9" s="613"/>
      <c r="R9" s="613"/>
      <c r="S9" s="613"/>
      <c r="T9" s="613"/>
      <c r="U9" s="586"/>
      <c r="V9" s="587"/>
      <c r="W9" s="96" t="s">
        <v>1908</v>
      </c>
    </row>
    <row r="10">
      <c r="A10" s="584">
        <v>46212.0</v>
      </c>
      <c r="B10" s="614" t="s">
        <v>1909</v>
      </c>
      <c r="C10" s="594"/>
      <c r="D10" s="594"/>
      <c r="E10" s="594"/>
      <c r="F10" s="595"/>
      <c r="G10" s="596"/>
      <c r="H10" s="615" t="s">
        <v>1910</v>
      </c>
      <c r="I10" s="594"/>
      <c r="J10" s="594"/>
      <c r="K10" s="594"/>
      <c r="L10" s="594"/>
      <c r="M10" s="595"/>
      <c r="N10" s="596"/>
      <c r="O10" s="599" t="s">
        <v>1911</v>
      </c>
      <c r="P10" s="594"/>
      <c r="Q10" s="594"/>
      <c r="R10" s="594"/>
      <c r="S10" s="594"/>
      <c r="T10" s="595"/>
      <c r="U10" s="586"/>
      <c r="V10" s="587"/>
    </row>
    <row r="11">
      <c r="A11" s="584">
        <v>46251.0</v>
      </c>
      <c r="B11" s="616" t="s">
        <v>1912</v>
      </c>
      <c r="C11" s="150"/>
      <c r="D11" s="150"/>
      <c r="E11" s="150"/>
      <c r="F11" s="601"/>
      <c r="G11" s="596"/>
      <c r="H11" s="617" t="s">
        <v>1913</v>
      </c>
      <c r="I11" s="150"/>
      <c r="J11" s="150"/>
      <c r="K11" s="150"/>
      <c r="L11" s="150"/>
      <c r="M11" s="601"/>
      <c r="N11" s="596"/>
      <c r="O11" s="604" t="s">
        <v>1914</v>
      </c>
      <c r="P11" s="150"/>
      <c r="Q11" s="150"/>
      <c r="R11" s="150"/>
      <c r="S11" s="150"/>
      <c r="T11" s="601"/>
      <c r="U11" s="586"/>
      <c r="V11" s="587"/>
      <c r="W11" s="618" t="s">
        <v>1915</v>
      </c>
      <c r="X11" s="619">
        <f>max(X3:X7)</f>
        <v>128099</v>
      </c>
      <c r="Y11" s="591">
        <f t="shared" ref="Y11:AD11" si="3">SUM(Y3:Y10)</f>
        <v>72817</v>
      </c>
      <c r="Z11" s="591">
        <f t="shared" si="3"/>
        <v>114694</v>
      </c>
      <c r="AA11" s="591">
        <f t="shared" si="3"/>
        <v>134062</v>
      </c>
      <c r="AB11" s="591">
        <f t="shared" si="3"/>
        <v>136944</v>
      </c>
      <c r="AC11" s="591">
        <f t="shared" si="3"/>
        <v>321573</v>
      </c>
      <c r="AD11" s="591">
        <f t="shared" si="3"/>
        <v>136944</v>
      </c>
    </row>
    <row r="12">
      <c r="A12" s="584">
        <v>46307.0</v>
      </c>
      <c r="B12" s="620">
        <f>IFERROR(AD11/X18,0)</f>
        <v>0.2958181854</v>
      </c>
      <c r="C12" s="360"/>
      <c r="D12" s="360"/>
      <c r="E12" s="360"/>
      <c r="F12" s="606"/>
      <c r="G12" s="596"/>
      <c r="H12" s="621">
        <f>IFERROR(AC11/X18,0)</f>
        <v>0.6946426373</v>
      </c>
      <c r="I12" s="360"/>
      <c r="J12" s="360"/>
      <c r="K12" s="360"/>
      <c r="L12" s="360"/>
      <c r="M12" s="606"/>
      <c r="N12" s="596"/>
      <c r="O12" s="622">
        <f>IFERROR(X18/NETWORKDAYS(DATE(2026,1,1),TODAY(),A1:A29),0)</f>
        <v>4096.752212</v>
      </c>
      <c r="P12" s="360"/>
      <c r="Q12" s="360"/>
      <c r="R12" s="360"/>
      <c r="S12" s="360"/>
      <c r="T12" s="606"/>
      <c r="U12" s="586"/>
      <c r="V12" s="587"/>
      <c r="W12" s="623" t="s">
        <v>1916</v>
      </c>
      <c r="X12" s="624" t="str">
        <f t="array" ref="X12">INDEX(W3:W6,MATCH(MAX(X3:X6),X3:X6,0))</f>
        <v>MAYO</v>
      </c>
      <c r="Y12" s="587"/>
      <c r="Z12" s="587"/>
      <c r="AA12" s="587"/>
      <c r="AB12" s="587"/>
      <c r="AC12" s="587"/>
      <c r="AD12" s="587"/>
    </row>
    <row r="13">
      <c r="A13" s="584">
        <v>46346.0</v>
      </c>
      <c r="B13" s="625"/>
      <c r="C13" s="364"/>
      <c r="D13" s="364"/>
      <c r="E13" s="364"/>
      <c r="F13" s="626"/>
      <c r="G13" s="596"/>
      <c r="H13" s="625"/>
      <c r="I13" s="364"/>
      <c r="J13" s="364"/>
      <c r="K13" s="364"/>
      <c r="L13" s="364"/>
      <c r="M13" s="626"/>
      <c r="N13" s="596"/>
      <c r="O13" s="625"/>
      <c r="P13" s="364"/>
      <c r="Q13" s="364"/>
      <c r="R13" s="364"/>
      <c r="S13" s="364"/>
      <c r="T13" s="626"/>
      <c r="U13" s="586"/>
      <c r="V13" s="587"/>
      <c r="W13" s="587" t="s">
        <v>1527</v>
      </c>
      <c r="X13" s="591">
        <f>Y11</f>
        <v>72817</v>
      </c>
      <c r="Y13" s="587"/>
      <c r="Z13" s="587"/>
      <c r="AA13" s="587"/>
      <c r="AB13" s="587"/>
      <c r="AC13" s="587"/>
      <c r="AD13" s="587"/>
    </row>
    <row r="14" ht="27.0" customHeight="1">
      <c r="A14" s="584">
        <v>46364.0</v>
      </c>
      <c r="B14" s="627"/>
      <c r="C14" s="628"/>
      <c r="D14" s="628"/>
      <c r="E14" s="628"/>
      <c r="F14" s="629"/>
      <c r="G14" s="596"/>
      <c r="H14" s="630"/>
      <c r="I14" s="628"/>
      <c r="J14" s="628"/>
      <c r="K14" s="628"/>
      <c r="L14" s="628"/>
      <c r="M14" s="629"/>
      <c r="N14" s="596"/>
      <c r="O14" s="631"/>
      <c r="P14" s="628"/>
      <c r="Q14" s="628"/>
      <c r="R14" s="628"/>
      <c r="S14" s="628"/>
      <c r="T14" s="629"/>
      <c r="U14" s="586"/>
      <c r="V14" s="587"/>
      <c r="W14" s="587" t="s">
        <v>1530</v>
      </c>
      <c r="X14" s="591">
        <f>Z11</f>
        <v>114694</v>
      </c>
      <c r="Y14" s="587"/>
      <c r="Z14" s="587"/>
      <c r="AA14" s="587"/>
      <c r="AB14" s="587"/>
      <c r="AC14" s="587"/>
      <c r="AD14" s="587"/>
    </row>
    <row r="15">
      <c r="A15" s="584">
        <v>46381.0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590"/>
      <c r="O15" s="590"/>
      <c r="P15" s="590"/>
      <c r="Q15" s="590"/>
      <c r="R15" s="590"/>
      <c r="S15" s="590"/>
      <c r="T15" s="590"/>
      <c r="U15" s="586"/>
      <c r="V15" s="587"/>
      <c r="W15" s="587" t="s">
        <v>1540</v>
      </c>
      <c r="X15" s="591">
        <f>AA11</f>
        <v>134062</v>
      </c>
      <c r="Y15" s="587"/>
      <c r="Z15" s="587"/>
      <c r="AA15" s="587"/>
      <c r="AB15" s="587"/>
      <c r="AC15" s="587"/>
      <c r="AD15" s="587"/>
    </row>
    <row r="16">
      <c r="A16" s="584">
        <v>46055.0</v>
      </c>
      <c r="B16" s="590"/>
      <c r="C16" s="590"/>
      <c r="D16" s="590"/>
      <c r="E16" s="590"/>
      <c r="F16" s="590"/>
      <c r="G16" s="590"/>
      <c r="H16" s="590"/>
      <c r="I16" s="590"/>
      <c r="J16" s="590"/>
      <c r="K16" s="590"/>
      <c r="L16" s="590"/>
      <c r="M16" s="590"/>
      <c r="N16" s="590"/>
      <c r="O16" s="590"/>
      <c r="P16" s="590"/>
      <c r="Q16" s="590"/>
      <c r="R16" s="590"/>
      <c r="S16" s="590"/>
      <c r="T16" s="590"/>
      <c r="U16" s="586"/>
      <c r="V16" s="587"/>
      <c r="W16" s="587" t="s">
        <v>1546</v>
      </c>
      <c r="X16" s="591">
        <f>AB11</f>
        <v>136944</v>
      </c>
      <c r="Y16" s="587"/>
      <c r="Z16" s="587"/>
      <c r="AA16" s="587"/>
      <c r="AB16" s="587"/>
      <c r="AC16" s="587"/>
      <c r="AD16" s="587"/>
    </row>
    <row r="17">
      <c r="A17" s="584">
        <v>46056.0</v>
      </c>
      <c r="B17" s="632" t="s">
        <v>1917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1"/>
      <c r="U17" s="586"/>
      <c r="V17" s="587"/>
      <c r="W17" s="587"/>
      <c r="X17" s="587"/>
      <c r="Y17" s="587"/>
      <c r="Z17" s="587"/>
      <c r="AA17" s="587"/>
      <c r="AB17" s="587"/>
      <c r="AC17" s="587"/>
      <c r="AD17" s="587"/>
    </row>
    <row r="18">
      <c r="A18" s="584">
        <v>46057.0</v>
      </c>
      <c r="B18" s="633" t="s">
        <v>1918</v>
      </c>
      <c r="C18" s="634"/>
      <c r="D18" s="634"/>
      <c r="E18" s="634"/>
      <c r="F18" s="634"/>
      <c r="G18" s="635"/>
      <c r="H18" s="596"/>
      <c r="I18" s="636" t="s">
        <v>1919</v>
      </c>
      <c r="J18" s="634"/>
      <c r="K18" s="634"/>
      <c r="L18" s="634"/>
      <c r="M18" s="634"/>
      <c r="N18" s="635"/>
      <c r="O18" s="596"/>
      <c r="P18" s="637" t="s">
        <v>1920</v>
      </c>
      <c r="Q18" s="634"/>
      <c r="R18" s="634"/>
      <c r="S18" s="634"/>
      <c r="T18" s="635"/>
      <c r="U18" s="586"/>
      <c r="V18" s="587"/>
      <c r="W18" s="638" t="s">
        <v>1891</v>
      </c>
      <c r="X18" s="587">
        <f>SUM(X3:X10)</f>
        <v>462933</v>
      </c>
      <c r="Y18" s="587"/>
      <c r="Z18" s="587"/>
      <c r="AA18" s="587"/>
      <c r="AB18" s="587"/>
      <c r="AC18" s="587"/>
      <c r="AD18" s="587"/>
    </row>
    <row r="19">
      <c r="A19" s="584">
        <v>46058.0</v>
      </c>
      <c r="B19" s="639" t="str">
        <f>IFERROR(IFERROR(IF(AND(Y11&gt;=Z11,Y11&gt;=AA11,Y11&gt;=AB11),"JOAQUIN",IF(AND(Z11&gt;=AA11,Z11&gt;=AB11),"NICOLAS M",IF(AA11&gt;=AB11,"AGUSTINA H","NICOLAS Y"))),"—")&amp;" | "&amp;TEXT(MAX(Y11,Z11,AA11,AB11),"#,##0")&amp;" un.","—")</f>
        <v>NICOLAS Y | 136,944 un.</v>
      </c>
      <c r="C19" s="640"/>
      <c r="D19" s="640"/>
      <c r="E19" s="640"/>
      <c r="F19" s="640"/>
      <c r="G19" s="641"/>
      <c r="H19" s="642"/>
      <c r="I19" s="643" t="str">
        <f>IFERROR(IFERROR(IF(AND(Y11&lt;=Z11,Y11&lt;=AA11,Y11&lt;=AB11),"JOAQUIN",IF(AND(Z11&lt;=AA11,Z11&lt;=AB11),"NICOLAS M",IF(AA11&lt;=AB11,"AGUSTINA H","NICOLAS Y"))),"—")&amp;" | "&amp;TEXT(MIN(Y11,Z11,AA11,AB11),"#,##0")&amp;" un.","—")</f>
        <v>JOAQUIN | 72,817 un.</v>
      </c>
      <c r="J19" s="640"/>
      <c r="K19" s="640"/>
      <c r="L19" s="640"/>
      <c r="M19" s="640"/>
      <c r="N19" s="641"/>
      <c r="O19" s="642"/>
      <c r="P19" s="644" t="str">
        <f>IFERROR(X12&amp;" | "&amp;TEXT(X11,"#,##0")&amp;" unidades","—")</f>
        <v>MAYO | 128,099 unidades</v>
      </c>
      <c r="Q19" s="640"/>
      <c r="R19" s="640"/>
      <c r="S19" s="640"/>
      <c r="T19" s="641"/>
      <c r="U19" s="586"/>
      <c r="V19" s="587"/>
      <c r="W19" s="587"/>
      <c r="X19" s="587"/>
      <c r="Y19" s="587"/>
      <c r="Z19" s="587"/>
      <c r="AA19" s="587"/>
      <c r="AB19" s="587"/>
      <c r="AC19" s="587"/>
      <c r="AD19" s="587"/>
    </row>
    <row r="20">
      <c r="A20" s="584">
        <v>46059.0</v>
      </c>
      <c r="B20" s="645"/>
      <c r="G20" s="646"/>
      <c r="H20" s="642"/>
      <c r="I20" s="645"/>
      <c r="N20" s="646"/>
      <c r="O20" s="642"/>
      <c r="P20" s="645"/>
      <c r="T20" s="646"/>
      <c r="U20" s="586"/>
      <c r="V20" s="587"/>
      <c r="W20" s="587"/>
      <c r="X20" s="587"/>
      <c r="Y20" s="587"/>
      <c r="Z20" s="587"/>
      <c r="AA20" s="587"/>
      <c r="AB20" s="587"/>
      <c r="AC20" s="587"/>
      <c r="AD20" s="587"/>
    </row>
    <row r="21">
      <c r="A21" s="584">
        <v>46062.0</v>
      </c>
      <c r="B21" s="645"/>
      <c r="G21" s="646"/>
      <c r="H21" s="642"/>
      <c r="I21" s="645"/>
      <c r="N21" s="646"/>
      <c r="O21" s="642"/>
      <c r="P21" s="645"/>
      <c r="T21" s="646"/>
      <c r="U21" s="586"/>
      <c r="V21" s="587"/>
      <c r="W21" s="587"/>
      <c r="X21" s="587"/>
      <c r="Y21" s="587"/>
      <c r="Z21" s="587"/>
      <c r="AA21" s="587"/>
      <c r="AB21" s="587"/>
      <c r="AC21" s="587"/>
      <c r="AD21" s="587"/>
    </row>
    <row r="22">
      <c r="A22" s="584">
        <v>46063.0</v>
      </c>
      <c r="B22" s="647"/>
      <c r="C22" s="364"/>
      <c r="D22" s="364"/>
      <c r="E22" s="364"/>
      <c r="F22" s="364"/>
      <c r="G22" s="365"/>
      <c r="H22" s="642"/>
      <c r="I22" s="647"/>
      <c r="J22" s="364"/>
      <c r="K22" s="364"/>
      <c r="L22" s="364"/>
      <c r="M22" s="364"/>
      <c r="N22" s="365"/>
      <c r="O22" s="642"/>
      <c r="P22" s="647"/>
      <c r="Q22" s="364"/>
      <c r="R22" s="364"/>
      <c r="S22" s="364"/>
      <c r="T22" s="365"/>
      <c r="U22" s="586"/>
      <c r="V22" s="587"/>
      <c r="W22" s="587"/>
      <c r="X22" s="587"/>
      <c r="Y22" s="587"/>
      <c r="Z22" s="587"/>
      <c r="AA22" s="587"/>
      <c r="AB22" s="587"/>
      <c r="AC22" s="587"/>
      <c r="AD22" s="587"/>
    </row>
    <row r="23">
      <c r="A23" s="584">
        <v>46064.0</v>
      </c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590"/>
      <c r="N23" s="590"/>
      <c r="O23" s="590"/>
      <c r="P23" s="590"/>
      <c r="Q23" s="590"/>
      <c r="R23" s="590"/>
      <c r="S23" s="590"/>
      <c r="T23" s="590"/>
      <c r="U23" s="586"/>
      <c r="V23" s="587"/>
      <c r="W23" s="587"/>
      <c r="X23" s="587"/>
      <c r="Y23" s="587"/>
      <c r="Z23" s="587"/>
      <c r="AA23" s="587"/>
      <c r="AB23" s="587"/>
      <c r="AC23" s="587"/>
      <c r="AD23" s="587"/>
    </row>
    <row r="24">
      <c r="A24" s="584">
        <v>46065.0</v>
      </c>
      <c r="B24" s="648" t="s">
        <v>1921</v>
      </c>
      <c r="C24" s="634"/>
      <c r="D24" s="634"/>
      <c r="E24" s="634"/>
      <c r="F24" s="634"/>
      <c r="G24" s="635"/>
      <c r="H24" s="596"/>
      <c r="I24" s="649" t="s">
        <v>1922</v>
      </c>
      <c r="J24" s="634"/>
      <c r="K24" s="634"/>
      <c r="L24" s="634"/>
      <c r="M24" s="634"/>
      <c r="N24" s="635"/>
      <c r="O24" s="596"/>
      <c r="P24" s="650" t="s">
        <v>1923</v>
      </c>
      <c r="Q24" s="634"/>
      <c r="R24" s="634"/>
      <c r="S24" s="634"/>
      <c r="T24" s="635"/>
      <c r="U24" s="586"/>
      <c r="V24" s="587"/>
      <c r="W24" s="587"/>
      <c r="X24" s="587"/>
      <c r="Y24" s="587"/>
      <c r="Z24" s="587"/>
      <c r="AA24" s="587"/>
      <c r="AB24" s="587"/>
      <c r="AC24" s="587"/>
      <c r="AD24" s="587"/>
    </row>
    <row r="25">
      <c r="A25" s="651">
        <v>46066.0</v>
      </c>
      <c r="B25" s="652" t="str">
        <f>IFERROR(TEXT(AC11/X18,"0.0%")&amp;" del total  |  "&amp;TEXT(AC11,"#,##0")&amp;" unidades","—")</f>
        <v>69.5% del total  |  321,573 unidades</v>
      </c>
      <c r="C25" s="640"/>
      <c r="D25" s="640"/>
      <c r="E25" s="640"/>
      <c r="F25" s="640"/>
      <c r="G25" s="641"/>
      <c r="H25" s="653"/>
      <c r="I25" s="654" t="str">
        <f>IFERROR(TEXT(AD11/X18,"0.0%")&amp;" del total  |  "&amp;TEXT(AD11,"#,##0")&amp;" unidades","—")</f>
        <v>29.6% del total  |  136,944 unidades</v>
      </c>
      <c r="J25" s="640"/>
      <c r="K25" s="640"/>
      <c r="L25" s="640"/>
      <c r="M25" s="640"/>
      <c r="N25" s="641"/>
      <c r="O25" s="587"/>
      <c r="P25" s="655" t="str">
        <f>IFERROR(IF(AD11/X11&lt;0,15,"⚠️  PREMIUM BAJO &lt; 15% — Revisar asignación","✅  PREMIUM en nivel aceptable"),"—")</f>
        <v>—</v>
      </c>
      <c r="Q25" s="640"/>
      <c r="R25" s="640"/>
      <c r="S25" s="640"/>
      <c r="T25" s="641"/>
      <c r="U25" s="586"/>
      <c r="V25" s="587"/>
      <c r="W25" s="587"/>
      <c r="X25" s="587"/>
      <c r="Y25" s="587"/>
      <c r="Z25" s="587"/>
      <c r="AA25" s="587"/>
      <c r="AB25" s="587"/>
      <c r="AC25" s="587"/>
      <c r="AD25" s="587"/>
    </row>
    <row r="26">
      <c r="A26" s="651">
        <v>46286.0</v>
      </c>
      <c r="B26" s="645"/>
      <c r="G26" s="646"/>
      <c r="H26" s="653"/>
      <c r="I26" s="645"/>
      <c r="N26" s="646"/>
      <c r="O26" s="587"/>
      <c r="P26" s="645"/>
      <c r="T26" s="646"/>
      <c r="U26" s="586"/>
      <c r="V26" s="587"/>
      <c r="W26" s="587"/>
      <c r="X26" s="587"/>
      <c r="Y26" s="587"/>
      <c r="Z26" s="587"/>
      <c r="AA26" s="587"/>
      <c r="AB26" s="587"/>
      <c r="AC26" s="587"/>
      <c r="AD26" s="587"/>
    </row>
    <row r="27">
      <c r="A27" s="584">
        <v>46363.0</v>
      </c>
      <c r="B27" s="645"/>
      <c r="G27" s="646"/>
      <c r="H27" s="653"/>
      <c r="I27" s="645"/>
      <c r="N27" s="646"/>
      <c r="O27" s="587"/>
      <c r="P27" s="645"/>
      <c r="T27" s="646"/>
      <c r="U27" s="586"/>
      <c r="V27" s="587"/>
      <c r="W27" s="587"/>
      <c r="X27" s="587"/>
      <c r="Y27" s="587"/>
      <c r="Z27" s="587"/>
      <c r="AA27" s="587"/>
      <c r="AB27" s="587"/>
      <c r="AC27" s="587"/>
      <c r="AD27" s="587"/>
    </row>
    <row r="28">
      <c r="A28" s="584">
        <v>46364.0</v>
      </c>
      <c r="B28" s="647"/>
      <c r="C28" s="364"/>
      <c r="D28" s="364"/>
      <c r="E28" s="364"/>
      <c r="F28" s="364"/>
      <c r="G28" s="365"/>
      <c r="H28" s="653"/>
      <c r="I28" s="647"/>
      <c r="J28" s="364"/>
      <c r="K28" s="364"/>
      <c r="L28" s="364"/>
      <c r="M28" s="364"/>
      <c r="N28" s="365"/>
      <c r="O28" s="587"/>
      <c r="P28" s="647"/>
      <c r="Q28" s="364"/>
      <c r="R28" s="364"/>
      <c r="S28" s="364"/>
      <c r="T28" s="365"/>
      <c r="U28" s="586"/>
      <c r="V28" s="587"/>
      <c r="W28" s="587"/>
      <c r="X28" s="587"/>
      <c r="Y28" s="587"/>
      <c r="Z28" s="587"/>
      <c r="AA28" s="587"/>
      <c r="AB28" s="587"/>
      <c r="AC28" s="587"/>
      <c r="AD28" s="587"/>
    </row>
    <row r="29">
      <c r="A29" s="651">
        <v>46381.0</v>
      </c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  <c r="M29" s="590"/>
      <c r="N29" s="590"/>
      <c r="O29" s="590"/>
      <c r="P29" s="590"/>
      <c r="Q29" s="590"/>
      <c r="R29" s="590"/>
      <c r="S29" s="590"/>
      <c r="T29" s="590"/>
      <c r="U29" s="586"/>
      <c r="V29" s="587"/>
      <c r="W29" s="587"/>
      <c r="X29" s="587"/>
      <c r="Y29" s="587"/>
      <c r="Z29" s="587"/>
      <c r="AA29" s="587"/>
      <c r="AB29" s="587"/>
      <c r="AC29" s="587"/>
      <c r="AD29" s="587"/>
    </row>
    <row r="30">
      <c r="A30" s="584"/>
      <c r="B30" s="656" t="s">
        <v>1924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1"/>
      <c r="U30" s="586"/>
      <c r="V30" s="587"/>
      <c r="W30" s="587"/>
      <c r="X30" s="587"/>
      <c r="Y30" s="587"/>
      <c r="Z30" s="587"/>
      <c r="AA30" s="587"/>
      <c r="AB30" s="587"/>
      <c r="AC30" s="587"/>
      <c r="AD30" s="587"/>
    </row>
    <row r="31">
      <c r="A31" s="584"/>
      <c r="B31" s="657" t="s">
        <v>1890</v>
      </c>
      <c r="C31" s="635"/>
      <c r="D31" s="657" t="s">
        <v>1925</v>
      </c>
      <c r="E31" s="635"/>
      <c r="F31" s="657" t="s">
        <v>1926</v>
      </c>
      <c r="G31" s="635"/>
      <c r="H31" s="657" t="s">
        <v>1927</v>
      </c>
      <c r="I31" s="635"/>
      <c r="J31" s="657" t="s">
        <v>1527</v>
      </c>
      <c r="K31" s="635"/>
      <c r="L31" s="657" t="s">
        <v>1530</v>
      </c>
      <c r="M31" s="635"/>
      <c r="N31" s="657" t="s">
        <v>1540</v>
      </c>
      <c r="O31" s="635"/>
      <c r="P31" s="657" t="s">
        <v>1546</v>
      </c>
      <c r="Q31" s="635"/>
      <c r="R31" s="657" t="s">
        <v>1928</v>
      </c>
      <c r="S31" s="634"/>
      <c r="T31" s="635"/>
      <c r="U31" s="586"/>
      <c r="V31" s="587"/>
      <c r="W31" s="587"/>
      <c r="X31" s="587"/>
      <c r="Y31" s="587"/>
      <c r="Z31" s="587"/>
      <c r="AA31" s="587"/>
      <c r="AB31" s="587"/>
      <c r="AC31" s="587"/>
      <c r="AD31" s="587"/>
    </row>
    <row r="32">
      <c r="A32" s="651"/>
      <c r="B32" s="658" t="s">
        <v>1564</v>
      </c>
      <c r="C32" s="635"/>
      <c r="D32" s="659">
        <f t="shared" ref="D32:D36" si="4">X3</f>
        <v>30285</v>
      </c>
      <c r="E32" s="635"/>
      <c r="F32" s="660" t="s">
        <v>1929</v>
      </c>
      <c r="G32" s="635"/>
      <c r="H32" s="660" t="s">
        <v>1929</v>
      </c>
      <c r="I32" s="635"/>
      <c r="J32" s="659">
        <f t="shared" ref="J32:J36" si="5">Y3</f>
        <v>8210</v>
      </c>
      <c r="K32" s="635"/>
      <c r="L32" s="659">
        <f t="shared" ref="L32:L36" si="6">Z3</f>
        <v>6113</v>
      </c>
      <c r="M32" s="635"/>
      <c r="N32" s="659">
        <f t="shared" ref="N32:N36" si="7">AA3</f>
        <v>7981</v>
      </c>
      <c r="O32" s="635"/>
      <c r="P32" s="659">
        <f t="shared" ref="P32:P36" si="8">AB3</f>
        <v>7981</v>
      </c>
      <c r="Q32" s="635"/>
      <c r="R32" s="660" t="s">
        <v>1929</v>
      </c>
      <c r="S32" s="634"/>
      <c r="T32" s="635"/>
      <c r="U32" s="586"/>
      <c r="V32" s="587"/>
      <c r="W32" s="587"/>
      <c r="X32" s="587"/>
      <c r="Y32" s="587"/>
      <c r="Z32" s="587"/>
      <c r="AA32" s="587"/>
      <c r="AB32" s="587"/>
      <c r="AC32" s="587"/>
      <c r="AD32" s="587"/>
    </row>
    <row r="33">
      <c r="A33" s="661"/>
      <c r="B33" s="662" t="s">
        <v>1895</v>
      </c>
      <c r="C33" s="635"/>
      <c r="D33" s="663">
        <f t="shared" si="4"/>
        <v>84203</v>
      </c>
      <c r="E33" s="635"/>
      <c r="F33" s="664">
        <f t="shared" ref="F33:F36" si="9">IFERROR(X4-X3,"—")</f>
        <v>53918</v>
      </c>
      <c r="G33" s="635"/>
      <c r="H33" s="665">
        <f t="shared" ref="H33:H36" si="10">IFERROR((X4-X3)/X3,"—")</f>
        <v>1.78035331</v>
      </c>
      <c r="I33" s="635"/>
      <c r="J33" s="663">
        <f t="shared" si="5"/>
        <v>13823</v>
      </c>
      <c r="K33" s="635"/>
      <c r="L33" s="663">
        <f t="shared" si="6"/>
        <v>25948</v>
      </c>
      <c r="M33" s="635"/>
      <c r="N33" s="663">
        <f t="shared" si="7"/>
        <v>14745</v>
      </c>
      <c r="O33" s="635"/>
      <c r="P33" s="663">
        <f t="shared" si="8"/>
        <v>29687</v>
      </c>
      <c r="Q33" s="635"/>
      <c r="R33" s="666" t="str">
        <f t="shared" ref="R33:R36" si="11">IFERROR(IF(X4&gt;X3,"↑  SUBE","↓  BAJA"),"—")</f>
        <v>↑  SUBE</v>
      </c>
      <c r="S33" s="634"/>
      <c r="T33" s="635"/>
      <c r="U33" s="586"/>
      <c r="V33" s="587"/>
      <c r="W33" s="587"/>
      <c r="X33" s="587"/>
      <c r="Y33" s="587"/>
      <c r="Z33" s="587"/>
      <c r="AA33" s="587"/>
      <c r="AB33" s="587"/>
      <c r="AC33" s="587"/>
      <c r="AD33" s="587"/>
    </row>
    <row r="34">
      <c r="A34" s="661"/>
      <c r="B34" s="658" t="s">
        <v>1900</v>
      </c>
      <c r="C34" s="635"/>
      <c r="D34" s="659">
        <f t="shared" si="4"/>
        <v>115488</v>
      </c>
      <c r="E34" s="635"/>
      <c r="F34" s="667">
        <f t="shared" si="9"/>
        <v>31285</v>
      </c>
      <c r="G34" s="635"/>
      <c r="H34" s="668">
        <f t="shared" si="10"/>
        <v>0.3715425816</v>
      </c>
      <c r="I34" s="635"/>
      <c r="J34" s="659">
        <f t="shared" si="5"/>
        <v>4848</v>
      </c>
      <c r="K34" s="635"/>
      <c r="L34" s="659">
        <f t="shared" si="6"/>
        <v>23274</v>
      </c>
      <c r="M34" s="635"/>
      <c r="N34" s="659">
        <f t="shared" si="7"/>
        <v>50145</v>
      </c>
      <c r="O34" s="635"/>
      <c r="P34" s="659">
        <f t="shared" si="8"/>
        <v>37221</v>
      </c>
      <c r="Q34" s="635"/>
      <c r="R34" s="669" t="str">
        <f t="shared" si="11"/>
        <v>↑  SUBE</v>
      </c>
      <c r="S34" s="634"/>
      <c r="T34" s="635"/>
      <c r="U34" s="586"/>
      <c r="V34" s="587"/>
      <c r="W34" s="587"/>
      <c r="X34" s="587"/>
      <c r="Y34" s="587"/>
      <c r="Z34" s="587"/>
      <c r="AA34" s="587"/>
      <c r="AB34" s="587"/>
      <c r="AC34" s="587"/>
      <c r="AD34" s="587"/>
    </row>
    <row r="35">
      <c r="A35" s="661"/>
      <c r="B35" s="662" t="s">
        <v>1905</v>
      </c>
      <c r="C35" s="635"/>
      <c r="D35" s="663">
        <f t="shared" si="4"/>
        <v>128099</v>
      </c>
      <c r="E35" s="635"/>
      <c r="F35" s="664">
        <f t="shared" si="9"/>
        <v>12611</v>
      </c>
      <c r="G35" s="635"/>
      <c r="H35" s="665">
        <f t="shared" si="10"/>
        <v>0.1091974924</v>
      </c>
      <c r="I35" s="635"/>
      <c r="J35" s="663">
        <f t="shared" si="5"/>
        <v>24158</v>
      </c>
      <c r="K35" s="635"/>
      <c r="L35" s="663">
        <f t="shared" si="6"/>
        <v>37293</v>
      </c>
      <c r="M35" s="635"/>
      <c r="N35" s="663">
        <f t="shared" si="7"/>
        <v>31425</v>
      </c>
      <c r="O35" s="635"/>
      <c r="P35" s="663">
        <f t="shared" si="8"/>
        <v>32007</v>
      </c>
      <c r="Q35" s="635"/>
      <c r="R35" s="666" t="str">
        <f t="shared" si="11"/>
        <v>↑  SUBE</v>
      </c>
      <c r="S35" s="634"/>
      <c r="T35" s="635"/>
      <c r="U35" s="586"/>
      <c r="V35" s="587"/>
      <c r="W35" s="587"/>
      <c r="X35" s="587"/>
      <c r="Y35" s="587"/>
      <c r="Z35" s="587"/>
      <c r="AA35" s="587"/>
      <c r="AB35" s="587"/>
      <c r="AC35" s="587"/>
      <c r="AD35" s="587"/>
    </row>
    <row r="36">
      <c r="A36" s="670"/>
      <c r="B36" s="658" t="s">
        <v>1906</v>
      </c>
      <c r="C36" s="635"/>
      <c r="D36" s="659">
        <f t="shared" si="4"/>
        <v>104858</v>
      </c>
      <c r="E36" s="635"/>
      <c r="F36" s="667">
        <f t="shared" si="9"/>
        <v>-23241</v>
      </c>
      <c r="G36" s="635"/>
      <c r="H36" s="668">
        <f t="shared" si="10"/>
        <v>-0.1814299877</v>
      </c>
      <c r="I36" s="635"/>
      <c r="J36" s="659">
        <f t="shared" si="5"/>
        <v>21778</v>
      </c>
      <c r="K36" s="635"/>
      <c r="L36" s="659">
        <f t="shared" si="6"/>
        <v>22066</v>
      </c>
      <c r="M36" s="635"/>
      <c r="N36" s="659">
        <f t="shared" si="7"/>
        <v>29766</v>
      </c>
      <c r="O36" s="635"/>
      <c r="P36" s="659">
        <f t="shared" si="8"/>
        <v>30048</v>
      </c>
      <c r="Q36" s="635"/>
      <c r="R36" s="671" t="str">
        <f t="shared" si="11"/>
        <v>↓  BAJA</v>
      </c>
      <c r="S36" s="634"/>
      <c r="T36" s="635"/>
      <c r="U36" s="586"/>
      <c r="V36" s="587"/>
      <c r="W36" s="587"/>
      <c r="X36" s="587"/>
      <c r="Y36" s="587"/>
      <c r="Z36" s="587"/>
      <c r="AA36" s="587"/>
      <c r="AB36" s="587"/>
      <c r="AC36" s="587"/>
      <c r="AD36" s="587"/>
    </row>
    <row r="37">
      <c r="A37" s="670"/>
      <c r="B37" s="662"/>
      <c r="C37" s="635"/>
      <c r="D37" s="663"/>
      <c r="E37" s="635"/>
      <c r="F37" s="664"/>
      <c r="G37" s="635"/>
      <c r="H37" s="665"/>
      <c r="I37" s="635"/>
      <c r="J37" s="663"/>
      <c r="K37" s="635"/>
      <c r="L37" s="663"/>
      <c r="M37" s="635"/>
      <c r="N37" s="663"/>
      <c r="O37" s="635"/>
      <c r="P37" s="663"/>
      <c r="Q37" s="635"/>
      <c r="R37" s="666"/>
      <c r="S37" s="634"/>
      <c r="T37" s="635"/>
      <c r="U37" s="586"/>
      <c r="V37" s="587"/>
      <c r="W37" s="587"/>
      <c r="X37" s="587"/>
      <c r="Y37" s="587"/>
      <c r="Z37" s="587"/>
      <c r="AA37" s="587"/>
      <c r="AB37" s="587"/>
      <c r="AC37" s="587"/>
      <c r="AD37" s="587"/>
    </row>
    <row r="38">
      <c r="A38" s="661"/>
      <c r="B38" s="672"/>
      <c r="C38" s="365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3"/>
      <c r="P38" s="673"/>
      <c r="Q38" s="673"/>
      <c r="R38" s="673"/>
      <c r="S38" s="673"/>
      <c r="T38" s="673"/>
      <c r="U38" s="586"/>
      <c r="V38" s="587"/>
      <c r="W38" s="587"/>
      <c r="X38" s="587"/>
      <c r="Y38" s="587"/>
      <c r="Z38" s="587"/>
      <c r="AA38" s="587"/>
      <c r="AB38" s="587"/>
      <c r="AC38" s="587"/>
      <c r="AD38" s="587"/>
    </row>
    <row r="39">
      <c r="A39" s="661"/>
      <c r="B39" s="674" t="s">
        <v>1930</v>
      </c>
      <c r="C39" s="641"/>
      <c r="D39" s="675">
        <f>X11</f>
        <v>128099</v>
      </c>
      <c r="E39" s="641"/>
      <c r="F39" s="676"/>
      <c r="G39" s="640"/>
      <c r="H39" s="640"/>
      <c r="I39" s="641"/>
      <c r="J39" s="675">
        <f>Y11</f>
        <v>72817</v>
      </c>
      <c r="K39" s="641"/>
      <c r="L39" s="675">
        <f>Z11</f>
        <v>114694</v>
      </c>
      <c r="M39" s="641"/>
      <c r="N39" s="675">
        <f>AA11</f>
        <v>134062</v>
      </c>
      <c r="O39" s="641"/>
      <c r="P39" s="675">
        <f>AB11</f>
        <v>136944</v>
      </c>
      <c r="Q39" s="641"/>
      <c r="R39" s="676"/>
      <c r="S39" s="640"/>
      <c r="T39" s="641"/>
      <c r="U39" s="586"/>
      <c r="V39" s="587"/>
      <c r="W39" s="587"/>
      <c r="X39" s="587"/>
      <c r="Y39" s="587"/>
      <c r="Z39" s="587"/>
      <c r="AA39" s="587"/>
      <c r="AB39" s="587"/>
      <c r="AC39" s="587"/>
      <c r="AD39" s="587"/>
    </row>
    <row r="40">
      <c r="A40" s="661"/>
      <c r="B40" s="677"/>
      <c r="C40" s="678"/>
      <c r="D40" s="678"/>
      <c r="E40" s="678"/>
      <c r="F40" s="678"/>
      <c r="G40" s="678"/>
      <c r="H40" s="678"/>
      <c r="I40" s="678"/>
      <c r="J40" s="679">
        <f>J39/ SUM(J39:Q39)</f>
        <v>0.1588098151</v>
      </c>
      <c r="K40" s="150"/>
      <c r="L40" s="679">
        <f>L39/ SUM(J39:S39)</f>
        <v>0.2501412161</v>
      </c>
      <c r="M40" s="150"/>
      <c r="N40" s="679">
        <f>N39/ SUM(J39:U39)</f>
        <v>0.2923817438</v>
      </c>
      <c r="O40" s="150"/>
      <c r="P40" s="679">
        <f>P39/ SUM(L39:W39)</f>
        <v>0.3550531501</v>
      </c>
      <c r="Q40" s="150"/>
      <c r="R40" s="678"/>
      <c r="S40" s="678"/>
      <c r="T40" s="680"/>
      <c r="U40" s="586"/>
      <c r="V40" s="587"/>
      <c r="W40" s="587"/>
      <c r="X40" s="587"/>
      <c r="Y40" s="587"/>
      <c r="Z40" s="587"/>
      <c r="AA40" s="587"/>
      <c r="AB40" s="587"/>
      <c r="AC40" s="587"/>
      <c r="AD40" s="587"/>
    </row>
    <row r="41">
      <c r="A41" s="681"/>
    </row>
    <row r="42">
      <c r="A42" s="681"/>
    </row>
    <row r="43">
      <c r="A43" s="681"/>
    </row>
    <row r="44">
      <c r="A44" s="681"/>
    </row>
    <row r="45">
      <c r="A45" s="681"/>
    </row>
    <row r="46">
      <c r="A46" s="681"/>
    </row>
    <row r="47">
      <c r="A47" s="681"/>
    </row>
    <row r="48">
      <c r="A48" s="681"/>
    </row>
    <row r="49">
      <c r="A49" s="681"/>
    </row>
    <row r="50">
      <c r="A50" s="681"/>
    </row>
    <row r="51">
      <c r="A51" s="681"/>
    </row>
    <row r="52">
      <c r="A52" s="681"/>
    </row>
    <row r="53">
      <c r="A53" s="681"/>
    </row>
    <row r="54">
      <c r="A54" s="681"/>
    </row>
    <row r="55">
      <c r="A55" s="681"/>
    </row>
    <row r="56">
      <c r="A56" s="681"/>
    </row>
    <row r="57">
      <c r="A57" s="681"/>
    </row>
    <row r="58">
      <c r="A58" s="681"/>
    </row>
    <row r="59">
      <c r="A59" s="681"/>
    </row>
    <row r="60">
      <c r="A60" s="681"/>
    </row>
    <row r="61">
      <c r="A61" s="681"/>
    </row>
    <row r="62">
      <c r="A62" s="681"/>
    </row>
    <row r="63">
      <c r="A63" s="681"/>
    </row>
    <row r="64">
      <c r="A64" s="681"/>
    </row>
    <row r="65">
      <c r="A65" s="681"/>
    </row>
    <row r="66">
      <c r="A66" s="681"/>
    </row>
    <row r="67">
      <c r="A67" s="681"/>
    </row>
    <row r="68">
      <c r="A68" s="681"/>
    </row>
    <row r="69">
      <c r="A69" s="681"/>
    </row>
    <row r="70">
      <c r="A70" s="681"/>
    </row>
    <row r="71">
      <c r="A71" s="681"/>
    </row>
    <row r="72">
      <c r="A72" s="681"/>
    </row>
    <row r="73">
      <c r="A73" s="681"/>
    </row>
    <row r="74">
      <c r="A74" s="681"/>
    </row>
    <row r="75">
      <c r="A75" s="681"/>
    </row>
    <row r="76">
      <c r="A76" s="681"/>
    </row>
    <row r="77">
      <c r="A77" s="681"/>
    </row>
    <row r="78">
      <c r="A78" s="681"/>
    </row>
    <row r="79">
      <c r="A79" s="681"/>
    </row>
    <row r="80">
      <c r="A80" s="681"/>
    </row>
    <row r="81">
      <c r="A81" s="681"/>
    </row>
    <row r="82">
      <c r="A82" s="681"/>
    </row>
    <row r="83">
      <c r="A83" s="681"/>
    </row>
    <row r="84">
      <c r="A84" s="681"/>
    </row>
    <row r="85">
      <c r="A85" s="681"/>
    </row>
    <row r="86">
      <c r="A86" s="681"/>
    </row>
    <row r="87">
      <c r="A87" s="681"/>
    </row>
    <row r="88">
      <c r="A88" s="681"/>
    </row>
    <row r="89">
      <c r="A89" s="681"/>
    </row>
    <row r="90">
      <c r="A90" s="681"/>
    </row>
    <row r="91">
      <c r="A91" s="681"/>
    </row>
    <row r="92">
      <c r="A92" s="681"/>
    </row>
    <row r="93">
      <c r="A93" s="681"/>
    </row>
    <row r="94">
      <c r="A94" s="681"/>
    </row>
    <row r="95">
      <c r="A95" s="681"/>
    </row>
    <row r="96">
      <c r="A96" s="681"/>
    </row>
    <row r="97">
      <c r="A97" s="681"/>
    </row>
    <row r="98">
      <c r="A98" s="681"/>
    </row>
    <row r="99">
      <c r="A99" s="681"/>
    </row>
    <row r="100">
      <c r="A100" s="681"/>
    </row>
    <row r="101">
      <c r="A101" s="681"/>
    </row>
    <row r="102">
      <c r="A102" s="681"/>
    </row>
    <row r="103">
      <c r="A103" s="681"/>
    </row>
    <row r="104">
      <c r="A104" s="681"/>
    </row>
    <row r="105">
      <c r="A105" s="681"/>
    </row>
    <row r="106">
      <c r="A106" s="681"/>
    </row>
    <row r="107">
      <c r="A107" s="681"/>
    </row>
    <row r="108">
      <c r="A108" s="681"/>
    </row>
    <row r="109">
      <c r="A109" s="681"/>
    </row>
    <row r="110">
      <c r="A110" s="681"/>
    </row>
    <row r="111">
      <c r="A111" s="681"/>
    </row>
    <row r="112">
      <c r="A112" s="681"/>
    </row>
    <row r="113">
      <c r="A113" s="681"/>
    </row>
    <row r="114">
      <c r="A114" s="681"/>
    </row>
    <row r="115">
      <c r="A115" s="681"/>
    </row>
    <row r="116">
      <c r="A116" s="681"/>
    </row>
    <row r="117">
      <c r="A117" s="681"/>
    </row>
    <row r="118">
      <c r="A118" s="681"/>
    </row>
    <row r="119">
      <c r="A119" s="681"/>
    </row>
    <row r="120">
      <c r="A120" s="681"/>
    </row>
    <row r="121">
      <c r="A121" s="681"/>
    </row>
    <row r="122">
      <c r="A122" s="681"/>
    </row>
    <row r="123">
      <c r="A123" s="681"/>
    </row>
    <row r="124">
      <c r="A124" s="681"/>
    </row>
    <row r="125">
      <c r="A125" s="681"/>
    </row>
    <row r="126">
      <c r="A126" s="681"/>
    </row>
    <row r="127">
      <c r="A127" s="681"/>
    </row>
    <row r="128">
      <c r="A128" s="681"/>
    </row>
    <row r="129">
      <c r="A129" s="681"/>
    </row>
    <row r="130">
      <c r="A130" s="681"/>
    </row>
    <row r="131">
      <c r="A131" s="681"/>
    </row>
    <row r="132">
      <c r="A132" s="681"/>
    </row>
    <row r="133">
      <c r="A133" s="681"/>
    </row>
    <row r="134">
      <c r="A134" s="681"/>
    </row>
    <row r="135">
      <c r="A135" s="681"/>
    </row>
    <row r="136">
      <c r="A136" s="681"/>
    </row>
    <row r="137">
      <c r="A137" s="681"/>
    </row>
    <row r="138">
      <c r="A138" s="681"/>
    </row>
    <row r="139">
      <c r="A139" s="681"/>
    </row>
    <row r="140">
      <c r="A140" s="681"/>
    </row>
    <row r="141">
      <c r="A141" s="681"/>
    </row>
    <row r="142">
      <c r="A142" s="681"/>
    </row>
    <row r="143">
      <c r="A143" s="681"/>
    </row>
    <row r="144">
      <c r="A144" s="681"/>
    </row>
    <row r="145">
      <c r="A145" s="681"/>
    </row>
    <row r="146">
      <c r="A146" s="681"/>
    </row>
    <row r="147">
      <c r="A147" s="681"/>
    </row>
    <row r="148">
      <c r="A148" s="681"/>
    </row>
    <row r="149">
      <c r="A149" s="681"/>
    </row>
    <row r="150">
      <c r="A150" s="681"/>
    </row>
    <row r="151">
      <c r="A151" s="681"/>
    </row>
    <row r="152">
      <c r="A152" s="681"/>
    </row>
    <row r="153">
      <c r="A153" s="681"/>
    </row>
    <row r="154">
      <c r="A154" s="681"/>
    </row>
    <row r="155">
      <c r="A155" s="681"/>
    </row>
    <row r="156">
      <c r="A156" s="681"/>
    </row>
    <row r="157">
      <c r="A157" s="681"/>
    </row>
    <row r="158">
      <c r="A158" s="681"/>
    </row>
    <row r="159">
      <c r="A159" s="681"/>
    </row>
    <row r="160">
      <c r="A160" s="681"/>
    </row>
    <row r="161">
      <c r="A161" s="681"/>
    </row>
    <row r="162">
      <c r="A162" s="681"/>
    </row>
    <row r="163">
      <c r="A163" s="681"/>
    </row>
    <row r="164">
      <c r="A164" s="681"/>
    </row>
    <row r="165">
      <c r="A165" s="681"/>
    </row>
    <row r="166">
      <c r="A166" s="681"/>
    </row>
    <row r="167">
      <c r="A167" s="681"/>
    </row>
    <row r="168">
      <c r="A168" s="681"/>
    </row>
    <row r="169">
      <c r="A169" s="681"/>
    </row>
    <row r="170">
      <c r="A170" s="681"/>
    </row>
    <row r="171">
      <c r="A171" s="681"/>
    </row>
    <row r="172">
      <c r="A172" s="681"/>
    </row>
    <row r="173">
      <c r="A173" s="681"/>
    </row>
    <row r="174">
      <c r="A174" s="681"/>
    </row>
    <row r="175">
      <c r="A175" s="681"/>
    </row>
    <row r="176">
      <c r="A176" s="681"/>
    </row>
    <row r="177">
      <c r="A177" s="681"/>
    </row>
    <row r="178">
      <c r="A178" s="681"/>
    </row>
    <row r="179">
      <c r="A179" s="681"/>
    </row>
    <row r="180">
      <c r="A180" s="681"/>
    </row>
    <row r="181">
      <c r="A181" s="681"/>
    </row>
    <row r="182">
      <c r="A182" s="681"/>
    </row>
    <row r="183">
      <c r="A183" s="681"/>
    </row>
    <row r="184">
      <c r="A184" s="681"/>
    </row>
    <row r="185">
      <c r="A185" s="681"/>
    </row>
    <row r="186">
      <c r="A186" s="681"/>
    </row>
    <row r="187">
      <c r="A187" s="681"/>
    </row>
    <row r="188">
      <c r="A188" s="681"/>
    </row>
    <row r="189">
      <c r="A189" s="681"/>
    </row>
    <row r="190">
      <c r="A190" s="681"/>
    </row>
    <row r="191">
      <c r="A191" s="681"/>
    </row>
    <row r="192">
      <c r="A192" s="681"/>
    </row>
    <row r="193">
      <c r="A193" s="681"/>
    </row>
    <row r="194">
      <c r="A194" s="681"/>
    </row>
    <row r="195">
      <c r="A195" s="681"/>
    </row>
    <row r="196">
      <c r="A196" s="681"/>
    </row>
    <row r="197">
      <c r="A197" s="681"/>
    </row>
    <row r="198">
      <c r="A198" s="681"/>
    </row>
    <row r="199">
      <c r="A199" s="681"/>
    </row>
    <row r="200">
      <c r="A200" s="681"/>
    </row>
    <row r="201">
      <c r="A201" s="681"/>
    </row>
    <row r="202">
      <c r="A202" s="681"/>
    </row>
    <row r="203">
      <c r="A203" s="681"/>
    </row>
    <row r="204">
      <c r="A204" s="681"/>
    </row>
    <row r="205">
      <c r="A205" s="681"/>
    </row>
    <row r="206">
      <c r="A206" s="681"/>
    </row>
    <row r="207">
      <c r="A207" s="681"/>
    </row>
    <row r="208">
      <c r="A208" s="681"/>
    </row>
    <row r="209">
      <c r="A209" s="681"/>
    </row>
    <row r="210">
      <c r="A210" s="681"/>
    </row>
    <row r="211">
      <c r="A211" s="681"/>
    </row>
    <row r="212">
      <c r="A212" s="681"/>
    </row>
    <row r="213">
      <c r="A213" s="681"/>
    </row>
    <row r="214">
      <c r="A214" s="681"/>
    </row>
    <row r="215">
      <c r="A215" s="681"/>
    </row>
    <row r="216">
      <c r="A216" s="681"/>
    </row>
    <row r="217">
      <c r="A217" s="681"/>
    </row>
    <row r="218">
      <c r="A218" s="681"/>
    </row>
    <row r="219">
      <c r="A219" s="681"/>
    </row>
    <row r="220">
      <c r="A220" s="681"/>
    </row>
    <row r="221">
      <c r="A221" s="681"/>
    </row>
    <row r="222">
      <c r="A222" s="681"/>
    </row>
    <row r="223">
      <c r="A223" s="681"/>
    </row>
    <row r="224">
      <c r="A224" s="681"/>
    </row>
    <row r="225">
      <c r="A225" s="681"/>
    </row>
    <row r="226">
      <c r="A226" s="681"/>
    </row>
    <row r="227">
      <c r="A227" s="681"/>
    </row>
    <row r="228">
      <c r="A228" s="681"/>
    </row>
    <row r="229">
      <c r="A229" s="681"/>
    </row>
    <row r="230">
      <c r="A230" s="681"/>
    </row>
    <row r="231">
      <c r="A231" s="681"/>
    </row>
    <row r="232">
      <c r="A232" s="681"/>
    </row>
    <row r="233">
      <c r="A233" s="681"/>
    </row>
    <row r="234">
      <c r="A234" s="681"/>
    </row>
    <row r="235">
      <c r="A235" s="681"/>
    </row>
    <row r="236">
      <c r="A236" s="681"/>
    </row>
    <row r="237">
      <c r="A237" s="681"/>
    </row>
    <row r="238">
      <c r="A238" s="681"/>
    </row>
    <row r="239">
      <c r="A239" s="681"/>
    </row>
    <row r="240">
      <c r="A240" s="681"/>
    </row>
    <row r="241">
      <c r="A241" s="681"/>
    </row>
    <row r="242">
      <c r="A242" s="681"/>
    </row>
    <row r="243">
      <c r="A243" s="681"/>
    </row>
    <row r="244">
      <c r="A244" s="681"/>
    </row>
    <row r="245">
      <c r="A245" s="681"/>
    </row>
    <row r="246">
      <c r="A246" s="681"/>
    </row>
    <row r="247">
      <c r="A247" s="681"/>
    </row>
    <row r="248">
      <c r="A248" s="681"/>
    </row>
    <row r="249">
      <c r="A249" s="681"/>
    </row>
    <row r="250">
      <c r="A250" s="681"/>
    </row>
    <row r="251">
      <c r="A251" s="681"/>
    </row>
    <row r="252">
      <c r="A252" s="681"/>
    </row>
    <row r="253">
      <c r="A253" s="681"/>
    </row>
    <row r="254">
      <c r="A254" s="681"/>
    </row>
    <row r="255">
      <c r="A255" s="681"/>
    </row>
    <row r="256">
      <c r="A256" s="681"/>
    </row>
    <row r="257">
      <c r="A257" s="681"/>
    </row>
    <row r="258">
      <c r="A258" s="681"/>
    </row>
    <row r="259">
      <c r="A259" s="681"/>
    </row>
    <row r="260">
      <c r="A260" s="681"/>
    </row>
    <row r="261">
      <c r="A261" s="681"/>
    </row>
    <row r="262">
      <c r="A262" s="681"/>
    </row>
    <row r="263">
      <c r="A263" s="681"/>
    </row>
    <row r="264">
      <c r="A264" s="681"/>
    </row>
    <row r="265">
      <c r="A265" s="681"/>
    </row>
    <row r="266">
      <c r="A266" s="681"/>
    </row>
    <row r="267">
      <c r="A267" s="681"/>
    </row>
    <row r="268">
      <c r="A268" s="681"/>
    </row>
    <row r="269">
      <c r="A269" s="681"/>
    </row>
    <row r="270">
      <c r="A270" s="681"/>
    </row>
    <row r="271">
      <c r="A271" s="681"/>
    </row>
    <row r="272">
      <c r="A272" s="681"/>
    </row>
    <row r="273">
      <c r="A273" s="681"/>
    </row>
    <row r="274">
      <c r="A274" s="681"/>
    </row>
    <row r="275">
      <c r="A275" s="681"/>
    </row>
    <row r="276">
      <c r="A276" s="681"/>
    </row>
    <row r="277">
      <c r="A277" s="681"/>
    </row>
    <row r="278">
      <c r="A278" s="681"/>
    </row>
    <row r="279">
      <c r="A279" s="681"/>
    </row>
    <row r="280">
      <c r="A280" s="681"/>
    </row>
    <row r="281">
      <c r="A281" s="681"/>
    </row>
    <row r="282">
      <c r="A282" s="681"/>
    </row>
    <row r="283">
      <c r="A283" s="681"/>
    </row>
    <row r="284">
      <c r="A284" s="681"/>
    </row>
    <row r="285">
      <c r="A285" s="681"/>
    </row>
    <row r="286">
      <c r="A286" s="681"/>
    </row>
    <row r="287">
      <c r="A287" s="681"/>
    </row>
    <row r="288">
      <c r="A288" s="681"/>
    </row>
    <row r="289">
      <c r="A289" s="681"/>
    </row>
    <row r="290">
      <c r="A290" s="681"/>
    </row>
    <row r="291">
      <c r="A291" s="681"/>
    </row>
    <row r="292">
      <c r="A292" s="681"/>
    </row>
    <row r="293">
      <c r="A293" s="681"/>
    </row>
    <row r="294">
      <c r="A294" s="681"/>
    </row>
    <row r="295">
      <c r="A295" s="681"/>
    </row>
    <row r="296">
      <c r="A296" s="681"/>
    </row>
    <row r="297">
      <c r="A297" s="681"/>
    </row>
    <row r="298">
      <c r="A298" s="681"/>
    </row>
    <row r="299">
      <c r="A299" s="681"/>
    </row>
    <row r="300">
      <c r="A300" s="681"/>
    </row>
    <row r="301">
      <c r="A301" s="681"/>
    </row>
    <row r="302">
      <c r="A302" s="681"/>
    </row>
    <row r="303">
      <c r="A303" s="681"/>
    </row>
    <row r="304">
      <c r="A304" s="681"/>
    </row>
    <row r="305">
      <c r="A305" s="681"/>
    </row>
    <row r="306">
      <c r="A306" s="681"/>
    </row>
    <row r="307">
      <c r="A307" s="681"/>
    </row>
    <row r="308">
      <c r="A308" s="681"/>
    </row>
    <row r="309">
      <c r="A309" s="681"/>
    </row>
    <row r="310">
      <c r="A310" s="681"/>
    </row>
    <row r="311">
      <c r="A311" s="681"/>
    </row>
    <row r="312">
      <c r="A312" s="681"/>
    </row>
    <row r="313">
      <c r="A313" s="681"/>
    </row>
    <row r="314">
      <c r="A314" s="681"/>
    </row>
    <row r="315">
      <c r="A315" s="681"/>
    </row>
    <row r="316">
      <c r="A316" s="681"/>
    </row>
    <row r="317">
      <c r="A317" s="681"/>
    </row>
    <row r="318">
      <c r="A318" s="681"/>
    </row>
    <row r="319">
      <c r="A319" s="681"/>
    </row>
    <row r="320">
      <c r="A320" s="681"/>
    </row>
    <row r="321">
      <c r="A321" s="681"/>
    </row>
    <row r="322">
      <c r="A322" s="681"/>
    </row>
    <row r="323">
      <c r="A323" s="681"/>
    </row>
    <row r="324">
      <c r="A324" s="681"/>
    </row>
    <row r="325">
      <c r="A325" s="681"/>
    </row>
    <row r="326">
      <c r="A326" s="681"/>
    </row>
    <row r="327">
      <c r="A327" s="681"/>
    </row>
    <row r="328">
      <c r="A328" s="681"/>
    </row>
    <row r="329">
      <c r="A329" s="681"/>
    </row>
    <row r="330">
      <c r="A330" s="681"/>
    </row>
    <row r="331">
      <c r="A331" s="681"/>
    </row>
    <row r="332">
      <c r="A332" s="681"/>
    </row>
    <row r="333">
      <c r="A333" s="681"/>
    </row>
    <row r="334">
      <c r="A334" s="681"/>
    </row>
    <row r="335">
      <c r="A335" s="681"/>
    </row>
    <row r="336">
      <c r="A336" s="681"/>
    </row>
    <row r="337">
      <c r="A337" s="681"/>
    </row>
    <row r="338">
      <c r="A338" s="681"/>
    </row>
    <row r="339">
      <c r="A339" s="681"/>
    </row>
    <row r="340">
      <c r="A340" s="681"/>
    </row>
    <row r="341">
      <c r="A341" s="681"/>
    </row>
    <row r="342">
      <c r="A342" s="681"/>
    </row>
    <row r="343">
      <c r="A343" s="681"/>
    </row>
    <row r="344">
      <c r="A344" s="681"/>
    </row>
    <row r="345">
      <c r="A345" s="681"/>
    </row>
    <row r="346">
      <c r="A346" s="681"/>
    </row>
    <row r="347">
      <c r="A347" s="681"/>
    </row>
    <row r="348">
      <c r="A348" s="681"/>
    </row>
    <row r="349">
      <c r="A349" s="681"/>
    </row>
    <row r="350">
      <c r="A350" s="681"/>
    </row>
    <row r="351">
      <c r="A351" s="681"/>
    </row>
    <row r="352">
      <c r="A352" s="681"/>
    </row>
    <row r="353">
      <c r="A353" s="681"/>
    </row>
    <row r="354">
      <c r="A354" s="681"/>
    </row>
    <row r="355">
      <c r="A355" s="681"/>
    </row>
    <row r="356">
      <c r="A356" s="681"/>
    </row>
    <row r="357">
      <c r="A357" s="681"/>
    </row>
    <row r="358">
      <c r="A358" s="681"/>
    </row>
    <row r="359">
      <c r="A359" s="681"/>
    </row>
    <row r="360">
      <c r="A360" s="681"/>
    </row>
    <row r="361">
      <c r="A361" s="681"/>
    </row>
    <row r="362">
      <c r="A362" s="681"/>
    </row>
    <row r="363">
      <c r="A363" s="681"/>
    </row>
    <row r="364">
      <c r="A364" s="681"/>
    </row>
    <row r="365">
      <c r="A365" s="681"/>
    </row>
    <row r="366">
      <c r="A366" s="681"/>
    </row>
    <row r="367">
      <c r="A367" s="681"/>
    </row>
    <row r="368">
      <c r="A368" s="681"/>
    </row>
    <row r="369">
      <c r="A369" s="681"/>
    </row>
    <row r="370">
      <c r="A370" s="681"/>
    </row>
    <row r="371">
      <c r="A371" s="681"/>
    </row>
    <row r="372">
      <c r="A372" s="681"/>
    </row>
    <row r="373">
      <c r="A373" s="681"/>
    </row>
    <row r="374">
      <c r="A374" s="681"/>
    </row>
    <row r="375">
      <c r="A375" s="681"/>
    </row>
    <row r="376">
      <c r="A376" s="681"/>
    </row>
    <row r="377">
      <c r="A377" s="681"/>
    </row>
    <row r="378">
      <c r="A378" s="681"/>
    </row>
    <row r="379">
      <c r="A379" s="681"/>
    </row>
    <row r="380">
      <c r="A380" s="681"/>
    </row>
    <row r="381">
      <c r="A381" s="681"/>
    </row>
    <row r="382">
      <c r="A382" s="681"/>
    </row>
    <row r="383">
      <c r="A383" s="681"/>
    </row>
    <row r="384">
      <c r="A384" s="681"/>
    </row>
    <row r="385">
      <c r="A385" s="681"/>
    </row>
    <row r="386">
      <c r="A386" s="681"/>
    </row>
    <row r="387">
      <c r="A387" s="681"/>
    </row>
    <row r="388">
      <c r="A388" s="681"/>
    </row>
    <row r="389">
      <c r="A389" s="681"/>
    </row>
    <row r="390">
      <c r="A390" s="681"/>
    </row>
    <row r="391">
      <c r="A391" s="681"/>
    </row>
    <row r="392">
      <c r="A392" s="681"/>
    </row>
    <row r="393">
      <c r="A393" s="681"/>
    </row>
    <row r="394">
      <c r="A394" s="681"/>
    </row>
    <row r="395">
      <c r="A395" s="681"/>
    </row>
    <row r="396">
      <c r="A396" s="681"/>
    </row>
    <row r="397">
      <c r="A397" s="681"/>
    </row>
    <row r="398">
      <c r="A398" s="681"/>
    </row>
    <row r="399">
      <c r="A399" s="681"/>
    </row>
    <row r="400">
      <c r="A400" s="681"/>
    </row>
    <row r="401">
      <c r="A401" s="681"/>
    </row>
    <row r="402">
      <c r="A402" s="681"/>
    </row>
    <row r="403">
      <c r="A403" s="681"/>
    </row>
    <row r="404">
      <c r="A404" s="681"/>
    </row>
    <row r="405">
      <c r="A405" s="681"/>
    </row>
    <row r="406">
      <c r="A406" s="681"/>
    </row>
    <row r="407">
      <c r="A407" s="681"/>
    </row>
    <row r="408">
      <c r="A408" s="681"/>
    </row>
    <row r="409">
      <c r="A409" s="681"/>
    </row>
    <row r="410">
      <c r="A410" s="681"/>
    </row>
    <row r="411">
      <c r="A411" s="681"/>
    </row>
    <row r="412">
      <c r="A412" s="681"/>
    </row>
    <row r="413">
      <c r="A413" s="681"/>
    </row>
    <row r="414">
      <c r="A414" s="681"/>
    </row>
    <row r="415">
      <c r="A415" s="681"/>
    </row>
    <row r="416">
      <c r="A416" s="681"/>
    </row>
    <row r="417">
      <c r="A417" s="681"/>
    </row>
    <row r="418">
      <c r="A418" s="681"/>
    </row>
    <row r="419">
      <c r="A419" s="681"/>
    </row>
    <row r="420">
      <c r="A420" s="681"/>
    </row>
    <row r="421">
      <c r="A421" s="681"/>
    </row>
    <row r="422">
      <c r="A422" s="681"/>
    </row>
    <row r="423">
      <c r="A423" s="681"/>
    </row>
    <row r="424">
      <c r="A424" s="681"/>
    </row>
    <row r="425">
      <c r="A425" s="681"/>
    </row>
    <row r="426">
      <c r="A426" s="681"/>
    </row>
    <row r="427">
      <c r="A427" s="681"/>
    </row>
    <row r="428">
      <c r="A428" s="681"/>
    </row>
    <row r="429">
      <c r="A429" s="681"/>
    </row>
    <row r="430">
      <c r="A430" s="681"/>
    </row>
    <row r="431">
      <c r="A431" s="681"/>
    </row>
    <row r="432">
      <c r="A432" s="681"/>
    </row>
    <row r="433">
      <c r="A433" s="681"/>
    </row>
    <row r="434">
      <c r="A434" s="681"/>
    </row>
    <row r="435">
      <c r="A435" s="681"/>
    </row>
    <row r="436">
      <c r="A436" s="681"/>
    </row>
    <row r="437">
      <c r="A437" s="681"/>
    </row>
    <row r="438">
      <c r="A438" s="681"/>
    </row>
    <row r="439">
      <c r="A439" s="681"/>
    </row>
    <row r="440">
      <c r="A440" s="681"/>
    </row>
    <row r="441">
      <c r="A441" s="681"/>
    </row>
    <row r="442">
      <c r="A442" s="681"/>
    </row>
    <row r="443">
      <c r="A443" s="681"/>
    </row>
    <row r="444">
      <c r="A444" s="681"/>
    </row>
    <row r="445">
      <c r="A445" s="681"/>
    </row>
    <row r="446">
      <c r="A446" s="681"/>
    </row>
    <row r="447">
      <c r="A447" s="681"/>
    </row>
    <row r="448">
      <c r="A448" s="681"/>
    </row>
    <row r="449">
      <c r="A449" s="681"/>
    </row>
    <row r="450">
      <c r="A450" s="681"/>
    </row>
    <row r="451">
      <c r="A451" s="681"/>
    </row>
    <row r="452">
      <c r="A452" s="681"/>
    </row>
    <row r="453">
      <c r="A453" s="681"/>
    </row>
    <row r="454">
      <c r="A454" s="681"/>
    </row>
    <row r="455">
      <c r="A455" s="681"/>
    </row>
    <row r="456">
      <c r="A456" s="681"/>
    </row>
    <row r="457">
      <c r="A457" s="681"/>
    </row>
    <row r="458">
      <c r="A458" s="681"/>
    </row>
    <row r="459">
      <c r="A459" s="681"/>
    </row>
    <row r="460">
      <c r="A460" s="681"/>
    </row>
    <row r="461">
      <c r="A461" s="681"/>
    </row>
    <row r="462">
      <c r="A462" s="681"/>
    </row>
    <row r="463">
      <c r="A463" s="681"/>
    </row>
    <row r="464">
      <c r="A464" s="681"/>
    </row>
    <row r="465">
      <c r="A465" s="681"/>
    </row>
    <row r="466">
      <c r="A466" s="681"/>
    </row>
    <row r="467">
      <c r="A467" s="681"/>
    </row>
    <row r="468">
      <c r="A468" s="681"/>
    </row>
    <row r="469">
      <c r="A469" s="681"/>
    </row>
    <row r="470">
      <c r="A470" s="681"/>
    </row>
    <row r="471">
      <c r="A471" s="681"/>
    </row>
    <row r="472">
      <c r="A472" s="681"/>
    </row>
    <row r="473">
      <c r="A473" s="681"/>
    </row>
    <row r="474">
      <c r="A474" s="681"/>
    </row>
    <row r="475">
      <c r="A475" s="681"/>
    </row>
    <row r="476">
      <c r="A476" s="681"/>
    </row>
    <row r="477">
      <c r="A477" s="681"/>
    </row>
    <row r="478">
      <c r="A478" s="681"/>
    </row>
    <row r="479">
      <c r="A479" s="681"/>
    </row>
    <row r="480">
      <c r="A480" s="681"/>
    </row>
    <row r="481">
      <c r="A481" s="681"/>
    </row>
    <row r="482">
      <c r="A482" s="681"/>
    </row>
    <row r="483">
      <c r="A483" s="681"/>
    </row>
    <row r="484">
      <c r="A484" s="681"/>
    </row>
    <row r="485">
      <c r="A485" s="681"/>
    </row>
    <row r="486">
      <c r="A486" s="681"/>
    </row>
    <row r="487">
      <c r="A487" s="681"/>
    </row>
    <row r="488">
      <c r="A488" s="681"/>
    </row>
    <row r="489">
      <c r="A489" s="681"/>
    </row>
    <row r="490">
      <c r="A490" s="681"/>
    </row>
    <row r="491">
      <c r="A491" s="681"/>
    </row>
    <row r="492">
      <c r="A492" s="681"/>
    </row>
    <row r="493">
      <c r="A493" s="681"/>
    </row>
    <row r="494">
      <c r="A494" s="681"/>
    </row>
    <row r="495">
      <c r="A495" s="681"/>
    </row>
    <row r="496">
      <c r="A496" s="681"/>
    </row>
    <row r="497">
      <c r="A497" s="681"/>
    </row>
    <row r="498">
      <c r="A498" s="681"/>
    </row>
    <row r="499">
      <c r="A499" s="681"/>
    </row>
    <row r="500">
      <c r="A500" s="681"/>
    </row>
    <row r="501">
      <c r="A501" s="681"/>
    </row>
    <row r="502">
      <c r="A502" s="681"/>
    </row>
    <row r="503">
      <c r="A503" s="681"/>
    </row>
    <row r="504">
      <c r="A504" s="681"/>
    </row>
    <row r="505">
      <c r="A505" s="681"/>
    </row>
    <row r="506">
      <c r="A506" s="681"/>
    </row>
    <row r="507">
      <c r="A507" s="681"/>
    </row>
    <row r="508">
      <c r="A508" s="681"/>
    </row>
    <row r="509">
      <c r="A509" s="681"/>
    </row>
    <row r="510">
      <c r="A510" s="681"/>
    </row>
    <row r="511">
      <c r="A511" s="681"/>
    </row>
    <row r="512">
      <c r="A512" s="681"/>
    </row>
    <row r="513">
      <c r="A513" s="681"/>
    </row>
    <row r="514">
      <c r="A514" s="681"/>
    </row>
    <row r="515">
      <c r="A515" s="681"/>
    </row>
    <row r="516">
      <c r="A516" s="681"/>
    </row>
    <row r="517">
      <c r="A517" s="681"/>
    </row>
    <row r="518">
      <c r="A518" s="681"/>
    </row>
    <row r="519">
      <c r="A519" s="681"/>
    </row>
    <row r="520">
      <c r="A520" s="681"/>
    </row>
    <row r="521">
      <c r="A521" s="681"/>
    </row>
    <row r="522">
      <c r="A522" s="681"/>
    </row>
    <row r="523">
      <c r="A523" s="681"/>
    </row>
    <row r="524">
      <c r="A524" s="681"/>
    </row>
    <row r="525">
      <c r="A525" s="681"/>
    </row>
    <row r="526">
      <c r="A526" s="681"/>
    </row>
    <row r="527">
      <c r="A527" s="681"/>
    </row>
    <row r="528">
      <c r="A528" s="681"/>
    </row>
    <row r="529">
      <c r="A529" s="681"/>
    </row>
    <row r="530">
      <c r="A530" s="681"/>
    </row>
    <row r="531">
      <c r="A531" s="681"/>
    </row>
    <row r="532">
      <c r="A532" s="681"/>
    </row>
    <row r="533">
      <c r="A533" s="681"/>
    </row>
    <row r="534">
      <c r="A534" s="681"/>
    </row>
    <row r="535">
      <c r="A535" s="681"/>
    </row>
    <row r="536">
      <c r="A536" s="681"/>
    </row>
    <row r="537">
      <c r="A537" s="681"/>
    </row>
    <row r="538">
      <c r="A538" s="681"/>
    </row>
    <row r="539">
      <c r="A539" s="681"/>
    </row>
    <row r="540">
      <c r="A540" s="681"/>
    </row>
    <row r="541">
      <c r="A541" s="681"/>
    </row>
    <row r="542">
      <c r="A542" s="681"/>
    </row>
    <row r="543">
      <c r="A543" s="681"/>
    </row>
    <row r="544">
      <c r="A544" s="681"/>
    </row>
    <row r="545">
      <c r="A545" s="681"/>
    </row>
    <row r="546">
      <c r="A546" s="681"/>
    </row>
    <row r="547">
      <c r="A547" s="681"/>
    </row>
    <row r="548">
      <c r="A548" s="681"/>
    </row>
    <row r="549">
      <c r="A549" s="681"/>
    </row>
    <row r="550">
      <c r="A550" s="681"/>
    </row>
    <row r="551">
      <c r="A551" s="681"/>
    </row>
    <row r="552">
      <c r="A552" s="681"/>
    </row>
    <row r="553">
      <c r="A553" s="681"/>
    </row>
    <row r="554">
      <c r="A554" s="681"/>
    </row>
    <row r="555">
      <c r="A555" s="681"/>
    </row>
    <row r="556">
      <c r="A556" s="681"/>
    </row>
    <row r="557">
      <c r="A557" s="681"/>
    </row>
    <row r="558">
      <c r="A558" s="681"/>
    </row>
    <row r="559">
      <c r="A559" s="681"/>
    </row>
    <row r="560">
      <c r="A560" s="681"/>
    </row>
    <row r="561">
      <c r="A561" s="681"/>
    </row>
    <row r="562">
      <c r="A562" s="681"/>
    </row>
    <row r="563">
      <c r="A563" s="681"/>
    </row>
    <row r="564">
      <c r="A564" s="681"/>
    </row>
    <row r="565">
      <c r="A565" s="681"/>
    </row>
    <row r="566">
      <c r="A566" s="681"/>
    </row>
    <row r="567">
      <c r="A567" s="681"/>
    </row>
    <row r="568">
      <c r="A568" s="681"/>
    </row>
    <row r="569">
      <c r="A569" s="681"/>
    </row>
    <row r="570">
      <c r="A570" s="681"/>
    </row>
    <row r="571">
      <c r="A571" s="681"/>
    </row>
    <row r="572">
      <c r="A572" s="681"/>
    </row>
    <row r="573">
      <c r="A573" s="681"/>
    </row>
    <row r="574">
      <c r="A574" s="681"/>
    </row>
    <row r="575">
      <c r="A575" s="681"/>
    </row>
    <row r="576">
      <c r="A576" s="681"/>
    </row>
    <row r="577">
      <c r="A577" s="681"/>
    </row>
    <row r="578">
      <c r="A578" s="681"/>
    </row>
    <row r="579">
      <c r="A579" s="681"/>
    </row>
    <row r="580">
      <c r="A580" s="681"/>
    </row>
    <row r="581">
      <c r="A581" s="681"/>
    </row>
    <row r="582">
      <c r="A582" s="681"/>
    </row>
    <row r="583">
      <c r="A583" s="681"/>
    </row>
    <row r="584">
      <c r="A584" s="681"/>
    </row>
    <row r="585">
      <c r="A585" s="681"/>
    </row>
    <row r="586">
      <c r="A586" s="681"/>
    </row>
    <row r="587">
      <c r="A587" s="681"/>
    </row>
    <row r="588">
      <c r="A588" s="681"/>
    </row>
    <row r="589">
      <c r="A589" s="681"/>
    </row>
    <row r="590">
      <c r="A590" s="681"/>
    </row>
    <row r="591">
      <c r="A591" s="681"/>
    </row>
    <row r="592">
      <c r="A592" s="681"/>
    </row>
    <row r="593">
      <c r="A593" s="681"/>
    </row>
    <row r="594">
      <c r="A594" s="681"/>
    </row>
    <row r="595">
      <c r="A595" s="681"/>
    </row>
    <row r="596">
      <c r="A596" s="681"/>
    </row>
    <row r="597">
      <c r="A597" s="681"/>
    </row>
    <row r="598">
      <c r="A598" s="681"/>
    </row>
    <row r="599">
      <c r="A599" s="681"/>
    </row>
    <row r="600">
      <c r="A600" s="681"/>
    </row>
    <row r="601">
      <c r="A601" s="681"/>
    </row>
    <row r="602">
      <c r="A602" s="681"/>
    </row>
    <row r="603">
      <c r="A603" s="681"/>
    </row>
    <row r="604">
      <c r="A604" s="681"/>
    </row>
    <row r="605">
      <c r="A605" s="681"/>
    </row>
    <row r="606">
      <c r="A606" s="681"/>
    </row>
    <row r="607">
      <c r="A607" s="681"/>
    </row>
    <row r="608">
      <c r="A608" s="681"/>
    </row>
    <row r="609">
      <c r="A609" s="681"/>
    </row>
    <row r="610">
      <c r="A610" s="681"/>
    </row>
    <row r="611">
      <c r="A611" s="681"/>
    </row>
    <row r="612">
      <c r="A612" s="681"/>
    </row>
    <row r="613">
      <c r="A613" s="681"/>
    </row>
    <row r="614">
      <c r="A614" s="681"/>
    </row>
    <row r="615">
      <c r="A615" s="681"/>
    </row>
    <row r="616">
      <c r="A616" s="681"/>
    </row>
    <row r="617">
      <c r="A617" s="681"/>
    </row>
    <row r="618">
      <c r="A618" s="681"/>
    </row>
    <row r="619">
      <c r="A619" s="681"/>
    </row>
    <row r="620">
      <c r="A620" s="681"/>
    </row>
    <row r="621">
      <c r="A621" s="681"/>
    </row>
    <row r="622">
      <c r="A622" s="681"/>
    </row>
    <row r="623">
      <c r="A623" s="681"/>
    </row>
    <row r="624">
      <c r="A624" s="681"/>
    </row>
    <row r="625">
      <c r="A625" s="681"/>
    </row>
    <row r="626">
      <c r="A626" s="681"/>
    </row>
    <row r="627">
      <c r="A627" s="681"/>
    </row>
    <row r="628">
      <c r="A628" s="681"/>
    </row>
    <row r="629">
      <c r="A629" s="681"/>
    </row>
    <row r="630">
      <c r="A630" s="681"/>
    </row>
    <row r="631">
      <c r="A631" s="681"/>
    </row>
    <row r="632">
      <c r="A632" s="681"/>
    </row>
    <row r="633">
      <c r="A633" s="681"/>
    </row>
    <row r="634">
      <c r="A634" s="681"/>
    </row>
    <row r="635">
      <c r="A635" s="681"/>
    </row>
    <row r="636">
      <c r="A636" s="681"/>
    </row>
    <row r="637">
      <c r="A637" s="681"/>
    </row>
    <row r="638">
      <c r="A638" s="681"/>
    </row>
    <row r="639">
      <c r="A639" s="681"/>
    </row>
    <row r="640">
      <c r="A640" s="681"/>
    </row>
    <row r="641">
      <c r="A641" s="681"/>
    </row>
    <row r="642">
      <c r="A642" s="681"/>
    </row>
    <row r="643">
      <c r="A643" s="681"/>
    </row>
    <row r="644">
      <c r="A644" s="681"/>
    </row>
    <row r="645">
      <c r="A645" s="681"/>
    </row>
    <row r="646">
      <c r="A646" s="681"/>
    </row>
    <row r="647">
      <c r="A647" s="681"/>
    </row>
    <row r="648">
      <c r="A648" s="681"/>
    </row>
    <row r="649">
      <c r="A649" s="681"/>
    </row>
    <row r="650">
      <c r="A650" s="681"/>
    </row>
    <row r="651">
      <c r="A651" s="681"/>
    </row>
    <row r="652">
      <c r="A652" s="681"/>
    </row>
    <row r="653">
      <c r="A653" s="681"/>
    </row>
    <row r="654">
      <c r="A654" s="681"/>
    </row>
    <row r="655">
      <c r="A655" s="681"/>
    </row>
    <row r="656">
      <c r="A656" s="681"/>
    </row>
    <row r="657">
      <c r="A657" s="681"/>
    </row>
    <row r="658">
      <c r="A658" s="681"/>
    </row>
    <row r="659">
      <c r="A659" s="681"/>
    </row>
    <row r="660">
      <c r="A660" s="681"/>
    </row>
    <row r="661">
      <c r="A661" s="681"/>
    </row>
    <row r="662">
      <c r="A662" s="681"/>
    </row>
    <row r="663">
      <c r="A663" s="681"/>
    </row>
    <row r="664">
      <c r="A664" s="681"/>
    </row>
    <row r="665">
      <c r="A665" s="681"/>
    </row>
    <row r="666">
      <c r="A666" s="681"/>
    </row>
    <row r="667">
      <c r="A667" s="681"/>
    </row>
    <row r="668">
      <c r="A668" s="681"/>
    </row>
    <row r="669">
      <c r="A669" s="681"/>
    </row>
    <row r="670">
      <c r="A670" s="681"/>
    </row>
    <row r="671">
      <c r="A671" s="681"/>
    </row>
    <row r="672">
      <c r="A672" s="681"/>
    </row>
    <row r="673">
      <c r="A673" s="681"/>
    </row>
    <row r="674">
      <c r="A674" s="681"/>
    </row>
    <row r="675">
      <c r="A675" s="681"/>
    </row>
    <row r="676">
      <c r="A676" s="681"/>
    </row>
    <row r="677">
      <c r="A677" s="681"/>
    </row>
    <row r="678">
      <c r="A678" s="681"/>
    </row>
    <row r="679">
      <c r="A679" s="681"/>
    </row>
    <row r="680">
      <c r="A680" s="681"/>
    </row>
    <row r="681">
      <c r="A681" s="681"/>
    </row>
    <row r="682">
      <c r="A682" s="681"/>
    </row>
    <row r="683">
      <c r="A683" s="681"/>
    </row>
    <row r="684">
      <c r="A684" s="681"/>
    </row>
    <row r="685">
      <c r="A685" s="681"/>
    </row>
    <row r="686">
      <c r="A686" s="681"/>
    </row>
    <row r="687">
      <c r="A687" s="681"/>
    </row>
    <row r="688">
      <c r="A688" s="681"/>
    </row>
    <row r="689">
      <c r="A689" s="681"/>
    </row>
    <row r="690">
      <c r="A690" s="681"/>
    </row>
    <row r="691">
      <c r="A691" s="681"/>
    </row>
    <row r="692">
      <c r="A692" s="681"/>
    </row>
    <row r="693">
      <c r="A693" s="681"/>
    </row>
    <row r="694">
      <c r="A694" s="681"/>
    </row>
    <row r="695">
      <c r="A695" s="681"/>
    </row>
    <row r="696">
      <c r="A696" s="681"/>
    </row>
    <row r="697">
      <c r="A697" s="681"/>
    </row>
    <row r="698">
      <c r="A698" s="681"/>
    </row>
    <row r="699">
      <c r="A699" s="681"/>
    </row>
    <row r="700">
      <c r="A700" s="681"/>
    </row>
    <row r="701">
      <c r="A701" s="681"/>
    </row>
    <row r="702">
      <c r="A702" s="681"/>
    </row>
    <row r="703">
      <c r="A703" s="681"/>
    </row>
    <row r="704">
      <c r="A704" s="681"/>
    </row>
    <row r="705">
      <c r="A705" s="681"/>
    </row>
    <row r="706">
      <c r="A706" s="681"/>
    </row>
    <row r="707">
      <c r="A707" s="681"/>
    </row>
    <row r="708">
      <c r="A708" s="681"/>
    </row>
    <row r="709">
      <c r="A709" s="681"/>
    </row>
    <row r="710">
      <c r="A710" s="681"/>
    </row>
    <row r="711">
      <c r="A711" s="681"/>
    </row>
    <row r="712">
      <c r="A712" s="681"/>
    </row>
    <row r="713">
      <c r="A713" s="681"/>
    </row>
    <row r="714">
      <c r="A714" s="681"/>
    </row>
    <row r="715">
      <c r="A715" s="681"/>
    </row>
    <row r="716">
      <c r="A716" s="681"/>
    </row>
    <row r="717">
      <c r="A717" s="681"/>
    </row>
    <row r="718">
      <c r="A718" s="681"/>
    </row>
    <row r="719">
      <c r="A719" s="681"/>
    </row>
    <row r="720">
      <c r="A720" s="681"/>
    </row>
    <row r="721">
      <c r="A721" s="681"/>
    </row>
    <row r="722">
      <c r="A722" s="681"/>
    </row>
    <row r="723">
      <c r="A723" s="681"/>
    </row>
    <row r="724">
      <c r="A724" s="681"/>
    </row>
    <row r="725">
      <c r="A725" s="681"/>
    </row>
    <row r="726">
      <c r="A726" s="681"/>
    </row>
    <row r="727">
      <c r="A727" s="681"/>
    </row>
    <row r="728">
      <c r="A728" s="681"/>
    </row>
    <row r="729">
      <c r="A729" s="681"/>
    </row>
    <row r="730">
      <c r="A730" s="681"/>
    </row>
    <row r="731">
      <c r="A731" s="681"/>
    </row>
    <row r="732">
      <c r="A732" s="681"/>
    </row>
    <row r="733">
      <c r="A733" s="681"/>
    </row>
    <row r="734">
      <c r="A734" s="681"/>
    </row>
    <row r="735">
      <c r="A735" s="681"/>
    </row>
    <row r="736">
      <c r="A736" s="681"/>
    </row>
    <row r="737">
      <c r="A737" s="681"/>
    </row>
    <row r="738">
      <c r="A738" s="681"/>
    </row>
    <row r="739">
      <c r="A739" s="681"/>
    </row>
    <row r="740">
      <c r="A740" s="681"/>
    </row>
    <row r="741">
      <c r="A741" s="681"/>
    </row>
    <row r="742">
      <c r="A742" s="681"/>
    </row>
    <row r="743">
      <c r="A743" s="681"/>
    </row>
    <row r="744">
      <c r="A744" s="681"/>
    </row>
    <row r="745">
      <c r="A745" s="681"/>
    </row>
    <row r="746">
      <c r="A746" s="681"/>
    </row>
    <row r="747">
      <c r="A747" s="681"/>
    </row>
    <row r="748">
      <c r="A748" s="681"/>
    </row>
    <row r="749">
      <c r="A749" s="681"/>
    </row>
    <row r="750">
      <c r="A750" s="681"/>
    </row>
    <row r="751">
      <c r="A751" s="681"/>
    </row>
    <row r="752">
      <c r="A752" s="681"/>
    </row>
    <row r="753">
      <c r="A753" s="681"/>
    </row>
    <row r="754">
      <c r="A754" s="681"/>
    </row>
    <row r="755">
      <c r="A755" s="681"/>
    </row>
    <row r="756">
      <c r="A756" s="681"/>
    </row>
    <row r="757">
      <c r="A757" s="681"/>
    </row>
    <row r="758">
      <c r="A758" s="681"/>
    </row>
    <row r="759">
      <c r="A759" s="681"/>
    </row>
    <row r="760">
      <c r="A760" s="681"/>
    </row>
    <row r="761">
      <c r="A761" s="681"/>
    </row>
    <row r="762">
      <c r="A762" s="681"/>
    </row>
    <row r="763">
      <c r="A763" s="681"/>
    </row>
    <row r="764">
      <c r="A764" s="681"/>
    </row>
    <row r="765">
      <c r="A765" s="681"/>
    </row>
    <row r="766">
      <c r="A766" s="681"/>
    </row>
    <row r="767">
      <c r="A767" s="681"/>
    </row>
    <row r="768">
      <c r="A768" s="681"/>
    </row>
    <row r="769">
      <c r="A769" s="681"/>
    </row>
    <row r="770">
      <c r="A770" s="681"/>
    </row>
    <row r="771">
      <c r="A771" s="681"/>
    </row>
    <row r="772">
      <c r="A772" s="681"/>
    </row>
    <row r="773">
      <c r="A773" s="681"/>
    </row>
    <row r="774">
      <c r="A774" s="681"/>
    </row>
    <row r="775">
      <c r="A775" s="681"/>
    </row>
    <row r="776">
      <c r="A776" s="681"/>
    </row>
    <row r="777">
      <c r="A777" s="681"/>
    </row>
    <row r="778">
      <c r="A778" s="681"/>
    </row>
    <row r="779">
      <c r="A779" s="681"/>
    </row>
    <row r="780">
      <c r="A780" s="681"/>
    </row>
    <row r="781">
      <c r="A781" s="681"/>
    </row>
    <row r="782">
      <c r="A782" s="681"/>
    </row>
    <row r="783">
      <c r="A783" s="681"/>
    </row>
    <row r="784">
      <c r="A784" s="681"/>
    </row>
    <row r="785">
      <c r="A785" s="681"/>
    </row>
    <row r="786">
      <c r="A786" s="681"/>
    </row>
    <row r="787">
      <c r="A787" s="681"/>
    </row>
    <row r="788">
      <c r="A788" s="681"/>
    </row>
    <row r="789">
      <c r="A789" s="681"/>
    </row>
    <row r="790">
      <c r="A790" s="681"/>
    </row>
    <row r="791">
      <c r="A791" s="681"/>
    </row>
    <row r="792">
      <c r="A792" s="681"/>
    </row>
    <row r="793">
      <c r="A793" s="681"/>
    </row>
    <row r="794">
      <c r="A794" s="681"/>
    </row>
    <row r="795">
      <c r="A795" s="681"/>
    </row>
    <row r="796">
      <c r="A796" s="681"/>
    </row>
    <row r="797">
      <c r="A797" s="681"/>
    </row>
    <row r="798">
      <c r="A798" s="681"/>
    </row>
    <row r="799">
      <c r="A799" s="681"/>
    </row>
    <row r="800">
      <c r="A800" s="681"/>
    </row>
    <row r="801">
      <c r="A801" s="681"/>
    </row>
    <row r="802">
      <c r="A802" s="681"/>
    </row>
    <row r="803">
      <c r="A803" s="681"/>
    </row>
    <row r="804">
      <c r="A804" s="681"/>
    </row>
    <row r="805">
      <c r="A805" s="681"/>
    </row>
    <row r="806">
      <c r="A806" s="681"/>
    </row>
    <row r="807">
      <c r="A807" s="681"/>
    </row>
    <row r="808">
      <c r="A808" s="681"/>
    </row>
    <row r="809">
      <c r="A809" s="681"/>
    </row>
    <row r="810">
      <c r="A810" s="681"/>
    </row>
    <row r="811">
      <c r="A811" s="681"/>
    </row>
    <row r="812">
      <c r="A812" s="681"/>
    </row>
    <row r="813">
      <c r="A813" s="681"/>
    </row>
    <row r="814">
      <c r="A814" s="681"/>
    </row>
    <row r="815">
      <c r="A815" s="681"/>
    </row>
    <row r="816">
      <c r="A816" s="681"/>
    </row>
    <row r="817">
      <c r="A817" s="681"/>
    </row>
    <row r="818">
      <c r="A818" s="681"/>
    </row>
    <row r="819">
      <c r="A819" s="681"/>
    </row>
    <row r="820">
      <c r="A820" s="681"/>
    </row>
    <row r="821">
      <c r="A821" s="681"/>
    </row>
    <row r="822">
      <c r="A822" s="681"/>
    </row>
    <row r="823">
      <c r="A823" s="681"/>
    </row>
    <row r="824">
      <c r="A824" s="681"/>
    </row>
    <row r="825">
      <c r="A825" s="681"/>
    </row>
    <row r="826">
      <c r="A826" s="681"/>
    </row>
    <row r="827">
      <c r="A827" s="681"/>
    </row>
    <row r="828">
      <c r="A828" s="681"/>
    </row>
    <row r="829">
      <c r="A829" s="681"/>
    </row>
    <row r="830">
      <c r="A830" s="681"/>
    </row>
    <row r="831">
      <c r="A831" s="681"/>
    </row>
    <row r="832">
      <c r="A832" s="681"/>
    </row>
    <row r="833">
      <c r="A833" s="681"/>
    </row>
    <row r="834">
      <c r="A834" s="681"/>
    </row>
    <row r="835">
      <c r="A835" s="681"/>
    </row>
    <row r="836">
      <c r="A836" s="681"/>
    </row>
    <row r="837">
      <c r="A837" s="681"/>
    </row>
    <row r="838">
      <c r="A838" s="681"/>
    </row>
    <row r="839">
      <c r="A839" s="681"/>
    </row>
    <row r="840">
      <c r="A840" s="681"/>
    </row>
    <row r="841">
      <c r="A841" s="681"/>
    </row>
    <row r="842">
      <c r="A842" s="681"/>
    </row>
    <row r="843">
      <c r="A843" s="681"/>
    </row>
    <row r="844">
      <c r="A844" s="681"/>
    </row>
    <row r="845">
      <c r="A845" s="681"/>
    </row>
    <row r="846">
      <c r="A846" s="681"/>
    </row>
    <row r="847">
      <c r="A847" s="681"/>
    </row>
    <row r="848">
      <c r="A848" s="681"/>
    </row>
    <row r="849">
      <c r="A849" s="681"/>
    </row>
    <row r="850">
      <c r="A850" s="681"/>
    </row>
    <row r="851">
      <c r="A851" s="681"/>
    </row>
    <row r="852">
      <c r="A852" s="681"/>
    </row>
    <row r="853">
      <c r="A853" s="681"/>
    </row>
    <row r="854">
      <c r="A854" s="681"/>
    </row>
    <row r="855">
      <c r="A855" s="681"/>
    </row>
    <row r="856">
      <c r="A856" s="681"/>
    </row>
    <row r="857">
      <c r="A857" s="681"/>
    </row>
    <row r="858">
      <c r="A858" s="681"/>
    </row>
    <row r="859">
      <c r="A859" s="681"/>
    </row>
    <row r="860">
      <c r="A860" s="681"/>
    </row>
    <row r="861">
      <c r="A861" s="681"/>
    </row>
    <row r="862">
      <c r="A862" s="681"/>
    </row>
    <row r="863">
      <c r="A863" s="681"/>
    </row>
    <row r="864">
      <c r="A864" s="681"/>
    </row>
    <row r="865">
      <c r="A865" s="681"/>
    </row>
    <row r="866">
      <c r="A866" s="681"/>
    </row>
    <row r="867">
      <c r="A867" s="681"/>
    </row>
    <row r="868">
      <c r="A868" s="681"/>
    </row>
    <row r="869">
      <c r="A869" s="681"/>
    </row>
    <row r="870">
      <c r="A870" s="681"/>
    </row>
    <row r="871">
      <c r="A871" s="681"/>
    </row>
    <row r="872">
      <c r="A872" s="681"/>
    </row>
    <row r="873">
      <c r="A873" s="681"/>
    </row>
    <row r="874">
      <c r="A874" s="681"/>
    </row>
    <row r="875">
      <c r="A875" s="681"/>
    </row>
    <row r="876">
      <c r="A876" s="681"/>
    </row>
    <row r="877">
      <c r="A877" s="681"/>
    </row>
    <row r="878">
      <c r="A878" s="681"/>
    </row>
    <row r="879">
      <c r="A879" s="681"/>
    </row>
    <row r="880">
      <c r="A880" s="681"/>
    </row>
    <row r="881">
      <c r="A881" s="681"/>
    </row>
    <row r="882">
      <c r="A882" s="681"/>
    </row>
    <row r="883">
      <c r="A883" s="681"/>
    </row>
    <row r="884">
      <c r="A884" s="681"/>
    </row>
    <row r="885">
      <c r="A885" s="681"/>
    </row>
    <row r="886">
      <c r="A886" s="681"/>
    </row>
    <row r="887">
      <c r="A887" s="681"/>
    </row>
    <row r="888">
      <c r="A888" s="681"/>
    </row>
    <row r="889">
      <c r="A889" s="681"/>
    </row>
    <row r="890">
      <c r="A890" s="681"/>
    </row>
    <row r="891">
      <c r="A891" s="681"/>
    </row>
    <row r="892">
      <c r="A892" s="681"/>
    </row>
    <row r="893">
      <c r="A893" s="681"/>
    </row>
    <row r="894">
      <c r="A894" s="681"/>
    </row>
    <row r="895">
      <c r="A895" s="681"/>
    </row>
    <row r="896">
      <c r="A896" s="681"/>
    </row>
    <row r="897">
      <c r="A897" s="681"/>
    </row>
    <row r="898">
      <c r="A898" s="681"/>
    </row>
    <row r="899">
      <c r="A899" s="681"/>
    </row>
    <row r="900">
      <c r="A900" s="681"/>
    </row>
    <row r="901">
      <c r="A901" s="681"/>
    </row>
    <row r="902">
      <c r="A902" s="681"/>
    </row>
    <row r="903">
      <c r="A903" s="681"/>
    </row>
    <row r="904">
      <c r="A904" s="681"/>
    </row>
    <row r="905">
      <c r="A905" s="681"/>
    </row>
    <row r="906">
      <c r="A906" s="681"/>
    </row>
    <row r="907">
      <c r="A907" s="681"/>
    </row>
    <row r="908">
      <c r="A908" s="681"/>
    </row>
    <row r="909">
      <c r="A909" s="681"/>
    </row>
    <row r="910">
      <c r="A910" s="681"/>
    </row>
    <row r="911">
      <c r="A911" s="681"/>
    </row>
    <row r="912">
      <c r="A912" s="681"/>
    </row>
    <row r="913">
      <c r="A913" s="681"/>
    </row>
    <row r="914">
      <c r="A914" s="681"/>
    </row>
    <row r="915">
      <c r="A915" s="681"/>
    </row>
    <row r="916">
      <c r="A916" s="681"/>
    </row>
    <row r="917">
      <c r="A917" s="681"/>
    </row>
    <row r="918">
      <c r="A918" s="681"/>
    </row>
    <row r="919">
      <c r="A919" s="681"/>
    </row>
    <row r="920">
      <c r="A920" s="681"/>
    </row>
    <row r="921">
      <c r="A921" s="681"/>
    </row>
    <row r="922">
      <c r="A922" s="681"/>
    </row>
    <row r="923">
      <c r="A923" s="681"/>
    </row>
    <row r="924">
      <c r="A924" s="681"/>
    </row>
    <row r="925">
      <c r="A925" s="681"/>
    </row>
    <row r="926">
      <c r="A926" s="681"/>
    </row>
    <row r="927">
      <c r="A927" s="681"/>
    </row>
    <row r="928">
      <c r="A928" s="681"/>
    </row>
    <row r="929">
      <c r="A929" s="681"/>
    </row>
    <row r="930">
      <c r="A930" s="681"/>
    </row>
    <row r="931">
      <c r="A931" s="681"/>
    </row>
    <row r="932">
      <c r="A932" s="681"/>
    </row>
    <row r="933">
      <c r="A933" s="681"/>
    </row>
    <row r="934">
      <c r="A934" s="681"/>
    </row>
    <row r="935">
      <c r="A935" s="681"/>
    </row>
    <row r="936">
      <c r="A936" s="681"/>
    </row>
    <row r="937">
      <c r="A937" s="681"/>
    </row>
    <row r="938">
      <c r="A938" s="681"/>
    </row>
    <row r="939">
      <c r="A939" s="681"/>
    </row>
    <row r="940">
      <c r="A940" s="681"/>
    </row>
    <row r="941">
      <c r="A941" s="681"/>
    </row>
    <row r="942">
      <c r="A942" s="681"/>
    </row>
    <row r="943">
      <c r="A943" s="681"/>
    </row>
    <row r="944">
      <c r="A944" s="681"/>
    </row>
    <row r="945">
      <c r="A945" s="681"/>
    </row>
    <row r="946">
      <c r="A946" s="681"/>
    </row>
    <row r="947">
      <c r="A947" s="681"/>
    </row>
    <row r="948">
      <c r="A948" s="681"/>
    </row>
    <row r="949">
      <c r="A949" s="681"/>
    </row>
    <row r="950">
      <c r="A950" s="681"/>
    </row>
    <row r="951">
      <c r="A951" s="681"/>
    </row>
    <row r="952">
      <c r="A952" s="681"/>
    </row>
    <row r="953">
      <c r="A953" s="681"/>
    </row>
    <row r="954">
      <c r="A954" s="681"/>
    </row>
    <row r="955">
      <c r="A955" s="681"/>
    </row>
    <row r="956">
      <c r="A956" s="681"/>
    </row>
    <row r="957">
      <c r="A957" s="681"/>
    </row>
    <row r="958">
      <c r="A958" s="681"/>
    </row>
    <row r="959">
      <c r="A959" s="681"/>
    </row>
    <row r="960">
      <c r="A960" s="681"/>
    </row>
    <row r="961">
      <c r="A961" s="681"/>
    </row>
    <row r="962">
      <c r="A962" s="681"/>
    </row>
    <row r="963">
      <c r="A963" s="681"/>
    </row>
    <row r="964">
      <c r="A964" s="681"/>
    </row>
    <row r="965">
      <c r="A965" s="681"/>
    </row>
    <row r="966">
      <c r="A966" s="681"/>
    </row>
    <row r="967">
      <c r="A967" s="681"/>
    </row>
    <row r="968">
      <c r="A968" s="681"/>
    </row>
    <row r="969">
      <c r="A969" s="681"/>
    </row>
    <row r="970">
      <c r="A970" s="681"/>
    </row>
    <row r="971">
      <c r="A971" s="681"/>
    </row>
    <row r="972">
      <c r="A972" s="681"/>
    </row>
    <row r="973">
      <c r="A973" s="681"/>
    </row>
    <row r="974">
      <c r="A974" s="681"/>
    </row>
    <row r="975">
      <c r="A975" s="681"/>
    </row>
    <row r="976">
      <c r="A976" s="681"/>
    </row>
    <row r="977">
      <c r="A977" s="681"/>
    </row>
    <row r="978">
      <c r="A978" s="681"/>
    </row>
    <row r="979">
      <c r="A979" s="681"/>
    </row>
    <row r="980">
      <c r="A980" s="681"/>
    </row>
    <row r="981">
      <c r="A981" s="681"/>
    </row>
    <row r="982">
      <c r="A982" s="681"/>
    </row>
  </sheetData>
  <mergeCells count="117">
    <mergeCell ref="B18:G18"/>
    <mergeCell ref="B19:G22"/>
    <mergeCell ref="I19:N22"/>
    <mergeCell ref="P19:T22"/>
    <mergeCell ref="B24:G24"/>
    <mergeCell ref="P24:T24"/>
    <mergeCell ref="P25:T28"/>
    <mergeCell ref="P31:Q31"/>
    <mergeCell ref="R31:T31"/>
    <mergeCell ref="B25:G28"/>
    <mergeCell ref="B30:T30"/>
    <mergeCell ref="B31:C31"/>
    <mergeCell ref="D31:E31"/>
    <mergeCell ref="F31:G31"/>
    <mergeCell ref="H31:I31"/>
    <mergeCell ref="J31:K31"/>
    <mergeCell ref="Q5:T5"/>
    <mergeCell ref="Q6:T6"/>
    <mergeCell ref="Q7:T8"/>
    <mergeCell ref="O10:T10"/>
    <mergeCell ref="O11:T11"/>
    <mergeCell ref="O12:T13"/>
    <mergeCell ref="O14:T14"/>
    <mergeCell ref="B1:T1"/>
    <mergeCell ref="B2:T2"/>
    <mergeCell ref="B4:T4"/>
    <mergeCell ref="B5:E5"/>
    <mergeCell ref="L5:O5"/>
    <mergeCell ref="B6:E6"/>
    <mergeCell ref="L6:O6"/>
    <mergeCell ref="H10:M10"/>
    <mergeCell ref="H11:M11"/>
    <mergeCell ref="G5:J5"/>
    <mergeCell ref="G6:J6"/>
    <mergeCell ref="B7:E8"/>
    <mergeCell ref="G7:J8"/>
    <mergeCell ref="L7:O8"/>
    <mergeCell ref="B10:F10"/>
    <mergeCell ref="B11:F11"/>
    <mergeCell ref="B12:F13"/>
    <mergeCell ref="H12:M13"/>
    <mergeCell ref="B14:F14"/>
    <mergeCell ref="H14:M14"/>
    <mergeCell ref="B17:T17"/>
    <mergeCell ref="I18:N18"/>
    <mergeCell ref="P18:T18"/>
    <mergeCell ref="I24:N24"/>
    <mergeCell ref="I25:N28"/>
    <mergeCell ref="J40:K40"/>
    <mergeCell ref="L40:M40"/>
    <mergeCell ref="N40:O40"/>
    <mergeCell ref="P40:Q40"/>
    <mergeCell ref="L32:M32"/>
    <mergeCell ref="N32:O32"/>
    <mergeCell ref="P32:Q32"/>
    <mergeCell ref="R32:T32"/>
    <mergeCell ref="L31:M31"/>
    <mergeCell ref="N31:O31"/>
    <mergeCell ref="B32:C32"/>
    <mergeCell ref="D32:E32"/>
    <mergeCell ref="F32:G32"/>
    <mergeCell ref="H32:I32"/>
    <mergeCell ref="J32:K32"/>
    <mergeCell ref="P33:Q33"/>
    <mergeCell ref="R33:T33"/>
    <mergeCell ref="B33:C33"/>
    <mergeCell ref="D33:E33"/>
    <mergeCell ref="F33:G33"/>
    <mergeCell ref="H33:I33"/>
    <mergeCell ref="J33:K33"/>
    <mergeCell ref="L33:M33"/>
    <mergeCell ref="N33:O33"/>
    <mergeCell ref="P34:Q34"/>
    <mergeCell ref="R34:T34"/>
    <mergeCell ref="B34:C34"/>
    <mergeCell ref="D34:E34"/>
    <mergeCell ref="F34:G34"/>
    <mergeCell ref="H34:I34"/>
    <mergeCell ref="J34:K34"/>
    <mergeCell ref="L34:M34"/>
    <mergeCell ref="N34:O34"/>
    <mergeCell ref="P35:Q35"/>
    <mergeCell ref="R35:T35"/>
    <mergeCell ref="B35:C35"/>
    <mergeCell ref="D35:E35"/>
    <mergeCell ref="F35:G35"/>
    <mergeCell ref="H35:I35"/>
    <mergeCell ref="J35:K35"/>
    <mergeCell ref="L35:M35"/>
    <mergeCell ref="N35:O35"/>
    <mergeCell ref="P36:Q36"/>
    <mergeCell ref="R36:T36"/>
    <mergeCell ref="B36:C36"/>
    <mergeCell ref="D36:E36"/>
    <mergeCell ref="F36:G36"/>
    <mergeCell ref="H36:I36"/>
    <mergeCell ref="J36:K36"/>
    <mergeCell ref="L36:M36"/>
    <mergeCell ref="N36:O36"/>
    <mergeCell ref="P37:Q37"/>
    <mergeCell ref="R37:T37"/>
    <mergeCell ref="B37:C37"/>
    <mergeCell ref="D37:E37"/>
    <mergeCell ref="F37:G37"/>
    <mergeCell ref="H37:I37"/>
    <mergeCell ref="J37:K37"/>
    <mergeCell ref="L37:M37"/>
    <mergeCell ref="N37:O37"/>
    <mergeCell ref="P39:Q39"/>
    <mergeCell ref="R39:T39"/>
    <mergeCell ref="B38:C38"/>
    <mergeCell ref="B39:C39"/>
    <mergeCell ref="D39:E39"/>
    <mergeCell ref="F39:I39"/>
    <mergeCell ref="J39:K39"/>
    <mergeCell ref="L39:M39"/>
    <mergeCell ref="N39:O39"/>
  </mergeCells>
  <drawing r:id="rId1"/>
</worksheet>
</file>